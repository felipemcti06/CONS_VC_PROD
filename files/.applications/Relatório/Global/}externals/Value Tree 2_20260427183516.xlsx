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3166B45D-AD1D-4709-8C2A-919EF0ECBEA1}" xr6:coauthVersionLast="47" xr6:coauthVersionMax="47" xr10:uidLastSave="{00000000-0000-0000-0000-000000000000}"/>
  <bookViews>
    <workbookView xWindow="-28908" yWindow="-1980" windowWidth="29016" windowHeight="15696" firstSheet="2" activeTab="2" xr2:uid="{BB3FCC84-5EE6-486F-AD64-0F6B1656FB64}"/>
  </bookViews>
  <sheets>
    <sheet name="Cognos_Office_Connection_Cache" sheetId="4" state="veryHidden" r:id="rId1"/>
    <sheet name="Value Tree - Fx" sheetId="2" state="hidden" r:id="rId2"/>
    <sheet name="Value Tree 2" sheetId="3" r:id="rId3"/>
  </sheets>
  <definedNames>
    <definedName name="ID" localSheetId="0">"5b421e04-befd-4cfb-94b4-6b4bb8b045d3"</definedName>
    <definedName name="ID" localSheetId="1" hidden="1">"bcf0b9cc-d482-4429-95d1-a13fc091ef42"</definedName>
    <definedName name="ID" localSheetId="2" hidden="1">"16d155af-0855-41cf-85bc-8dcd16d8e8b8"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7" i="3" l="1"/>
  <c r="BL47" i="3"/>
  <c r="BK47" i="3"/>
  <c r="BK46" i="3"/>
  <c r="BK45" i="3"/>
  <c r="BK43" i="3"/>
  <c r="BP40" i="3"/>
  <c r="BL40" i="3"/>
  <c r="BK40" i="3"/>
  <c r="BK39" i="3"/>
  <c r="BK38" i="3"/>
  <c r="BK36" i="3"/>
  <c r="BP33" i="3"/>
  <c r="BL33" i="3"/>
  <c r="BK33" i="3"/>
  <c r="BK32" i="3"/>
  <c r="BK31" i="3"/>
  <c r="BK29" i="3"/>
  <c r="BP26" i="3"/>
  <c r="BL26" i="3"/>
  <c r="BK26" i="3"/>
  <c r="BK25" i="3"/>
  <c r="BK24" i="3"/>
  <c r="BK22" i="3"/>
  <c r="BP19" i="3"/>
  <c r="BL19" i="3"/>
  <c r="BK19" i="3"/>
  <c r="BK18" i="3"/>
  <c r="BK17" i="3"/>
  <c r="BK15" i="3"/>
  <c r="BK12" i="3"/>
  <c r="BK8" i="3"/>
  <c r="BD47" i="3"/>
  <c r="AZ47" i="3"/>
  <c r="AY47" i="3"/>
  <c r="AY46" i="3"/>
  <c r="AY45" i="3"/>
  <c r="AY43" i="3"/>
  <c r="BD40" i="3"/>
  <c r="AZ40" i="3"/>
  <c r="AY40" i="3"/>
  <c r="AY39" i="3"/>
  <c r="AY38" i="3"/>
  <c r="AY36" i="3"/>
  <c r="BD33" i="3"/>
  <c r="AZ33" i="3"/>
  <c r="AY33" i="3"/>
  <c r="AY32" i="3"/>
  <c r="AY31" i="3"/>
  <c r="AY29" i="3"/>
  <c r="BD26" i="3"/>
  <c r="AZ26" i="3"/>
  <c r="AY26" i="3"/>
  <c r="AY25" i="3"/>
  <c r="AY24" i="3"/>
  <c r="AY22" i="3"/>
  <c r="AY19" i="3"/>
  <c r="AY15" i="3"/>
  <c r="AY12" i="3"/>
  <c r="AY8" i="3"/>
  <c r="AM47" i="3"/>
  <c r="AM46" i="3"/>
  <c r="AM45" i="3"/>
  <c r="AM43" i="3"/>
  <c r="AR40" i="3"/>
  <c r="AN40" i="3"/>
  <c r="AM40" i="3"/>
  <c r="AM39" i="3"/>
  <c r="AM38" i="3"/>
  <c r="AM36" i="3"/>
  <c r="AM29" i="3"/>
  <c r="AM15" i="3"/>
  <c r="AM8" i="3"/>
  <c r="AA43" i="3"/>
  <c r="AA36" i="3"/>
  <c r="AA29" i="3"/>
  <c r="AA19" i="3"/>
  <c r="AA15" i="3"/>
  <c r="AA12" i="3"/>
  <c r="AA8" i="3"/>
  <c r="P43" i="3"/>
  <c r="P36" i="3"/>
  <c r="P29" i="3"/>
  <c r="E29" i="3"/>
  <c r="P22" i="3"/>
  <c r="E22" i="3"/>
  <c r="E15" i="3"/>
  <c r="P15" i="3"/>
  <c r="P8" i="3"/>
  <c r="BK12" i="2"/>
  <c r="AY19" i="2"/>
  <c r="AY12" i="2"/>
  <c r="D6" i="3"/>
  <c r="J4" i="3"/>
  <c r="D4" i="3"/>
  <c r="J6" i="3"/>
  <c r="AC43" i="3" l="1"/>
  <c r="BA29" i="3"/>
  <c r="G22" i="3"/>
  <c r="BA8" i="3"/>
  <c r="AC29" i="3"/>
  <c r="BA15" i="3"/>
  <c r="R15" i="3"/>
  <c r="BM43" i="3"/>
  <c r="G15" i="3"/>
  <c r="R22" i="3"/>
  <c r="R43" i="3"/>
  <c r="AO29" i="3"/>
  <c r="BM15" i="3"/>
  <c r="AO8" i="3"/>
  <c r="BM36" i="3"/>
  <c r="AC8" i="3"/>
  <c r="BM22" i="3"/>
  <c r="R36" i="3"/>
  <c r="BM29" i="3"/>
  <c r="BA36" i="3"/>
  <c r="R29" i="3"/>
  <c r="AO15" i="3"/>
  <c r="R8" i="3"/>
  <c r="AO36" i="3"/>
  <c r="G29" i="3"/>
  <c r="AC15" i="3"/>
  <c r="AC36" i="3"/>
  <c r="BA22" i="3"/>
  <c r="BA43" i="3"/>
  <c r="BM8" i="3"/>
  <c r="AM19" i="2"/>
  <c r="AM19" i="3" s="1"/>
  <c r="AM12" i="2"/>
  <c r="AM12" i="3" s="1"/>
  <c r="AA47" i="2"/>
  <c r="AA47" i="3" s="1"/>
  <c r="AA40" i="2" l="1"/>
  <c r="AA40" i="3" s="1"/>
  <c r="AM33" i="2"/>
  <c r="AM33" i="3" s="1"/>
  <c r="AA33" i="2"/>
  <c r="AA33" i="3" s="1"/>
  <c r="AA19" i="2"/>
  <c r="AA12" i="2"/>
  <c r="A19" i="2"/>
  <c r="A13" i="2" l="1"/>
  <c r="A10" i="2"/>
  <c r="C4" i="2"/>
  <c r="BA15" i="2" l="1"/>
  <c r="BM8" i="2"/>
  <c r="BA8" i="2"/>
  <c r="AC43" i="2"/>
  <c r="AO29" i="2"/>
  <c r="G29" i="2"/>
  <c r="G15" i="2"/>
  <c r="AC15" i="2"/>
  <c r="R29" i="2"/>
  <c r="AC29" i="2"/>
  <c r="G22" i="2"/>
  <c r="AO8" i="2"/>
  <c r="R8" i="2"/>
  <c r="R36" i="2"/>
  <c r="R43" i="2"/>
  <c r="AC36" i="2"/>
  <c r="R15" i="2"/>
  <c r="AO15" i="2"/>
  <c r="R22" i="2"/>
  <c r="AC8" i="2"/>
  <c r="P47" i="2"/>
  <c r="P47" i="3" s="1"/>
  <c r="P40" i="2"/>
  <c r="P40" i="3" s="1"/>
  <c r="E33" i="2"/>
  <c r="E33" i="3" s="1"/>
  <c r="E26" i="2"/>
  <c r="E26" i="3" s="1"/>
  <c r="P33" i="2"/>
  <c r="P33" i="3" s="1"/>
  <c r="P26" i="2"/>
  <c r="P26" i="3" s="1"/>
  <c r="P19" i="2"/>
  <c r="P19" i="3" s="1"/>
  <c r="E19" i="2"/>
  <c r="E19" i="3" s="1"/>
  <c r="AO12" i="2" a="1"/>
  <c r="AO12" i="2" l="1"/>
  <c r="A16" i="2"/>
  <c r="A17" i="2"/>
  <c r="P12" i="2"/>
  <c r="P12" i="3" s="1"/>
  <c r="A12" i="2"/>
  <c r="AG36" i="3" l="1"/>
  <c r="BQ22" i="3"/>
  <c r="V15" i="3"/>
  <c r="BQ43" i="3"/>
  <c r="V36" i="3"/>
  <c r="BE22" i="3"/>
  <c r="K15" i="3"/>
  <c r="AS36" i="3"/>
  <c r="BE43" i="3"/>
  <c r="BQ29" i="3"/>
  <c r="V22" i="3"/>
  <c r="BQ8" i="3"/>
  <c r="AG15" i="3"/>
  <c r="AG43" i="3"/>
  <c r="BE29" i="3"/>
  <c r="K22" i="3"/>
  <c r="BE8" i="3"/>
  <c r="K29" i="3"/>
  <c r="V43" i="3"/>
  <c r="AS29" i="3"/>
  <c r="BQ15" i="3"/>
  <c r="AS8" i="3"/>
  <c r="V29" i="3"/>
  <c r="BQ36" i="3"/>
  <c r="AG29" i="3"/>
  <c r="BE15" i="3"/>
  <c r="AG8" i="3"/>
  <c r="BE36" i="3"/>
  <c r="AS15" i="3"/>
  <c r="V8" i="3"/>
  <c r="BE15" i="2"/>
  <c r="BQ8" i="2"/>
  <c r="BE8" i="2"/>
  <c r="BK11" i="2"/>
  <c r="BK11" i="3" s="1"/>
  <c r="AY11" i="2"/>
  <c r="AY11" i="3" s="1"/>
  <c r="AY18" i="2"/>
  <c r="AY18" i="3" s="1"/>
  <c r="P32" i="2"/>
  <c r="P32" i="3" s="1"/>
  <c r="P39" i="2"/>
  <c r="P39" i="3" s="1"/>
  <c r="E32" i="2"/>
  <c r="E32" i="3" s="1"/>
  <c r="AA46" i="2"/>
  <c r="AA46" i="3" s="1"/>
  <c r="AM18" i="2"/>
  <c r="AM18" i="3" s="1"/>
  <c r="AA11" i="2"/>
  <c r="AA11" i="3" s="1"/>
  <c r="E18" i="2"/>
  <c r="E18" i="3" s="1"/>
  <c r="AM11" i="2"/>
  <c r="P18" i="2"/>
  <c r="P18" i="3" s="1"/>
  <c r="AA18" i="2"/>
  <c r="AA18" i="3" s="1"/>
  <c r="P25" i="2"/>
  <c r="P25" i="3" s="1"/>
  <c r="AA32" i="2"/>
  <c r="AA32" i="3" s="1"/>
  <c r="E25" i="2"/>
  <c r="E25" i="3" s="1"/>
  <c r="AM32" i="2"/>
  <c r="AM32" i="3" s="1"/>
  <c r="AA39" i="2"/>
  <c r="AA39" i="3" s="1"/>
  <c r="P11" i="2"/>
  <c r="P11" i="3" s="1"/>
  <c r="P46" i="2"/>
  <c r="P46" i="3" s="1"/>
  <c r="AY17" i="2"/>
  <c r="AY17" i="3" s="1"/>
  <c r="BK10" i="2"/>
  <c r="BK10" i="3" s="1"/>
  <c r="AY10" i="2"/>
  <c r="AY10" i="3" s="1"/>
  <c r="AA38" i="2"/>
  <c r="AA38" i="3" s="1"/>
  <c r="AM10" i="2"/>
  <c r="AM31" i="2"/>
  <c r="AM31" i="3" s="1"/>
  <c r="AM17" i="2"/>
  <c r="AM17" i="3" s="1"/>
  <c r="AA45" i="2"/>
  <c r="AA45" i="3" s="1"/>
  <c r="AA31" i="2"/>
  <c r="AA31" i="3" s="1"/>
  <c r="AA17" i="2"/>
  <c r="AA17" i="3" s="1"/>
  <c r="AS8" i="2"/>
  <c r="AS15" i="2"/>
  <c r="AG43" i="2"/>
  <c r="AS29" i="2"/>
  <c r="AG8" i="2"/>
  <c r="AG15" i="2"/>
  <c r="AG36" i="2"/>
  <c r="AG29" i="2"/>
  <c r="V8" i="2"/>
  <c r="V15" i="2"/>
  <c r="K15" i="2"/>
  <c r="AO10" i="2" a="1"/>
  <c r="AS10" i="2" a="1"/>
  <c r="AO11" i="2" a="1"/>
  <c r="AS11" i="2" a="1"/>
  <c r="AS10" i="2" l="1"/>
  <c r="AO10" i="2"/>
  <c r="AM10" i="3"/>
  <c r="AS11" i="2"/>
  <c r="AO11" i="2"/>
  <c r="AM11" i="3"/>
  <c r="V22" i="2"/>
  <c r="A21" i="2"/>
  <c r="R12" i="2" a="1"/>
  <c r="V11" i="2" a="1"/>
  <c r="R11" i="2" a="1"/>
  <c r="V12" i="2" a="1"/>
  <c r="AS12" i="2" a="1"/>
  <c r="R18" i="2"/>
  <c r="R25" i="2"/>
  <c r="V25" i="2"/>
  <c r="G26" i="2"/>
  <c r="R46" i="2"/>
  <c r="AS19" i="2" a="1"/>
  <c r="AS38" i="2"/>
  <c r="V26" i="2"/>
  <c r="R33" i="2"/>
  <c r="G25" i="2"/>
  <c r="AS40" i="2"/>
  <c r="AO17" i="2" a="1"/>
  <c r="AO39" i="2"/>
  <c r="V18" i="2"/>
  <c r="R47" i="2"/>
  <c r="R39" i="2"/>
  <c r="AS39" i="2"/>
  <c r="AO40" i="2"/>
  <c r="V19" i="2"/>
  <c r="R26" i="2"/>
  <c r="R32" i="2"/>
  <c r="AO18" i="2" a="1"/>
  <c r="AO38" i="2"/>
  <c r="AS17" i="2" a="1"/>
  <c r="R40" i="2"/>
  <c r="AS18" i="2" a="1"/>
  <c r="R19" i="2"/>
  <c r="AO19" i="2" a="1"/>
  <c r="AO38" i="3" l="1"/>
  <c r="AO39" i="3"/>
  <c r="AO40" i="3"/>
  <c r="AS38" i="3"/>
  <c r="AS39" i="3"/>
  <c r="AS40" i="3"/>
  <c r="R25" i="3"/>
  <c r="R32" i="3"/>
  <c r="R39" i="3"/>
  <c r="G25" i="3"/>
  <c r="R46" i="3"/>
  <c r="R18" i="3"/>
  <c r="R19" i="3"/>
  <c r="R40" i="3"/>
  <c r="R26" i="3"/>
  <c r="R47" i="3"/>
  <c r="R33" i="3"/>
  <c r="G26" i="3"/>
  <c r="V19" i="3"/>
  <c r="V18" i="3"/>
  <c r="V26" i="3"/>
  <c r="V25" i="3"/>
  <c r="AS19" i="2"/>
  <c r="AS19" i="3" s="1"/>
  <c r="AO19" i="2"/>
  <c r="AO19" i="3" s="1"/>
  <c r="AO18" i="2"/>
  <c r="AO18" i="3" s="1"/>
  <c r="AO17" i="2"/>
  <c r="AO17" i="3" s="1"/>
  <c r="AO12" i="3"/>
  <c r="AO11" i="3"/>
  <c r="AO10" i="3"/>
  <c r="R11" i="2"/>
  <c r="R11" i="3" s="1"/>
  <c r="AS12" i="2"/>
  <c r="AS12" i="3" s="1"/>
  <c r="AS11" i="3"/>
  <c r="AS10" i="3"/>
  <c r="V11" i="2"/>
  <c r="V11" i="3" s="1"/>
  <c r="AS18" i="2"/>
  <c r="AS18" i="3" s="1"/>
  <c r="AS17" i="2"/>
  <c r="AS17" i="3" s="1"/>
  <c r="V12" i="2"/>
  <c r="V12" i="3" s="1"/>
  <c r="R12" i="2"/>
  <c r="R12" i="3" s="1"/>
  <c r="K22" i="2"/>
  <c r="V29" i="2"/>
  <c r="V32" i="2"/>
  <c r="V33" i="2"/>
  <c r="K25" i="2"/>
  <c r="K26" i="2"/>
  <c r="V33" i="3" l="1"/>
  <c r="V32" i="3"/>
  <c r="K26" i="3"/>
  <c r="K25" i="3"/>
  <c r="AN19" i="2"/>
  <c r="AN19" i="3" s="1"/>
  <c r="AR19" i="2"/>
  <c r="AR19" i="3" s="1"/>
  <c r="AN12" i="2"/>
  <c r="AN12" i="3" s="1"/>
  <c r="AR12" i="2"/>
  <c r="AR12" i="3" s="1"/>
  <c r="A23" i="2"/>
  <c r="AC19" i="2"/>
  <c r="AG40" i="2"/>
  <c r="AG11" i="2" a="1"/>
  <c r="BA40" i="2"/>
  <c r="BA47" i="2"/>
  <c r="BE46" i="2"/>
  <c r="BM17" i="2"/>
  <c r="BM26" i="2"/>
  <c r="BQ40" i="2"/>
  <c r="BQ46" i="2"/>
  <c r="BQ10" i="2"/>
  <c r="BE19" i="2"/>
  <c r="BE12" i="2"/>
  <c r="AG46" i="2"/>
  <c r="BE25" i="2"/>
  <c r="BM19" i="2"/>
  <c r="BA12" i="2"/>
  <c r="AG47" i="2"/>
  <c r="BM25" i="2"/>
  <c r="BA19" i="2"/>
  <c r="AC17" i="2"/>
  <c r="BM45" i="2"/>
  <c r="BM38" i="2"/>
  <c r="BQ11" i="2"/>
  <c r="AC47" i="2"/>
  <c r="G32" i="2"/>
  <c r="AG39" i="2"/>
  <c r="AG12" i="2" a="1"/>
  <c r="BA39" i="2"/>
  <c r="BE33" i="2"/>
  <c r="BE32" i="2"/>
  <c r="BM24" i="2"/>
  <c r="BM46" i="2"/>
  <c r="BQ17" i="2"/>
  <c r="BQ31" i="2"/>
  <c r="BA10" i="2"/>
  <c r="BA11" i="2"/>
  <c r="BQ24" i="2"/>
  <c r="AC12" i="2" a="1"/>
  <c r="BA38" i="2"/>
  <c r="BQ38" i="2"/>
  <c r="G19" i="2"/>
  <c r="BE40" i="2"/>
  <c r="BQ12" i="2"/>
  <c r="AC18" i="2"/>
  <c r="BA31" i="2"/>
  <c r="BE17" i="2"/>
  <c r="AC45" i="2"/>
  <c r="G18" i="2"/>
  <c r="AG38" i="2"/>
  <c r="AG17" i="2"/>
  <c r="BA25" i="2"/>
  <c r="BE38" i="2"/>
  <c r="BE24" i="2"/>
  <c r="BM40" i="2"/>
  <c r="BM31" i="2"/>
  <c r="BQ18" i="2"/>
  <c r="BQ47" i="2"/>
  <c r="BA17" i="2"/>
  <c r="AG19" i="2"/>
  <c r="BQ33" i="2"/>
  <c r="BE10" i="2"/>
  <c r="AC38" i="2"/>
  <c r="BM33" i="2"/>
  <c r="BQ25" i="2"/>
  <c r="BM11" i="2"/>
  <c r="BA33" i="2"/>
  <c r="BQ39" i="2"/>
  <c r="BE18" i="2"/>
  <c r="BA24" i="2"/>
  <c r="BQ32" i="2"/>
  <c r="AC46" i="2"/>
  <c r="AC40" i="2"/>
  <c r="AG45" i="2"/>
  <c r="AG18" i="2"/>
  <c r="BA45" i="2"/>
  <c r="BE39" i="2"/>
  <c r="BE31" i="2"/>
  <c r="BM32" i="2"/>
  <c r="BM47" i="2"/>
  <c r="BQ19" i="2"/>
  <c r="BM12" i="2"/>
  <c r="BE11" i="2"/>
  <c r="BA18" i="2"/>
  <c r="AC11" i="2" a="1"/>
  <c r="AC39" i="2"/>
  <c r="BA46" i="2"/>
  <c r="BE47" i="2"/>
  <c r="BM10" i="2"/>
  <c r="BA32" i="2"/>
  <c r="BE45" i="2"/>
  <c r="K19" i="2"/>
  <c r="BQ45" i="2"/>
  <c r="BQ26" i="2"/>
  <c r="BM18" i="2"/>
  <c r="G33" i="2"/>
  <c r="BA26" i="2"/>
  <c r="K18" i="2"/>
  <c r="BE26" i="2"/>
  <c r="BM39" i="2"/>
  <c r="BM10" i="3" l="1"/>
  <c r="BA18" i="3"/>
  <c r="BA17" i="3"/>
  <c r="BA11" i="3"/>
  <c r="BE19" i="3"/>
  <c r="BE17" i="3"/>
  <c r="BE18" i="3"/>
  <c r="BM11" i="3"/>
  <c r="BE10" i="3"/>
  <c r="BE11" i="3"/>
  <c r="BE12" i="3"/>
  <c r="BA10" i="3"/>
  <c r="BQ10" i="3"/>
  <c r="BQ11" i="3"/>
  <c r="BQ12" i="3"/>
  <c r="BA19" i="3"/>
  <c r="BA12" i="3"/>
  <c r="BM12" i="3"/>
  <c r="BQ47" i="3"/>
  <c r="BQ31" i="3"/>
  <c r="BQ46" i="3"/>
  <c r="BQ26" i="3"/>
  <c r="BQ45" i="3"/>
  <c r="BQ25" i="3"/>
  <c r="BQ24" i="3"/>
  <c r="BQ19" i="3"/>
  <c r="BQ18" i="3"/>
  <c r="BQ17" i="3"/>
  <c r="BQ40" i="3"/>
  <c r="BQ32" i="3"/>
  <c r="BQ39" i="3"/>
  <c r="BQ38" i="3"/>
  <c r="BQ33" i="3"/>
  <c r="BM47" i="3"/>
  <c r="BM31" i="3"/>
  <c r="BM46" i="3"/>
  <c r="BM26" i="3"/>
  <c r="BM38" i="3"/>
  <c r="BM45" i="3"/>
  <c r="BM25" i="3"/>
  <c r="BM19" i="3"/>
  <c r="BM32" i="3"/>
  <c r="BM40" i="3"/>
  <c r="BM24" i="3"/>
  <c r="BM17" i="3"/>
  <c r="BM39" i="3"/>
  <c r="BM18" i="3"/>
  <c r="BM33" i="3"/>
  <c r="BE47" i="3"/>
  <c r="BE31" i="3"/>
  <c r="BE24" i="3"/>
  <c r="BE32" i="3"/>
  <c r="BE46" i="3"/>
  <c r="BE26" i="3"/>
  <c r="BE40" i="3"/>
  <c r="BE45" i="3"/>
  <c r="BE25" i="3"/>
  <c r="BE39" i="3"/>
  <c r="BE38" i="3"/>
  <c r="BE33" i="3"/>
  <c r="BA47" i="3"/>
  <c r="BA31" i="3"/>
  <c r="BA26" i="3"/>
  <c r="BA38" i="3"/>
  <c r="BA46" i="3"/>
  <c r="BA45" i="3"/>
  <c r="BA25" i="3"/>
  <c r="BA39" i="3"/>
  <c r="BA40" i="3"/>
  <c r="BA24" i="3"/>
  <c r="BA33" i="3"/>
  <c r="BA32" i="3"/>
  <c r="AG19" i="3"/>
  <c r="AG18" i="3"/>
  <c r="AG17" i="3"/>
  <c r="K18" i="3"/>
  <c r="K19" i="3"/>
  <c r="AG47" i="3"/>
  <c r="AG46" i="3"/>
  <c r="AG45" i="3"/>
  <c r="AG38" i="3"/>
  <c r="AG39" i="3"/>
  <c r="AG40" i="3"/>
  <c r="G33" i="3"/>
  <c r="G19" i="3"/>
  <c r="AC38" i="3"/>
  <c r="AC39" i="3"/>
  <c r="AC40" i="3"/>
  <c r="G18" i="3"/>
  <c r="G32" i="3"/>
  <c r="AC19" i="3"/>
  <c r="AC18" i="3"/>
  <c r="AC17" i="3"/>
  <c r="AC46" i="3"/>
  <c r="AC45" i="3"/>
  <c r="AC47" i="3"/>
  <c r="BL12" i="2"/>
  <c r="BL12" i="3" s="1"/>
  <c r="AZ19" i="2"/>
  <c r="AZ19" i="3" s="1"/>
  <c r="BD19" i="2"/>
  <c r="BD19" i="3" s="1"/>
  <c r="BP12" i="2"/>
  <c r="BP12" i="3" s="1"/>
  <c r="AZ12" i="2"/>
  <c r="AZ12" i="3" s="1"/>
  <c r="AO31" i="2"/>
  <c r="AO32" i="2"/>
  <c r="BD12" i="2"/>
  <c r="BD12" i="3" s="1"/>
  <c r="AS31" i="2"/>
  <c r="AS31" i="3" s="1"/>
  <c r="AS32" i="2"/>
  <c r="AS33" i="2"/>
  <c r="AO33" i="2"/>
  <c r="AF19" i="2"/>
  <c r="AF19" i="3" s="1"/>
  <c r="AG12" i="2"/>
  <c r="AG12" i="3" s="1"/>
  <c r="AG11" i="2"/>
  <c r="AS46" i="2" s="1"/>
  <c r="AF47" i="2"/>
  <c r="AF47" i="3" s="1"/>
  <c r="AF40" i="2"/>
  <c r="AF40" i="3" s="1"/>
  <c r="AB40" i="2"/>
  <c r="AB40" i="3" s="1"/>
  <c r="AB19" i="2"/>
  <c r="AB19" i="3" s="1"/>
  <c r="AC12" i="2"/>
  <c r="AC12" i="3" s="1"/>
  <c r="AC11" i="2"/>
  <c r="AO46" i="2" s="1"/>
  <c r="AB47" i="2"/>
  <c r="AB47" i="3" s="1"/>
  <c r="AO47" i="2" l="1"/>
  <c r="AO47" i="3" s="1"/>
  <c r="AS47" i="2"/>
  <c r="AS47" i="3" s="1"/>
  <c r="AS46" i="3"/>
  <c r="AG11" i="3"/>
  <c r="AC32" i="2"/>
  <c r="AC32" i="3" s="1"/>
  <c r="AO32" i="3"/>
  <c r="AC31" i="2"/>
  <c r="AC31" i="3" s="1"/>
  <c r="AO31" i="3"/>
  <c r="AO46" i="3"/>
  <c r="AC11" i="3"/>
  <c r="AG33" i="2"/>
  <c r="AG33" i="3" s="1"/>
  <c r="AS33" i="3"/>
  <c r="AC33" i="2"/>
  <c r="AC33" i="3" s="1"/>
  <c r="AO33" i="3"/>
  <c r="AG32" i="2"/>
  <c r="AG32" i="3" s="1"/>
  <c r="AS32" i="3"/>
  <c r="AN33" i="2"/>
  <c r="AN33" i="3" s="1"/>
  <c r="AG31" i="2"/>
  <c r="AR33" i="2"/>
  <c r="AR33" i="3" s="1"/>
  <c r="AB33" i="2" l="1"/>
  <c r="AB33" i="3" s="1"/>
  <c r="AF33" i="2"/>
  <c r="AF33" i="3" s="1"/>
  <c r="AG31" i="3"/>
  <c r="K29" i="2"/>
  <c r="V36" i="2"/>
  <c r="V39" i="2"/>
  <c r="V40" i="2"/>
  <c r="K33" i="2"/>
  <c r="K32" i="2"/>
  <c r="V39" i="3" l="1"/>
  <c r="V40" i="3"/>
  <c r="K32" i="3"/>
  <c r="K33" i="3"/>
  <c r="V43" i="2"/>
  <c r="V47" i="2"/>
  <c r="V46" i="2"/>
  <c r="V46" i="3" l="1"/>
  <c r="V47" i="3"/>
  <c r="P45" i="2" l="1"/>
  <c r="P45" i="3" s="1"/>
  <c r="V45" i="2"/>
  <c r="R45" i="2"/>
  <c r="R45" i="3" l="1"/>
  <c r="V45" i="3"/>
  <c r="U47" i="2"/>
  <c r="U47" i="3" s="1"/>
  <c r="Q47" i="2"/>
  <c r="Q47" i="3" s="1"/>
  <c r="P38" i="2"/>
  <c r="P38" i="3" s="1"/>
  <c r="V38" i="2"/>
  <c r="R38" i="2"/>
  <c r="R38" i="3" l="1"/>
  <c r="V38" i="3"/>
  <c r="U40" i="2"/>
  <c r="U40" i="3" s="1"/>
  <c r="Q40" i="2"/>
  <c r="Q40" i="3" s="1"/>
  <c r="E31" i="2"/>
  <c r="E31" i="3" s="1"/>
  <c r="K31" i="2"/>
  <c r="G31" i="2"/>
  <c r="G31" i="3" l="1"/>
  <c r="K31" i="3"/>
  <c r="J33" i="2"/>
  <c r="J33" i="3" s="1"/>
  <c r="F33" i="2"/>
  <c r="F33" i="3" s="1"/>
  <c r="P31" i="2"/>
  <c r="P31" i="3" s="1"/>
  <c r="V31" i="2"/>
  <c r="R31" i="2"/>
  <c r="R31" i="3" l="1"/>
  <c r="V31" i="3"/>
  <c r="Q33" i="2"/>
  <c r="Q33" i="3" s="1"/>
  <c r="U33" i="2"/>
  <c r="U33" i="3" s="1"/>
  <c r="E17" i="2"/>
  <c r="E17" i="3" s="1"/>
  <c r="K17" i="2"/>
  <c r="G17" i="2"/>
  <c r="G17" i="3" l="1"/>
  <c r="K17" i="3"/>
  <c r="J19" i="2"/>
  <c r="J19" i="3" s="1"/>
  <c r="F19" i="2"/>
  <c r="F19" i="3" s="1"/>
  <c r="E24" i="2"/>
  <c r="E24" i="3" s="1"/>
  <c r="K24" i="2"/>
  <c r="G24" i="2"/>
  <c r="G24" i="3" l="1"/>
  <c r="K24" i="3"/>
  <c r="J26" i="2"/>
  <c r="J26" i="3" s="1"/>
  <c r="F26" i="2"/>
  <c r="F26" i="3" s="1"/>
  <c r="P10" i="2"/>
  <c r="P10" i="3" s="1"/>
  <c r="V10" i="2" a="1"/>
  <c r="R10" i="2" a="1"/>
  <c r="R10" i="2" l="1"/>
  <c r="V10" i="2"/>
  <c r="V10" i="3" s="1"/>
  <c r="Q12" i="2" l="1"/>
  <c r="Q12" i="3" s="1"/>
  <c r="R10" i="3"/>
  <c r="U12" i="2"/>
  <c r="U12" i="3" s="1"/>
  <c r="P17" i="2"/>
  <c r="P17" i="3" s="1"/>
  <c r="V17" i="2"/>
  <c r="R17" i="2"/>
  <c r="R17" i="3" l="1"/>
  <c r="V17" i="3"/>
  <c r="U19" i="2"/>
  <c r="U19" i="3" s="1"/>
  <c r="Q19" i="2"/>
  <c r="Q19" i="3" s="1"/>
  <c r="P24" i="2"/>
  <c r="P24" i="3" s="1"/>
  <c r="V24" i="2"/>
  <c r="R24" i="2"/>
  <c r="R24" i="3" l="1"/>
  <c r="V24" i="3"/>
  <c r="U26" i="2"/>
  <c r="U26" i="3" s="1"/>
  <c r="Q26" i="2"/>
  <c r="Q26" i="3" s="1"/>
  <c r="AA10" i="2"/>
  <c r="AA10" i="3" s="1"/>
  <c r="AG10" i="2" a="1"/>
  <c r="AC10" i="2" a="1"/>
  <c r="AC10" i="2" l="1"/>
  <c r="AO45" i="2" s="1"/>
  <c r="AG10" i="2"/>
  <c r="AS45" i="2" s="1"/>
  <c r="AG10" i="3" l="1"/>
  <c r="AC10" i="3"/>
  <c r="AF12" i="2"/>
  <c r="AF12" i="3" s="1"/>
  <c r="AB12" i="2"/>
  <c r="AB12" i="3" s="1"/>
  <c r="AN47" i="2" l="1"/>
  <c r="AN47" i="3" s="1"/>
  <c r="AO45" i="3"/>
  <c r="AR47" i="2"/>
  <c r="AR47" i="3" s="1"/>
  <c r="AS4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<sst xmlns="http://schemas.openxmlformats.org/spreadsheetml/2006/main" count="169" uniqueCount="60">
  <si>
    <t>Value</t>
  </si>
  <si>
    <t>DFS.200.KPIs</t>
  </si>
  <si>
    <t>Total Value</t>
  </si>
  <si>
    <t>RF</t>
  </si>
  <si>
    <t>-</t>
  </si>
  <si>
    <t>Year</t>
  </si>
  <si>
    <t>+</t>
  </si>
  <si>
    <t>Fin. Results (M)</t>
  </si>
  <si>
    <t>Accounts_ICF</t>
  </si>
  <si>
    <t>Net Profit</t>
  </si>
  <si>
    <t>Income Tax (M)</t>
  </si>
  <si>
    <t>Accounts_PNL</t>
  </si>
  <si>
    <t>Produto</t>
  </si>
  <si>
    <t>WK Capital (M)</t>
  </si>
  <si>
    <t>FCF (M)</t>
  </si>
  <si>
    <t>Region</t>
  </si>
  <si>
    <t>Capex (M)</t>
  </si>
  <si>
    <t>Currency</t>
  </si>
  <si>
    <t>PRODCE010 - Cement</t>
  </si>
  <si>
    <t>l500</t>
  </si>
  <si>
    <t>Versão</t>
  </si>
  <si>
    <t>Net Profit (M)</t>
  </si>
  <si>
    <t>Mês</t>
  </si>
  <si>
    <t>EBITDA (M)</t>
  </si>
  <si>
    <t>Ano</t>
  </si>
  <si>
    <t>Net Debt (M)</t>
  </si>
  <si>
    <t>CONS_VC:REV.100.Revenue_Consolidated</t>
  </si>
  <si>
    <t>CONS_VC:DFS.180.Gross_Debt</t>
  </si>
  <si>
    <t>CONS_VC:DFS.140.Indirect_Cash_Flow</t>
  </si>
  <si>
    <t>CONS_VC:DFS.100.Profit_and_loss</t>
  </si>
  <si>
    <t>CONS_VC:DFS.200.KPIs</t>
  </si>
  <si>
    <t>Cubo</t>
  </si>
  <si>
    <t>Cash Generation Before Financing</t>
  </si>
  <si>
    <t>Net Rev. (M)</t>
  </si>
  <si>
    <t>Métrica</t>
  </si>
  <si>
    <t>EBITDA Oth. BUs. (M)</t>
  </si>
  <si>
    <t>Cem. Cash Cost</t>
  </si>
  <si>
    <t>YTD 12</t>
  </si>
  <si>
    <t>L300</t>
  </si>
  <si>
    <t>Fixed Cost (M)</t>
  </si>
  <si>
    <t>FC+SG&amp;A/Net Sales (%)</t>
  </si>
  <si>
    <t>Cement Volume</t>
  </si>
  <si>
    <t>Total Market</t>
  </si>
  <si>
    <t>Cement Net</t>
  </si>
  <si>
    <t>CO2 Gross (kg/ton)</t>
  </si>
  <si>
    <t>CO2 Net (kg/ton)</t>
  </si>
  <si>
    <t>Power Price (LMU/MWh)</t>
  </si>
  <si>
    <t>Power Cons. (kWh/t)</t>
  </si>
  <si>
    <t>Clinker Factor (%)</t>
  </si>
  <si>
    <t>Cement Var. Costs (LMU/t)</t>
  </si>
  <si>
    <t>Fuel (LMU/t)</t>
  </si>
  <si>
    <t>Power (LMU/t)</t>
  </si>
  <si>
    <t>Thermal C. (kcal/t kk)</t>
  </si>
  <si>
    <t>Thermal Sub. (%)</t>
  </si>
  <si>
    <t>Raw Material (LMU/t)</t>
  </si>
  <si>
    <t>Other Variable (LMU/t)</t>
  </si>
  <si>
    <t>Cement Fix. Costs (LMU/t)</t>
  </si>
  <si>
    <t>Petcoke Price (LMU/t)</t>
  </si>
  <si>
    <t>% ROIC</t>
  </si>
  <si>
    <t xml:space="preserve">Cement: Comparison between Actual/RF and L300/PY (YTD &amp; FY)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</si>
</sst>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#,##0_-;\-#,##0_-;_-&quot;-&quot;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.5"/>
      <name val="Calibri"/>
      <family val="2"/>
    </font>
    <font>
      <sz val="11"/>
      <color theme="1"/>
      <name val="Wingdings"/>
      <charset val="2"/>
    </font>
    <font>
      <u/>
      <sz val="11"/>
      <color theme="1"/>
      <name val="Aptos Narrow"/>
      <family val="2"/>
      <scheme val="minor"/>
    </font>
    <font>
      <b/>
      <sz val="18"/>
      <color rgb="FF0000CC"/>
      <name val="Votorantim sans"/>
    </font>
    <font>
      <b/>
      <sz val="11"/>
      <color theme="1" tint="0.34998626667073579"/>
      <name val="Votorantim sans"/>
    </font>
    <font>
      <sz val="8"/>
      <color theme="1"/>
      <name val="Votorantim Sans"/>
    </font>
    <font>
      <sz val="8"/>
      <name val="Votorantim Sans"/>
    </font>
    <font>
      <b/>
      <sz val="8"/>
      <name val="Votorantim Sans"/>
    </font>
    <font>
      <sz val="8"/>
      <color indexed="8"/>
      <name val="Votorantim Sans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37" fontId="3" fillId="0" borderId="0" xfId="0" applyNumberFormat="1" applyFont="1" applyAlignment="1">
      <alignment vertical="center"/>
    </xf>
    <xf numFmtId="0" fontId="0" fillId="0" borderId="2" xfId="0" applyBorder="1"/>
    <xf numFmtId="0" fontId="0" fillId="0" borderId="3" xfId="0" applyBorder="1"/>
    <xf numFmtId="37" fontId="4" fillId="0" borderId="0" xfId="0" applyNumberFormat="1" applyFont="1"/>
    <xf numFmtId="37" fontId="2" fillId="0" borderId="0" xfId="0" applyNumberFormat="1" applyFont="1" applyAlignment="1">
      <alignment vertical="center"/>
    </xf>
    <xf numFmtId="0" fontId="6" fillId="0" borderId="0" xfId="0" applyFont="1"/>
    <xf numFmtId="37" fontId="0" fillId="0" borderId="0" xfId="0" applyNumberFormat="1"/>
    <xf numFmtId="0" fontId="0" fillId="0" borderId="6" xfId="0" applyBorder="1"/>
    <xf numFmtId="9" fontId="0" fillId="4" borderId="0" xfId="1" applyFont="1" applyFill="1" applyBorder="1"/>
    <xf numFmtId="0" fontId="0" fillId="5" borderId="0" xfId="0" applyFill="1"/>
    <xf numFmtId="0" fontId="0" fillId="5" borderId="13" xfId="0" applyFill="1" applyBorder="1"/>
    <xf numFmtId="0" fontId="7" fillId="5" borderId="13" xfId="0" applyFont="1" applyFill="1" applyBorder="1"/>
    <xf numFmtId="0" fontId="8" fillId="5" borderId="13" xfId="0" applyFont="1" applyFill="1" applyBorder="1"/>
    <xf numFmtId="0" fontId="0" fillId="5" borderId="14" xfId="0" applyFill="1" applyBorder="1"/>
    <xf numFmtId="0" fontId="5" fillId="5" borderId="14" xfId="0" applyFont="1" applyFill="1" applyBorder="1"/>
    <xf numFmtId="37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1" fillId="0" borderId="8" xfId="0" applyNumberFormat="1" applyFont="1" applyBorder="1" applyAlignment="1">
      <alignment vertical="center"/>
    </xf>
    <xf numFmtId="164" fontId="11" fillId="0" borderId="7" xfId="0" applyNumberFormat="1" applyFont="1" applyBorder="1"/>
    <xf numFmtId="164" fontId="12" fillId="0" borderId="7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center"/>
    </xf>
    <xf numFmtId="164" fontId="12" fillId="0" borderId="5" xfId="0" applyNumberFormat="1" applyFont="1" applyBorder="1"/>
    <xf numFmtId="164" fontId="11" fillId="0" borderId="3" xfId="0" applyNumberFormat="1" applyFont="1" applyBorder="1"/>
    <xf numFmtId="164" fontId="11" fillId="0" borderId="2" xfId="0" applyNumberFormat="1" applyFont="1" applyBorder="1"/>
    <xf numFmtId="164" fontId="12" fillId="0" borderId="7" xfId="0" applyNumberFormat="1" applyFont="1" applyBorder="1"/>
    <xf numFmtId="164" fontId="13" fillId="0" borderId="5" xfId="0" applyNumberFormat="1" applyFont="1" applyBorder="1"/>
    <xf numFmtId="164" fontId="11" fillId="0" borderId="5" xfId="0" applyNumberFormat="1" applyFont="1" applyBorder="1"/>
    <xf numFmtId="164" fontId="14" fillId="0" borderId="16" xfId="0" applyNumberFormat="1" applyFont="1" applyBorder="1" applyAlignment="1">
      <alignment vertical="center"/>
    </xf>
    <xf numFmtId="164" fontId="14" fillId="0" borderId="17" xfId="0" applyNumberFormat="1" applyFont="1" applyBorder="1"/>
    <xf numFmtId="164" fontId="12" fillId="0" borderId="19" xfId="0" applyNumberFormat="1" applyFont="1" applyBorder="1"/>
    <xf numFmtId="164" fontId="14" fillId="0" borderId="21" xfId="0" applyNumberFormat="1" applyFont="1" applyBorder="1"/>
    <xf numFmtId="164" fontId="14" fillId="0" borderId="22" xfId="0" applyNumberFormat="1" applyFont="1" applyBorder="1"/>
    <xf numFmtId="164" fontId="12" fillId="0" borderId="8" xfId="0" applyNumberFormat="1" applyFont="1" applyBorder="1"/>
    <xf numFmtId="164" fontId="12" fillId="0" borderId="3" xfId="0" applyNumberFormat="1" applyFont="1" applyBorder="1"/>
    <xf numFmtId="37" fontId="4" fillId="0" borderId="1" xfId="0" applyNumberFormat="1" applyFont="1" applyBorder="1"/>
    <xf numFmtId="0" fontId="0" fillId="0" borderId="1" xfId="0" applyBorder="1"/>
    <xf numFmtId="0" fontId="0" fillId="0" borderId="24" xfId="0" applyBorder="1"/>
    <xf numFmtId="37" fontId="4" fillId="0" borderId="4" xfId="0" applyNumberFormat="1" applyFont="1" applyBorder="1"/>
    <xf numFmtId="37" fontId="4" fillId="0" borderId="12" xfId="0" applyNumberFormat="1" applyFont="1" applyBorder="1"/>
    <xf numFmtId="0" fontId="0" fillId="0" borderId="4" xfId="0" applyBorder="1"/>
    <xf numFmtId="0" fontId="0" fillId="0" borderId="12" xfId="0" applyBorder="1"/>
    <xf numFmtId="0" fontId="4" fillId="5" borderId="14" xfId="0" applyFont="1" applyFill="1" applyBorder="1"/>
    <xf numFmtId="9" fontId="12" fillId="0" borderId="22" xfId="1" applyFont="1" applyFill="1" applyBorder="1" applyAlignment="1" applyProtection="1">
      <alignment horizontal="center"/>
    </xf>
    <xf numFmtId="9" fontId="12" fillId="0" borderId="23" xfId="1" applyFont="1" applyFill="1" applyBorder="1" applyAlignment="1" applyProtection="1">
      <alignment horizontal="center"/>
    </xf>
    <xf numFmtId="0" fontId="9" fillId="0" borderId="0" xfId="0" applyFont="1" applyAlignment="1">
      <alignment horizontal="left" vertical="center"/>
    </xf>
    <xf numFmtId="164" fontId="12" fillId="0" borderId="2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9" fontId="12" fillId="0" borderId="2" xfId="1" applyFont="1" applyBorder="1" applyAlignment="1">
      <alignment horizontal="center"/>
    </xf>
    <xf numFmtId="9" fontId="12" fillId="0" borderId="1" xfId="1" applyFont="1" applyBorder="1" applyAlignment="1">
      <alignment horizontal="center"/>
    </xf>
    <xf numFmtId="164" fontId="12" fillId="0" borderId="22" xfId="0" applyNumberFormat="1" applyFont="1" applyBorder="1" applyAlignment="1">
      <alignment horizontal="center"/>
    </xf>
    <xf numFmtId="164" fontId="12" fillId="0" borderId="23" xfId="0" applyNumberFormat="1" applyFont="1" applyBorder="1" applyAlignment="1">
      <alignment horizontal="center"/>
    </xf>
    <xf numFmtId="164" fontId="12" fillId="2" borderId="0" xfId="0" applyNumberFormat="1" applyFont="1" applyFill="1" applyAlignment="1">
      <alignment horizontal="center"/>
    </xf>
    <xf numFmtId="164" fontId="12" fillId="2" borderId="2" xfId="0" applyNumberFormat="1" applyFont="1" applyFill="1" applyBorder="1" applyAlignment="1">
      <alignment horizontal="center"/>
    </xf>
    <xf numFmtId="9" fontId="12" fillId="3" borderId="20" xfId="1" applyFont="1" applyFill="1" applyBorder="1" applyAlignment="1" applyProtection="1">
      <alignment horizontal="center"/>
    </xf>
    <xf numFmtId="9" fontId="12" fillId="3" borderId="4" xfId="1" applyFont="1" applyFill="1" applyBorder="1" applyAlignment="1" applyProtection="1">
      <alignment horizontal="center"/>
    </xf>
    <xf numFmtId="164" fontId="12" fillId="0" borderId="24" xfId="0" applyNumberFormat="1" applyFont="1" applyBorder="1" applyAlignment="1">
      <alignment horizontal="center"/>
    </xf>
    <xf numFmtId="9" fontId="12" fillId="0" borderId="2" xfId="1" applyFont="1" applyFill="1" applyBorder="1" applyAlignment="1" applyProtection="1">
      <alignment horizontal="center"/>
    </xf>
    <xf numFmtId="9" fontId="12" fillId="0" borderId="24" xfId="1" applyFont="1" applyFill="1" applyBorder="1" applyAlignment="1" applyProtection="1">
      <alignment horizontal="center"/>
    </xf>
    <xf numFmtId="9" fontId="12" fillId="0" borderId="1" xfId="1" applyFont="1" applyFill="1" applyBorder="1" applyAlignment="1" applyProtection="1">
      <alignment horizontal="center"/>
    </xf>
    <xf numFmtId="164" fontId="12" fillId="0" borderId="17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164" fontId="12" fillId="0" borderId="11" xfId="0" applyNumberFormat="1" applyFont="1" applyBorder="1" applyAlignment="1">
      <alignment horizontal="center"/>
    </xf>
    <xf numFmtId="164" fontId="12" fillId="0" borderId="10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4" fontId="13" fillId="0" borderId="25" xfId="0" applyNumberFormat="1" applyFont="1" applyBorder="1" applyAlignment="1">
      <alignment horizontal="center"/>
    </xf>
    <xf numFmtId="164" fontId="13" fillId="0" borderId="26" xfId="0" applyNumberFormat="1" applyFont="1" applyBorder="1" applyAlignment="1">
      <alignment horizontal="center"/>
    </xf>
    <xf numFmtId="164" fontId="12" fillId="2" borderId="5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2" fillId="3" borderId="4" xfId="0" applyNumberFormat="1" applyFont="1" applyFill="1" applyBorder="1" applyAlignment="1">
      <alignment horizontal="center"/>
    </xf>
    <xf numFmtId="9" fontId="12" fillId="3" borderId="0" xfId="1" applyFont="1" applyFill="1" applyBorder="1" applyAlignment="1">
      <alignment horizontal="center"/>
    </xf>
    <xf numFmtId="9" fontId="12" fillId="3" borderId="4" xfId="1" applyFont="1" applyFill="1" applyBorder="1" applyAlignment="1">
      <alignment horizontal="center"/>
    </xf>
    <xf numFmtId="164" fontId="12" fillId="3" borderId="20" xfId="0" applyNumberFormat="1" applyFont="1" applyFill="1" applyBorder="1" applyAlignment="1">
      <alignment horizontal="center"/>
    </xf>
    <xf numFmtId="9" fontId="12" fillId="3" borderId="0" xfId="1" applyFont="1" applyFill="1" applyBorder="1" applyAlignment="1" applyProtection="1">
      <alignment horizontal="center"/>
    </xf>
    <xf numFmtId="164" fontId="12" fillId="0" borderId="7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/>
    </xf>
    <xf numFmtId="9" fontId="12" fillId="0" borderId="0" xfId="1" applyFont="1" applyFill="1" applyBorder="1" applyAlignment="1" applyProtection="1">
      <alignment horizontal="center"/>
    </xf>
    <xf numFmtId="9" fontId="12" fillId="0" borderId="20" xfId="1" applyFont="1" applyFill="1" applyBorder="1" applyAlignment="1" applyProtection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20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9" fontId="12" fillId="0" borderId="0" xfId="1" applyFont="1" applyBorder="1" applyAlignment="1">
      <alignment horizontal="center"/>
    </xf>
    <xf numFmtId="9" fontId="12" fillId="0" borderId="4" xfId="1" applyFont="1" applyBorder="1" applyAlignment="1">
      <alignment horizontal="center"/>
    </xf>
  </cellXfs>
  <cellStyles count="2">
    <cellStyle name="Normal" xfId="0" builtinId="0" customBuiltin="1"/>
    <cellStyle name="Porcentagem" xfId="1" builtinId="5"/>
  </cellStyles>
  <dxfs count="90"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00CC"/>
      <color rgb="FF141CC2"/>
      <color rgb="FF2E0FC7"/>
      <color rgb="FF0711CF"/>
      <color rgb="FF0623D0"/>
      <color rgb="FF0824CE"/>
      <color rgb="FF0D1FC9"/>
      <color rgb="FF1108CE"/>
      <color rgb="FF000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63</xdr:col>
      <xdr:colOff>120263</xdr:colOff>
      <xdr:row>0</xdr:row>
      <xdr:rowOff>110987</xdr:rowOff>
    </xdr:from>
    <xdr:ext cx="2425941" cy="550333"/>
    <xdr:pic>
      <xdr:nvPicPr>
        <xdr:cNvPr id="5" name="Gráfico 13">
          <a:extLst>
            <a:ext uri="{FF2B5EF4-FFF2-40B4-BE49-F238E27FC236}">
              <a16:creationId xmlns:a16="http://schemas.microsoft.com/office/drawing/2014/main" id="{3BF3B0ED-50CA-4AB7-9B91-1CE115742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49123" y="110987"/>
          <a:ext cx="2425941" cy="550333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37</xdr:row>
      <xdr:rowOff>0</xdr:rowOff>
    </xdr:from>
    <xdr:to>
      <xdr:col>12</xdr:col>
      <xdr:colOff>15565</xdr:colOff>
      <xdr:row>44</xdr:row>
      <xdr:rowOff>129600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DC243C8-AF1E-4CA7-988B-67E7290EB4A3}"/>
            </a:ext>
          </a:extLst>
        </xdr:cNvPr>
        <xdr:cNvSpPr/>
      </xdr:nvSpPr>
      <xdr:spPr>
        <a:xfrm>
          <a:off x="160020" y="5059680"/>
          <a:ext cx="1722445" cy="104400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oneCellAnchor>
    <xdr:from>
      <xdr:col>1</xdr:col>
      <xdr:colOff>115765</xdr:colOff>
      <xdr:row>37</xdr:row>
      <xdr:rowOff>83318</xdr:rowOff>
    </xdr:from>
    <xdr:ext cx="1128082" cy="450000"/>
    <xdr:pic>
      <xdr:nvPicPr>
        <xdr:cNvPr id="8" name="Imagem 7">
          <a:extLst>
            <a:ext uri="{FF2B5EF4-FFF2-40B4-BE49-F238E27FC236}">
              <a16:creationId xmlns:a16="http://schemas.microsoft.com/office/drawing/2014/main" id="{6629C7ED-BFD1-4EAE-AD87-A7705A0CFF98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785" y="5142998"/>
          <a:ext cx="1128082" cy="450000"/>
        </a:xfrm>
        <a:prstGeom prst="rect">
          <a:avLst/>
        </a:prstGeom>
      </xdr:spPr>
    </xdr:pic>
    <xdr:clientData/>
  </xdr:oneCellAnchor>
  <xdr:oneCellAnchor>
    <xdr:from>
      <xdr:col>1</xdr:col>
      <xdr:colOff>95886</xdr:colOff>
      <xdr:row>41</xdr:row>
      <xdr:rowOff>75307</xdr:rowOff>
    </xdr:from>
    <xdr:ext cx="1512000" cy="432000"/>
    <xdr:pic>
      <xdr:nvPicPr>
        <xdr:cNvPr id="9" name="Imagem 8">
          <a:extLst>
            <a:ext uri="{FF2B5EF4-FFF2-40B4-BE49-F238E27FC236}">
              <a16:creationId xmlns:a16="http://schemas.microsoft.com/office/drawing/2014/main" id="{7D27E83D-D9AF-4BC9-BFC5-2340EAFC1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906" y="5683627"/>
          <a:ext cx="1512000" cy="43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15C0-9369-46A7-9B71-602D1CD875DE}">
  <sheetPr codeName="Planilha1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658D-4974-4D1A-A719-212EEFAFC6C7}">
  <sheetPr codeName="Planilha2"/>
  <dimension ref="A2:BS74"/>
  <sheetViews>
    <sheetView showGridLines="0" zoomScale="85" zoomScaleNormal="85" workbookViewId="0">
      <selection activeCell="AO17" sqref="AO17:AQ17"/>
    </sheetView>
  </sheetViews>
  <sheetFormatPr defaultRowHeight="14.4"/>
  <cols>
    <col min="1" max="1" width="34.33203125" customWidth="1"/>
    <col min="2" max="2" width="8.5546875" customWidth="1"/>
    <col min="3" max="3" width="4.33203125" customWidth="1"/>
    <col min="4" max="4" width="2.21875" customWidth="1"/>
    <col min="5" max="5" width="6.5546875" customWidth="1"/>
    <col min="6" max="6" width="2.77734375" customWidth="1"/>
    <col min="7" max="8" width="2.21875" customWidth="1"/>
    <col min="9" max="9" width="3.44140625" customWidth="1"/>
    <col min="10" max="12" width="2.21875" customWidth="1"/>
    <col min="13" max="13" width="3.77734375" customWidth="1"/>
    <col min="14" max="15" width="2.21875" customWidth="1"/>
    <col min="16" max="16" width="3.6640625" customWidth="1"/>
    <col min="17" max="18" width="2.21875" customWidth="1"/>
    <col min="19" max="19" width="3.5546875" customWidth="1"/>
    <col min="20" max="26" width="2.21875" customWidth="1"/>
    <col min="27" max="27" width="4.44140625" customWidth="1"/>
    <col min="28" max="29" width="2.21875" customWidth="1"/>
    <col min="30" max="30" width="2.77734375" customWidth="1"/>
    <col min="31" max="33" width="2.21875" customWidth="1"/>
    <col min="34" max="34" width="4.5546875" customWidth="1"/>
    <col min="35" max="45" width="2.21875" customWidth="1"/>
    <col min="46" max="46" width="5.21875" customWidth="1"/>
    <col min="47" max="47" width="4.44140625" customWidth="1"/>
    <col min="48" max="50" width="3" customWidth="1"/>
    <col min="51" max="78" width="2.21875" customWidth="1"/>
    <col min="79" max="79" width="3.88671875" customWidth="1"/>
    <col min="80" max="86" width="3.44140625" customWidth="1"/>
    <col min="87" max="87" width="2.88671875" customWidth="1"/>
    <col min="88" max="89" width="4.109375" customWidth="1"/>
    <col min="90" max="93" width="2.88671875" customWidth="1"/>
    <col min="94" max="95" width="1.6640625" customWidth="1"/>
    <col min="96" max="105" width="2.21875" customWidth="1"/>
    <col min="106" max="115" width="4.21875" customWidth="1"/>
  </cols>
  <sheetData>
    <row r="2" spans="1:71">
      <c r="A2" s="1" t="s">
        <v>31</v>
      </c>
    </row>
    <row r="3" spans="1:71">
      <c r="A3" s="7" t="s">
        <v>30</v>
      </c>
    </row>
    <row r="4" spans="1:71">
      <c r="A4" s="7" t="s">
        <v>29</v>
      </c>
      <c r="C4" s="10">
        <f>3%</f>
        <v>0.03</v>
      </c>
    </row>
    <row r="5" spans="1:71">
      <c r="A5" t="s">
        <v>28</v>
      </c>
    </row>
    <row r="6" spans="1:71">
      <c r="A6" t="s">
        <v>27</v>
      </c>
    </row>
    <row r="7" spans="1:71">
      <c r="A7" t="s">
        <v>26</v>
      </c>
      <c r="E7" s="8"/>
      <c r="F7" s="5"/>
      <c r="G7" s="5"/>
      <c r="H7" s="5"/>
      <c r="I7" s="5"/>
      <c r="J7" s="5"/>
      <c r="K7" s="5"/>
      <c r="L7" s="5"/>
      <c r="M7" s="5"/>
      <c r="N7" s="5"/>
      <c r="O7" s="5"/>
      <c r="Y7" s="5"/>
      <c r="Z7" s="5"/>
    </row>
    <row r="8" spans="1:71">
      <c r="B8" t="s">
        <v>4</v>
      </c>
      <c r="N8" s="5"/>
      <c r="O8" s="5"/>
      <c r="P8" s="19" t="s">
        <v>6</v>
      </c>
      <c r="Q8" s="20"/>
      <c r="R8" s="79" t="e">
        <f>$A$13</f>
        <v>#N/A</v>
      </c>
      <c r="S8" s="79"/>
      <c r="T8" s="79"/>
      <c r="U8" s="20"/>
      <c r="V8" s="79" t="str">
        <f>$A$12</f>
        <v>Year</v>
      </c>
      <c r="W8" s="79"/>
      <c r="X8" s="80"/>
      <c r="Y8" s="5"/>
      <c r="Z8" s="5"/>
      <c r="AA8" s="19" t="s">
        <v>6</v>
      </c>
      <c r="AB8" s="20"/>
      <c r="AC8" s="79" t="e">
        <f>$A$13</f>
        <v>#N/A</v>
      </c>
      <c r="AD8" s="79"/>
      <c r="AE8" s="79"/>
      <c r="AF8" s="20"/>
      <c r="AG8" s="79" t="str">
        <f>$A$12</f>
        <v>Year</v>
      </c>
      <c r="AH8" s="79"/>
      <c r="AI8" s="80"/>
      <c r="AM8" s="19" t="s">
        <v>6</v>
      </c>
      <c r="AN8" s="20"/>
      <c r="AO8" s="79" t="e">
        <f>$A$13</f>
        <v>#N/A</v>
      </c>
      <c r="AP8" s="79"/>
      <c r="AQ8" s="79"/>
      <c r="AR8" s="20"/>
      <c r="AS8" s="79" t="str">
        <f>$A$12</f>
        <v>Year</v>
      </c>
      <c r="AT8" s="79"/>
      <c r="AU8" s="80"/>
      <c r="AY8" s="19" t="s">
        <v>6</v>
      </c>
      <c r="AZ8" s="20"/>
      <c r="BA8" s="79" t="e">
        <f>$A$13</f>
        <v>#N/A</v>
      </c>
      <c r="BB8" s="79"/>
      <c r="BC8" s="79"/>
      <c r="BD8" s="20"/>
      <c r="BE8" s="79" t="str">
        <f>$A$12</f>
        <v>Year</v>
      </c>
      <c r="BF8" s="79"/>
      <c r="BG8" s="80"/>
      <c r="BK8" s="19" t="s">
        <v>6</v>
      </c>
      <c r="BL8" s="20"/>
      <c r="BM8" s="79" t="e">
        <f>$A$13</f>
        <v>#N/A</v>
      </c>
      <c r="BN8" s="79"/>
      <c r="BO8" s="79"/>
      <c r="BP8" s="20"/>
      <c r="BQ8" s="79" t="str">
        <f>$A$12</f>
        <v>Year</v>
      </c>
      <c r="BR8" s="79"/>
      <c r="BS8" s="80"/>
    </row>
    <row r="9" spans="1:71">
      <c r="A9" s="1" t="s">
        <v>24</v>
      </c>
      <c r="N9" s="5"/>
      <c r="O9" s="5"/>
      <c r="P9" s="23"/>
      <c r="Q9" s="89" t="s">
        <v>25</v>
      </c>
      <c r="R9" s="89"/>
      <c r="S9" s="89"/>
      <c r="T9" s="89"/>
      <c r="U9" s="89"/>
      <c r="V9" s="89"/>
      <c r="W9" s="89"/>
      <c r="X9" s="90"/>
      <c r="Y9" s="5"/>
      <c r="Z9" s="5"/>
      <c r="AA9" s="23"/>
      <c r="AB9" s="89" t="s">
        <v>33</v>
      </c>
      <c r="AC9" s="89"/>
      <c r="AD9" s="89"/>
      <c r="AE9" s="89"/>
      <c r="AF9" s="89"/>
      <c r="AG9" s="89"/>
      <c r="AH9" s="89"/>
      <c r="AI9" s="90"/>
      <c r="AM9" s="23"/>
      <c r="AN9" s="89" t="s">
        <v>41</v>
      </c>
      <c r="AO9" s="89"/>
      <c r="AP9" s="89"/>
      <c r="AQ9" s="89"/>
      <c r="AR9" s="89"/>
      <c r="AS9" s="89"/>
      <c r="AT9" s="89"/>
      <c r="AU9" s="90"/>
      <c r="AY9" s="23"/>
      <c r="AZ9" s="89" t="s">
        <v>50</v>
      </c>
      <c r="BA9" s="89"/>
      <c r="BB9" s="89"/>
      <c r="BC9" s="89"/>
      <c r="BD9" s="89"/>
      <c r="BE9" s="89"/>
      <c r="BF9" s="89"/>
      <c r="BG9" s="90"/>
      <c r="BK9" s="23"/>
      <c r="BL9" s="89" t="s">
        <v>53</v>
      </c>
      <c r="BM9" s="89"/>
      <c r="BN9" s="89"/>
      <c r="BO9" s="89"/>
      <c r="BP9" s="89"/>
      <c r="BQ9" s="89"/>
      <c r="BR9" s="89"/>
      <c r="BS9" s="90"/>
    </row>
    <row r="10" spans="1:71">
      <c r="A10" s="1" t="e">
        <f>'Value Tree 2'!$J$6</f>
        <v>#N/A</v>
      </c>
      <c r="N10" s="5"/>
      <c r="O10" s="5"/>
      <c r="P10" s="23" t="e">
        <f>$A$16</f>
        <v>#N/A</v>
      </c>
      <c r="Q10" s="53"/>
      <c r="R10" s="73" t="e" cm="1">
        <f t="array" ref="R10">_xll.DBRW($A$6,$A$10,R8,P10,$A$19,$A$21,"Closing Balance Debt",$A$30)</f>
        <v>#VALUE!</v>
      </c>
      <c r="S10" s="73"/>
      <c r="T10" s="73"/>
      <c r="U10" s="53"/>
      <c r="V10" s="73" t="e" cm="1">
        <f t="array" ref="V10">_xll.DBRW($A$6,$A$10,V8,P10,$A$19,$A$21,"Closing Balance Debt",$A$30)</f>
        <v>#VALUE!</v>
      </c>
      <c r="W10" s="73"/>
      <c r="X10" s="74"/>
      <c r="AA10" s="23" t="e">
        <f>$A$16</f>
        <v>#N/A</v>
      </c>
      <c r="AB10" s="53"/>
      <c r="AC10" s="73" t="e" cm="1">
        <f t="array" ref="AC10">_xll.DBRW($A$4,$A$10,AC8,AA10,$A$19,$A$21,$A$23,"Net Revenue",$A$30)</f>
        <v>#VALUE!</v>
      </c>
      <c r="AD10" s="73"/>
      <c r="AE10" s="73"/>
      <c r="AF10" s="53"/>
      <c r="AG10" s="73" t="e" cm="1">
        <f t="array" ref="AG10">_xll.DBRW($A$4,$A$10,AG8,AA10,$A$19,$A$21,$A$23,"Net Revenue",$A$30)</f>
        <v>#VALUE!</v>
      </c>
      <c r="AH10" s="73"/>
      <c r="AI10" s="74"/>
      <c r="AM10" s="23" t="e">
        <f>$A$16</f>
        <v>#N/A</v>
      </c>
      <c r="AN10" s="53"/>
      <c r="AO10" s="73" t="e" cm="1">
        <f t="array" ref="AO10">_xll.DBRW($A$3,$A$10,AO8,AM10,$A$19,$A$21,$A$31,"Volume",$A$29)</f>
        <v>#VALUE!</v>
      </c>
      <c r="AP10" s="73"/>
      <c r="AQ10" s="73"/>
      <c r="AR10" s="53"/>
      <c r="AS10" s="73" t="e" cm="1">
        <f t="array" ref="AS10">_xll.DBRW($A$3,$A$10,AS8,AM10,$A$19,$A$21,$A$31,"Volume",$A$29)</f>
        <v>#VALUE!</v>
      </c>
      <c r="AT10" s="73"/>
      <c r="AU10" s="74"/>
      <c r="AY10" s="23" t="e">
        <f>$A$16</f>
        <v>#N/A</v>
      </c>
      <c r="AZ10" s="53"/>
      <c r="BA10" s="73" t="e">
        <f>_xll.DBRW($A$3,$A$10,$BA8,$AY10,$A$19,$A$21,$A$23,$AZ9,$A$29)</f>
        <v>#VALUE!</v>
      </c>
      <c r="BB10" s="73"/>
      <c r="BC10" s="73"/>
      <c r="BD10" s="53"/>
      <c r="BE10" s="73" t="e">
        <f>_xll.DBRW($A$3,$A$10,$BE8,$AY10,$A$19,$A$21,$A$23,$AZ9,$A$29)</f>
        <v>#VALUE!</v>
      </c>
      <c r="BF10" s="73"/>
      <c r="BG10" s="74"/>
      <c r="BK10" s="23" t="e">
        <f>$A$16</f>
        <v>#N/A</v>
      </c>
      <c r="BL10" s="53"/>
      <c r="BM10" s="73" t="e">
        <f>_xll.DBRW($A$3,$A$10,$BM8,$BK10,$A$19,$A$21,$A$23,$BL9,$A$29)</f>
        <v>#VALUE!</v>
      </c>
      <c r="BN10" s="73"/>
      <c r="BO10" s="73"/>
      <c r="BP10" s="53"/>
      <c r="BQ10" s="73" t="e">
        <f>_xll.DBRW($A$3,$A$10,$BQ8,$BK10,$A$19,$A$21,$A$23,$BL9,$A$29)</f>
        <v>#VALUE!</v>
      </c>
      <c r="BR10" s="73"/>
      <c r="BS10" s="74"/>
    </row>
    <row r="11" spans="1:71">
      <c r="A11" s="1" t="s">
        <v>22</v>
      </c>
      <c r="D11" s="5"/>
      <c r="N11" s="5"/>
      <c r="O11" s="5"/>
      <c r="P11" s="23" t="e">
        <f>$A$17</f>
        <v>#N/A</v>
      </c>
      <c r="Q11" s="53"/>
      <c r="R11" s="87" t="e" cm="1">
        <f t="array" ref="R11">_xll.DBRW($A$6,$A$10,R8,P11,$A$19,$A$21,"Closing Balance Debt",$A$30)</f>
        <v>#VALUE!</v>
      </c>
      <c r="S11" s="87"/>
      <c r="T11" s="87"/>
      <c r="U11" s="53"/>
      <c r="V11" s="87" t="e" cm="1">
        <f t="array" ref="V11">_xll.DBRW($A$6,$A$10,V8,P11,$A$19,$A$21,"Closing Balance Debt",$A$30)</f>
        <v>#VALUE!</v>
      </c>
      <c r="W11" s="87"/>
      <c r="X11" s="91"/>
      <c r="Y11" s="5"/>
      <c r="Z11" s="5"/>
      <c r="AA11" s="23" t="e">
        <f>$A$17</f>
        <v>#N/A</v>
      </c>
      <c r="AB11" s="53"/>
      <c r="AC11" s="87" t="e" cm="1">
        <f t="array" ref="AC11">_xll.DBRW($A$4,$A$10,AC8,AA11,$A$19,$A$21,$A$23,"Net Revenue",$A$30)</f>
        <v>#VALUE!</v>
      </c>
      <c r="AD11" s="87"/>
      <c r="AE11" s="87"/>
      <c r="AF11" s="53"/>
      <c r="AG11" s="87" t="e" cm="1">
        <f t="array" ref="AG11">_xll.DBRW($A$4,$A$10,AG8,AA11,$A$19,$A$21,$A$23,"Net Revenue",$A$30)</f>
        <v>#VALUE!</v>
      </c>
      <c r="AH11" s="87"/>
      <c r="AI11" s="91"/>
      <c r="AM11" s="23" t="e">
        <f>$A$17</f>
        <v>#N/A</v>
      </c>
      <c r="AN11" s="53"/>
      <c r="AO11" s="87" t="e" cm="1">
        <f t="array" ref="AO11">_xll.DBRW($A$3,$A$10,AO8,AM11,$A$19,$A$21,$A$31,"Volume",$A$29)</f>
        <v>#VALUE!</v>
      </c>
      <c r="AP11" s="87"/>
      <c r="AQ11" s="87"/>
      <c r="AR11" s="53"/>
      <c r="AS11" s="87" t="e" cm="1">
        <f t="array" ref="AS11">_xll.DBRW($A$3,$A$10,AS8,AM11,$A$19,$A$21,$A$31,"Volume",$A$29)</f>
        <v>#VALUE!</v>
      </c>
      <c r="AT11" s="87"/>
      <c r="AU11" s="91"/>
      <c r="AY11" s="23" t="e">
        <f>$A$17</f>
        <v>#N/A</v>
      </c>
      <c r="AZ11" s="53"/>
      <c r="BA11" s="87" t="e">
        <f>_xll.DBRW($A$3,$A$10,$BA8,$AY11,$A$19,$A$21,$A$23,$AZ9,$A$29)</f>
        <v>#VALUE!</v>
      </c>
      <c r="BB11" s="87"/>
      <c r="BC11" s="87"/>
      <c r="BD11" s="53"/>
      <c r="BE11" s="87" t="e">
        <f>_xll.DBRW($A$3,$A$10,$BE8,$AY11,$A$19,$A$21,$A$23,$AZ9,$A$29)</f>
        <v>#VALUE!</v>
      </c>
      <c r="BF11" s="87"/>
      <c r="BG11" s="91"/>
      <c r="BK11" s="23" t="e">
        <f>$A$17</f>
        <v>#N/A</v>
      </c>
      <c r="BL11" s="53"/>
      <c r="BM11" s="87" t="e">
        <f>_xll.DBRW($A$3,$A$10,$BM8,$BK11,$A$19,$A$21,$A$23,$BL9,$A$29)</f>
        <v>#VALUE!</v>
      </c>
      <c r="BN11" s="87"/>
      <c r="BO11" s="87"/>
      <c r="BP11" s="53"/>
      <c r="BQ11" s="87" t="e">
        <f>_xll.DBRW($A$3,$A$10,$BQ8,$BK11,$A$19,$A$21,$A$23,$BL9,$A$29)</f>
        <v>#VALUE!</v>
      </c>
      <c r="BR11" s="87"/>
      <c r="BS11" s="91"/>
    </row>
    <row r="12" spans="1:71">
      <c r="A12" t="str">
        <f>_xll.SUBNM("CONS_VC:ALL.D.Month",,"Year","MEMBER_NAME")</f>
        <v>Year</v>
      </c>
      <c r="N12" s="5"/>
      <c r="O12" s="5"/>
      <c r="P12" s="24" t="str">
        <f>$A$15</f>
        <v>l500</v>
      </c>
      <c r="Q12" s="25" t="e">
        <f>IF(P8="+",IF(R10&gt;R12*(1+IF(R12&gt;0,$C$4,-$C$4)),1,IF(R10&gt;=R11*(1+IF(R11&gt;0,-$C$4,$C$4)),0,-1)),IF(P8="-",IF(R10&lt;R12*(1+IF(R12&gt;0,-$C$4,$C$4)),1,IF(R10&lt;=R11*(1+IF(R11&gt;0,$C$4,-$C$4)),0,-1))))</f>
        <v>#VALUE!</v>
      </c>
      <c r="R12" s="47" t="e" cm="1">
        <f t="array" ref="R12">_xll.DBRW($A$6,'Value Tree 2'!$J$6,R8,P12,$A$19,$A$21,"Closing Balance Debt",$A$30)</f>
        <v>#VALUE!</v>
      </c>
      <c r="S12" s="47"/>
      <c r="T12" s="47"/>
      <c r="U12" s="25" t="e">
        <f>IF(P8="+",IF(V10&gt;V12*(1+IF(V12&gt;0,$C$4,-$C$4)),1,IF(V10&gt;=V11*(1+IF(V11&gt;0,-$C$4,$C$4)),0,-1)),IF(P8="-",IF(V10&lt;V12*(1+IF(V12&gt;0,-$C$4,$C$4)),1,IF(V10&lt;=V11*(1+IF(V11&gt;0,$C$4,-$C$4)),0,-1))))</f>
        <v>#VALUE!</v>
      </c>
      <c r="V12" s="47" t="e" cm="1">
        <f t="array" ref="V12">_xll.DBRW($A$6,'Value Tree 2'!$J$6,V8,P12,$A$19,$A$21,"Closing Balance Debt",$A$30)</f>
        <v>#VALUE!</v>
      </c>
      <c r="W12" s="47"/>
      <c r="X12" s="48"/>
      <c r="Y12" s="5"/>
      <c r="Z12" s="5"/>
      <c r="AA12" s="24" t="str">
        <f>$A$15</f>
        <v>l500</v>
      </c>
      <c r="AB12" s="25" t="e">
        <f>IF(AA8="+",IF(AC10&gt;AC12*(1+IF(AC12&gt;0,$C$4,-$C$4)),1,IF(AC10&gt;=AC11*(1+IF(AC11&gt;0,-$C$4,$C$4)),0,-1)),IF(AA8="-",IF(AC10&lt;AC12*(1+IF(AC12&gt;0,-$C$4,$C$4)),1,IF(AC10&lt;=AC11*(1+IF(AC11&gt;0,$C$4,-$C$4)),0,-1))))</f>
        <v>#VALUE!</v>
      </c>
      <c r="AC12" s="47" t="e" cm="1">
        <f t="array" ref="AC12">_xll.DBRW($A$4,$A$10,AC8,AA12,$A$19,$A$21,$A$23,"Net Revenue",$A$30)</f>
        <v>#VALUE!</v>
      </c>
      <c r="AD12" s="47"/>
      <c r="AE12" s="47"/>
      <c r="AF12" s="25" t="e">
        <f>IF(AA8="+",IF(AG10&gt;AG12*(1+IF(AG12&gt;0,$C$4,-$C$4)),1,IF(AG10&gt;=AG11*(1+IF(AG11&gt;0,-$C$4,$C$4)),0,-1)),IF(AA8="-",IF(AG10&lt;AG12*(1+IF(AG12&gt;0,-$C$4,$C$4)),1,IF(AG10&lt;=AG11*(1+IF(AG11&gt;0,$C$4,-$C$4)),0,-1))))</f>
        <v>#VALUE!</v>
      </c>
      <c r="AG12" s="47" t="e" cm="1">
        <f t="array" ref="AG12">_xll.DBRW($A$4,$A$10,AG8,AA12,$A$19,$A$21,$A$23,"Net Revenue",$A$30)</f>
        <v>#VALUE!</v>
      </c>
      <c r="AH12" s="47"/>
      <c r="AI12" s="48"/>
      <c r="AM12" s="24" t="str">
        <f>$A$15</f>
        <v>l500</v>
      </c>
      <c r="AN12" s="25" t="e">
        <f>IF(AM8="+",IF(AO10&gt;AO12*(1+IF(AO12&gt;0,$C$4,-$C$4)),1,IF(AO10&gt;=AO11*(1+IF(AO11&gt;0,-$C$4,$C$4)),0,-1)),IF(AM8="-",IF(AO10&lt;AO12*(1+IF(AO12&gt;0,-$C$4,$C$4)),1,IF(AO10&lt;=AO11*(1+IF(AO11&gt;0,$C$4,-$C$4)),0,-1))))</f>
        <v>#VALUE!</v>
      </c>
      <c r="AO12" s="47" t="e" cm="1">
        <f t="array" ref="AO12">_xll.DBRW($A$3,$A$10,AO8,AM12,$A$19,$A$21,$A$31,"Volume",$A$29)</f>
        <v>#VALUE!</v>
      </c>
      <c r="AP12" s="47"/>
      <c r="AQ12" s="47"/>
      <c r="AR12" s="25" t="e">
        <f>IF(AM8="+",IF(AS10&gt;AS12*(1+IF(AS12&gt;0,$C$4,-$C$4)),1,IF(AS10&gt;=AS11*(1+IF(AS11&gt;0,-$C$4,$C$4)),0,-1)),IF(AM8="-",IF(AS10&lt;AS12*(1+IF(AS12&gt;0,-$C$4,$C$4)),1,IF(AS10&lt;=AS11*(1+IF(AS11&gt;0,$C$4,-$C$4)),0,-1))))</f>
        <v>#VALUE!</v>
      </c>
      <c r="AS12" s="47" t="e" cm="1">
        <f t="array" ref="AS12">_xll.DBRW($A$7,$A$10,AS8,AM12,$A$19,$A$21,$A$31,$A$32,"Sales Volume [kt]")</f>
        <v>#VALUE!</v>
      </c>
      <c r="AT12" s="47"/>
      <c r="AU12" s="48"/>
      <c r="AY12" s="24" t="str">
        <f>$A$15</f>
        <v>l500</v>
      </c>
      <c r="AZ12" s="25" t="e">
        <f>IF(AY8="+",IF(BA10&gt;BA12*(1+IF(BA12&gt;0,$C$4,-$C$4)),1,IF(BA10&gt;=BA11*(1+IF(BA11&gt;0,-$C$4,$C$4)),0,-1)),IF(AY8="-",IF(BA10&lt;BA12*(1+IF(BA12&gt;0,-$C$4,$C$4)),1,IF(BA10&lt;=BA11*(1+IF(BA11&gt;0,$C$4,-$C$4)),0,-1))))</f>
        <v>#VALUE!</v>
      </c>
      <c r="BA12" s="47" t="e">
        <f>_xll.DBRW($A$3,$A$10,$BA8,$AY12,$A$19,$A$21,$A$23,$AZ9,$A$29)</f>
        <v>#VALUE!</v>
      </c>
      <c r="BB12" s="47"/>
      <c r="BC12" s="47"/>
      <c r="BD12" s="25" t="e">
        <f>IF(AY8="+",IF(BE10&gt;BE12*(1+IF(BE12&gt;0,$C$4,-$C$4)),1,IF(BE10&gt;=BE11*(1+IF(BE11&gt;0,-$C$4,$C$4)),0,-1)),IF(AY8="-",IF(BE10&lt;BE12*(1+IF(BE12&gt;0,-$C$4,$C$4)),1,IF(BE10&lt;=BE11*(1+IF(BE11&gt;0,$C$4,-$C$4)),0,-1))))</f>
        <v>#VALUE!</v>
      </c>
      <c r="BE12" s="47" t="e">
        <f>_xll.DBRW($A$3,$A$10,$BE8,$AY12,$A$19,$A$21,$A$23,$AZ9,$A$29)</f>
        <v>#VALUE!</v>
      </c>
      <c r="BF12" s="47"/>
      <c r="BG12" s="48"/>
      <c r="BK12" s="24" t="str">
        <f>$A$15</f>
        <v>l500</v>
      </c>
      <c r="BL12" s="25" t="e">
        <f>IF(BK8="+",IF(BM10&gt;BM12*(1+IF(BM12&gt;0,$C$4,-$C$4)),1,IF(BM10&gt;=BM11*(1+IF(BM11&gt;0,-$C$4,$C$4)),0,-1)),IF(BK8="-",IF(BM10&lt;BM12*(1+IF(BM12&gt;0,-$C$4,$C$4)),1,IF(BM10&lt;=BM11*(1+IF(BM11&gt;0,$C$4,-$C$4)),0,-1))))</f>
        <v>#VALUE!</v>
      </c>
      <c r="BM12" s="47" t="e">
        <f>_xll.DBRW($A$3,$A$10,$BM8,$BK12,$A$19,$A$21,$A$23,$BL9,$A$29)</f>
        <v>#VALUE!</v>
      </c>
      <c r="BN12" s="47"/>
      <c r="BO12" s="47"/>
      <c r="BP12" s="25" t="e">
        <f>IF(BK8="+",IF(BQ10&gt;BQ12*(1+IF(BQ12&gt;0,$C$4,-$C$4)),1,IF(BQ10&gt;=BQ11*(1+IF(BQ11&gt;0,-$C$4,$C$4)),0,-1)),IF(BK8="-",IF(BQ10&lt;BQ12*(1+IF(BQ12&gt;0,-$C$4,$C$4)),1,IF(BQ10&lt;=BQ11*(1+IF(BQ11&gt;0,$C$4,-$C$4)),0,-1))))</f>
        <v>#VALUE!</v>
      </c>
      <c r="BQ12" s="47" t="e">
        <f>_xll.DBRW($A$3,$A$10,$BQ8,$BK12,$A$19,$A$21,$A$23,$BL9,$A$29)</f>
        <v>#VALUE!</v>
      </c>
      <c r="BR12" s="47"/>
      <c r="BS12" s="48"/>
    </row>
    <row r="13" spans="1:71">
      <c r="A13" t="e">
        <f>'Value Tree 2'!$D$6</f>
        <v>#N/A</v>
      </c>
      <c r="N13" s="5"/>
      <c r="O13" s="5"/>
      <c r="Y13" s="5"/>
      <c r="Z13" s="5"/>
    </row>
    <row r="14" spans="1:71" ht="13.8" customHeight="1">
      <c r="A14" s="1" t="s">
        <v>20</v>
      </c>
      <c r="N14" s="5"/>
      <c r="O14" s="5"/>
      <c r="Y14" s="5"/>
      <c r="Z14" s="5"/>
    </row>
    <row r="15" spans="1:71">
      <c r="A15" t="s">
        <v>19</v>
      </c>
      <c r="E15" s="19" t="s">
        <v>6</v>
      </c>
      <c r="F15" s="26"/>
      <c r="G15" s="79" t="e">
        <f>$A$13</f>
        <v>#N/A</v>
      </c>
      <c r="H15" s="79"/>
      <c r="I15" s="79"/>
      <c r="J15" s="26"/>
      <c r="K15" s="79" t="str">
        <f>$A$12</f>
        <v>Year</v>
      </c>
      <c r="L15" s="79"/>
      <c r="M15" s="80"/>
      <c r="N15" s="5"/>
      <c r="O15" s="5"/>
      <c r="P15" s="19" t="s">
        <v>6</v>
      </c>
      <c r="Q15" s="26"/>
      <c r="R15" s="79" t="e">
        <f>$A$13</f>
        <v>#N/A</v>
      </c>
      <c r="S15" s="79"/>
      <c r="T15" s="79"/>
      <c r="U15" s="26"/>
      <c r="V15" s="79" t="str">
        <f>$A$12</f>
        <v>Year</v>
      </c>
      <c r="W15" s="79"/>
      <c r="X15" s="80"/>
      <c r="Y15" s="5"/>
      <c r="Z15" s="5"/>
      <c r="AA15" s="19" t="s">
        <v>6</v>
      </c>
      <c r="AB15" s="20"/>
      <c r="AC15" s="79" t="e">
        <f>$A$13</f>
        <v>#N/A</v>
      </c>
      <c r="AD15" s="79"/>
      <c r="AE15" s="79"/>
      <c r="AF15" s="20"/>
      <c r="AG15" s="79" t="str">
        <f>$A$12</f>
        <v>Year</v>
      </c>
      <c r="AH15" s="79"/>
      <c r="AI15" s="80"/>
      <c r="AM15" s="19" t="s">
        <v>6</v>
      </c>
      <c r="AN15" s="20"/>
      <c r="AO15" s="79" t="e">
        <f>$A$13</f>
        <v>#N/A</v>
      </c>
      <c r="AP15" s="79"/>
      <c r="AQ15" s="79"/>
      <c r="AR15" s="20"/>
      <c r="AS15" s="79" t="str">
        <f>$A$12</f>
        <v>Year</v>
      </c>
      <c r="AT15" s="79"/>
      <c r="AU15" s="80"/>
      <c r="AY15" s="19" t="s">
        <v>6</v>
      </c>
      <c r="AZ15" s="20"/>
      <c r="BA15" s="79" t="e">
        <f>$A$13</f>
        <v>#N/A</v>
      </c>
      <c r="BB15" s="79"/>
      <c r="BC15" s="79"/>
      <c r="BD15" s="20"/>
      <c r="BE15" s="79" t="str">
        <f>$A$12</f>
        <v>Year</v>
      </c>
      <c r="BF15" s="79"/>
      <c r="BG15" s="80"/>
      <c r="BK15" s="29" t="s">
        <v>6</v>
      </c>
      <c r="BL15" s="30"/>
      <c r="BM15" s="61" t="s">
        <v>37</v>
      </c>
      <c r="BN15" s="61"/>
      <c r="BO15" s="61"/>
      <c r="BP15" s="30"/>
      <c r="BQ15" s="61" t="s">
        <v>5</v>
      </c>
      <c r="BR15" s="61"/>
      <c r="BS15" s="62"/>
    </row>
    <row r="16" spans="1:71">
      <c r="A16" t="e">
        <f>'Value Tree 2'!$D$4</f>
        <v>#N/A</v>
      </c>
      <c r="E16" s="28"/>
      <c r="F16" s="89" t="s">
        <v>21</v>
      </c>
      <c r="G16" s="89"/>
      <c r="H16" s="89"/>
      <c r="I16" s="89"/>
      <c r="J16" s="89"/>
      <c r="K16" s="89"/>
      <c r="L16" s="89"/>
      <c r="M16" s="90"/>
      <c r="N16" s="5"/>
      <c r="O16" s="5"/>
      <c r="P16" s="23"/>
      <c r="Q16" s="89" t="s">
        <v>23</v>
      </c>
      <c r="R16" s="89"/>
      <c r="S16" s="89"/>
      <c r="T16" s="89"/>
      <c r="U16" s="89"/>
      <c r="V16" s="89"/>
      <c r="W16" s="89"/>
      <c r="X16" s="90"/>
      <c r="Y16" s="5"/>
      <c r="Z16" s="5"/>
      <c r="AA16" s="23"/>
      <c r="AB16" s="89" t="s">
        <v>35</v>
      </c>
      <c r="AC16" s="89"/>
      <c r="AD16" s="89"/>
      <c r="AE16" s="89"/>
      <c r="AF16" s="89"/>
      <c r="AG16" s="89"/>
      <c r="AH16" s="89"/>
      <c r="AI16" s="90"/>
      <c r="AM16" s="23"/>
      <c r="AN16" s="89" t="s">
        <v>43</v>
      </c>
      <c r="AO16" s="89"/>
      <c r="AP16" s="89"/>
      <c r="AQ16" s="89"/>
      <c r="AR16" s="89"/>
      <c r="AS16" s="89"/>
      <c r="AT16" s="89"/>
      <c r="AU16" s="90"/>
      <c r="AY16" s="23"/>
      <c r="AZ16" s="84" t="s">
        <v>44</v>
      </c>
      <c r="BA16" s="84"/>
      <c r="BB16" s="84"/>
      <c r="BC16" s="84"/>
      <c r="BD16" s="84"/>
      <c r="BE16" s="84"/>
      <c r="BF16" s="84"/>
      <c r="BG16" s="84"/>
      <c r="BK16" s="31"/>
      <c r="BL16" s="84" t="s">
        <v>52</v>
      </c>
      <c r="BM16" s="84"/>
      <c r="BN16" s="84"/>
      <c r="BO16" s="84"/>
      <c r="BP16" s="84"/>
      <c r="BQ16" s="84"/>
      <c r="BR16" s="84"/>
      <c r="BS16" s="84"/>
    </row>
    <row r="17" spans="1:71" ht="13.8" customHeight="1">
      <c r="A17" t="e">
        <f>'Value Tree 2'!$J$4</f>
        <v>#N/A</v>
      </c>
      <c r="E17" s="28" t="e">
        <f>$A$16</f>
        <v>#N/A</v>
      </c>
      <c r="F17" s="53"/>
      <c r="G17" s="73" t="e">
        <f>_xll.DBRW(A4,$A$10,G15,E17,A19,A21,A23,A25,A29)</f>
        <v>#VALUE!</v>
      </c>
      <c r="H17" s="73"/>
      <c r="I17" s="73"/>
      <c r="J17" s="53"/>
      <c r="K17" s="73" t="e">
        <f>_xll.DBRW(A4,$A$10,K15,E17,A19,A21,A23,A25,A29)</f>
        <v>#VALUE!</v>
      </c>
      <c r="L17" s="73"/>
      <c r="M17" s="74"/>
      <c r="N17" s="5"/>
      <c r="O17" s="5"/>
      <c r="P17" s="23" t="e">
        <f>$A$16</f>
        <v>#N/A</v>
      </c>
      <c r="Q17" s="53"/>
      <c r="R17" s="73" t="e">
        <f>_xll.DBRW(A3,$A$10,R15,P17,A19,A21,"Total Products","EBITDA LTM","Value")</f>
        <v>#VALUE!</v>
      </c>
      <c r="S17" s="73"/>
      <c r="T17" s="73"/>
      <c r="U17" s="53"/>
      <c r="V17" s="73" t="e">
        <f>_xll.DBRW(A3,$A$10,V15,P17,A19,A21,"Total Products","EBITDA LTM","Value")</f>
        <v>#VALUE!</v>
      </c>
      <c r="W17" s="73"/>
      <c r="X17" s="74"/>
      <c r="Y17" s="5"/>
      <c r="Z17" s="5"/>
      <c r="AA17" s="23" t="e">
        <f>$A$16</f>
        <v>#N/A</v>
      </c>
      <c r="AB17" s="53"/>
      <c r="AC17" s="73" t="e">
        <f>_xll.DBRW($A$3,$A$10,AC15,AA17,$A$19,$A$21,$A$23,"EBITDA LTM",$A$29)-_xll.DBRW($A$3,$A$10,AC15,AA17,$A$19,$A$21,$A$31,"EBITDA LTM",$A$29)</f>
        <v>#VALUE!</v>
      </c>
      <c r="AD17" s="73"/>
      <c r="AE17" s="73"/>
      <c r="AF17" s="53"/>
      <c r="AG17" s="73" t="e">
        <f>_xll.DBRW($A$3,$A$10,AG15,AA17,$A$19,$A$21,$A$23,"EBITDA LTM",$A$29)-_xll.DBRW($A$3,$A$10,AG15,AA17,$A$19,$A$21,$A$31,"EBITDA LTM",$A$29)</f>
        <v>#VALUE!</v>
      </c>
      <c r="AH17" s="73"/>
      <c r="AI17" s="74"/>
      <c r="AM17" s="23" t="e">
        <f>$A$16</f>
        <v>#N/A</v>
      </c>
      <c r="AN17" s="53"/>
      <c r="AO17" s="73" t="e" cm="1">
        <f t="array" ref="AO17">_xll.DBRW($A$7,$A$10,AO15,AM17,$A$19,$A$21,$A$31,$A$32,"Net Revenue [$MM]")</f>
        <v>#VALUE!</v>
      </c>
      <c r="AP17" s="73"/>
      <c r="AQ17" s="73"/>
      <c r="AR17" s="53"/>
      <c r="AS17" s="73" t="e" cm="1">
        <f t="array" ref="AS17">_xll.DBRW($A$7,$A$10,AS15,AM17,$A$19,$A$21,$A$31,$A$32,"Net Revenue [$MM]")</f>
        <v>#VALUE!</v>
      </c>
      <c r="AT17" s="73"/>
      <c r="AU17" s="74"/>
      <c r="AY17" s="23" t="e">
        <f>$A$16</f>
        <v>#N/A</v>
      </c>
      <c r="AZ17" s="53"/>
      <c r="BA17" s="73" t="e">
        <f>_xll.DBRW($A$3,$A$10,$BA15,$AY17,$A$19,$A$21,$A$23,$AZ16,$A$29)</f>
        <v>#VALUE!</v>
      </c>
      <c r="BB17" s="73"/>
      <c r="BC17" s="73"/>
      <c r="BD17" s="53"/>
      <c r="BE17" s="73" t="e">
        <f>_xll.DBRW($A$3,$A$10,$BE15,$AY17,$A$19,$A$21,$A$23,$AZ16,$A$29)</f>
        <v>#VALUE!</v>
      </c>
      <c r="BF17" s="73"/>
      <c r="BG17" s="74"/>
      <c r="BK17" s="31" t="s">
        <v>3</v>
      </c>
      <c r="BL17" s="53"/>
      <c r="BM17" s="73" t="e">
        <f>_xll.DBRW($A$3,$A$10,$BM15,$BK17,$A$19,$A$21,$A$23,$BL16,$A$29)</f>
        <v>#VALUE!</v>
      </c>
      <c r="BN17" s="73"/>
      <c r="BO17" s="73"/>
      <c r="BP17" s="53"/>
      <c r="BQ17" s="77" t="e">
        <f>_xll.DBRW($A$3,$A$10,$BQ15,$BK17,$A$19,$A$21,$A$23,$BL16,$A$29)</f>
        <v>#VALUE!</v>
      </c>
      <c r="BR17" s="77"/>
      <c r="BS17" s="77"/>
    </row>
    <row r="18" spans="1:71" ht="13.8" customHeight="1">
      <c r="A18" s="1" t="s">
        <v>17</v>
      </c>
      <c r="E18" s="28" t="e">
        <f>$A$17</f>
        <v>#N/A</v>
      </c>
      <c r="F18" s="53"/>
      <c r="G18" s="87" t="e">
        <f>_xll.DBRW(A4,$A$10,G15,E18,A19,A21,A23,A25,A29)</f>
        <v>#VALUE!</v>
      </c>
      <c r="H18" s="87"/>
      <c r="I18" s="87"/>
      <c r="J18" s="53"/>
      <c r="K18" s="87" t="e">
        <f>_xll.DBRW(A4,$A$10,K15,E18,A19,A21,A23,A25,A29)</f>
        <v>#VALUE!</v>
      </c>
      <c r="L18" s="87"/>
      <c r="M18" s="91"/>
      <c r="N18" s="5"/>
      <c r="O18" s="5"/>
      <c r="P18" s="23" t="e">
        <f>$A$17</f>
        <v>#N/A</v>
      </c>
      <c r="Q18" s="53"/>
      <c r="R18" s="87" t="e">
        <f>_xll.DBRW(A3,$A$10,R15,P18,A19,A21,"Total Products","EBITDA LTM","Value")</f>
        <v>#VALUE!</v>
      </c>
      <c r="S18" s="87"/>
      <c r="T18" s="87"/>
      <c r="U18" s="53"/>
      <c r="V18" s="87" t="e">
        <f>_xll.DBRW(A3,$A$10,V15,P18,A19,A21,"Total Products","EBITDA LTM","Value")</f>
        <v>#VALUE!</v>
      </c>
      <c r="W18" s="87"/>
      <c r="X18" s="91"/>
      <c r="Y18" s="5"/>
      <c r="Z18" s="5"/>
      <c r="AA18" s="23" t="e">
        <f>$A$17</f>
        <v>#N/A</v>
      </c>
      <c r="AB18" s="53"/>
      <c r="AC18" s="87" t="e">
        <f>_xll.DBRW($A$3,$A$10,AC15,AA18,$A$19,$A$21,$A$23,"EBITDA LTM",$A$29)-_xll.DBRW($A$3,$A$10,AC15,AA18,$A$19,$A$21,$A$31,"EBITDA LTM",$A$29)</f>
        <v>#VALUE!</v>
      </c>
      <c r="AD18" s="87"/>
      <c r="AE18" s="87"/>
      <c r="AF18" s="53"/>
      <c r="AG18" s="87" t="e">
        <f>_xll.DBRW($A$3,$A$10,AG15,AA18,$A$19,$A$21,$A$23,"EBITDA LTM",$A$29)-_xll.DBRW($A$3,$A$10,AG15,AA18,$A$19,$A$21,$A$31,"EBITDA LTM",$A$29)</f>
        <v>#VALUE!</v>
      </c>
      <c r="AH18" s="87"/>
      <c r="AI18" s="91"/>
      <c r="AM18" s="23" t="e">
        <f>$A$17</f>
        <v>#N/A</v>
      </c>
      <c r="AN18" s="53"/>
      <c r="AO18" s="87" t="e" cm="1">
        <f t="array" ref="AO18">_xll.DBRW($A$7,$A$10,AO15,AM18,$A$19,$A$21,$A$31,$A$32,"Net Revenue [$MM]")</f>
        <v>#VALUE!</v>
      </c>
      <c r="AP18" s="87"/>
      <c r="AQ18" s="87"/>
      <c r="AR18" s="53"/>
      <c r="AS18" s="87" t="e" cm="1">
        <f t="array" ref="AS18">_xll.DBRW($A$7,$A$10,AS15,AM18,$A$19,$A$21,$A$31,$A$32,"Net Revenue [$MM]")</f>
        <v>#VALUE!</v>
      </c>
      <c r="AT18" s="87"/>
      <c r="AU18" s="91"/>
      <c r="AY18" s="23" t="e">
        <f>$A$17</f>
        <v>#N/A</v>
      </c>
      <c r="AZ18" s="53"/>
      <c r="BA18" s="87" t="e">
        <f>_xll.DBRW($A$3,$A$10,$BA15,$AY18,$A$19,$A$21,$A$23,$AZ16,$A$29)</f>
        <v>#VALUE!</v>
      </c>
      <c r="BB18" s="87"/>
      <c r="BC18" s="87"/>
      <c r="BD18" s="53"/>
      <c r="BE18" s="87" t="e">
        <f>_xll.DBRW($A$3,$A$10,$BE15,$AY18,$A$19,$A$21,$A$23,$AZ16,$A$29)</f>
        <v>#VALUE!</v>
      </c>
      <c r="BF18" s="87"/>
      <c r="BG18" s="91"/>
      <c r="BK18" s="31" t="s">
        <v>38</v>
      </c>
      <c r="BL18" s="53"/>
      <c r="BM18" s="87" t="e">
        <f>_xll.DBRW($A$3,$A$10,$BM15,$BK18,$A$19,$A$21,$A$23,$BL16,$A$29)</f>
        <v>#VALUE!</v>
      </c>
      <c r="BN18" s="87"/>
      <c r="BO18" s="87"/>
      <c r="BP18" s="53"/>
      <c r="BQ18" s="88" t="e">
        <f>_xll.DBRW($A$3,$A$10,$BQ15,$BK18,$A$19,$A$21,$A$23,$BL16,$A$29)</f>
        <v>#VALUE!</v>
      </c>
      <c r="BR18" s="88"/>
      <c r="BS18" s="88"/>
    </row>
    <row r="19" spans="1:71">
      <c r="A19" t="str">
        <f>_xll.SUBNM("CONS_VC:ALL.D.Currency","","EUR")</f>
        <v>EUR</v>
      </c>
      <c r="E19" s="24" t="str">
        <f>$A$15</f>
        <v>l500</v>
      </c>
      <c r="F19" s="25" t="e">
        <f>IF(E15="+",IF(G17&gt;G19*(1+IF(G19&gt;0,$C$4,-$C$4)),1,IF(G17&gt;=G18*(1+IF(G18&gt;0,-$C$4,$C$4)),0,-1)),IF(E15="-",IF(G17&lt;G19*(1+IF(G19&gt;0,-$C$4,$C$4)),1,IF(G17&lt;=G18*(1+IF(G18&gt;0,$C$4,-$C$4)),0,-1))))</f>
        <v>#VALUE!</v>
      </c>
      <c r="G19" s="47" t="e">
        <f>_xll.DBRW(A4,$A$10,G15,E19,A19,A21,A23,A25,A29)</f>
        <v>#VALUE!</v>
      </c>
      <c r="H19" s="47"/>
      <c r="I19" s="47"/>
      <c r="J19" s="25" t="e">
        <f>IF(E15="+",IF(K17&gt;K19*(1+IF(K19&gt;0,$C$4,-$C$4)),1,IF(K17&gt;=K18*(1+IF(K18&gt;0,-$C$4,$C$4)),0,-1)),IF(E15="-",IF(K17&lt;K19*(1+IF(K19&gt;0,-$C$4,$C$4)),1,IF(K17&lt;=K18*(1+IF(K18&gt;0,$C$4,-$C$4)),0,-1))))</f>
        <v>#VALUE!</v>
      </c>
      <c r="K19" s="47" t="e">
        <f>_xll.DBRW(A4,$A$10,K15,E19,A19,A21,A23,A25,A29)</f>
        <v>#VALUE!</v>
      </c>
      <c r="L19" s="47"/>
      <c r="M19" s="48"/>
      <c r="N19" s="5"/>
      <c r="O19" s="5"/>
      <c r="P19" s="24" t="str">
        <f>$A$15</f>
        <v>l500</v>
      </c>
      <c r="Q19" s="25" t="e">
        <f>IF(P15="+",IF(R17&gt;R19*(1+IF(R19&gt;0,$C$4,-$C$4)),1,IF(R17&gt;=R18*(1+IF(R18&gt;0,-$C$4,$C$4)),0,-1)),IF(P15="-",IF(R17&lt;R19*(1+IF(R19&gt;0,-$C$4,$C$4)),1,IF(R17&lt;=R18*(1+IF(R18&gt;0,$C$4,-$C$4)),0,-1))))</f>
        <v>#VALUE!</v>
      </c>
      <c r="R19" s="47" t="e">
        <f>_xll.DBRW(A3,$A$10,R15,P19,A19,A21,"Total Products","EBITDA LTM","Value")</f>
        <v>#VALUE!</v>
      </c>
      <c r="S19" s="47"/>
      <c r="T19" s="47"/>
      <c r="U19" s="25" t="e">
        <f>IF(P15="+",IF(V17&gt;V19*(1+IF(V19&gt;0,$C$4,-$C$4)),1,IF(V17&gt;=V18*(1+IF(V18&gt;0,-$C$4,$C$4)),0,-1)),IF(P15="-",IF(V17&lt;V19*(1+IF(V19&gt;0,-$C$4,$C$4)),1,IF(V17&lt;=V18*(1+IF(V18&gt;0,$C$4,-$C$4)),0,-1))))</f>
        <v>#VALUE!</v>
      </c>
      <c r="V19" s="47" t="e">
        <f>_xll.DBRW(A3,$A$10,V15,P19,A19,A21,"Total Products","EBITDA LTM","Value")</f>
        <v>#VALUE!</v>
      </c>
      <c r="W19" s="47"/>
      <c r="X19" s="48"/>
      <c r="Y19" s="5"/>
      <c r="Z19" s="5"/>
      <c r="AA19" s="24" t="str">
        <f>$A$15</f>
        <v>l500</v>
      </c>
      <c r="AB19" s="25" t="e">
        <f>IF(AA15="+",IF(AC17&gt;AC19*(1+IF(AC19&gt;0,$C$4,-$C$4)),1,IF(AC17&gt;=AC18*(1+IF(AC18&gt;0,-$C$4,$C$4)),0,-1)),IF(AA15="-",IF(AC17&lt;AC19*(1+IF(AC19&gt;0,-$C$4,$C$4)),1,IF(AC17&lt;=AC18*(1+IF(AC18&gt;0,$C$4,-$C$4)),0,-1))))</f>
        <v>#VALUE!</v>
      </c>
      <c r="AC19" s="47" t="e">
        <f>_xll.DBRW($A$3,$A$10,AC15,AA19,$A$19,$A$21,$A$23,"EBITDA LTM",$A$29)-_xll.DBRW($A$3,$A$10,AC15,AA19,$A$19,$A$21,$A$31,"EBITDA LTM",$A$29)</f>
        <v>#VALUE!</v>
      </c>
      <c r="AD19" s="47"/>
      <c r="AE19" s="47"/>
      <c r="AF19" s="25" t="e">
        <f>IF(AA15="+",IF(AG17&gt;AG19*(1+IF(AG19&gt;0,$C$4,-$C$4)),1,IF(AG17&gt;=AG18*(1+IF(AG18&gt;0,-$C$4,$C$4)),0,-1)),IF(AA15="-",IF(AG17&lt;AG19*(1+IF(AG19&gt;0,-$C$4,$C$4)),1,IF(AG17&lt;=AG18*(1+IF(AG18&gt;0,$C$4,-$C$4)),0,-1))))</f>
        <v>#VALUE!</v>
      </c>
      <c r="AG19" s="47" t="e">
        <f>_xll.DBRW($A$3,$A$10,AG15,AA19,$A$19,$A$21,$A$23,"EBITDA LTM",$A$29)-_xll.DBRW($A$3,$A$10,AG15,AA19,$A$19,$A$21,$A$31,"EBITDA LTM",$A$29)</f>
        <v>#VALUE!</v>
      </c>
      <c r="AH19" s="47"/>
      <c r="AI19" s="48"/>
      <c r="AM19" s="24" t="str">
        <f>$A$15</f>
        <v>l500</v>
      </c>
      <c r="AN19" s="25" t="e">
        <f>IF(AM15="+",IF(AO17&gt;AO19*(1+IF(AO19&gt;0,$C$4,-$C$4)),1,IF(AO17&gt;=AO18*(1+IF(AO18&gt;0,-$C$4,$C$4)),0,-1)),IF(AM15="-",IF(AO17&lt;AO19*(1+IF(AO19&gt;0,-$C$4,$C$4)),1,IF(AO17&lt;=AO18*(1+IF(AO18&gt;0,$C$4,-$C$4)),0,-1))))</f>
        <v>#VALUE!</v>
      </c>
      <c r="AO19" s="47" t="e" cm="1">
        <f t="array" ref="AO19">_xll.DBRW($A$7,$A$10,AO15,AM19,$A$19,$A$21,$A$31,$A$32,"Net Revenue [$MM]")</f>
        <v>#VALUE!</v>
      </c>
      <c r="AP19" s="47"/>
      <c r="AQ19" s="47"/>
      <c r="AR19" s="25" t="e">
        <f>IF(AM15="+",IF(AS17&gt;AS19*(1+IF(AS19&gt;0,$C$4,-$C$4)),1,IF(AS17&gt;=AS18*(1+IF(AS18&gt;0,-$C$4,$C$4)),0,-1)),IF(AM15="-",IF(AS17&lt;AS19*(1+IF(AS19&gt;0,-$C$4,$C$4)),1,IF(AS17&lt;=AS18*(1+IF(AS18&gt;0,$C$4,-$C$4)),0,-1))))</f>
        <v>#VALUE!</v>
      </c>
      <c r="AS19" s="47" t="e" cm="1">
        <f t="array" ref="AS19">_xll.DBRW($A$7,$A$10,AS15,AM19,$A$19,$A$21,$A$31,$A$32,"Net Revenue [$MM]")</f>
        <v>#VALUE!</v>
      </c>
      <c r="AT19" s="47"/>
      <c r="AU19" s="48"/>
      <c r="AY19" s="24" t="str">
        <f>$A$15</f>
        <v>l500</v>
      </c>
      <c r="AZ19" s="25" t="e">
        <f>IF(AY15="+",IF(BA17&gt;BA19*(1+IF(BA19&gt;0,$C$4,-$C$4)),1,IF(BA17&gt;=BA18*(1+IF(BA18&gt;0,-$C$4,$C$4)),0,-1)),IF(AY15="-",IF(BA17&lt;BA19*(1+IF(BA19&gt;0,-$C$4,$C$4)),1,IF(BA17&lt;=BA18*(1+IF(BA18&gt;0,$C$4,-$C$4)),0,-1))))</f>
        <v>#VALUE!</v>
      </c>
      <c r="BA19" s="47" t="e">
        <f>_xll.DBRW($A$3,$A$10,$BA15,$AY19,$A$19,$A$21,$A$23,$AZ16,$A$29)</f>
        <v>#VALUE!</v>
      </c>
      <c r="BB19" s="47"/>
      <c r="BC19" s="47"/>
      <c r="BD19" s="25" t="e">
        <f>IF(AY15="+",IF(BE17&gt;BE19*(1+IF(BE19&gt;0,$C$4,-$C$4)),1,IF(BE17&gt;=BE18*(1+IF(BE18&gt;0,-$C$4,$C$4)),0,-1)),IF(AY15="-",IF(BE17&lt;BE19*(1+IF(BE19&gt;0,-$C$4,$C$4)),1,IF(BE17&lt;=BE18*(1+IF(BE18&gt;0,$C$4,-$C$4)),0,-1))))</f>
        <v>#VALUE!</v>
      </c>
      <c r="BE19" s="47" t="e">
        <f>_xll.DBRW($A$3,$A$10,$BE15,$AY19,$A$19,$A$21,$A$23,$AZ16,$A$29)</f>
        <v>#VALUE!</v>
      </c>
      <c r="BF19" s="47"/>
      <c r="BG19" s="48"/>
      <c r="BK19" s="32" t="s">
        <v>19</v>
      </c>
      <c r="BL19" s="33">
        <v>1</v>
      </c>
      <c r="BM19" s="51" t="e">
        <f>_xll.DBRW($A$3,$A$10,$BM15,$BK19,$A$19,$A$21,$A$23,$BL16,$A$29)</f>
        <v>#VALUE!</v>
      </c>
      <c r="BN19" s="51"/>
      <c r="BO19" s="51"/>
      <c r="BP19" s="33">
        <v>1</v>
      </c>
      <c r="BQ19" s="51" t="e">
        <f>_xll.DBRW($A$3,$A$10,$BQ15,$BK19,$A$19,$A$21,$A$23,$BL16,$A$29)</f>
        <v>#VALUE!</v>
      </c>
      <c r="BR19" s="51"/>
      <c r="BS19" s="52"/>
    </row>
    <row r="20" spans="1:71">
      <c r="A20" s="1" t="s">
        <v>15</v>
      </c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Y20" s="5"/>
      <c r="Z20" s="5"/>
    </row>
    <row r="21" spans="1:71">
      <c r="A21" t="str">
        <f>_xll.SUBNM("CONS_VC:ALL.D.Region","DEFAuLT","Global")</f>
        <v>Global</v>
      </c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Y21" s="5"/>
      <c r="Z21" s="5"/>
    </row>
    <row r="22" spans="1:71">
      <c r="A22" s="1" t="s">
        <v>12</v>
      </c>
      <c r="E22" s="19" t="s">
        <v>6</v>
      </c>
      <c r="F22" s="26"/>
      <c r="G22" s="79" t="e">
        <f>$A$13</f>
        <v>#N/A</v>
      </c>
      <c r="H22" s="79"/>
      <c r="I22" s="79"/>
      <c r="J22" s="26"/>
      <c r="K22" s="79" t="str">
        <f>$A$12</f>
        <v>Year</v>
      </c>
      <c r="L22" s="79"/>
      <c r="M22" s="80"/>
      <c r="N22" s="5"/>
      <c r="O22" s="5"/>
      <c r="P22" s="19" t="s">
        <v>6</v>
      </c>
      <c r="Q22" s="26"/>
      <c r="R22" s="79" t="e">
        <f>$A$13</f>
        <v>#N/A</v>
      </c>
      <c r="S22" s="79"/>
      <c r="T22" s="79"/>
      <c r="U22" s="26"/>
      <c r="V22" s="79" t="str">
        <f>$A$12</f>
        <v>Year</v>
      </c>
      <c r="W22" s="79"/>
      <c r="X22" s="80"/>
      <c r="Y22" s="5"/>
      <c r="Z22" s="5"/>
      <c r="AY22" s="29" t="s">
        <v>6</v>
      </c>
      <c r="AZ22" s="30"/>
      <c r="BA22" s="61" t="s">
        <v>37</v>
      </c>
      <c r="BB22" s="61"/>
      <c r="BC22" s="61"/>
      <c r="BD22" s="30"/>
      <c r="BE22" s="61" t="s">
        <v>5</v>
      </c>
      <c r="BF22" s="61"/>
      <c r="BG22" s="62"/>
      <c r="BK22" s="29" t="s">
        <v>6</v>
      </c>
      <c r="BL22" s="30"/>
      <c r="BM22" s="61" t="s">
        <v>37</v>
      </c>
      <c r="BN22" s="61"/>
      <c r="BO22" s="61"/>
      <c r="BP22" s="30"/>
      <c r="BQ22" s="61" t="s">
        <v>5</v>
      </c>
      <c r="BR22" s="61"/>
      <c r="BS22" s="62"/>
    </row>
    <row r="23" spans="1:71">
      <c r="A23" t="str">
        <f>_xll.SUBNM("CONS_VC:ALL.D.Products","","Total Products")</f>
        <v>Total Products</v>
      </c>
      <c r="E23" s="28"/>
      <c r="F23" s="89" t="s">
        <v>14</v>
      </c>
      <c r="G23" s="89"/>
      <c r="H23" s="89"/>
      <c r="I23" s="89"/>
      <c r="J23" s="89"/>
      <c r="K23" s="89"/>
      <c r="L23" s="89"/>
      <c r="M23" s="90"/>
      <c r="N23" s="5"/>
      <c r="O23" s="5"/>
      <c r="P23" s="27"/>
      <c r="Q23" s="89" t="s">
        <v>16</v>
      </c>
      <c r="R23" s="89"/>
      <c r="S23" s="89"/>
      <c r="T23" s="89"/>
      <c r="U23" s="89"/>
      <c r="V23" s="89"/>
      <c r="W23" s="89"/>
      <c r="X23" s="90"/>
      <c r="Y23" s="5"/>
      <c r="Z23" s="5"/>
      <c r="AY23" s="31"/>
      <c r="AZ23" s="84" t="s">
        <v>45</v>
      </c>
      <c r="BA23" s="84"/>
      <c r="BB23" s="84"/>
      <c r="BC23" s="84"/>
      <c r="BD23" s="84"/>
      <c r="BE23" s="84"/>
      <c r="BF23" s="84"/>
      <c r="BG23" s="84"/>
      <c r="BK23" s="31"/>
      <c r="BL23" s="84" t="s">
        <v>57</v>
      </c>
      <c r="BM23" s="84"/>
      <c r="BN23" s="84"/>
      <c r="BO23" s="84"/>
      <c r="BP23" s="84"/>
      <c r="BQ23" s="84"/>
      <c r="BR23" s="84"/>
      <c r="BS23" s="84"/>
    </row>
    <row r="24" spans="1:71" ht="13.8" customHeight="1">
      <c r="A24" s="1" t="s">
        <v>11</v>
      </c>
      <c r="E24" s="28" t="e">
        <f>$A$16</f>
        <v>#N/A</v>
      </c>
      <c r="F24" s="53"/>
      <c r="G24" s="73" t="e">
        <f>_xll.DBRW($A$5,$A$10,G22,E24,A19,A21,A27,$A$30)</f>
        <v>#VALUE!</v>
      </c>
      <c r="H24" s="73"/>
      <c r="I24" s="73"/>
      <c r="J24" s="53"/>
      <c r="K24" s="73" t="e">
        <f>_xll.DBRW($A$5,$A$10,K22,E24,A19,A21,A27,$A$30)</f>
        <v>#VALUE!</v>
      </c>
      <c r="L24" s="73"/>
      <c r="M24" s="74"/>
      <c r="N24" s="5"/>
      <c r="O24" s="5"/>
      <c r="P24" s="23" t="e">
        <f>$A$16</f>
        <v>#N/A</v>
      </c>
      <c r="Q24" s="53"/>
      <c r="R24" s="73" t="e">
        <f>_xll.DBRW(A5,$A$10,R22,P24,A19,A21,"Expansion Capex",A30)</f>
        <v>#VALUE!</v>
      </c>
      <c r="S24" s="73"/>
      <c r="T24" s="73"/>
      <c r="U24" s="53"/>
      <c r="V24" s="73" t="e">
        <f>_xll.DBRW(A5,$A$10,V22,P24,A19,A21,"Expansion Capex",A30)</f>
        <v>#VALUE!</v>
      </c>
      <c r="W24" s="73"/>
      <c r="X24" s="74"/>
      <c r="Y24" s="5"/>
      <c r="Z24" s="5"/>
      <c r="AY24" s="31" t="s">
        <v>3</v>
      </c>
      <c r="AZ24" s="53"/>
      <c r="BA24" s="73" t="e">
        <f>_xll.DBRW($A$3,$A$10,$BA22,$AY24,$A$19,$A$21,$A$23,$AZ23,$A$29)</f>
        <v>#VALUE!</v>
      </c>
      <c r="BB24" s="73"/>
      <c r="BC24" s="73"/>
      <c r="BD24" s="53"/>
      <c r="BE24" s="77" t="e">
        <f>_xll.DBRW($A$3,$A$10,$BE22,$AY24,$A$19,$A$21,$A$23,$AZ23,$A$29)</f>
        <v>#VALUE!</v>
      </c>
      <c r="BF24" s="77"/>
      <c r="BG24" s="77"/>
      <c r="BK24" s="31" t="s">
        <v>3</v>
      </c>
      <c r="BL24" s="53"/>
      <c r="BM24" s="73" t="e">
        <f>_xll.DBRW($A$3,$A$10,$BM22,$BK24,$A$19,$A$21,$A$23,$BL23,$A$29)</f>
        <v>#VALUE!</v>
      </c>
      <c r="BN24" s="73"/>
      <c r="BO24" s="73"/>
      <c r="BP24" s="53"/>
      <c r="BQ24" s="77" t="e">
        <f>_xll.DBRW($A$3,$A$10,$BQ22,$BK24,$A$19,$A$21,$A$23,$BL23,$A$29)</f>
        <v>#VALUE!</v>
      </c>
      <c r="BR24" s="77"/>
      <c r="BS24" s="77"/>
    </row>
    <row r="25" spans="1:71">
      <c r="A25" t="s">
        <v>9</v>
      </c>
      <c r="E25" s="28" t="e">
        <f>$A$17</f>
        <v>#N/A</v>
      </c>
      <c r="F25" s="53"/>
      <c r="G25" s="87" t="e">
        <f>_xll.DBRW($A$5,$A$10,G22,E25,A19,A21,A27,$A$30)</f>
        <v>#VALUE!</v>
      </c>
      <c r="H25" s="87"/>
      <c r="I25" s="87"/>
      <c r="J25" s="53"/>
      <c r="K25" s="87" t="e">
        <f>_xll.DBRW($A$5,$A$10,K22,E25,A19,A21,A27,$A$30)</f>
        <v>#VALUE!</v>
      </c>
      <c r="L25" s="87"/>
      <c r="M25" s="91"/>
      <c r="N25" s="5"/>
      <c r="O25" s="5"/>
      <c r="P25" s="23" t="e">
        <f>$A$17</f>
        <v>#N/A</v>
      </c>
      <c r="Q25" s="53"/>
      <c r="R25" s="87" t="e">
        <f>_xll.DBRW(A5,$A$10,R22,P25,A19,A21,"Expansion Capex",A30)</f>
        <v>#VALUE!</v>
      </c>
      <c r="S25" s="87"/>
      <c r="T25" s="87"/>
      <c r="U25" s="53"/>
      <c r="V25" s="87" t="e">
        <f>_xll.DBRW(A5,$A$10,V22,P25,A19,A21,"Expansion Capex",A30)</f>
        <v>#VALUE!</v>
      </c>
      <c r="W25" s="87"/>
      <c r="X25" s="91"/>
      <c r="Y25" s="5"/>
      <c r="Z25" s="5"/>
      <c r="AY25" s="31" t="s">
        <v>38</v>
      </c>
      <c r="AZ25" s="53"/>
      <c r="BA25" s="87" t="e">
        <f>_xll.DBRW($A$3,$A$10,$BA22,$AY25,$A$19,$A$21,$A$23,$AZ23,$A$29)</f>
        <v>#VALUE!</v>
      </c>
      <c r="BB25" s="87"/>
      <c r="BC25" s="87"/>
      <c r="BD25" s="53"/>
      <c r="BE25" s="88" t="e">
        <f>_xll.DBRW($A$3,$A$10,$BE22,$AY25,$A$19,$A$21,$A$23,$AZ23,$A$29)</f>
        <v>#VALUE!</v>
      </c>
      <c r="BF25" s="88"/>
      <c r="BG25" s="88"/>
      <c r="BK25" s="31" t="s">
        <v>38</v>
      </c>
      <c r="BL25" s="53"/>
      <c r="BM25" s="87" t="e">
        <f>_xll.DBRW($A$3,$A$10,$BM22,$BK25,$A$19,$A$21,$A$23,$BL23,$A$29)</f>
        <v>#VALUE!</v>
      </c>
      <c r="BN25" s="87"/>
      <c r="BO25" s="87"/>
      <c r="BP25" s="53"/>
      <c r="BQ25" s="88" t="e">
        <f>_xll.DBRW($A$3,$A$10,$BQ22,$BK25,$A$19,$A$21,$A$23,$BL23,$A$29)</f>
        <v>#VALUE!</v>
      </c>
      <c r="BR25" s="88"/>
      <c r="BS25" s="88"/>
    </row>
    <row r="26" spans="1:71">
      <c r="A26" s="6" t="s">
        <v>8</v>
      </c>
      <c r="E26" s="24" t="str">
        <f>$A$15</f>
        <v>l500</v>
      </c>
      <c r="F26" s="25" t="e">
        <f>IF(E22="+",IF(G24&gt;G26*(1+IF(G26&gt;0,$C$4,-$C$4)),1,IF(G24&gt;=G25*(1+IF(G25&gt;0,-$C$4,$C$4)),0,-1)),IF(E22="-",IF(G24&lt;G26*(1+IF(G26&gt;0,-$C$4,$C$4)),1,IF(G24&lt;=G25*(1+IF(G25&gt;0,$C$4,-$C$4)),0,-1))))</f>
        <v>#VALUE!</v>
      </c>
      <c r="G26" s="47" t="e">
        <f>_xll.DBRW($A$5,$A$10,G22,E26,A19,A21,A27,$A$30)</f>
        <v>#VALUE!</v>
      </c>
      <c r="H26" s="47"/>
      <c r="I26" s="47"/>
      <c r="J26" s="25" t="e">
        <f>IF(E22="+",IF(K24&gt;K26*(1+IF(K26&gt;0,$C$4,-$C$4)),1,IF(K24&gt;=K25*(1+IF(K25&gt;0,-$C$4,$C$4)),0,-1)),IF(E22="-",IF(K24&lt;K26*(1+IF(K26&gt;0,-$C$4,$C$4)),1,IF(K24&lt;=K25*(1+IF(K25&gt;0,$C$4,-$C$4)),0,-1))))</f>
        <v>#VALUE!</v>
      </c>
      <c r="K26" s="47" t="e">
        <f>_xll.DBRW($A$5,$A$10,K22,E26,A19,A21,A27,$A$30)</f>
        <v>#VALUE!</v>
      </c>
      <c r="L26" s="47"/>
      <c r="M26" s="48"/>
      <c r="N26" s="5"/>
      <c r="O26" s="5"/>
      <c r="P26" s="24" t="str">
        <f>$A$15</f>
        <v>l500</v>
      </c>
      <c r="Q26" s="25" t="e">
        <f>IF(P22="+",IF(R24&gt;R26*(1+IF(R26&gt;0,$C$4,-$C$4)),1,IF(R24&gt;=R25*(1+IF(R25&gt;0,-$C$4,$C$4)),0,-1)),IF(P22="-",IF(R24&lt;R26*(1+IF(R26&gt;0,-$C$4,$C$4)),1,IF(R24&lt;=R25*(1+IF(R25&gt;0,$C$4,-$C$4)),0,-1))))</f>
        <v>#VALUE!</v>
      </c>
      <c r="R26" s="47" t="e">
        <f>_xll.DBRW(A5,$A$10,R22,P26,A19,A21,"Expansion Capex",A30)</f>
        <v>#VALUE!</v>
      </c>
      <c r="S26" s="47"/>
      <c r="T26" s="47"/>
      <c r="U26" s="25" t="e">
        <f>IF(P22="+",IF(V24&gt;V26*(1+IF(V26&gt;0,$C$4,-$C$4)),1,IF(V24&gt;=V25*(1+IF(V25&gt;0,-$C$4,$C$4)),0,-1)),IF(P22="-",IF(V24&lt;V26*(1+IF(V26&gt;0,-$C$4,$C$4)),1,IF(V24&lt;=V25*(1+IF(V25&gt;0,$C$4,-$C$4)),0,-1))))</f>
        <v>#VALUE!</v>
      </c>
      <c r="V26" s="47" t="e">
        <f>_xll.DBRW(A5,$A$10,V22,P26,A19,A21,"Expansion Capex",A30)</f>
        <v>#VALUE!</v>
      </c>
      <c r="W26" s="47"/>
      <c r="X26" s="48"/>
      <c r="Y26" s="5"/>
      <c r="Z26" s="5"/>
      <c r="AY26" s="32" t="s">
        <v>19</v>
      </c>
      <c r="AZ26" s="33">
        <v>1</v>
      </c>
      <c r="BA26" s="51" t="e">
        <f>_xll.DBRW($A$3,$A$10,$BA22,$AY26,$A$19,$A$21,$A$23,$AZ23,$A$29)</f>
        <v>#VALUE!</v>
      </c>
      <c r="BB26" s="51"/>
      <c r="BC26" s="51"/>
      <c r="BD26" s="33">
        <v>1</v>
      </c>
      <c r="BE26" s="51" t="e">
        <f>_xll.DBRW($A$3,$A$10,$BE22,$AY26,$A$19,$A$21,$A$23,$AZ23,$A$29)</f>
        <v>#VALUE!</v>
      </c>
      <c r="BF26" s="51"/>
      <c r="BG26" s="52"/>
      <c r="BK26" s="32" t="s">
        <v>19</v>
      </c>
      <c r="BL26" s="33">
        <v>1</v>
      </c>
      <c r="BM26" s="51" t="e">
        <f>_xll.DBRW($A$3,$A$10,$BM22,$BK26,$A$19,$A$21,$A$23,$BL23,$A$29)</f>
        <v>#VALUE!</v>
      </c>
      <c r="BN26" s="51"/>
      <c r="BO26" s="51"/>
      <c r="BP26" s="33">
        <v>1</v>
      </c>
      <c r="BQ26" s="51" t="e">
        <f>_xll.DBRW($A$3,$A$10,$BQ22,$BK26,$A$19,$A$21,$A$23,$BL23,$A$29)</f>
        <v>#VALUE!</v>
      </c>
      <c r="BR26" s="51"/>
      <c r="BS26" s="52"/>
    </row>
    <row r="27" spans="1:71">
      <c r="A27" t="s">
        <v>32</v>
      </c>
      <c r="G27" s="17"/>
      <c r="H27" s="17"/>
      <c r="I27" s="17"/>
      <c r="K27" s="17"/>
      <c r="L27" s="17"/>
      <c r="M27" s="17"/>
      <c r="N27" s="5"/>
      <c r="O27" s="5"/>
      <c r="Y27" s="5"/>
      <c r="Z27" s="5"/>
    </row>
    <row r="28" spans="1:71">
      <c r="A28" s="1" t="s">
        <v>34</v>
      </c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R28" s="17"/>
      <c r="S28" s="17"/>
      <c r="T28" s="17"/>
      <c r="V28" s="17"/>
      <c r="W28" s="17"/>
      <c r="X28" s="17"/>
      <c r="Y28" s="5"/>
      <c r="Z28" s="5"/>
    </row>
    <row r="29" spans="1:71">
      <c r="A29" t="s">
        <v>0</v>
      </c>
      <c r="E29" s="19" t="s">
        <v>6</v>
      </c>
      <c r="F29" s="26"/>
      <c r="G29" s="21" t="e">
        <f>$A$13</f>
        <v>#N/A</v>
      </c>
      <c r="H29" s="21"/>
      <c r="I29" s="21"/>
      <c r="J29" s="26"/>
      <c r="K29" s="21" t="str">
        <f>$A$12</f>
        <v>Year</v>
      </c>
      <c r="L29" s="21"/>
      <c r="M29" s="22"/>
      <c r="N29" s="5"/>
      <c r="O29" s="5"/>
      <c r="P29" s="19" t="s">
        <v>6</v>
      </c>
      <c r="Q29" s="26"/>
      <c r="R29" s="79" t="e">
        <f>$A$13</f>
        <v>#N/A</v>
      </c>
      <c r="S29" s="79"/>
      <c r="T29" s="79"/>
      <c r="U29" s="26"/>
      <c r="V29" s="79" t="str">
        <f>$A$12</f>
        <v>Year</v>
      </c>
      <c r="W29" s="79"/>
      <c r="X29" s="80"/>
      <c r="Y29" s="5"/>
      <c r="Z29" s="5"/>
      <c r="AA29" s="19" t="s">
        <v>6</v>
      </c>
      <c r="AB29" s="20"/>
      <c r="AC29" s="79" t="e">
        <f>$A$13</f>
        <v>#N/A</v>
      </c>
      <c r="AD29" s="79"/>
      <c r="AE29" s="79"/>
      <c r="AF29" s="20"/>
      <c r="AG29" s="79" t="str">
        <f>$A$12</f>
        <v>Year</v>
      </c>
      <c r="AH29" s="79"/>
      <c r="AI29" s="80"/>
      <c r="AM29" s="19" t="s">
        <v>6</v>
      </c>
      <c r="AN29" s="20"/>
      <c r="AO29" s="79" t="e">
        <f>$A$13</f>
        <v>#N/A</v>
      </c>
      <c r="AP29" s="79"/>
      <c r="AQ29" s="79"/>
      <c r="AR29" s="20"/>
      <c r="AS29" s="79" t="str">
        <f>$A$12</f>
        <v>Year</v>
      </c>
      <c r="AT29" s="79"/>
      <c r="AU29" s="80"/>
      <c r="AY29" s="29" t="s">
        <v>6</v>
      </c>
      <c r="AZ29" s="30"/>
      <c r="BA29" s="61" t="s">
        <v>37</v>
      </c>
      <c r="BB29" s="61"/>
      <c r="BC29" s="61"/>
      <c r="BD29" s="30"/>
      <c r="BE29" s="61" t="s">
        <v>5</v>
      </c>
      <c r="BF29" s="61"/>
      <c r="BG29" s="62"/>
      <c r="BK29" s="29" t="s">
        <v>6</v>
      </c>
      <c r="BL29" s="30"/>
      <c r="BM29" s="61" t="s">
        <v>37</v>
      </c>
      <c r="BN29" s="61"/>
      <c r="BO29" s="61"/>
      <c r="BP29" s="30"/>
      <c r="BQ29" s="61" t="s">
        <v>5</v>
      </c>
      <c r="BR29" s="61"/>
      <c r="BS29" s="62"/>
    </row>
    <row r="30" spans="1:71">
      <c r="A30" t="s">
        <v>2</v>
      </c>
      <c r="E30" s="28"/>
      <c r="F30" s="89" t="s">
        <v>58</v>
      </c>
      <c r="G30" s="89"/>
      <c r="H30" s="89"/>
      <c r="I30" s="89"/>
      <c r="J30" s="89"/>
      <c r="K30" s="89"/>
      <c r="L30" s="89"/>
      <c r="M30" s="90"/>
      <c r="N30" s="5"/>
      <c r="O30" s="5"/>
      <c r="P30" s="27"/>
      <c r="Q30" s="89" t="s">
        <v>13</v>
      </c>
      <c r="R30" s="89"/>
      <c r="S30" s="89"/>
      <c r="T30" s="89"/>
      <c r="U30" s="89"/>
      <c r="V30" s="89"/>
      <c r="W30" s="89"/>
      <c r="X30" s="90"/>
      <c r="Y30" s="5"/>
      <c r="Z30" s="5"/>
      <c r="AA30" s="23"/>
      <c r="AB30" s="89" t="s">
        <v>36</v>
      </c>
      <c r="AC30" s="89"/>
      <c r="AD30" s="89"/>
      <c r="AE30" s="89"/>
      <c r="AF30" s="89"/>
      <c r="AG30" s="89"/>
      <c r="AH30" s="89"/>
      <c r="AI30" s="90"/>
      <c r="AM30" s="23"/>
      <c r="AN30" s="89" t="s">
        <v>49</v>
      </c>
      <c r="AO30" s="89"/>
      <c r="AP30" s="89"/>
      <c r="AQ30" s="89"/>
      <c r="AR30" s="89"/>
      <c r="AS30" s="89"/>
      <c r="AT30" s="89"/>
      <c r="AU30" s="90"/>
      <c r="AY30" s="31"/>
      <c r="AZ30" s="84" t="s">
        <v>51</v>
      </c>
      <c r="BA30" s="84"/>
      <c r="BB30" s="84"/>
      <c r="BC30" s="84"/>
      <c r="BD30" s="84"/>
      <c r="BE30" s="84"/>
      <c r="BF30" s="84"/>
      <c r="BG30" s="84"/>
      <c r="BK30" s="31"/>
      <c r="BL30" s="84" t="s">
        <v>46</v>
      </c>
      <c r="BM30" s="84"/>
      <c r="BN30" s="84"/>
      <c r="BO30" s="84"/>
      <c r="BP30" s="84"/>
      <c r="BQ30" s="84"/>
      <c r="BR30" s="84"/>
      <c r="BS30" s="84"/>
    </row>
    <row r="31" spans="1:71">
      <c r="A31" t="s">
        <v>18</v>
      </c>
      <c r="E31" s="28" t="e">
        <f>$A$16</f>
        <v>#N/A</v>
      </c>
      <c r="F31" s="53"/>
      <c r="G31" s="75" t="e">
        <f>_xll.DBRW(A3,$A$10,G29,E31,A19,A21,A23,"% ROIC","Value")</f>
        <v>#VALUE!</v>
      </c>
      <c r="H31" s="75"/>
      <c r="I31" s="75"/>
      <c r="J31" s="53"/>
      <c r="K31" s="75" t="e">
        <f>_xll.DBRW(A3,$A$10,K29,E31,A19,A21,A23,"% ROIC","Value")</f>
        <v>#VALUE!</v>
      </c>
      <c r="L31" s="75"/>
      <c r="M31" s="76"/>
      <c r="N31" s="5"/>
      <c r="O31" s="5"/>
      <c r="P31" s="23" t="e">
        <f>$A$16</f>
        <v>#N/A</v>
      </c>
      <c r="Q31" s="53"/>
      <c r="R31" s="73" t="e">
        <f>_xll.DBRW(A3,$A$10,R29,P31,A19,A21,"Total Products","Working Capital Balance","Value")</f>
        <v>#VALUE!</v>
      </c>
      <c r="S31" s="73"/>
      <c r="T31" s="73"/>
      <c r="U31" s="53"/>
      <c r="V31" s="73" t="e">
        <f>_xll.DBRW(A3,$A$10,V29,P31,A19,A21,"Total Products","Working Capital Balance","Value")</f>
        <v>#VALUE!</v>
      </c>
      <c r="W31" s="73"/>
      <c r="X31" s="74"/>
      <c r="Y31" s="5"/>
      <c r="Z31" s="5"/>
      <c r="AA31" s="23" t="e">
        <f>$A$16</f>
        <v>#N/A</v>
      </c>
      <c r="AB31" s="53"/>
      <c r="AC31" s="73" t="e">
        <f>AO31+AO38</f>
        <v>#VALUE!</v>
      </c>
      <c r="AD31" s="73"/>
      <c r="AE31" s="73"/>
      <c r="AF31" s="53"/>
      <c r="AG31" s="73" t="e">
        <f>AS31+AS38</f>
        <v>#VALUE!</v>
      </c>
      <c r="AH31" s="73"/>
      <c r="AI31" s="74"/>
      <c r="AM31" s="23" t="e">
        <f>$A$16</f>
        <v>#N/A</v>
      </c>
      <c r="AN31" s="53"/>
      <c r="AO31" s="73" t="e">
        <f>SUM(BA10,BA31,BA38,BA45)</f>
        <v>#VALUE!</v>
      </c>
      <c r="AP31" s="73"/>
      <c r="AQ31" s="73"/>
      <c r="AR31" s="53"/>
      <c r="AS31" s="73" t="e">
        <f>SUM(BE10,BE31,BE38,BE45)</f>
        <v>#VALUE!</v>
      </c>
      <c r="AT31" s="73"/>
      <c r="AU31" s="74"/>
      <c r="AY31" s="31" t="s">
        <v>3</v>
      </c>
      <c r="AZ31" s="53"/>
      <c r="BA31" s="73" t="e">
        <f>_xll.DBRW($A$3,$A$10,$BA29,$AY31,$A$19,$A$21,$A$23,$AZ30,$A$29)</f>
        <v>#VALUE!</v>
      </c>
      <c r="BB31" s="73"/>
      <c r="BC31" s="73"/>
      <c r="BD31" s="53"/>
      <c r="BE31" s="77" t="e">
        <f>_xll.DBRW($A$3,$A$10,$BE29,$AY31,$A$19,$A$21,$A$23,$AZ30,$A$29)</f>
        <v>#VALUE!</v>
      </c>
      <c r="BF31" s="77"/>
      <c r="BG31" s="77"/>
      <c r="BK31" s="31" t="s">
        <v>3</v>
      </c>
      <c r="BL31" s="53"/>
      <c r="BM31" s="73" t="e">
        <f>_xll.DBRW($A$3,$A$10,$BM29,$BK31,$A$19,$A$21,$A$23,$BL30,$A$29)</f>
        <v>#VALUE!</v>
      </c>
      <c r="BN31" s="73"/>
      <c r="BO31" s="73"/>
      <c r="BP31" s="53"/>
      <c r="BQ31" s="77" t="e">
        <f>_xll.DBRW($A$3,$A$10,$BQ29,$BK31,$A$19,$A$21,$A$23,$BL30,$A$29)</f>
        <v>#VALUE!</v>
      </c>
      <c r="BR31" s="77"/>
      <c r="BS31" s="77"/>
    </row>
    <row r="32" spans="1:71">
      <c r="A32" t="s">
        <v>42</v>
      </c>
      <c r="E32" s="28" t="e">
        <f>$A$17</f>
        <v>#N/A</v>
      </c>
      <c r="F32" s="53"/>
      <c r="G32" s="92" t="e">
        <f>_xll.DBRW(A3,$A$10,G29,E32,A19,A21,A23,"% ROIC","Value")</f>
        <v>#VALUE!</v>
      </c>
      <c r="H32" s="92"/>
      <c r="I32" s="92"/>
      <c r="J32" s="53"/>
      <c r="K32" s="92" t="e">
        <f>_xll.DBRW(A3,$A$10,K29,E32,A19,A21,A23,"% ROIC","Value")</f>
        <v>#VALUE!</v>
      </c>
      <c r="L32" s="92"/>
      <c r="M32" s="93"/>
      <c r="N32" s="5"/>
      <c r="O32" s="5"/>
      <c r="P32" s="23" t="e">
        <f>$A$17</f>
        <v>#N/A</v>
      </c>
      <c r="Q32" s="53"/>
      <c r="R32" s="87" t="e">
        <f>_xll.DBRW(A3,$A$10,R29,P32,A19,A21,"Total Products","Working Capital Balance","Value")</f>
        <v>#VALUE!</v>
      </c>
      <c r="S32" s="87"/>
      <c r="T32" s="87"/>
      <c r="U32" s="53"/>
      <c r="V32" s="87" t="e">
        <f>_xll.DBRW(A3,$A$10,V29,P32,A19,A21,"Total Products","Working Capital Balance","Value")</f>
        <v>#VALUE!</v>
      </c>
      <c r="W32" s="87"/>
      <c r="X32" s="91"/>
      <c r="Y32" s="5"/>
      <c r="Z32" s="5"/>
      <c r="AA32" s="23" t="e">
        <f>$A$17</f>
        <v>#N/A</v>
      </c>
      <c r="AB32" s="53"/>
      <c r="AC32" s="87" t="e">
        <f>AO32+AO39</f>
        <v>#VALUE!</v>
      </c>
      <c r="AD32" s="87"/>
      <c r="AE32" s="87"/>
      <c r="AF32" s="53"/>
      <c r="AG32" s="87" t="e">
        <f>AS32+AS39</f>
        <v>#VALUE!</v>
      </c>
      <c r="AH32" s="87"/>
      <c r="AI32" s="91"/>
      <c r="AM32" s="23" t="e">
        <f>$A$17</f>
        <v>#N/A</v>
      </c>
      <c r="AN32" s="53"/>
      <c r="AO32" s="87" t="e">
        <f>SUM(BA11,BA32,BA39,BA46)</f>
        <v>#VALUE!</v>
      </c>
      <c r="AP32" s="87"/>
      <c r="AQ32" s="87"/>
      <c r="AR32" s="53"/>
      <c r="AS32" s="87" t="e">
        <f>SUM(BE11,BE32,BE39,BE46)</f>
        <v>#VALUE!</v>
      </c>
      <c r="AT32" s="87"/>
      <c r="AU32" s="91"/>
      <c r="AY32" s="31" t="s">
        <v>38</v>
      </c>
      <c r="AZ32" s="53"/>
      <c r="BA32" s="87" t="e">
        <f>_xll.DBRW($A$3,$A$10,$BA29,$AY32,$A$19,$A$21,$A$23,$AZ30,$A$29)</f>
        <v>#VALUE!</v>
      </c>
      <c r="BB32" s="87"/>
      <c r="BC32" s="87"/>
      <c r="BD32" s="53"/>
      <c r="BE32" s="88" t="e">
        <f>_xll.DBRW($A$3,$A$10,$BE29,$AY32,$A$19,$A$21,$A$23,$AZ30,$A$29)</f>
        <v>#VALUE!</v>
      </c>
      <c r="BF32" s="88"/>
      <c r="BG32" s="88"/>
      <c r="BK32" s="31" t="s">
        <v>38</v>
      </c>
      <c r="BL32" s="53"/>
      <c r="BM32" s="87" t="e">
        <f>_xll.DBRW($A$3,$A$10,$BM29,$BK32,$A$19,$A$21,$A$23,$BL30,$A$29)</f>
        <v>#VALUE!</v>
      </c>
      <c r="BN32" s="87"/>
      <c r="BO32" s="87"/>
      <c r="BP32" s="53"/>
      <c r="BQ32" s="88" t="e">
        <f>_xll.DBRW($A$3,$A$10,$BQ29,$BK32,$A$19,$A$21,$A$23,$BL30,$A$29)</f>
        <v>#VALUE!</v>
      </c>
      <c r="BR32" s="88"/>
      <c r="BS32" s="88"/>
    </row>
    <row r="33" spans="5:71">
      <c r="E33" s="24" t="str">
        <f>$A$15</f>
        <v>l500</v>
      </c>
      <c r="F33" s="25" t="e">
        <f>IF(E29="+",IF(G31&gt;G33*(1+IF(G33&gt;0,$C$4,-$C$4)),1,IF(G31&gt;=G32*(1+IF(G32&gt;0,-$C$4,$C$4)),0,-1)),IF(E29="-",IF(G31&lt;G33*(1+IF(G33&gt;0,-$C$4,$C$4)),1,IF(G31&lt;=G32*(1+IF(G32&gt;0,$C$4,-$C$4)),0,-1))))</f>
        <v>#VALUE!</v>
      </c>
      <c r="G33" s="49" t="e">
        <f>_xll.DBRW(A3,$A$10,G29,E33,A19,A21,A23,"% ROIC","Value")</f>
        <v>#VALUE!</v>
      </c>
      <c r="H33" s="49"/>
      <c r="I33" s="49"/>
      <c r="J33" s="25" t="e">
        <f>IF(E29="+",IF(K31&gt;K33*(1+IF(K33&gt;0,$C$4,-$C$4)),1,IF(K31&gt;=K32*(1+IF(K32&gt;0,-$C$4,$C$4)),0,-1)),IF(E29="-",IF(K31&lt;K33*(1+IF(K33&gt;0,-$C$4,$C$4)),1,IF(K31&lt;=K32*(1+IF(K32&gt;0,$C$4,-$C$4)),0,-1))))</f>
        <v>#VALUE!</v>
      </c>
      <c r="K33" s="49" t="e">
        <f>_xll.DBRW(A3,$A$10,K29,E33,A19,A21,A23,"% ROIC","Value")</f>
        <v>#VALUE!</v>
      </c>
      <c r="L33" s="49"/>
      <c r="M33" s="50"/>
      <c r="N33" s="5"/>
      <c r="O33" s="5"/>
      <c r="P33" s="24" t="str">
        <f>$A$15</f>
        <v>l500</v>
      </c>
      <c r="Q33" s="25" t="e">
        <f>IF(P29="+",IF(R31&gt;R33*(1+IF(R33&gt;0,$C$4,-$C$4)),1,IF(R31&gt;=R32*(1+IF(R32&gt;0,-$C$4,$C$4)),0,-1)),IF(P29="-",IF(R31&lt;R33*(1+IF(R33&gt;0,-$C$4,$C$4)),1,IF(R31&lt;=R32*(1+IF(R32&gt;0,$C$4,-$C$4)),0,-1))))</f>
        <v>#VALUE!</v>
      </c>
      <c r="R33" s="47" t="e">
        <f>_xll.DBRW(A3,$A$10,R29,P33,A19,A21,"Total Products","Working Capital Balance","Value")</f>
        <v>#VALUE!</v>
      </c>
      <c r="S33" s="47"/>
      <c r="T33" s="47"/>
      <c r="U33" s="25" t="e">
        <f>IF(P29="+",IF(V31&gt;V33*(1+IF(V33&gt;0,$C$4,-$C$4)),1,IF(V31&gt;=V32*(1+IF(V32&gt;0,-$C$4,$C$4)),0,-1)),IF(P29="-",IF(V31&lt;V33*(1+IF(V33&gt;0,-$C$4,$C$4)),1,IF(V31&lt;=V32*(1+IF(V32&gt;0,$C$4,-$C$4)),0,-1))))</f>
        <v>#VALUE!</v>
      </c>
      <c r="V33" s="47" t="e">
        <f>_xll.DBRW(A3,$A$10,V29,P33,A19,A21,"Total Products","Working Capital Balance","Value")</f>
        <v>#VALUE!</v>
      </c>
      <c r="W33" s="47"/>
      <c r="X33" s="48"/>
      <c r="Y33" s="5"/>
      <c r="Z33" s="5"/>
      <c r="AA33" s="24" t="str">
        <f>$A$15</f>
        <v>l500</v>
      </c>
      <c r="AB33" s="25" t="e">
        <f>IF(AA29="+",IF(AC31&gt;AC33*(1+IF(AC33&gt;0,$C$4,-$C$4)),1,IF(AC31&gt;=AC32*(1+IF(AC32&gt;0,-$C$4,$C$4)),0,-1)),IF(AA29="-",IF(AC31&lt;AC33*(1+IF(AC33&gt;0,-$C$4,$C$4)),1,IF(AC31&lt;=AC32*(1+IF(AC32&gt;0,$C$4,-$C$4)),0,-1))))</f>
        <v>#VALUE!</v>
      </c>
      <c r="AC33" s="47" t="e">
        <f>AO33+AO40</f>
        <v>#VALUE!</v>
      </c>
      <c r="AD33" s="47"/>
      <c r="AE33" s="47"/>
      <c r="AF33" s="25" t="e">
        <f>IF(AA29="+",IF(AG31&gt;AG33*(1+IF(AG33&gt;0,$C$4,-$C$4)),1,IF(AG31&gt;=AG32*(1+IF(AG32&gt;0,-$C$4,$C$4)),0,-1)),IF(AA29="-",IF(AG31&lt;AG33*(1+IF(AG33&gt;0,-$C$4,$C$4)),1,IF(AG31&lt;=AG32*(1+IF(AG32&gt;0,$C$4,-$C$4)),0,-1))))</f>
        <v>#VALUE!</v>
      </c>
      <c r="AG33" s="47" t="e">
        <f>AS33+AS40</f>
        <v>#VALUE!</v>
      </c>
      <c r="AH33" s="47"/>
      <c r="AI33" s="48"/>
      <c r="AM33" s="24" t="str">
        <f>$A$15</f>
        <v>l500</v>
      </c>
      <c r="AN33" s="25" t="e">
        <f>IF(AM29="+",IF(AO31&gt;AO33*(1+IF(AO33&gt;0,$C$4,-$C$4)),1,IF(AO31&gt;=AO32*(1+IF(AO32&gt;0,-$C$4,$C$4)),0,-1)),IF(AM29="-",IF(AO31&lt;AO33*(1+IF(AO33&gt;0,-$C$4,$C$4)),1,IF(AO31&lt;=AO32*(1+IF(AO32&gt;0,$C$4,-$C$4)),0,-1))))</f>
        <v>#VALUE!</v>
      </c>
      <c r="AO33" s="47" t="e">
        <f>SUM(BA12,BA33,BA40,BA47)</f>
        <v>#VALUE!</v>
      </c>
      <c r="AP33" s="47"/>
      <c r="AQ33" s="47"/>
      <c r="AR33" s="25" t="e">
        <f>IF(AM29="+",IF(AS31&gt;AS33*(1+IF(AS33&gt;0,$C$4,-$C$4)),1,IF(AS31&gt;=AS32*(1+IF(AS32&gt;0,-$C$4,$C$4)),0,-1)),IF(AM29="-",IF(AS31&lt;AS33*(1+IF(AS33&gt;0,-$C$4,$C$4)),1,IF(AS31&lt;=AS32*(1+IF(AS32&gt;0,$C$4,-$C$4)),0,-1))))</f>
        <v>#VALUE!</v>
      </c>
      <c r="AS33" s="47" t="e">
        <f>SUM(BE12,BE33,BE40,BE47)</f>
        <v>#VALUE!</v>
      </c>
      <c r="AT33" s="47"/>
      <c r="AU33" s="48"/>
      <c r="AY33" s="32" t="s">
        <v>19</v>
      </c>
      <c r="AZ33" s="33">
        <v>1</v>
      </c>
      <c r="BA33" s="51" t="e">
        <f>_xll.DBRW($A$3,$A$10,$BA29,$AY33,$A$19,$A$21,$A$23,$AZ30,$A$29)</f>
        <v>#VALUE!</v>
      </c>
      <c r="BB33" s="51"/>
      <c r="BC33" s="51"/>
      <c r="BD33" s="33">
        <v>1</v>
      </c>
      <c r="BE33" s="51" t="e">
        <f>_xll.DBRW($A$3,$A$10,$BE29,$AY33,$A$19,$A$21,$A$23,$AZ30,$A$29)</f>
        <v>#VALUE!</v>
      </c>
      <c r="BF33" s="51"/>
      <c r="BG33" s="52"/>
      <c r="BK33" s="32" t="s">
        <v>19</v>
      </c>
      <c r="BL33" s="33">
        <v>1</v>
      </c>
      <c r="BM33" s="51" t="e">
        <f>_xll.DBRW($A$3,$A$10,$BM29,$BK33,$A$19,$A$21,$A$23,$BL30,$A$29)</f>
        <v>#VALUE!</v>
      </c>
      <c r="BN33" s="51"/>
      <c r="BO33" s="51"/>
      <c r="BP33" s="33">
        <v>1</v>
      </c>
      <c r="BQ33" s="51" t="e">
        <f>_xll.DBRW($A$3,$A$10,$BQ29,$BK33,$A$19,$A$21,$A$23,$BL30,$A$29)</f>
        <v>#VALUE!</v>
      </c>
      <c r="BR33" s="51"/>
      <c r="BS33" s="52"/>
    </row>
    <row r="34" spans="5:71">
      <c r="N34" s="5"/>
      <c r="O34" s="5"/>
      <c r="R34" s="17"/>
      <c r="S34" s="17"/>
      <c r="T34" s="17"/>
      <c r="V34" s="17"/>
      <c r="W34" s="17"/>
      <c r="X34" s="17"/>
      <c r="Y34" s="5"/>
      <c r="Z34" s="5"/>
    </row>
    <row r="35" spans="5:71">
      <c r="N35" s="5"/>
      <c r="O35" s="5"/>
      <c r="Y35" s="5"/>
      <c r="Z35" s="5"/>
    </row>
    <row r="36" spans="5:71">
      <c r="N36" s="5"/>
      <c r="O36" s="5"/>
      <c r="P36" s="19" t="s">
        <v>6</v>
      </c>
      <c r="Q36" s="26"/>
      <c r="R36" s="79" t="e">
        <f>$A$13</f>
        <v>#N/A</v>
      </c>
      <c r="S36" s="79"/>
      <c r="T36" s="79"/>
      <c r="U36" s="26"/>
      <c r="V36" s="79" t="str">
        <f>$A$12</f>
        <v>Year</v>
      </c>
      <c r="W36" s="79"/>
      <c r="X36" s="80"/>
      <c r="Y36" s="5"/>
      <c r="Z36" s="5"/>
      <c r="AA36" s="19" t="s">
        <v>6</v>
      </c>
      <c r="AB36" s="20"/>
      <c r="AC36" s="79" t="e">
        <f>$A$13</f>
        <v>#N/A</v>
      </c>
      <c r="AD36" s="79"/>
      <c r="AE36" s="79"/>
      <c r="AF36" s="20"/>
      <c r="AG36" s="79" t="str">
        <f>$A$12</f>
        <v>Year</v>
      </c>
      <c r="AH36" s="79"/>
      <c r="AI36" s="80"/>
      <c r="AM36" s="29" t="s">
        <v>6</v>
      </c>
      <c r="AN36" s="30"/>
      <c r="AO36" s="61" t="s">
        <v>37</v>
      </c>
      <c r="AP36" s="61"/>
      <c r="AQ36" s="61"/>
      <c r="AR36" s="30"/>
      <c r="AS36" s="61" t="s">
        <v>5</v>
      </c>
      <c r="AT36" s="61"/>
      <c r="AU36" s="62"/>
      <c r="AY36" s="29" t="s">
        <v>6</v>
      </c>
      <c r="AZ36" s="30"/>
      <c r="BA36" s="61" t="s">
        <v>37</v>
      </c>
      <c r="BB36" s="61"/>
      <c r="BC36" s="61"/>
      <c r="BD36" s="30"/>
      <c r="BE36" s="61" t="s">
        <v>5</v>
      </c>
      <c r="BF36" s="61"/>
      <c r="BG36" s="62"/>
      <c r="BK36" s="29" t="s">
        <v>6</v>
      </c>
      <c r="BL36" s="30"/>
      <c r="BM36" s="61" t="s">
        <v>37</v>
      </c>
      <c r="BN36" s="61"/>
      <c r="BO36" s="61"/>
      <c r="BP36" s="30"/>
      <c r="BQ36" s="61" t="s">
        <v>5</v>
      </c>
      <c r="BR36" s="61"/>
      <c r="BS36" s="62"/>
    </row>
    <row r="37" spans="5:71">
      <c r="N37" s="5"/>
      <c r="O37" s="5"/>
      <c r="P37" s="27"/>
      <c r="Q37" s="89" t="s">
        <v>10</v>
      </c>
      <c r="R37" s="89"/>
      <c r="S37" s="89"/>
      <c r="T37" s="89"/>
      <c r="U37" s="89"/>
      <c r="V37" s="89"/>
      <c r="W37" s="89"/>
      <c r="X37" s="90"/>
      <c r="Y37" s="5"/>
      <c r="Z37" s="5"/>
      <c r="AA37" s="23"/>
      <c r="AB37" s="89" t="s">
        <v>39</v>
      </c>
      <c r="AC37" s="89"/>
      <c r="AD37" s="89"/>
      <c r="AE37" s="89"/>
      <c r="AF37" s="89"/>
      <c r="AG37" s="89"/>
      <c r="AH37" s="89"/>
      <c r="AI37" s="90"/>
      <c r="AM37" s="31"/>
      <c r="AN37" s="89" t="s">
        <v>56</v>
      </c>
      <c r="AO37" s="89"/>
      <c r="AP37" s="89"/>
      <c r="AQ37" s="89"/>
      <c r="AR37" s="89"/>
      <c r="AS37" s="89"/>
      <c r="AT37" s="89"/>
      <c r="AU37" s="84"/>
      <c r="AY37" s="31"/>
      <c r="AZ37" s="84" t="s">
        <v>54</v>
      </c>
      <c r="BA37" s="84"/>
      <c r="BB37" s="84"/>
      <c r="BC37" s="84"/>
      <c r="BD37" s="84"/>
      <c r="BE37" s="84"/>
      <c r="BF37" s="84"/>
      <c r="BG37" s="84"/>
      <c r="BK37" s="31"/>
      <c r="BL37" s="84" t="s">
        <v>47</v>
      </c>
      <c r="BM37" s="84"/>
      <c r="BN37" s="84"/>
      <c r="BO37" s="84"/>
      <c r="BP37" s="84"/>
      <c r="BQ37" s="84"/>
      <c r="BR37" s="84"/>
      <c r="BS37" s="84"/>
    </row>
    <row r="38" spans="5:71">
      <c r="O38" s="5"/>
      <c r="P38" s="23" t="e">
        <f>$A$16</f>
        <v>#N/A</v>
      </c>
      <c r="Q38" s="53"/>
      <c r="R38" s="73" t="e">
        <f>_xll.DBRW(A3,$A$10,R36,P38,A19,A21,"Total Products","Income Tax LTM","Value")</f>
        <v>#VALUE!</v>
      </c>
      <c r="S38" s="73"/>
      <c r="T38" s="73"/>
      <c r="U38" s="53"/>
      <c r="V38" s="73" t="e">
        <f>_xll.DBRW(A3,$A$10,V36,P38,A19,A21,"Total Products","Income Tax LTM","Value")</f>
        <v>#VALUE!</v>
      </c>
      <c r="W38" s="73"/>
      <c r="X38" s="74"/>
      <c r="Y38" s="5"/>
      <c r="Z38" s="5"/>
      <c r="AA38" s="23" t="e">
        <f>$A$16</f>
        <v>#N/A</v>
      </c>
      <c r="AB38" s="53"/>
      <c r="AC38" s="73" t="e">
        <f>_xll.DBRW($A$4,$A$10,AC36,AA38,$A$19,$A$21,$A$23,"Fixed Costs",$A$29)</f>
        <v>#VALUE!</v>
      </c>
      <c r="AD38" s="73"/>
      <c r="AE38" s="73"/>
      <c r="AF38" s="53"/>
      <c r="AG38" s="73" t="e">
        <f>_xll.DBRW($A$4,$A$10,AG36,AA38,$A$19,$A$21,$A$23,"Fixed Costs",$A$29)</f>
        <v>#VALUE!</v>
      </c>
      <c r="AH38" s="73"/>
      <c r="AI38" s="74"/>
      <c r="AM38" s="31" t="s">
        <v>3</v>
      </c>
      <c r="AN38" s="53"/>
      <c r="AO38" s="73" t="e">
        <f>_xll.DBRW($A$3,$A$10,AO36,AM38,$A$19,$A$21,$A$31,"Cement Fix. Costs (LMU/t)",$A$29)</f>
        <v>#VALUE!</v>
      </c>
      <c r="AP38" s="73"/>
      <c r="AQ38" s="73"/>
      <c r="AR38" s="53"/>
      <c r="AS38" s="73" t="e">
        <f>_xll.DBRW($A$3,$A$10,AS36,AM38,$A$19,$A$21,$A$31,"Cement Fix. Costs (LMU/t)",$A$29)</f>
        <v>#VALUE!</v>
      </c>
      <c r="AT38" s="73"/>
      <c r="AU38" s="77"/>
      <c r="AY38" s="31" t="s">
        <v>3</v>
      </c>
      <c r="AZ38" s="53"/>
      <c r="BA38" s="73" t="e">
        <f>_xll.DBRW($A$3,$A$10,$BA36,$AY38,$A$19,$A$21,$A$23,$AZ37,$A$29)</f>
        <v>#VALUE!</v>
      </c>
      <c r="BB38" s="73"/>
      <c r="BC38" s="73"/>
      <c r="BD38" s="53"/>
      <c r="BE38" s="77" t="e">
        <f>_xll.DBRW($A$3,$A$10,$BE36,$AY38,$A$19,$A$21,$A$23,$AZ37,$A$29)</f>
        <v>#VALUE!</v>
      </c>
      <c r="BF38" s="77"/>
      <c r="BG38" s="77"/>
      <c r="BK38" s="31" t="s">
        <v>3</v>
      </c>
      <c r="BL38" s="53"/>
      <c r="BM38" s="73" t="e">
        <f>_xll.DBRW($A$3,$A$10,$BM36,$BK38,$A$19,$A$21,$A$23,$BL37,$A$29)</f>
        <v>#VALUE!</v>
      </c>
      <c r="BN38" s="73"/>
      <c r="BO38" s="73"/>
      <c r="BP38" s="53"/>
      <c r="BQ38" s="77" t="e">
        <f>_xll.DBRW($A$3,$A$10,$BQ36,$BK38,$A$19,$A$21,$A$23,$BL37,$A$29)</f>
        <v>#VALUE!</v>
      </c>
      <c r="BR38" s="77"/>
      <c r="BS38" s="77"/>
    </row>
    <row r="39" spans="5:71">
      <c r="O39" s="5"/>
      <c r="P39" s="23" t="e">
        <f>$A$17</f>
        <v>#N/A</v>
      </c>
      <c r="Q39" s="53"/>
      <c r="R39" s="87" t="e">
        <f>_xll.DBRW(A3,$A$10,R36,P39,A19,A21,"Total Products","Income Tax LTM","Value")</f>
        <v>#VALUE!</v>
      </c>
      <c r="S39" s="87"/>
      <c r="T39" s="87"/>
      <c r="U39" s="53"/>
      <c r="V39" s="87" t="e">
        <f>_xll.DBRW(A3,$A$10,V36,P39,A19,A21,"Total Products","Income Tax LTM","Value")</f>
        <v>#VALUE!</v>
      </c>
      <c r="W39" s="87"/>
      <c r="X39" s="91"/>
      <c r="Y39" s="5"/>
      <c r="Z39" s="5"/>
      <c r="AA39" s="23" t="e">
        <f>$A$17</f>
        <v>#N/A</v>
      </c>
      <c r="AB39" s="53"/>
      <c r="AC39" s="87" t="e">
        <f>_xll.DBRW($A$4,$A$10,AC36,AA39,$A$19,$A$21,$A$23,"Fixed Costs",$A$29)</f>
        <v>#VALUE!</v>
      </c>
      <c r="AD39" s="87"/>
      <c r="AE39" s="87"/>
      <c r="AF39" s="53"/>
      <c r="AG39" s="87" t="e">
        <f>_xll.DBRW($A$4,$A$10,AG36,AA39,$A$19,$A$21,$A$23,"Fixed Costs",$A$29)</f>
        <v>#VALUE!</v>
      </c>
      <c r="AH39" s="87"/>
      <c r="AI39" s="91"/>
      <c r="AM39" s="31" t="s">
        <v>38</v>
      </c>
      <c r="AN39" s="53"/>
      <c r="AO39" s="87" t="e">
        <f>_xll.DBRW($A$3,$A$10,AO36,AM39,$A$19,$A$21,$A$31,"Cement Fix. Costs (LMU/t)",$A$29)</f>
        <v>#VALUE!</v>
      </c>
      <c r="AP39" s="87"/>
      <c r="AQ39" s="87"/>
      <c r="AR39" s="53"/>
      <c r="AS39" s="87" t="e">
        <f>_xll.DBRW($A$3,$A$10,AS36,AM39,$A$19,$A$21,$A$31,"Cement Fix. Costs (LMU/t)",$A$29)</f>
        <v>#VALUE!</v>
      </c>
      <c r="AT39" s="87"/>
      <c r="AU39" s="88"/>
      <c r="AY39" s="31" t="s">
        <v>38</v>
      </c>
      <c r="AZ39" s="53"/>
      <c r="BA39" s="87" t="e">
        <f>_xll.DBRW($A$3,$A$10,$BA36,$AY39,$A$19,$A$21,$A$23,$AZ37,$A$29)</f>
        <v>#VALUE!</v>
      </c>
      <c r="BB39" s="87"/>
      <c r="BC39" s="87"/>
      <c r="BD39" s="53"/>
      <c r="BE39" s="88" t="e">
        <f>_xll.DBRW($A$3,$A$10,$BE36,$AY39,$A$19,$A$21,$A$23,$AZ37,$A$29)</f>
        <v>#VALUE!</v>
      </c>
      <c r="BF39" s="88"/>
      <c r="BG39" s="88"/>
      <c r="BK39" s="31" t="s">
        <v>38</v>
      </c>
      <c r="BL39" s="53"/>
      <c r="BM39" s="87" t="e">
        <f>_xll.DBRW($A$3,$A$10,$BM36,$BK39,$A$19,$A$21,$A$23,$BL37,$A$29)</f>
        <v>#VALUE!</v>
      </c>
      <c r="BN39" s="87"/>
      <c r="BO39" s="87"/>
      <c r="BP39" s="53"/>
      <c r="BQ39" s="88" t="e">
        <f>_xll.DBRW($A$3,$A$10,$BQ36,$BK39,$A$19,$A$21,$A$23,$BL37,$A$29)</f>
        <v>#VALUE!</v>
      </c>
      <c r="BR39" s="88"/>
      <c r="BS39" s="88"/>
    </row>
    <row r="40" spans="5:71">
      <c r="O40" s="5"/>
      <c r="P40" s="24" t="str">
        <f>$A$15</f>
        <v>l500</v>
      </c>
      <c r="Q40" s="25" t="e">
        <f>IF(P36="+",IF(R38&gt;R40*(1+IF(R40&gt;0,$C$4,-$C$4)),1,IF(R38&gt;=R39*(1+IF(R39&gt;0,-$C$4,$C$4)),0,-1)),IF(P36="-",IF(R38&lt;R40*(1+IF(R40&gt;0,-$C$4,$C$4)),1,IF(R38&lt;=R39*(1+IF(R39&gt;0,$C$4,-$C$4)),0,-1))))</f>
        <v>#VALUE!</v>
      </c>
      <c r="R40" s="81" t="e">
        <f>_xll.DBRW(A3,$A$10,R36,P40,A19,A21,"Total Products","Income Tax LTM","Value")</f>
        <v>#VALUE!</v>
      </c>
      <c r="S40" s="81"/>
      <c r="T40" s="81"/>
      <c r="U40" s="25" t="e">
        <f>IF(P36="+",IF(V38&gt;V40*(1+IF(V40&gt;0,$C$4,-$C$4)),1,IF(V38&gt;=V39*(1+IF(V39&gt;0,-$C$4,$C$4)),0,-1)),IF(P36="-",IF(V38&lt;V40*(1+IF(V40&gt;0,-$C$4,$C$4)),1,IF(V38&lt;=V39*(1+IF(V39&gt;0,$C$4,-$C$4)),0,-1))))</f>
        <v>#VALUE!</v>
      </c>
      <c r="V40" s="81" t="e">
        <f>_xll.DBRW(A3,$A$10,V36,P40,A19,A21,"Total Products","Income Tax LTM","Value")</f>
        <v>#VALUE!</v>
      </c>
      <c r="W40" s="81"/>
      <c r="X40" s="82"/>
      <c r="Y40" s="5"/>
      <c r="Z40" s="5"/>
      <c r="AA40" s="24" t="str">
        <f>$A$15</f>
        <v>l500</v>
      </c>
      <c r="AB40" s="25" t="e">
        <f>IF(AA36="+",IF(AC38&gt;AC40*(1+IF(AC40&gt;0,$C$4,-$C$4)),1,IF(AC38&gt;=AC39*(1+IF(AC39&gt;0,-$C$4,$C$4)),0,-1)),IF(AA36="-",IF(AC38&lt;AC40*(1+IF(AC40&gt;0,-$C$4,$C$4)),1,IF(AC38&lt;=AC39*(1+IF(AC39&gt;0,$C$4,-$C$4)),0,-1))))</f>
        <v>#VALUE!</v>
      </c>
      <c r="AC40" s="47" t="e">
        <f>_xll.DBRW($A$4,$A$10,AC36,AA40,$A$19,$A$21,$A$23,"Fixed Costs",$A$29)</f>
        <v>#VALUE!</v>
      </c>
      <c r="AD40" s="47"/>
      <c r="AE40" s="47"/>
      <c r="AF40" s="25" t="e">
        <f>IF(AA36="+",IF(AG38&gt;AG40*(1+IF(AG40&gt;0,$C$4,-$C$4)),1,IF(AG38&gt;=AG39*(1+IF(AG39&gt;0,-$C$4,$C$4)),0,-1)),IF(AA36="-",IF(AG38&lt;AG40*(1+IF(AG40&gt;0,-$C$4,$C$4)),1,IF(AG38&lt;=AG39*(1+IF(AG39&gt;0,$C$4,-$C$4)),0,-1))))</f>
        <v>#VALUE!</v>
      </c>
      <c r="AG40" s="47" t="e">
        <f>_xll.DBRW($A$4,$A$10,AG36,AA40,$A$19,$A$21,$A$23,"Fixed Costs",$A$29)</f>
        <v>#VALUE!</v>
      </c>
      <c r="AH40" s="47"/>
      <c r="AI40" s="48"/>
      <c r="AM40" s="32" t="s">
        <v>19</v>
      </c>
      <c r="AN40" s="33">
        <v>0</v>
      </c>
      <c r="AO40" s="51" t="e">
        <f>_xll.DBRW($A$3,$A$10,AO36,AM40,$A$19,$A$21,$A$31,"Cement Fix. Costs (LMU/t)",$A$29)</f>
        <v>#VALUE!</v>
      </c>
      <c r="AP40" s="51"/>
      <c r="AQ40" s="51"/>
      <c r="AR40" s="33">
        <v>0</v>
      </c>
      <c r="AS40" s="51" t="e">
        <f>_xll.DBRW($A$3,$A$10,AS36,AM40,$A$19,$A$21,$A$31,"Cement Fix. Costs (LMU/t)",$A$29)</f>
        <v>#VALUE!</v>
      </c>
      <c r="AT40" s="51"/>
      <c r="AU40" s="52"/>
      <c r="AY40" s="32" t="s">
        <v>19</v>
      </c>
      <c r="AZ40" s="33">
        <v>1</v>
      </c>
      <c r="BA40" s="51" t="e">
        <f>_xll.DBRW($A$3,$A$10,$BA36,$AY40,$A$19,$A$21,$A$23,$AZ37,$A$29)</f>
        <v>#VALUE!</v>
      </c>
      <c r="BB40" s="51"/>
      <c r="BC40" s="51"/>
      <c r="BD40" s="33">
        <v>1</v>
      </c>
      <c r="BE40" s="51" t="e">
        <f>_xll.DBRW($A$3,$A$10,$BE36,$AY40,$A$19,$A$21,$A$23,$AZ37,$A$29)</f>
        <v>#VALUE!</v>
      </c>
      <c r="BF40" s="51"/>
      <c r="BG40" s="52"/>
      <c r="BK40" s="32" t="s">
        <v>19</v>
      </c>
      <c r="BL40" s="33">
        <v>1</v>
      </c>
      <c r="BM40" s="51" t="e">
        <f>_xll.DBRW($A$3,$A$10,$BM36,$BK40,$A$19,$A$21,$A$23,$BL37,$A$29)</f>
        <v>#VALUE!</v>
      </c>
      <c r="BN40" s="51"/>
      <c r="BO40" s="51"/>
      <c r="BP40" s="33">
        <v>1</v>
      </c>
      <c r="BQ40" s="51" t="e">
        <f>_xll.DBRW($A$3,$A$10,$BQ36,$BK40,$A$19,$A$21,$A$23,$BL37,$A$29)</f>
        <v>#VALUE!</v>
      </c>
      <c r="BR40" s="51"/>
      <c r="BS40" s="52"/>
    </row>
    <row r="41" spans="5:71">
      <c r="O41" s="5"/>
      <c r="Y41" s="5"/>
      <c r="Z41" s="5"/>
    </row>
    <row r="42" spans="5:71" ht="15" customHeight="1">
      <c r="O42" s="5"/>
      <c r="R42" s="18"/>
      <c r="S42" s="18"/>
      <c r="T42" s="18"/>
      <c r="V42" s="18"/>
      <c r="W42" s="18"/>
      <c r="X42" s="18"/>
      <c r="Y42" s="5"/>
      <c r="Z42" s="5"/>
    </row>
    <row r="43" spans="5:71">
      <c r="O43" s="5"/>
      <c r="P43" s="19" t="s">
        <v>6</v>
      </c>
      <c r="Q43" s="26"/>
      <c r="R43" s="79" t="e">
        <f>$A$13</f>
        <v>#N/A</v>
      </c>
      <c r="S43" s="79"/>
      <c r="T43" s="79"/>
      <c r="U43" s="26"/>
      <c r="V43" s="79" t="str">
        <f>$A$12</f>
        <v>Year</v>
      </c>
      <c r="W43" s="79"/>
      <c r="X43" s="80"/>
      <c r="Y43" s="5"/>
      <c r="Z43" s="5"/>
      <c r="AA43" s="19" t="s">
        <v>6</v>
      </c>
      <c r="AB43" s="20"/>
      <c r="AC43" s="79" t="e">
        <f>$A$13</f>
        <v>#N/A</v>
      </c>
      <c r="AD43" s="79"/>
      <c r="AE43" s="79"/>
      <c r="AF43" s="20"/>
      <c r="AG43" s="79" t="str">
        <f>$A$12</f>
        <v>Year</v>
      </c>
      <c r="AH43" s="79"/>
      <c r="AI43" s="80"/>
      <c r="AM43" s="29" t="s">
        <v>6</v>
      </c>
      <c r="AN43" s="20"/>
      <c r="AO43" s="79"/>
      <c r="AP43" s="79"/>
      <c r="AQ43" s="79"/>
      <c r="AR43" s="20"/>
      <c r="AS43" s="79"/>
      <c r="AT43" s="79"/>
      <c r="AU43" s="80"/>
      <c r="AY43" s="29" t="s">
        <v>6</v>
      </c>
      <c r="AZ43" s="30"/>
      <c r="BA43" s="61" t="s">
        <v>37</v>
      </c>
      <c r="BB43" s="61"/>
      <c r="BC43" s="61"/>
      <c r="BD43" s="30"/>
      <c r="BE43" s="61" t="s">
        <v>5</v>
      </c>
      <c r="BF43" s="61"/>
      <c r="BG43" s="62"/>
      <c r="BK43" s="29" t="s">
        <v>6</v>
      </c>
      <c r="BL43" s="30"/>
      <c r="BM43" s="61" t="s">
        <v>37</v>
      </c>
      <c r="BN43" s="61"/>
      <c r="BO43" s="61"/>
      <c r="BP43" s="30"/>
      <c r="BQ43" s="61" t="s">
        <v>5</v>
      </c>
      <c r="BR43" s="61"/>
      <c r="BS43" s="62"/>
    </row>
    <row r="44" spans="5:71">
      <c r="E44" s="8"/>
      <c r="L44" s="5"/>
      <c r="M44" s="5"/>
      <c r="N44" s="5"/>
      <c r="O44" s="5"/>
      <c r="P44" s="23"/>
      <c r="Q44" s="87" t="s">
        <v>7</v>
      </c>
      <c r="R44" s="87"/>
      <c r="S44" s="87"/>
      <c r="T44" s="87"/>
      <c r="U44" s="87"/>
      <c r="V44" s="87"/>
      <c r="W44" s="87"/>
      <c r="X44" s="91"/>
      <c r="Y44" s="5"/>
      <c r="Z44" s="5"/>
      <c r="AA44" s="23"/>
      <c r="AB44" s="89" t="s">
        <v>40</v>
      </c>
      <c r="AC44" s="89"/>
      <c r="AD44" s="89"/>
      <c r="AE44" s="89"/>
      <c r="AF44" s="89"/>
      <c r="AG44" s="89"/>
      <c r="AH44" s="89"/>
      <c r="AI44" s="90"/>
      <c r="AM44" s="23"/>
      <c r="AN44" s="89" t="s">
        <v>40</v>
      </c>
      <c r="AO44" s="89"/>
      <c r="AP44" s="89"/>
      <c r="AQ44" s="89"/>
      <c r="AR44" s="89"/>
      <c r="AS44" s="89"/>
      <c r="AT44" s="89"/>
      <c r="AU44" s="90"/>
      <c r="AY44" s="31"/>
      <c r="AZ44" s="84" t="s">
        <v>55</v>
      </c>
      <c r="BA44" s="84"/>
      <c r="BB44" s="84"/>
      <c r="BC44" s="84"/>
      <c r="BD44" s="84"/>
      <c r="BE44" s="84"/>
      <c r="BF44" s="84"/>
      <c r="BG44" s="84"/>
      <c r="BK44" s="31"/>
      <c r="BL44" s="84" t="s">
        <v>48</v>
      </c>
      <c r="BM44" s="84"/>
      <c r="BN44" s="84"/>
      <c r="BO44" s="84"/>
      <c r="BP44" s="84"/>
      <c r="BQ44" s="84"/>
      <c r="BR44" s="84"/>
      <c r="BS44" s="84"/>
    </row>
    <row r="45" spans="5:71">
      <c r="E45" s="8"/>
      <c r="L45" s="5"/>
      <c r="M45" s="5"/>
      <c r="N45" s="5"/>
      <c r="O45" s="5"/>
      <c r="P45" s="23" t="e">
        <f>$A$16</f>
        <v>#N/A</v>
      </c>
      <c r="Q45" s="53"/>
      <c r="R45" s="73" t="e">
        <f>_xll.DBRW($A$5,$A$10,R43,P45,$A$19,$A$21,"Financial Results",$A$30)+_xll.DBRW($A$5,$A$10,R43,P45,$A$19,$A$21,"FX/OTHERS",$A$30)+_xll.DBRW($A$5,$A$10,R43,P45,$A$19,$A$21,"OTHER",$A$30)</f>
        <v>#VALUE!</v>
      </c>
      <c r="S45" s="73"/>
      <c r="T45" s="73"/>
      <c r="U45" s="53"/>
      <c r="V45" s="73" t="e">
        <f>_xll.DBRW($A$5,$A$10,V43,P45,$A$19,$A$21,"Financial Results",$A$30)+_xll.DBRW($A$5,$A$10,V43,P45,$A$19,$A$21,"FX/OTHERS",$A$30)+_xll.DBRW($A$5,$A$10,V43,P45,$A$19,$A$21,"OTHER",$A$30)</f>
        <v>#VALUE!</v>
      </c>
      <c r="W45" s="73"/>
      <c r="X45" s="74"/>
      <c r="Y45" s="5"/>
      <c r="Z45" s="5"/>
      <c r="AA45" s="23" t="e">
        <f>$A$16</f>
        <v>#N/A</v>
      </c>
      <c r="AB45" s="53"/>
      <c r="AC45" s="75" t="e">
        <f>_xll.DBRW($A$3,$A$10,AC43,AA45,$A$19,$A$21,$A$23,"ZBB Total",$A$29)</f>
        <v>#VALUE!</v>
      </c>
      <c r="AD45" s="75"/>
      <c r="AE45" s="75"/>
      <c r="AF45" s="53"/>
      <c r="AG45" s="75" t="e">
        <f>_xll.DBRW($A$3,$A$10,AG43,AA45,$A$19,$A$21,$A$23,"ZBB Total",$A$29)</f>
        <v>#VALUE!</v>
      </c>
      <c r="AH45" s="75"/>
      <c r="AI45" s="76"/>
      <c r="AM45" s="23"/>
      <c r="AN45" s="53"/>
      <c r="AO45" s="75" t="e">
        <f>(AC38+AC45)/AC10</f>
        <v>#VALUE!</v>
      </c>
      <c r="AP45" s="75"/>
      <c r="AQ45" s="75"/>
      <c r="AR45" s="53"/>
      <c r="AS45" s="75" t="e">
        <f t="shared" ref="AS45:AS47" si="0">(AG38+AG45)/AG10</f>
        <v>#VALUE!</v>
      </c>
      <c r="AT45" s="75"/>
      <c r="AU45" s="76"/>
      <c r="AY45" s="31" t="s">
        <v>3</v>
      </c>
      <c r="AZ45" s="53"/>
      <c r="BA45" s="73" t="e">
        <f>_xll.DBRW($A$3,$A$10,$BA43,$AY45,$A$19,$A$21,$A$23,$AZ44,$A$29)</f>
        <v>#VALUE!</v>
      </c>
      <c r="BB45" s="73"/>
      <c r="BC45" s="73"/>
      <c r="BD45" s="53"/>
      <c r="BE45" s="77" t="e">
        <f>_xll.DBRW($A$3,$A$10,$BE43,$AY45,$A$19,$A$21,$A$23,$AZ44,$A$29)</f>
        <v>#VALUE!</v>
      </c>
      <c r="BF45" s="77"/>
      <c r="BG45" s="77"/>
      <c r="BK45" s="31" t="s">
        <v>3</v>
      </c>
      <c r="BL45" s="53"/>
      <c r="BM45" s="78" t="e">
        <f>_xll.DBRW($A$3,$A$10,$BM43,$BK45,$A$19,$A$21,$A$23,$BL44,$A$29)</f>
        <v>#VALUE!</v>
      </c>
      <c r="BN45" s="78"/>
      <c r="BO45" s="78"/>
      <c r="BP45" s="53"/>
      <c r="BQ45" s="55" t="e">
        <f>_xll.DBRW($A$3,$A$10,$BQ43,$BK45,$A$19,$A$21,$A$23,$BL44,$A$29)</f>
        <v>#VALUE!</v>
      </c>
      <c r="BR45" s="55"/>
      <c r="BS45" s="55"/>
    </row>
    <row r="46" spans="5:71">
      <c r="E46" s="8"/>
      <c r="L46" s="5"/>
      <c r="M46" s="5"/>
      <c r="N46" s="5"/>
      <c r="O46" s="5"/>
      <c r="P46" s="23" t="e">
        <f>$A$17</f>
        <v>#N/A</v>
      </c>
      <c r="Q46" s="53"/>
      <c r="R46" s="87" t="e">
        <f>_xll.DBRW($A$5,$A$10,R43,P46,$A$19,$A$21,"Financial Results",$A$30)+_xll.DBRW($A$5,$A$10,R43,P46,$A$19,$A$21,"FX/OTHERS",$A$30)+_xll.DBRW($A$5,$A$10,R43,P46,$A$19,$A$21,"OTHER",$A$30)</f>
        <v>#VALUE!</v>
      </c>
      <c r="S46" s="87"/>
      <c r="T46" s="87"/>
      <c r="U46" s="53"/>
      <c r="V46" s="87" t="e">
        <f>_xll.DBRW($A$5,$A$10,V43,P46,$A$19,$A$21,"Financial Results",$A$30)+_xll.DBRW($A$5,$A$10,V43,P46,$A$19,$A$21,"FX/OTHERS",$A$30)+_xll.DBRW($A$5,$A$10,V43,P46,$A$19,$A$21,"OTHER",$A$30)</f>
        <v>#VALUE!</v>
      </c>
      <c r="W46" s="87"/>
      <c r="X46" s="91"/>
      <c r="Y46" s="5"/>
      <c r="Z46" s="5"/>
      <c r="AA46" s="23" t="e">
        <f>$A$17</f>
        <v>#N/A</v>
      </c>
      <c r="AB46" s="53"/>
      <c r="AC46" s="92" t="e">
        <f>_xll.DBRW($A$3,$A$10,AC43,AA46,$A$19,$A$21,$A$23,"ZBB Total",$A$29)</f>
        <v>#VALUE!</v>
      </c>
      <c r="AD46" s="92"/>
      <c r="AE46" s="92"/>
      <c r="AF46" s="53"/>
      <c r="AG46" s="92" t="e">
        <f>_xll.DBRW($A$3,$A$10,AG43,AA46,$A$19,$A$21,$A$23,"ZBB Total",$A$29)</f>
        <v>#VALUE!</v>
      </c>
      <c r="AH46" s="92"/>
      <c r="AI46" s="93"/>
      <c r="AM46" s="23"/>
      <c r="AN46" s="53"/>
      <c r="AO46" s="92" t="e">
        <f t="shared" ref="AO46:AO47" si="1">(AC39+AC46)/AC11</f>
        <v>#VALUE!</v>
      </c>
      <c r="AP46" s="92"/>
      <c r="AQ46" s="92"/>
      <c r="AR46" s="53"/>
      <c r="AS46" s="92" t="e">
        <f t="shared" si="0"/>
        <v>#VALUE!</v>
      </c>
      <c r="AT46" s="92"/>
      <c r="AU46" s="93"/>
      <c r="AY46" s="31" t="s">
        <v>38</v>
      </c>
      <c r="AZ46" s="53"/>
      <c r="BA46" s="87" t="e">
        <f>_xll.DBRW($A$3,$A$10,$BA43,$AY46,$A$19,$A$21,$A$23,$AZ44,$A$29)</f>
        <v>#VALUE!</v>
      </c>
      <c r="BB46" s="87"/>
      <c r="BC46" s="87"/>
      <c r="BD46" s="53"/>
      <c r="BE46" s="88" t="e">
        <f>_xll.DBRW($A$3,$A$10,$BE43,$AY46,$A$19,$A$21,$A$23,$AZ44,$A$29)</f>
        <v>#VALUE!</v>
      </c>
      <c r="BF46" s="88"/>
      <c r="BG46" s="88"/>
      <c r="BK46" s="31" t="s">
        <v>38</v>
      </c>
      <c r="BL46" s="53"/>
      <c r="BM46" s="85" t="e">
        <f>_xll.DBRW($A$3,$A$10,$BM43,$BK46,$A$19,$A$21,$A$23,$BL44,$A$29)</f>
        <v>#VALUE!</v>
      </c>
      <c r="BN46" s="85"/>
      <c r="BO46" s="85"/>
      <c r="BP46" s="53"/>
      <c r="BQ46" s="86" t="e">
        <f>_xll.DBRW($A$3,$A$10,$BQ43,$BK46,$A$19,$A$21,$A$23,$BL44,$A$29)</f>
        <v>#VALUE!</v>
      </c>
      <c r="BR46" s="86"/>
      <c r="BS46" s="86"/>
    </row>
    <row r="47" spans="5:71">
      <c r="E47" s="8"/>
      <c r="L47" s="5"/>
      <c r="M47" s="5"/>
      <c r="N47" s="5"/>
      <c r="O47" s="5"/>
      <c r="P47" s="24" t="str">
        <f>$A$15</f>
        <v>l500</v>
      </c>
      <c r="Q47" s="25" t="e">
        <f>IF(P43="+",IF(R45&gt;R47*(1+IF(R47&gt;0,$C$4,-$C$4)),1,IF(R45&gt;=R46*(1+IF(R46&gt;0,-$C$4,$C$4)),0,-1)),IF(P43="-",IF(R45&lt;R47*(1+IF(R47&gt;0,-$C$4,$C$4)),1,IF(R45&lt;=R46*(1+IF(R46&gt;0,$C$4,-$C$4)),0,-1))))</f>
        <v>#VALUE!</v>
      </c>
      <c r="R47" s="47" t="e">
        <f>_xll.DBRW($A$5,$A$10,R43,P47,$A$19,$A$21,"Financial Results",$A$30)+_xll.DBRW($A$5,$A$10,R43,P47,$A$19,$A$21,"FX/OTHERS",$A$30)+_xll.DBRW($A$5,$A$10,R43,P47,$A$19,$A$21,"OTHER",$A$30)</f>
        <v>#VALUE!</v>
      </c>
      <c r="S47" s="47"/>
      <c r="T47" s="47"/>
      <c r="U47" s="25" t="e">
        <f>IF(P43="+",IF(V45&gt;V47*(1+IF(V47&gt;0,$C$4,-$C$4)),1,IF(V45&gt;=V46*(1+IF(V46&gt;0,-$C$4,$C$4)),0,-1)),IF(P43="-",IF(V45&lt;V47*(1+IF(V47&gt;0,-$C$4,$C$4)),1,IF(V45&lt;=V46*(1+IF(V46&gt;0,$C$4,-$C$4)),0,-1))))</f>
        <v>#VALUE!</v>
      </c>
      <c r="V47" s="47" t="e">
        <f>_xll.DBRW($A$5,$A$10,V43,P47,$A$19,$A$21,"Financial Results",$A$30)+_xll.DBRW($A$5,$A$10,V43,P47,$A$19,$A$21,"FX/OTHERS",$A$30)+_xll.DBRW($A$5,$A$10,V43,P47,$A$19,$A$21,"OTHER",$A$30)</f>
        <v>#VALUE!</v>
      </c>
      <c r="W47" s="47"/>
      <c r="X47" s="48"/>
      <c r="Y47" s="5"/>
      <c r="Z47" s="5"/>
      <c r="AA47" s="24" t="str">
        <f>$A$15</f>
        <v>l500</v>
      </c>
      <c r="AB47" s="25" t="e">
        <f>IF(AA43="+",IF(AC45&gt;AC47*(1+IF(AC47&gt;0,$C$4,-$C$4)),1,IF(AC45&gt;=AC46*(1+IF(AC46&gt;0,-$C$4,$C$4)),0,-1)),IF(AA43="-",IF(AC45&lt;AC47*(1+IF(AC47&gt;0,-$C$4,$C$4)),1,IF(AC45&lt;=AC46*(1+IF(AC46&gt;0,$C$4,-$C$4)),0,-1))))</f>
        <v>#VALUE!</v>
      </c>
      <c r="AC47" s="49" t="e">
        <f>_xll.DBRW($A$3,$A$10,AC43,AA47,$A$19,$A$21,$A$23,"ZBB Total",$A$29)</f>
        <v>#VALUE!</v>
      </c>
      <c r="AD47" s="49"/>
      <c r="AE47" s="49"/>
      <c r="AF47" s="25" t="e">
        <f>IF(AA43="+",IF(AG45&gt;AG47*(1+IF(AG47&gt;0,$C$4,-$C$4)),1,IF(AG45&gt;=AG46*(1+IF(AG46&gt;0,-$C$4,$C$4)),0,-1)),IF(AA43="-",IF(AG45&lt;AG47*(1+IF(AG47&gt;0,-$C$4,$C$4)),1,IF(AG45&lt;=AG46*(1+IF(AG46&gt;0,$C$4,-$C$4)),0,-1))))</f>
        <v>#VALUE!</v>
      </c>
      <c r="AG47" s="49" t="e">
        <f>_xll.DBRW($A$3,$A$10,AG43,AA47,$A$19,$A$21,$A$23,"ZBB Total",$A$29)</f>
        <v>#VALUE!</v>
      </c>
      <c r="AH47" s="49"/>
      <c r="AI47" s="50"/>
      <c r="AM47" s="24"/>
      <c r="AN47" s="25" t="e">
        <f>IF(AM43="+",IF(AO45&gt;AO47*(1+IF(AO47&gt;0,$C$4,-$C$4)),1,IF(AO45&gt;=AO46*(1+IF(AO46&gt;0,-$C$4,$C$4)),0,-1)),IF(AM43="-",IF(AO45&lt;AO47*(1+IF(AO47&gt;0,-$C$4,$C$4)),1,IF(AO45&lt;=AO46*(1+IF(AO46&gt;0,$C$4,-$C$4)),0,-1))))</f>
        <v>#VALUE!</v>
      </c>
      <c r="AO47" s="49" t="e">
        <f t="shared" si="1"/>
        <v>#VALUE!</v>
      </c>
      <c r="AP47" s="49"/>
      <c r="AQ47" s="49"/>
      <c r="AR47" s="25" t="e">
        <f>IF(AM43="+",IF(AS45&gt;AS47*(1+IF(AS47&gt;0,$C$4,-$C$4)),1,IF(AS45&gt;=AS46*(1+IF(AS46&gt;0,-$C$4,$C$4)),0,-1)),IF(AM43="-",IF(AS45&lt;AS47*(1+IF(AS47&gt;0,-$C$4,$C$4)),1,IF(AS45&lt;=AS46*(1+IF(AS46&gt;0,$C$4,-$C$4)),0,-1))))</f>
        <v>#VALUE!</v>
      </c>
      <c r="AS47" s="49" t="e">
        <f t="shared" si="0"/>
        <v>#VALUE!</v>
      </c>
      <c r="AT47" s="49"/>
      <c r="AU47" s="50"/>
      <c r="AY47" s="32" t="s">
        <v>19</v>
      </c>
      <c r="AZ47" s="33">
        <v>1</v>
      </c>
      <c r="BA47" s="51" t="e">
        <f>_xll.DBRW($A$3,$A$10,$BA43,$AY47,$A$19,$A$21,$A$23,$AZ44,$A$29)</f>
        <v>#VALUE!</v>
      </c>
      <c r="BB47" s="51"/>
      <c r="BC47" s="51"/>
      <c r="BD47" s="33">
        <v>1</v>
      </c>
      <c r="BE47" s="51" t="e">
        <f>_xll.DBRW($A$3,$A$10,$BE43,$AY47,$A$19,$A$21,$A$23,$AZ44,$A$29)</f>
        <v>#VALUE!</v>
      </c>
      <c r="BF47" s="51"/>
      <c r="BG47" s="52"/>
      <c r="BK47" s="32" t="s">
        <v>19</v>
      </c>
      <c r="BL47" s="33">
        <v>1</v>
      </c>
      <c r="BM47" s="44" t="e">
        <f>_xll.DBRW($A$3,$A$10,$BM43,$BK47,$A$19,$A$21,$A$23,$BL44,$A$29)</f>
        <v>#VALUE!</v>
      </c>
      <c r="BN47" s="44"/>
      <c r="BO47" s="44"/>
      <c r="BP47" s="33">
        <v>1</v>
      </c>
      <c r="BQ47" s="44" t="e">
        <f>_xll.DBRW($A$3,$A$10,$BQ43,$BK47,$A$19,$A$21,$A$23,$BL44,$A$29)</f>
        <v>#VALUE!</v>
      </c>
      <c r="BR47" s="44"/>
      <c r="BS47" s="45"/>
    </row>
    <row r="48" spans="5:71">
      <c r="E48" s="8"/>
      <c r="L48" s="5"/>
      <c r="M48" s="5"/>
      <c r="N48" s="5"/>
      <c r="O48" s="5"/>
      <c r="Y48" s="5"/>
      <c r="Z48" s="5"/>
    </row>
    <row r="49" spans="1:26">
      <c r="E49" s="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2" spans="1:26">
      <c r="A52" s="2"/>
    </row>
    <row r="53" spans="1:26">
      <c r="A53" s="2"/>
    </row>
    <row r="54" spans="1:26">
      <c r="A54" s="2"/>
    </row>
    <row r="55" spans="1:26">
      <c r="A55" s="2"/>
    </row>
    <row r="56" spans="1:26">
      <c r="A56" s="2"/>
    </row>
    <row r="57" spans="1:26">
      <c r="A57" s="2"/>
    </row>
    <row r="58" spans="1:26">
      <c r="A58" s="2"/>
    </row>
    <row r="59" spans="1:26">
      <c r="A59" s="2"/>
    </row>
    <row r="60" spans="1:26">
      <c r="A60" s="2"/>
    </row>
    <row r="61" spans="1:26">
      <c r="A61" s="2"/>
    </row>
    <row r="62" spans="1:26">
      <c r="A62" s="2"/>
    </row>
    <row r="63" spans="1:26">
      <c r="A63" s="2"/>
    </row>
    <row r="64" spans="1:26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1" t="s">
        <v>1</v>
      </c>
    </row>
    <row r="74" spans="1:1">
      <c r="A74" t="s">
        <v>0</v>
      </c>
    </row>
  </sheetData>
  <mergeCells count="339">
    <mergeCell ref="AZ16:BG16"/>
    <mergeCell ref="R15:T15"/>
    <mergeCell ref="V15:X15"/>
    <mergeCell ref="AG12:AI12"/>
    <mergeCell ref="R10:T10"/>
    <mergeCell ref="V10:X10"/>
    <mergeCell ref="AC10:AE10"/>
    <mergeCell ref="BE11:BG11"/>
    <mergeCell ref="BE8:BG8"/>
    <mergeCell ref="AC8:AE8"/>
    <mergeCell ref="U10:U11"/>
    <mergeCell ref="Q9:X9"/>
    <mergeCell ref="V11:X11"/>
    <mergeCell ref="R11:T11"/>
    <mergeCell ref="AB10:AB11"/>
    <mergeCell ref="AC12:AE12"/>
    <mergeCell ref="BE12:BG12"/>
    <mergeCell ref="AG10:AI10"/>
    <mergeCell ref="AG15:AI15"/>
    <mergeCell ref="AG40:AI40"/>
    <mergeCell ref="AC47:AE47"/>
    <mergeCell ref="AG47:AI47"/>
    <mergeCell ref="R45:T45"/>
    <mergeCell ref="V45:X45"/>
    <mergeCell ref="V38:X38"/>
    <mergeCell ref="AG33:AI33"/>
    <mergeCell ref="R17:T17"/>
    <mergeCell ref="V17:X17"/>
    <mergeCell ref="R29:T29"/>
    <mergeCell ref="V29:X29"/>
    <mergeCell ref="R36:T36"/>
    <mergeCell ref="R22:T22"/>
    <mergeCell ref="V22:X22"/>
    <mergeCell ref="R33:T33"/>
    <mergeCell ref="V33:X33"/>
    <mergeCell ref="AG31:AI31"/>
    <mergeCell ref="AG29:AI29"/>
    <mergeCell ref="AC43:AE43"/>
    <mergeCell ref="AG43:AI43"/>
    <mergeCell ref="AG46:AI46"/>
    <mergeCell ref="AG38:AI38"/>
    <mergeCell ref="AS33:AU33"/>
    <mergeCell ref="F23:M23"/>
    <mergeCell ref="Q30:X30"/>
    <mergeCell ref="G24:I24"/>
    <mergeCell ref="K24:M24"/>
    <mergeCell ref="R31:T31"/>
    <mergeCell ref="V31:X31"/>
    <mergeCell ref="F24:F25"/>
    <mergeCell ref="G25:I25"/>
    <mergeCell ref="K25:M25"/>
    <mergeCell ref="J24:J25"/>
    <mergeCell ref="G26:I26"/>
    <mergeCell ref="G33:I33"/>
    <mergeCell ref="K33:M33"/>
    <mergeCell ref="AG8:AI8"/>
    <mergeCell ref="BE25:BG25"/>
    <mergeCell ref="BE33:BG33"/>
    <mergeCell ref="AB9:AI9"/>
    <mergeCell ref="BE43:BG43"/>
    <mergeCell ref="BE31:BG31"/>
    <mergeCell ref="BE40:BG40"/>
    <mergeCell ref="BE19:BG19"/>
    <mergeCell ref="BE29:BG29"/>
    <mergeCell ref="BE22:BG22"/>
    <mergeCell ref="AO29:AQ29"/>
    <mergeCell ref="AS29:AU29"/>
    <mergeCell ref="AC19:AE19"/>
    <mergeCell ref="AG19:AI19"/>
    <mergeCell ref="AG32:AI32"/>
    <mergeCell ref="AC33:AE33"/>
    <mergeCell ref="AN30:AU30"/>
    <mergeCell ref="AN31:AN32"/>
    <mergeCell ref="AO31:AQ31"/>
    <mergeCell ref="AR31:AR32"/>
    <mergeCell ref="AS31:AU31"/>
    <mergeCell ref="AO32:AQ32"/>
    <mergeCell ref="AS32:AU32"/>
    <mergeCell ref="AO33:AQ33"/>
    <mergeCell ref="R8:T8"/>
    <mergeCell ref="V8:X8"/>
    <mergeCell ref="R32:T32"/>
    <mergeCell ref="V32:X32"/>
    <mergeCell ref="U31:U32"/>
    <mergeCell ref="V26:X26"/>
    <mergeCell ref="R25:T25"/>
    <mergeCell ref="V25:X25"/>
    <mergeCell ref="Q31:Q32"/>
    <mergeCell ref="Q10:Q11"/>
    <mergeCell ref="G15:I15"/>
    <mergeCell ref="K15:M15"/>
    <mergeCell ref="G18:I18"/>
    <mergeCell ref="K18:M18"/>
    <mergeCell ref="F17:F18"/>
    <mergeCell ref="J17:J18"/>
    <mergeCell ref="AC38:AE38"/>
    <mergeCell ref="V46:X46"/>
    <mergeCell ref="R46:T46"/>
    <mergeCell ref="K26:M26"/>
    <mergeCell ref="Q38:Q39"/>
    <mergeCell ref="U38:U39"/>
    <mergeCell ref="G19:I19"/>
    <mergeCell ref="V36:X36"/>
    <mergeCell ref="AC40:AE40"/>
    <mergeCell ref="AC15:AE15"/>
    <mergeCell ref="F16:M16"/>
    <mergeCell ref="R43:T43"/>
    <mergeCell ref="V43:X43"/>
    <mergeCell ref="R47:T47"/>
    <mergeCell ref="V47:X47"/>
    <mergeCell ref="Q17:Q18"/>
    <mergeCell ref="U17:U18"/>
    <mergeCell ref="R24:T24"/>
    <mergeCell ref="R26:T26"/>
    <mergeCell ref="V24:X24"/>
    <mergeCell ref="Q24:Q25"/>
    <mergeCell ref="U24:U25"/>
    <mergeCell ref="Q16:X16"/>
    <mergeCell ref="F30:M30"/>
    <mergeCell ref="G31:I31"/>
    <mergeCell ref="G32:I32"/>
    <mergeCell ref="K31:M31"/>
    <mergeCell ref="K32:M32"/>
    <mergeCell ref="J31:J32"/>
    <mergeCell ref="F31:F32"/>
    <mergeCell ref="R18:T18"/>
    <mergeCell ref="V18:X18"/>
    <mergeCell ref="K19:M19"/>
    <mergeCell ref="G22:I22"/>
    <mergeCell ref="K22:M22"/>
    <mergeCell ref="G17:I17"/>
    <mergeCell ref="K17:M17"/>
    <mergeCell ref="AO39:AQ39"/>
    <mergeCell ref="AF10:AF11"/>
    <mergeCell ref="AC11:AE11"/>
    <mergeCell ref="AG11:AI11"/>
    <mergeCell ref="R12:T12"/>
    <mergeCell ref="V12:X12"/>
    <mergeCell ref="R19:T19"/>
    <mergeCell ref="V19:X19"/>
    <mergeCell ref="R40:T40"/>
    <mergeCell ref="V40:X40"/>
    <mergeCell ref="AB16:AI16"/>
    <mergeCell ref="AB17:AB18"/>
    <mergeCell ref="AC17:AE17"/>
    <mergeCell ref="AF17:AF18"/>
    <mergeCell ref="AG17:AI17"/>
    <mergeCell ref="AC18:AE18"/>
    <mergeCell ref="AG18:AI18"/>
    <mergeCell ref="AC29:AE29"/>
    <mergeCell ref="AB30:AI30"/>
    <mergeCell ref="AB31:AB32"/>
    <mergeCell ref="AC31:AE31"/>
    <mergeCell ref="AF31:AF32"/>
    <mergeCell ref="AC32:AE32"/>
    <mergeCell ref="Q23:X23"/>
    <mergeCell ref="Q37:X37"/>
    <mergeCell ref="R38:T38"/>
    <mergeCell ref="R39:T39"/>
    <mergeCell ref="V39:X39"/>
    <mergeCell ref="AC36:AE36"/>
    <mergeCell ref="AG36:AI36"/>
    <mergeCell ref="AB37:AI37"/>
    <mergeCell ref="AB38:AB39"/>
    <mergeCell ref="AF38:AF39"/>
    <mergeCell ref="AC39:AE39"/>
    <mergeCell ref="AG39:AI39"/>
    <mergeCell ref="AB44:AI44"/>
    <mergeCell ref="AB45:AB46"/>
    <mergeCell ref="AC45:AE45"/>
    <mergeCell ref="AF45:AF46"/>
    <mergeCell ref="AG45:AI45"/>
    <mergeCell ref="AC46:AE46"/>
    <mergeCell ref="Q44:X44"/>
    <mergeCell ref="Q45:Q46"/>
    <mergeCell ref="U45:U46"/>
    <mergeCell ref="AO47:AQ47"/>
    <mergeCell ref="AS47:AU47"/>
    <mergeCell ref="AO43:AQ43"/>
    <mergeCell ref="AS43:AU43"/>
    <mergeCell ref="AN44:AU44"/>
    <mergeCell ref="AN45:AN46"/>
    <mergeCell ref="AO45:AQ45"/>
    <mergeCell ref="AR45:AR46"/>
    <mergeCell ref="AO46:AQ46"/>
    <mergeCell ref="AS40:AU40"/>
    <mergeCell ref="AS39:AU39"/>
    <mergeCell ref="AS38:AU38"/>
    <mergeCell ref="AS46:AU46"/>
    <mergeCell ref="AS45:AU45"/>
    <mergeCell ref="AN9:AU9"/>
    <mergeCell ref="AS15:AU15"/>
    <mergeCell ref="AO15:AQ15"/>
    <mergeCell ref="AN16:AU16"/>
    <mergeCell ref="AO17:AQ17"/>
    <mergeCell ref="AO18:AQ18"/>
    <mergeCell ref="AO19:AQ19"/>
    <mergeCell ref="AS17:AU17"/>
    <mergeCell ref="AS18:AU18"/>
    <mergeCell ref="AS19:AU19"/>
    <mergeCell ref="AR17:AR18"/>
    <mergeCell ref="AN17:AN18"/>
    <mergeCell ref="AO40:AQ40"/>
    <mergeCell ref="AO36:AQ36"/>
    <mergeCell ref="AS36:AU36"/>
    <mergeCell ref="AN37:AU37"/>
    <mergeCell ref="AN38:AN39"/>
    <mergeCell ref="AO38:AQ38"/>
    <mergeCell ref="AR38:AR39"/>
    <mergeCell ref="AS8:AU8"/>
    <mergeCell ref="AO8:AQ8"/>
    <mergeCell ref="AN10:AN11"/>
    <mergeCell ref="AR10:AR11"/>
    <mergeCell ref="AO10:AQ10"/>
    <mergeCell ref="AO11:AQ11"/>
    <mergeCell ref="AO12:AQ12"/>
    <mergeCell ref="AS10:AU10"/>
    <mergeCell ref="AS11:AU11"/>
    <mergeCell ref="AS12:AU12"/>
    <mergeCell ref="BA8:BC8"/>
    <mergeCell ref="AZ9:BG9"/>
    <mergeCell ref="AZ10:AZ11"/>
    <mergeCell ref="BA10:BC10"/>
    <mergeCell ref="BD10:BD11"/>
    <mergeCell ref="BE10:BG10"/>
    <mergeCell ref="BA11:BC11"/>
    <mergeCell ref="BA12:BC12"/>
    <mergeCell ref="BA15:BC15"/>
    <mergeCell ref="BE15:BG15"/>
    <mergeCell ref="AZ17:AZ18"/>
    <mergeCell ref="BA17:BC17"/>
    <mergeCell ref="BD17:BD18"/>
    <mergeCell ref="BA18:BC18"/>
    <mergeCell ref="BE18:BG18"/>
    <mergeCell ref="BA19:BC19"/>
    <mergeCell ref="BA22:BC22"/>
    <mergeCell ref="AZ23:BG23"/>
    <mergeCell ref="AZ24:AZ25"/>
    <mergeCell ref="BA24:BC24"/>
    <mergeCell ref="BD24:BD25"/>
    <mergeCell ref="BE24:BG24"/>
    <mergeCell ref="BA25:BC25"/>
    <mergeCell ref="BE17:BG17"/>
    <mergeCell ref="BA26:BC26"/>
    <mergeCell ref="BE26:BG26"/>
    <mergeCell ref="BA29:BC29"/>
    <mergeCell ref="AZ30:BG30"/>
    <mergeCell ref="AZ31:AZ32"/>
    <mergeCell ref="BA31:BC31"/>
    <mergeCell ref="BD31:BD32"/>
    <mergeCell ref="BA32:BC32"/>
    <mergeCell ref="BE32:BG32"/>
    <mergeCell ref="BA33:BC33"/>
    <mergeCell ref="BA36:BC36"/>
    <mergeCell ref="BE36:BG36"/>
    <mergeCell ref="AZ37:BG37"/>
    <mergeCell ref="AZ38:AZ39"/>
    <mergeCell ref="BA38:BC38"/>
    <mergeCell ref="BD38:BD39"/>
    <mergeCell ref="BE38:BG38"/>
    <mergeCell ref="BA39:BC39"/>
    <mergeCell ref="BE39:BG39"/>
    <mergeCell ref="BA40:BC40"/>
    <mergeCell ref="BA43:BC43"/>
    <mergeCell ref="AZ44:BG44"/>
    <mergeCell ref="AZ45:AZ46"/>
    <mergeCell ref="BA45:BC45"/>
    <mergeCell ref="BD45:BD46"/>
    <mergeCell ref="BE45:BG45"/>
    <mergeCell ref="BA46:BC46"/>
    <mergeCell ref="BE46:BG46"/>
    <mergeCell ref="BA47:BC47"/>
    <mergeCell ref="BE47:BG47"/>
    <mergeCell ref="BM8:BO8"/>
    <mergeCell ref="BQ8:BS8"/>
    <mergeCell ref="BL9:BS9"/>
    <mergeCell ref="BL10:BL11"/>
    <mergeCell ref="BM10:BO10"/>
    <mergeCell ref="BP10:BP11"/>
    <mergeCell ref="BQ10:BS10"/>
    <mergeCell ref="BM11:BO11"/>
    <mergeCell ref="BQ11:BS11"/>
    <mergeCell ref="BM12:BO12"/>
    <mergeCell ref="BQ12:BS12"/>
    <mergeCell ref="BM15:BO15"/>
    <mergeCell ref="BQ15:BS15"/>
    <mergeCell ref="BL16:BS16"/>
    <mergeCell ref="BL17:BL18"/>
    <mergeCell ref="BM17:BO17"/>
    <mergeCell ref="BP17:BP18"/>
    <mergeCell ref="BQ17:BS17"/>
    <mergeCell ref="BM18:BO18"/>
    <mergeCell ref="BQ18:BS18"/>
    <mergeCell ref="BM19:BO19"/>
    <mergeCell ref="BQ19:BS19"/>
    <mergeCell ref="BM22:BO22"/>
    <mergeCell ref="BQ22:BS22"/>
    <mergeCell ref="BL23:BS23"/>
    <mergeCell ref="BL24:BL25"/>
    <mergeCell ref="BM24:BO24"/>
    <mergeCell ref="BP24:BP25"/>
    <mergeCell ref="BQ24:BS24"/>
    <mergeCell ref="BM25:BO25"/>
    <mergeCell ref="BQ25:BS25"/>
    <mergeCell ref="BM26:BO26"/>
    <mergeCell ref="BQ26:BS26"/>
    <mergeCell ref="BM29:BO29"/>
    <mergeCell ref="BQ29:BS29"/>
    <mergeCell ref="BL30:BS30"/>
    <mergeCell ref="BL31:BL32"/>
    <mergeCell ref="BM31:BO31"/>
    <mergeCell ref="BP31:BP32"/>
    <mergeCell ref="BQ31:BS31"/>
    <mergeCell ref="BM32:BO32"/>
    <mergeCell ref="BQ32:BS32"/>
    <mergeCell ref="BM47:BO47"/>
    <mergeCell ref="BQ47:BS47"/>
    <mergeCell ref="BM40:BO40"/>
    <mergeCell ref="BQ40:BS40"/>
    <mergeCell ref="BM33:BO33"/>
    <mergeCell ref="BQ33:BS33"/>
    <mergeCell ref="BM36:BO36"/>
    <mergeCell ref="BQ36:BS36"/>
    <mergeCell ref="BL37:BS37"/>
    <mergeCell ref="BL38:BL39"/>
    <mergeCell ref="BM38:BO38"/>
    <mergeCell ref="BP38:BP39"/>
    <mergeCell ref="BQ38:BS38"/>
    <mergeCell ref="BM39:BO39"/>
    <mergeCell ref="BQ39:BS39"/>
    <mergeCell ref="BM43:BO43"/>
    <mergeCell ref="BQ43:BS43"/>
    <mergeCell ref="BL44:BS44"/>
    <mergeCell ref="BL45:BL46"/>
    <mergeCell ref="BM45:BO45"/>
    <mergeCell ref="BP45:BP46"/>
    <mergeCell ref="BQ45:BS45"/>
    <mergeCell ref="BM46:BO46"/>
    <mergeCell ref="BQ46:BS46"/>
  </mergeCells>
  <conditionalFormatting sqref="F25 J25 Q32 U32">
    <cfRule type="expression" dxfId="89" priority="638">
      <formula>F29=-1</formula>
    </cfRule>
    <cfRule type="expression" dxfId="88" priority="637">
      <formula>F29=0</formula>
    </cfRule>
    <cfRule type="expression" dxfId="87" priority="639">
      <formula>F29=1</formula>
    </cfRule>
  </conditionalFormatting>
  <conditionalFormatting sqref="J17:J18">
    <cfRule type="expression" dxfId="86" priority="213">
      <formula>J19=1</formula>
    </cfRule>
    <cfRule type="expression" dxfId="85" priority="212">
      <formula>J19=-1</formula>
    </cfRule>
    <cfRule type="expression" dxfId="84" priority="211">
      <formula>J19=0</formula>
    </cfRule>
  </conditionalFormatting>
  <conditionalFormatting sqref="Q10 U10 Q17 U17 F17:F18 F24 J24 Q24 U24 F31 J31 Q31 U31 Q38 U38 Q45 U45">
    <cfRule type="expression" dxfId="83" priority="214">
      <formula>F12=0</formula>
    </cfRule>
    <cfRule type="expression" dxfId="82" priority="216">
      <formula>F12=1</formula>
    </cfRule>
    <cfRule type="expression" dxfId="81" priority="215">
      <formula>F12=-1</formula>
    </cfRule>
  </conditionalFormatting>
  <conditionalFormatting sqref="AB10 AF10">
    <cfRule type="expression" dxfId="80" priority="35">
      <formula>AB12=-1</formula>
    </cfRule>
    <cfRule type="expression" dxfId="79" priority="36">
      <formula>AB12=1</formula>
    </cfRule>
    <cfRule type="expression" dxfId="78" priority="34">
      <formula>AB12=0</formula>
    </cfRule>
  </conditionalFormatting>
  <conditionalFormatting sqref="AB17 AF17">
    <cfRule type="expression" dxfId="77" priority="31">
      <formula>AB19=0</formula>
    </cfRule>
    <cfRule type="expression" dxfId="76" priority="33">
      <formula>AB19=1</formula>
    </cfRule>
    <cfRule type="expression" dxfId="75" priority="32">
      <formula>AB19=-1</formula>
    </cfRule>
  </conditionalFormatting>
  <conditionalFormatting sqref="AB31 AF31">
    <cfRule type="expression" dxfId="74" priority="30">
      <formula>AB33=1</formula>
    </cfRule>
    <cfRule type="expression" dxfId="73" priority="29">
      <formula>AB33=-1</formula>
    </cfRule>
    <cfRule type="expression" dxfId="72" priority="28">
      <formula>AB33=0</formula>
    </cfRule>
  </conditionalFormatting>
  <conditionalFormatting sqref="AB38 AF38">
    <cfRule type="expression" dxfId="71" priority="22">
      <formula>AB40=0</formula>
    </cfRule>
    <cfRule type="expression" dxfId="70" priority="23">
      <formula>AB40=-1</formula>
    </cfRule>
    <cfRule type="expression" dxfId="69" priority="24">
      <formula>AB40=1</formula>
    </cfRule>
  </conditionalFormatting>
  <conditionalFormatting sqref="AB45 AF45">
    <cfRule type="expression" dxfId="68" priority="21">
      <formula>AB47=1</formula>
    </cfRule>
    <cfRule type="expression" dxfId="67" priority="20">
      <formula>AB47=-1</formula>
    </cfRule>
    <cfRule type="expression" dxfId="66" priority="19">
      <formula>AB47=0</formula>
    </cfRule>
  </conditionalFormatting>
  <conditionalFormatting sqref="AN10 AR10">
    <cfRule type="expression" dxfId="65" priority="15">
      <formula>AN12=1</formula>
    </cfRule>
    <cfRule type="expression" dxfId="64" priority="14">
      <formula>AN12=-1</formula>
    </cfRule>
    <cfRule type="expression" dxfId="63" priority="13">
      <formula>AN12=0</formula>
    </cfRule>
  </conditionalFormatting>
  <conditionalFormatting sqref="AN17 AR17">
    <cfRule type="expression" dxfId="62" priority="11">
      <formula>AN19=-1</formula>
    </cfRule>
    <cfRule type="expression" dxfId="61" priority="12">
      <formula>AN19=1</formula>
    </cfRule>
    <cfRule type="expression" dxfId="60" priority="10">
      <formula>AN19=0</formula>
    </cfRule>
  </conditionalFormatting>
  <conditionalFormatting sqref="AN31 AR31">
    <cfRule type="expression" dxfId="59" priority="25">
      <formula>AN33=0</formula>
    </cfRule>
    <cfRule type="expression" dxfId="58" priority="26">
      <formula>AN33=-1</formula>
    </cfRule>
    <cfRule type="expression" dxfId="57" priority="27">
      <formula>AN33=1</formula>
    </cfRule>
  </conditionalFormatting>
  <conditionalFormatting sqref="AN45 AR45">
    <cfRule type="expression" dxfId="56" priority="18">
      <formula>AN47=1</formula>
    </cfRule>
    <cfRule type="expression" dxfId="55" priority="17">
      <formula>AN47=-1</formula>
    </cfRule>
    <cfRule type="expression" dxfId="54" priority="16">
      <formula>AN47=0</formula>
    </cfRule>
  </conditionalFormatting>
  <conditionalFormatting sqref="AZ10 BD10">
    <cfRule type="expression" dxfId="53" priority="9">
      <formula>AZ12=1</formula>
    </cfRule>
    <cfRule type="expression" dxfId="52" priority="8">
      <formula>AZ12=-1</formula>
    </cfRule>
    <cfRule type="expression" dxfId="51" priority="7">
      <formula>AZ12=0</formula>
    </cfRule>
  </conditionalFormatting>
  <conditionalFormatting sqref="AZ17 BD17">
    <cfRule type="expression" dxfId="50" priority="6">
      <formula>AZ19=1</formula>
    </cfRule>
    <cfRule type="expression" dxfId="49" priority="5">
      <formula>AZ19=-1</formula>
    </cfRule>
    <cfRule type="expression" dxfId="48" priority="4">
      <formula>AZ19=0</formula>
    </cfRule>
  </conditionalFormatting>
  <conditionalFormatting sqref="BL10 BP10">
    <cfRule type="expression" dxfId="47" priority="2">
      <formula>BL12=-1</formula>
    </cfRule>
    <cfRule type="expression" dxfId="46" priority="3">
      <formula>BL12=1</formula>
    </cfRule>
    <cfRule type="expression" dxfId="45" priority="1">
      <formula>BL12=0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7599-CD60-413E-A10B-C5536FB5DC22}">
  <sheetPr codeName="Planilha3"/>
  <dimension ref="B1:BS47"/>
  <sheetViews>
    <sheetView showGridLines="0" tabSelected="1" zoomScaleNormal="100" workbookViewId="0">
      <selection activeCell="U4" sqref="U4"/>
    </sheetView>
  </sheetViews>
  <sheetFormatPr defaultRowHeight="14.4"/>
  <cols>
    <col min="1" max="4" width="2.33203125" customWidth="1"/>
    <col min="5" max="5" width="2.33203125" hidden="1" customWidth="1"/>
    <col min="6" max="15" width="2.5546875" customWidth="1"/>
    <col min="16" max="16" width="2.5546875" hidden="1" customWidth="1"/>
    <col min="17" max="26" width="2.5546875" customWidth="1"/>
    <col min="27" max="27" width="2.5546875" hidden="1" customWidth="1"/>
    <col min="28" max="38" width="2.5546875" customWidth="1"/>
    <col min="39" max="39" width="2.5546875" hidden="1" customWidth="1"/>
    <col min="40" max="50" width="2.5546875" customWidth="1"/>
    <col min="51" max="51" width="2.5546875" hidden="1" customWidth="1"/>
    <col min="52" max="62" width="2.5546875" customWidth="1"/>
    <col min="63" max="63" width="2.5546875" hidden="1" customWidth="1"/>
    <col min="64" max="67" width="2.5546875" customWidth="1"/>
    <col min="68" max="101" width="2.33203125" customWidth="1"/>
  </cols>
  <sheetData>
    <row r="1" spans="2:71" ht="13.8" customHeight="1">
      <c r="B1" s="46" t="s">
        <v>59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</row>
    <row r="2" spans="2:71" ht="14.4" customHeight="1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</row>
    <row r="3" spans="2:71" ht="12.6" customHeight="1">
      <c r="C3" s="12"/>
      <c r="D3" s="12"/>
      <c r="E3" s="13"/>
      <c r="F3" s="14"/>
      <c r="G3" s="14"/>
      <c r="H3" s="14"/>
      <c r="I3" s="14"/>
      <c r="J3" s="14"/>
      <c r="K3" s="14"/>
      <c r="L3" s="12"/>
      <c r="M3" s="12"/>
      <c r="N3" s="12"/>
    </row>
    <row r="4" spans="2:71">
      <c r="C4" s="11"/>
      <c r="D4" s="83" t="e">
        <f>_xll.SUBNM("CONS_VC_PRD:ALL.D.Version","sys.Report","RF","Descrição")</f>
        <v>#N/A</v>
      </c>
      <c r="E4" s="83"/>
      <c r="F4" s="83"/>
      <c r="G4" s="83"/>
      <c r="H4" s="11"/>
      <c r="I4" s="11"/>
      <c r="J4" s="83" t="e">
        <f>_xll.SUBNM("CONS_VC_PRD:ALL.D.Version","sys.Report","L300","Descrição")</f>
        <v>#N/A</v>
      </c>
      <c r="K4" s="83"/>
      <c r="L4" s="83"/>
      <c r="M4" s="83"/>
      <c r="N4" s="11"/>
    </row>
    <row r="5" spans="2:71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71">
      <c r="C6" s="11"/>
      <c r="D6" s="83" t="e">
        <f>_xll.SUBNM("CONS_VC_PRD:ALL.D.Month","SYS.YTD","YTD 12","Desc")</f>
        <v>#N/A</v>
      </c>
      <c r="E6" s="83"/>
      <c r="F6" s="83"/>
      <c r="G6" s="83"/>
      <c r="H6" s="11"/>
      <c r="I6" s="11"/>
      <c r="J6" s="83" t="e">
        <f>_xll.SUBNM("CONS_VC_PRD:ALL.D.Year","SYS_PICKLIST","2025","id do membro")</f>
        <v>#N/A</v>
      </c>
      <c r="K6" s="83"/>
      <c r="L6" s="83"/>
      <c r="M6" s="83"/>
      <c r="N6" s="11"/>
    </row>
    <row r="7" spans="2:71" ht="12" customHeight="1">
      <c r="C7" s="15"/>
      <c r="D7" s="15"/>
      <c r="E7" s="15"/>
      <c r="F7" s="43"/>
      <c r="G7" s="43"/>
      <c r="H7" s="43"/>
      <c r="I7" s="43"/>
      <c r="J7" s="43"/>
      <c r="K7" s="43"/>
      <c r="L7" s="43"/>
      <c r="M7" s="43"/>
      <c r="N7" s="43"/>
    </row>
    <row r="8" spans="2:71" ht="12.6" hidden="1" customHeight="1"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5"/>
      <c r="P8" s="19" t="str">
        <f>'Value Tree - Fx'!P8</f>
        <v>+</v>
      </c>
      <c r="Q8" s="20"/>
      <c r="R8" s="79" t="e">
        <f>'Value Tree 2'!$D$6</f>
        <v>#N/A</v>
      </c>
      <c r="S8" s="79"/>
      <c r="T8" s="79"/>
      <c r="U8" s="20"/>
      <c r="V8" s="79" t="str">
        <f>'Value Tree - Fx'!$A$12</f>
        <v>Year</v>
      </c>
      <c r="W8" s="79"/>
      <c r="X8" s="80"/>
      <c r="Y8" s="5"/>
      <c r="Z8" s="5"/>
      <c r="AA8" s="19" t="str">
        <f>'Value Tree - Fx'!AA8</f>
        <v>+</v>
      </c>
      <c r="AB8" s="20"/>
      <c r="AC8" s="79" t="e">
        <f>'Value Tree 2'!$D$6</f>
        <v>#N/A</v>
      </c>
      <c r="AD8" s="79"/>
      <c r="AE8" s="79"/>
      <c r="AF8" s="20"/>
      <c r="AG8" s="79" t="str">
        <f>'Value Tree - Fx'!$A$12</f>
        <v>Year</v>
      </c>
      <c r="AH8" s="79"/>
      <c r="AI8" s="80"/>
      <c r="AM8" s="19" t="str">
        <f>'Value Tree - Fx'!AM8</f>
        <v>+</v>
      </c>
      <c r="AN8" s="20"/>
      <c r="AO8" s="79" t="e">
        <f>'Value Tree 2'!$D$6</f>
        <v>#N/A</v>
      </c>
      <c r="AP8" s="79"/>
      <c r="AQ8" s="79"/>
      <c r="AR8" s="20"/>
      <c r="AS8" s="79" t="str">
        <f>'Value Tree - Fx'!$A$12</f>
        <v>Year</v>
      </c>
      <c r="AT8" s="79"/>
      <c r="AU8" s="80"/>
      <c r="AY8" s="19" t="str">
        <f>'Value Tree - Fx'!AY8</f>
        <v>+</v>
      </c>
      <c r="AZ8" s="20"/>
      <c r="BA8" s="79" t="e">
        <f>'Value Tree 2'!$D$6</f>
        <v>#N/A</v>
      </c>
      <c r="BB8" s="79"/>
      <c r="BC8" s="79"/>
      <c r="BD8" s="20"/>
      <c r="BE8" s="79" t="str">
        <f>'Value Tree - Fx'!$A$12</f>
        <v>Year</v>
      </c>
      <c r="BF8" s="79"/>
      <c r="BG8" s="80"/>
      <c r="BK8" s="19" t="str">
        <f>'Value Tree - Fx'!BK8</f>
        <v>+</v>
      </c>
      <c r="BL8" s="20"/>
      <c r="BM8" s="79" t="e">
        <f>'Value Tree 2'!$D$6</f>
        <v>#N/A</v>
      </c>
      <c r="BN8" s="79"/>
      <c r="BO8" s="79"/>
      <c r="BP8" s="20"/>
      <c r="BQ8" s="79" t="str">
        <f>'Value Tree - Fx'!$A$12</f>
        <v>Year</v>
      </c>
      <c r="BR8" s="79"/>
      <c r="BS8" s="80"/>
    </row>
    <row r="9" spans="2:71">
      <c r="N9" s="5"/>
      <c r="O9" s="5"/>
      <c r="P9" s="34"/>
      <c r="Q9" s="66" t="s">
        <v>25</v>
      </c>
      <c r="R9" s="67"/>
      <c r="S9" s="67"/>
      <c r="T9" s="67"/>
      <c r="U9" s="67"/>
      <c r="V9" s="67"/>
      <c r="W9" s="67"/>
      <c r="X9" s="68"/>
      <c r="Y9" s="5"/>
      <c r="Z9" s="5"/>
      <c r="AA9" s="23"/>
      <c r="AB9" s="66" t="s">
        <v>33</v>
      </c>
      <c r="AC9" s="67"/>
      <c r="AD9" s="67"/>
      <c r="AE9" s="67"/>
      <c r="AF9" s="67"/>
      <c r="AG9" s="67"/>
      <c r="AH9" s="67"/>
      <c r="AI9" s="68"/>
      <c r="AM9" s="23"/>
      <c r="AN9" s="66" t="s">
        <v>41</v>
      </c>
      <c r="AO9" s="67"/>
      <c r="AP9" s="67"/>
      <c r="AQ9" s="67"/>
      <c r="AR9" s="67"/>
      <c r="AS9" s="67"/>
      <c r="AT9" s="67"/>
      <c r="AU9" s="68"/>
      <c r="AY9" s="23"/>
      <c r="AZ9" s="66" t="s">
        <v>50</v>
      </c>
      <c r="BA9" s="67"/>
      <c r="BB9" s="67"/>
      <c r="BC9" s="67"/>
      <c r="BD9" s="67"/>
      <c r="BE9" s="67"/>
      <c r="BF9" s="67"/>
      <c r="BG9" s="68"/>
      <c r="BK9" s="23"/>
      <c r="BL9" s="66" t="s">
        <v>53</v>
      </c>
      <c r="BM9" s="67"/>
      <c r="BN9" s="67"/>
      <c r="BO9" s="67"/>
      <c r="BP9" s="67"/>
      <c r="BQ9" s="67"/>
      <c r="BR9" s="67"/>
      <c r="BS9" s="68"/>
    </row>
    <row r="10" spans="2:71">
      <c r="N10" s="5"/>
      <c r="O10" s="5"/>
      <c r="P10" s="23" t="e">
        <f>'Value Tree - Fx'!P10</f>
        <v>#N/A</v>
      </c>
      <c r="Q10" s="71"/>
      <c r="R10" s="73" t="e">
        <f>'Value Tree - Fx'!R10</f>
        <v>#VALUE!</v>
      </c>
      <c r="S10" s="73"/>
      <c r="T10" s="73"/>
      <c r="U10" s="53"/>
      <c r="V10" s="73" t="e">
        <f>'Value Tree - Fx'!V10</f>
        <v>#VALUE!</v>
      </c>
      <c r="W10" s="73"/>
      <c r="X10" s="74"/>
      <c r="Z10" s="37"/>
      <c r="AA10" s="23" t="e">
        <f>'Value Tree - Fx'!AA10</f>
        <v>#N/A</v>
      </c>
      <c r="AB10" s="71"/>
      <c r="AC10" s="73" t="e">
        <f>'Value Tree - Fx'!AC10</f>
        <v>#VALUE!</v>
      </c>
      <c r="AD10" s="73"/>
      <c r="AE10" s="73"/>
      <c r="AF10" s="53"/>
      <c r="AG10" s="73" t="e">
        <f>'Value Tree - Fx'!AG10</f>
        <v>#VALUE!</v>
      </c>
      <c r="AH10" s="73"/>
      <c r="AI10" s="74"/>
      <c r="AJ10" s="4"/>
      <c r="AK10" s="3"/>
      <c r="AL10" s="37"/>
      <c r="AM10" s="23" t="e">
        <f>'Value Tree - Fx'!AM10</f>
        <v>#N/A</v>
      </c>
      <c r="AN10" s="71"/>
      <c r="AO10" s="73" t="e">
        <f>'Value Tree - Fx'!AO10</f>
        <v>#VALUE!</v>
      </c>
      <c r="AP10" s="73"/>
      <c r="AQ10" s="73"/>
      <c r="AR10" s="53"/>
      <c r="AS10" s="73" t="e">
        <f>'Value Tree - Fx'!AS10</f>
        <v>#VALUE!</v>
      </c>
      <c r="AT10" s="73"/>
      <c r="AU10" s="74"/>
      <c r="AW10" s="3"/>
      <c r="AX10" s="37"/>
      <c r="AY10" s="23" t="e">
        <f>'Value Tree - Fx'!AY10</f>
        <v>#N/A</v>
      </c>
      <c r="AZ10" s="71"/>
      <c r="BA10" s="73" t="e">
        <f>'Value Tree - Fx'!BA10</f>
        <v>#VALUE!</v>
      </c>
      <c r="BB10" s="73"/>
      <c r="BC10" s="73"/>
      <c r="BD10" s="53"/>
      <c r="BE10" s="73" t="e">
        <f>'Value Tree - Fx'!BE10</f>
        <v>#VALUE!</v>
      </c>
      <c r="BF10" s="73"/>
      <c r="BG10" s="74"/>
      <c r="BH10" s="4"/>
      <c r="BI10" s="3"/>
      <c r="BJ10" s="37"/>
      <c r="BK10" s="23" t="e">
        <f>'Value Tree - Fx'!BK10</f>
        <v>#N/A</v>
      </c>
      <c r="BL10" s="71"/>
      <c r="BM10" s="73" t="e">
        <f>'Value Tree - Fx'!BM10</f>
        <v>#VALUE!</v>
      </c>
      <c r="BN10" s="73"/>
      <c r="BO10" s="73"/>
      <c r="BP10" s="53"/>
      <c r="BQ10" s="73" t="e">
        <f>'Value Tree - Fx'!BQ10</f>
        <v>#VALUE!</v>
      </c>
      <c r="BR10" s="73"/>
      <c r="BS10" s="74"/>
    </row>
    <row r="11" spans="2:71">
      <c r="N11" s="5"/>
      <c r="O11" s="5"/>
      <c r="P11" s="35" t="e">
        <f>'Value Tree - Fx'!P11</f>
        <v>#N/A</v>
      </c>
      <c r="Q11" s="72"/>
      <c r="R11" s="47" t="e">
        <f>'Value Tree - Fx'!R11</f>
        <v>#VALUE!</v>
      </c>
      <c r="S11" s="47"/>
      <c r="T11" s="47"/>
      <c r="U11" s="54"/>
      <c r="V11" s="47" t="e">
        <f>'Value Tree - Fx'!V11</f>
        <v>#VALUE!</v>
      </c>
      <c r="W11" s="47"/>
      <c r="X11" s="48"/>
      <c r="Y11" s="39"/>
      <c r="Z11" s="5"/>
      <c r="AA11" s="23" t="e">
        <f>'Value Tree - Fx'!AA11</f>
        <v>#N/A</v>
      </c>
      <c r="AB11" s="72"/>
      <c r="AC11" s="47" t="e">
        <f>'Value Tree - Fx'!AC11</f>
        <v>#VALUE!</v>
      </c>
      <c r="AD11" s="47"/>
      <c r="AE11" s="47"/>
      <c r="AF11" s="54"/>
      <c r="AG11" s="47" t="e">
        <f>'Value Tree - Fx'!AG11</f>
        <v>#VALUE!</v>
      </c>
      <c r="AH11" s="47"/>
      <c r="AI11" s="48"/>
      <c r="AM11" s="23" t="e">
        <f>'Value Tree - Fx'!AM11</f>
        <v>#N/A</v>
      </c>
      <c r="AN11" s="72"/>
      <c r="AO11" s="47" t="e">
        <f>'Value Tree - Fx'!AO11</f>
        <v>#VALUE!</v>
      </c>
      <c r="AP11" s="47"/>
      <c r="AQ11" s="47"/>
      <c r="AR11" s="54"/>
      <c r="AS11" s="47" t="e">
        <f>'Value Tree - Fx'!AS11</f>
        <v>#VALUE!</v>
      </c>
      <c r="AT11" s="47"/>
      <c r="AU11" s="48"/>
      <c r="AV11" s="41"/>
      <c r="AY11" s="23" t="e">
        <f>'Value Tree - Fx'!AY11</f>
        <v>#N/A</v>
      </c>
      <c r="AZ11" s="72"/>
      <c r="BA11" s="47" t="e">
        <f>'Value Tree - Fx'!BA11</f>
        <v>#VALUE!</v>
      </c>
      <c r="BB11" s="47"/>
      <c r="BC11" s="47"/>
      <c r="BD11" s="54"/>
      <c r="BE11" s="47" t="e">
        <f>'Value Tree - Fx'!BE11</f>
        <v>#VALUE!</v>
      </c>
      <c r="BF11" s="47"/>
      <c r="BG11" s="48"/>
      <c r="BH11" s="9"/>
      <c r="BK11" s="23" t="e">
        <f>'Value Tree - Fx'!BK11</f>
        <v>#N/A</v>
      </c>
      <c r="BL11" s="72"/>
      <c r="BM11" s="47" t="e">
        <f>'Value Tree - Fx'!BM11</f>
        <v>#VALUE!</v>
      </c>
      <c r="BN11" s="47"/>
      <c r="BO11" s="47"/>
      <c r="BP11" s="54"/>
      <c r="BQ11" s="47" t="e">
        <f>'Value Tree - Fx'!BQ11</f>
        <v>#VALUE!</v>
      </c>
      <c r="BR11" s="47"/>
      <c r="BS11" s="48"/>
    </row>
    <row r="12" spans="2:71" hidden="1">
      <c r="N12" s="5"/>
      <c r="O12" s="5"/>
      <c r="P12" s="24" t="str">
        <f>'Value Tree - Fx'!P12</f>
        <v>l500</v>
      </c>
      <c r="Q12" s="25" t="e">
        <f>'Value Tree - Fx'!Q12</f>
        <v>#VALUE!</v>
      </c>
      <c r="R12" s="47" t="e">
        <f>'Value Tree - Fx'!R12</f>
        <v>#VALUE!</v>
      </c>
      <c r="S12" s="47"/>
      <c r="T12" s="47"/>
      <c r="U12" s="25" t="e">
        <f>'Value Tree - Fx'!U12</f>
        <v>#VALUE!</v>
      </c>
      <c r="V12" s="47" t="e">
        <f>'Value Tree - Fx'!V12</f>
        <v>#VALUE!</v>
      </c>
      <c r="W12" s="47"/>
      <c r="X12" s="48"/>
      <c r="Y12" s="39"/>
      <c r="Z12" s="5"/>
      <c r="AA12" s="24" t="str">
        <f>'Value Tree - Fx'!AA12</f>
        <v>l500</v>
      </c>
      <c r="AB12" s="25" t="e">
        <f>'Value Tree - Fx'!AB12</f>
        <v>#VALUE!</v>
      </c>
      <c r="AC12" s="47" t="e">
        <f>'Value Tree - Fx'!AC12</f>
        <v>#VALUE!</v>
      </c>
      <c r="AD12" s="47"/>
      <c r="AE12" s="47"/>
      <c r="AF12" s="25" t="e">
        <f>'Value Tree - Fx'!AF12</f>
        <v>#VALUE!</v>
      </c>
      <c r="AG12" s="47" t="e">
        <f>'Value Tree - Fx'!AG12</f>
        <v>#VALUE!</v>
      </c>
      <c r="AH12" s="47"/>
      <c r="AI12" s="48"/>
      <c r="AM12" s="24" t="str">
        <f>'Value Tree - Fx'!AM12</f>
        <v>l500</v>
      </c>
      <c r="AN12" s="25" t="e">
        <f>'Value Tree - Fx'!AN12</f>
        <v>#VALUE!</v>
      </c>
      <c r="AO12" s="47" t="e">
        <f>'Value Tree - Fx'!AO12</f>
        <v>#VALUE!</v>
      </c>
      <c r="AP12" s="47"/>
      <c r="AQ12" s="47"/>
      <c r="AR12" s="25" t="e">
        <f>'Value Tree - Fx'!AR12</f>
        <v>#VALUE!</v>
      </c>
      <c r="AS12" s="47" t="e">
        <f>'Value Tree - Fx'!AS12</f>
        <v>#VALUE!</v>
      </c>
      <c r="AT12" s="47"/>
      <c r="AU12" s="48"/>
      <c r="AV12" s="41"/>
      <c r="AY12" s="24" t="str">
        <f>'Value Tree - Fx'!AY12</f>
        <v>l500</v>
      </c>
      <c r="AZ12" s="25" t="e">
        <f>'Value Tree - Fx'!AZ12</f>
        <v>#VALUE!</v>
      </c>
      <c r="BA12" s="47" t="e">
        <f>'Value Tree - Fx'!BA12</f>
        <v>#VALUE!</v>
      </c>
      <c r="BB12" s="47"/>
      <c r="BC12" s="47"/>
      <c r="BD12" s="25" t="e">
        <f>'Value Tree - Fx'!BD12</f>
        <v>#VALUE!</v>
      </c>
      <c r="BE12" s="47" t="e">
        <f>'Value Tree - Fx'!BE12</f>
        <v>#VALUE!</v>
      </c>
      <c r="BF12" s="47"/>
      <c r="BG12" s="48"/>
      <c r="BH12" s="41"/>
      <c r="BK12" s="24" t="str">
        <f>'Value Tree - Fx'!BK12</f>
        <v>l500</v>
      </c>
      <c r="BL12" s="25" t="e">
        <f>'Value Tree - Fx'!BL12</f>
        <v>#VALUE!</v>
      </c>
      <c r="BM12" s="47" t="e">
        <f>'Value Tree - Fx'!BM12</f>
        <v>#VALUE!</v>
      </c>
      <c r="BN12" s="47"/>
      <c r="BO12" s="47"/>
      <c r="BP12" s="25" t="e">
        <f>'Value Tree - Fx'!BP12</f>
        <v>#VALUE!</v>
      </c>
      <c r="BQ12" s="47" t="e">
        <f>'Value Tree - Fx'!BQ12</f>
        <v>#VALUE!</v>
      </c>
      <c r="BR12" s="47"/>
      <c r="BS12" s="48"/>
    </row>
    <row r="13" spans="2:71">
      <c r="N13" s="5"/>
      <c r="O13" s="5"/>
      <c r="T13" s="9"/>
      <c r="Y13" s="39"/>
      <c r="Z13" s="5"/>
      <c r="AV13" s="41"/>
      <c r="BH13" s="41"/>
    </row>
    <row r="14" spans="2:71">
      <c r="N14" s="5"/>
      <c r="O14" s="5"/>
      <c r="T14" s="37"/>
      <c r="Y14" s="39"/>
      <c r="Z14" s="5"/>
      <c r="AV14" s="41"/>
      <c r="BH14" s="41"/>
    </row>
    <row r="15" spans="2:71" hidden="1">
      <c r="E15" s="19" t="str">
        <f>'Value Tree - Fx'!E15</f>
        <v>+</v>
      </c>
      <c r="F15" s="26"/>
      <c r="G15" s="79" t="e">
        <f>'Value Tree 2'!$D$6</f>
        <v>#N/A</v>
      </c>
      <c r="H15" s="79"/>
      <c r="I15" s="79"/>
      <c r="J15" s="26"/>
      <c r="K15" s="79" t="str">
        <f>'Value Tree - Fx'!$A$12</f>
        <v>Year</v>
      </c>
      <c r="L15" s="79"/>
      <c r="M15" s="80"/>
      <c r="N15" s="5"/>
      <c r="O15" s="5"/>
      <c r="P15" s="19" t="str">
        <f>'Value Tree - Fx'!P15</f>
        <v>+</v>
      </c>
      <c r="Q15" s="26"/>
      <c r="R15" s="79" t="e">
        <f>'Value Tree 2'!$D$6</f>
        <v>#N/A</v>
      </c>
      <c r="S15" s="79"/>
      <c r="T15" s="79"/>
      <c r="U15" s="26"/>
      <c r="V15" s="79" t="str">
        <f>'Value Tree - Fx'!$A$12</f>
        <v>Year</v>
      </c>
      <c r="W15" s="79"/>
      <c r="X15" s="80"/>
      <c r="Y15" s="39"/>
      <c r="Z15" s="5"/>
      <c r="AA15" s="19" t="str">
        <f>'Value Tree - Fx'!AA15</f>
        <v>+</v>
      </c>
      <c r="AB15" s="20"/>
      <c r="AC15" s="79" t="e">
        <f>'Value Tree 2'!$D$6</f>
        <v>#N/A</v>
      </c>
      <c r="AD15" s="79"/>
      <c r="AE15" s="79"/>
      <c r="AF15" s="20"/>
      <c r="AG15" s="79" t="str">
        <f>'Value Tree - Fx'!$A$12</f>
        <v>Year</v>
      </c>
      <c r="AH15" s="79"/>
      <c r="AI15" s="80"/>
      <c r="AM15" s="19" t="str">
        <f>'Value Tree - Fx'!AM15</f>
        <v>+</v>
      </c>
      <c r="AN15" s="20"/>
      <c r="AO15" s="79" t="e">
        <f>'Value Tree 2'!$D$6</f>
        <v>#N/A</v>
      </c>
      <c r="AP15" s="79"/>
      <c r="AQ15" s="79"/>
      <c r="AR15" s="20"/>
      <c r="AS15" s="79" t="str">
        <f>'Value Tree - Fx'!$A$12</f>
        <v>Year</v>
      </c>
      <c r="AT15" s="79"/>
      <c r="AU15" s="80"/>
      <c r="AV15" s="41"/>
      <c r="AY15" s="19" t="str">
        <f>'Value Tree - Fx'!AY15</f>
        <v>+</v>
      </c>
      <c r="AZ15" s="20"/>
      <c r="BA15" s="79" t="e">
        <f>'Value Tree 2'!$D$6</f>
        <v>#N/A</v>
      </c>
      <c r="BB15" s="79"/>
      <c r="BC15" s="79"/>
      <c r="BD15" s="20"/>
      <c r="BE15" s="79" t="str">
        <f>'Value Tree - Fx'!$A$12</f>
        <v>Year</v>
      </c>
      <c r="BF15" s="79"/>
      <c r="BG15" s="80"/>
      <c r="BH15" s="41"/>
      <c r="BK15" s="29" t="str">
        <f>'Value Tree - Fx'!BK15</f>
        <v>+</v>
      </c>
      <c r="BL15" s="30"/>
      <c r="BM15" s="61" t="e">
        <f>'Value Tree 2'!$D$6</f>
        <v>#N/A</v>
      </c>
      <c r="BN15" s="61"/>
      <c r="BO15" s="61"/>
      <c r="BP15" s="30"/>
      <c r="BQ15" s="61" t="str">
        <f>'Value Tree - Fx'!$A$12</f>
        <v>Year</v>
      </c>
      <c r="BR15" s="61"/>
      <c r="BS15" s="62"/>
    </row>
    <row r="16" spans="2:71">
      <c r="E16" s="28"/>
      <c r="F16" s="66" t="s">
        <v>21</v>
      </c>
      <c r="G16" s="67"/>
      <c r="H16" s="67"/>
      <c r="I16" s="67"/>
      <c r="J16" s="67"/>
      <c r="K16" s="67"/>
      <c r="L16" s="67"/>
      <c r="M16" s="68"/>
      <c r="N16" s="5"/>
      <c r="O16" s="5"/>
      <c r="P16" s="23"/>
      <c r="Q16" s="66" t="s">
        <v>23</v>
      </c>
      <c r="R16" s="67"/>
      <c r="S16" s="67"/>
      <c r="T16" s="67"/>
      <c r="U16" s="67"/>
      <c r="V16" s="67"/>
      <c r="W16" s="67"/>
      <c r="X16" s="68"/>
      <c r="Y16" s="39"/>
      <c r="Z16" s="5"/>
      <c r="AA16" s="23"/>
      <c r="AB16" s="66" t="s">
        <v>35</v>
      </c>
      <c r="AC16" s="67"/>
      <c r="AD16" s="67"/>
      <c r="AE16" s="67"/>
      <c r="AF16" s="67"/>
      <c r="AG16" s="67"/>
      <c r="AH16" s="67"/>
      <c r="AI16" s="68"/>
      <c r="AM16" s="23"/>
      <c r="AN16" s="66" t="s">
        <v>43</v>
      </c>
      <c r="AO16" s="67"/>
      <c r="AP16" s="67"/>
      <c r="AQ16" s="67"/>
      <c r="AR16" s="67"/>
      <c r="AS16" s="67"/>
      <c r="AT16" s="67"/>
      <c r="AU16" s="68"/>
      <c r="AV16" s="41"/>
      <c r="AY16" s="23"/>
      <c r="AZ16" s="69" t="s">
        <v>44</v>
      </c>
      <c r="BA16" s="70"/>
      <c r="BB16" s="70"/>
      <c r="BC16" s="70"/>
      <c r="BD16" s="70"/>
      <c r="BE16" s="70"/>
      <c r="BF16" s="70"/>
      <c r="BG16" s="68"/>
      <c r="BH16" s="41"/>
      <c r="BK16" s="31"/>
      <c r="BL16" s="69" t="s">
        <v>52</v>
      </c>
      <c r="BM16" s="70"/>
      <c r="BN16" s="70"/>
      <c r="BO16" s="70"/>
      <c r="BP16" s="70"/>
      <c r="BQ16" s="70"/>
      <c r="BR16" s="70"/>
      <c r="BS16" s="68"/>
    </row>
    <row r="17" spans="5:71">
      <c r="E17" s="28" t="e">
        <f>'Value Tree - Fx'!E17</f>
        <v>#N/A</v>
      </c>
      <c r="F17" s="71"/>
      <c r="G17" s="73" t="e">
        <f>'Value Tree - Fx'!G17</f>
        <v>#VALUE!</v>
      </c>
      <c r="H17" s="73"/>
      <c r="I17" s="73"/>
      <c r="J17" s="53"/>
      <c r="K17" s="73" t="e">
        <f>'Value Tree - Fx'!K17</f>
        <v>#VALUE!</v>
      </c>
      <c r="L17" s="73"/>
      <c r="M17" s="74"/>
      <c r="N17" s="5"/>
      <c r="O17" s="36"/>
      <c r="P17" s="23" t="e">
        <f>'Value Tree - Fx'!P17</f>
        <v>#N/A</v>
      </c>
      <c r="Q17" s="71"/>
      <c r="R17" s="73" t="e">
        <f>'Value Tree - Fx'!R17</f>
        <v>#VALUE!</v>
      </c>
      <c r="S17" s="73"/>
      <c r="T17" s="73"/>
      <c r="U17" s="53"/>
      <c r="V17" s="73" t="e">
        <f>'Value Tree - Fx'!V17</f>
        <v>#VALUE!</v>
      </c>
      <c r="W17" s="73"/>
      <c r="X17" s="74"/>
      <c r="Y17" s="40"/>
      <c r="Z17" s="36"/>
      <c r="AA17" s="23" t="e">
        <f>'Value Tree - Fx'!AA17</f>
        <v>#N/A</v>
      </c>
      <c r="AB17" s="71"/>
      <c r="AC17" s="73" t="e">
        <f>'Value Tree - Fx'!AC17</f>
        <v>#VALUE!</v>
      </c>
      <c r="AD17" s="73"/>
      <c r="AE17" s="73"/>
      <c r="AF17" s="53"/>
      <c r="AG17" s="73" t="e">
        <f>'Value Tree - Fx'!AG17</f>
        <v>#VALUE!</v>
      </c>
      <c r="AH17" s="73"/>
      <c r="AI17" s="74"/>
      <c r="AM17" s="23" t="e">
        <f>'Value Tree - Fx'!AM17</f>
        <v>#N/A</v>
      </c>
      <c r="AN17" s="71"/>
      <c r="AO17" s="73" t="e">
        <f>'Value Tree - Fx'!AO17</f>
        <v>#VALUE!</v>
      </c>
      <c r="AP17" s="73"/>
      <c r="AQ17" s="73"/>
      <c r="AR17" s="53"/>
      <c r="AS17" s="73" t="e">
        <f>'Value Tree - Fx'!AS17</f>
        <v>#VALUE!</v>
      </c>
      <c r="AT17" s="73"/>
      <c r="AU17" s="74"/>
      <c r="AV17" s="41"/>
      <c r="AY17" s="23" t="e">
        <f>'Value Tree - Fx'!AY17</f>
        <v>#N/A</v>
      </c>
      <c r="AZ17" s="71"/>
      <c r="BA17" s="73" t="e">
        <f>'Value Tree - Fx'!BA17</f>
        <v>#VALUE!</v>
      </c>
      <c r="BB17" s="73"/>
      <c r="BC17" s="73"/>
      <c r="BD17" s="53"/>
      <c r="BE17" s="73" t="e">
        <f>'Value Tree - Fx'!BE17</f>
        <v>#VALUE!</v>
      </c>
      <c r="BF17" s="73"/>
      <c r="BG17" s="74"/>
      <c r="BH17" s="41"/>
      <c r="BI17" s="3"/>
      <c r="BJ17" s="38"/>
      <c r="BK17" s="31" t="str">
        <f>'Value Tree - Fx'!BK17</f>
        <v>RF</v>
      </c>
      <c r="BL17" s="71"/>
      <c r="BM17" s="73" t="e">
        <f>'Value Tree - Fx'!BM17</f>
        <v>#VALUE!</v>
      </c>
      <c r="BN17" s="73"/>
      <c r="BO17" s="73"/>
      <c r="BP17" s="53"/>
      <c r="BQ17" s="77" t="e">
        <f>'Value Tree - Fx'!BQ17</f>
        <v>#VALUE!</v>
      </c>
      <c r="BR17" s="77"/>
      <c r="BS17" s="74"/>
    </row>
    <row r="18" spans="5:71">
      <c r="E18" s="28" t="e">
        <f>'Value Tree - Fx'!E18</f>
        <v>#N/A</v>
      </c>
      <c r="F18" s="72"/>
      <c r="G18" s="47" t="e">
        <f>'Value Tree - Fx'!G18</f>
        <v>#VALUE!</v>
      </c>
      <c r="H18" s="47"/>
      <c r="I18" s="47"/>
      <c r="J18" s="54"/>
      <c r="K18" s="47" t="e">
        <f>'Value Tree - Fx'!K18</f>
        <v>#VALUE!</v>
      </c>
      <c r="L18" s="47"/>
      <c r="M18" s="48"/>
      <c r="N18" s="39"/>
      <c r="O18" s="5"/>
      <c r="P18" s="23" t="e">
        <f>'Value Tree - Fx'!P18</f>
        <v>#N/A</v>
      </c>
      <c r="Q18" s="72"/>
      <c r="R18" s="47" t="e">
        <f>'Value Tree - Fx'!R18</f>
        <v>#VALUE!</v>
      </c>
      <c r="S18" s="47"/>
      <c r="T18" s="47"/>
      <c r="U18" s="54"/>
      <c r="V18" s="47" t="e">
        <f>'Value Tree - Fx'!V18</f>
        <v>#VALUE!</v>
      </c>
      <c r="W18" s="47"/>
      <c r="X18" s="48"/>
      <c r="Y18" s="39"/>
      <c r="Z18" s="5"/>
      <c r="AA18" s="23" t="e">
        <f>'Value Tree - Fx'!AA18</f>
        <v>#N/A</v>
      </c>
      <c r="AB18" s="72"/>
      <c r="AC18" s="47" t="e">
        <f>'Value Tree - Fx'!AC18</f>
        <v>#VALUE!</v>
      </c>
      <c r="AD18" s="47"/>
      <c r="AE18" s="47"/>
      <c r="AF18" s="54"/>
      <c r="AG18" s="47" t="e">
        <f>'Value Tree - Fx'!AG18</f>
        <v>#VALUE!</v>
      </c>
      <c r="AH18" s="47"/>
      <c r="AI18" s="48"/>
      <c r="AM18" s="23" t="e">
        <f>'Value Tree - Fx'!AM18</f>
        <v>#N/A</v>
      </c>
      <c r="AN18" s="72"/>
      <c r="AO18" s="47" t="e">
        <f>'Value Tree - Fx'!AO18</f>
        <v>#VALUE!</v>
      </c>
      <c r="AP18" s="47"/>
      <c r="AQ18" s="47"/>
      <c r="AR18" s="54"/>
      <c r="AS18" s="47" t="e">
        <f>'Value Tree - Fx'!AS18</f>
        <v>#VALUE!</v>
      </c>
      <c r="AT18" s="47"/>
      <c r="AU18" s="48"/>
      <c r="AV18" s="41"/>
      <c r="AY18" s="23" t="e">
        <f>'Value Tree - Fx'!AY18</f>
        <v>#N/A</v>
      </c>
      <c r="AZ18" s="72"/>
      <c r="BA18" s="47" t="e">
        <f>'Value Tree - Fx'!BA18</f>
        <v>#VALUE!</v>
      </c>
      <c r="BB18" s="47"/>
      <c r="BC18" s="47"/>
      <c r="BD18" s="54"/>
      <c r="BE18" s="47" t="e">
        <f>'Value Tree - Fx'!BE18</f>
        <v>#VALUE!</v>
      </c>
      <c r="BF18" s="47"/>
      <c r="BG18" s="48"/>
      <c r="BH18" s="41"/>
      <c r="BK18" s="31" t="str">
        <f>'Value Tree - Fx'!BK18</f>
        <v>L300</v>
      </c>
      <c r="BL18" s="72"/>
      <c r="BM18" s="47" t="e">
        <f>'Value Tree - Fx'!BM18</f>
        <v>#VALUE!</v>
      </c>
      <c r="BN18" s="47"/>
      <c r="BO18" s="47"/>
      <c r="BP18" s="54"/>
      <c r="BQ18" s="57" t="e">
        <f>'Value Tree - Fx'!BQ18</f>
        <v>#VALUE!</v>
      </c>
      <c r="BR18" s="57"/>
      <c r="BS18" s="48"/>
    </row>
    <row r="19" spans="5:71" hidden="1">
      <c r="E19" s="24" t="str">
        <f>'Value Tree - Fx'!E19</f>
        <v>l500</v>
      </c>
      <c r="F19" s="25" t="e">
        <f>'Value Tree - Fx'!F19</f>
        <v>#VALUE!</v>
      </c>
      <c r="G19" s="47" t="e">
        <f>'Value Tree - Fx'!G19</f>
        <v>#VALUE!</v>
      </c>
      <c r="H19" s="47"/>
      <c r="I19" s="47"/>
      <c r="J19" s="25" t="e">
        <f>'Value Tree - Fx'!J19</f>
        <v>#VALUE!</v>
      </c>
      <c r="K19" s="47" t="e">
        <f>'Value Tree - Fx'!K19</f>
        <v>#VALUE!</v>
      </c>
      <c r="L19" s="47"/>
      <c r="M19" s="48"/>
      <c r="N19" s="39"/>
      <c r="O19" s="5"/>
      <c r="P19" s="24" t="str">
        <f>'Value Tree - Fx'!P19</f>
        <v>l500</v>
      </c>
      <c r="Q19" s="25" t="e">
        <f>'Value Tree - Fx'!Q19</f>
        <v>#VALUE!</v>
      </c>
      <c r="R19" s="47" t="e">
        <f>'Value Tree - Fx'!R19</f>
        <v>#VALUE!</v>
      </c>
      <c r="S19" s="47"/>
      <c r="T19" s="47"/>
      <c r="U19" s="25" t="e">
        <f>'Value Tree - Fx'!U19</f>
        <v>#VALUE!</v>
      </c>
      <c r="V19" s="47" t="e">
        <f>'Value Tree - Fx'!V19</f>
        <v>#VALUE!</v>
      </c>
      <c r="W19" s="47"/>
      <c r="X19" s="48"/>
      <c r="Y19" s="39"/>
      <c r="Z19" s="5"/>
      <c r="AA19" s="24" t="str">
        <f>'Value Tree - Fx'!AA19</f>
        <v>l500</v>
      </c>
      <c r="AB19" s="25" t="e">
        <f>'Value Tree - Fx'!AB19</f>
        <v>#VALUE!</v>
      </c>
      <c r="AC19" s="47" t="e">
        <f>'Value Tree - Fx'!AC19</f>
        <v>#VALUE!</v>
      </c>
      <c r="AD19" s="47"/>
      <c r="AE19" s="47"/>
      <c r="AF19" s="25" t="e">
        <f>'Value Tree - Fx'!AF19</f>
        <v>#VALUE!</v>
      </c>
      <c r="AG19" s="47" t="e">
        <f>'Value Tree - Fx'!AG19</f>
        <v>#VALUE!</v>
      </c>
      <c r="AH19" s="47"/>
      <c r="AI19" s="48"/>
      <c r="AM19" s="24" t="str">
        <f>'Value Tree - Fx'!AM19</f>
        <v>l500</v>
      </c>
      <c r="AN19" s="25" t="e">
        <f>'Value Tree - Fx'!AN19</f>
        <v>#VALUE!</v>
      </c>
      <c r="AO19" s="47" t="e">
        <f>'Value Tree - Fx'!AO19</f>
        <v>#VALUE!</v>
      </c>
      <c r="AP19" s="47"/>
      <c r="AQ19" s="47"/>
      <c r="AR19" s="25" t="e">
        <f>'Value Tree - Fx'!AR19</f>
        <v>#VALUE!</v>
      </c>
      <c r="AS19" s="47" t="e">
        <f>'Value Tree - Fx'!AS19</f>
        <v>#VALUE!</v>
      </c>
      <c r="AT19" s="47"/>
      <c r="AU19" s="48"/>
      <c r="AV19" s="41"/>
      <c r="AY19" s="24" t="str">
        <f>'Value Tree - Fx'!AY19</f>
        <v>l500</v>
      </c>
      <c r="AZ19" s="25" t="e">
        <f>'Value Tree - Fx'!AZ19</f>
        <v>#VALUE!</v>
      </c>
      <c r="BA19" s="47" t="e">
        <f>'Value Tree - Fx'!BA19</f>
        <v>#VALUE!</v>
      </c>
      <c r="BB19" s="47"/>
      <c r="BC19" s="47"/>
      <c r="BD19" s="25" t="e">
        <f>'Value Tree - Fx'!BD19</f>
        <v>#VALUE!</v>
      </c>
      <c r="BE19" s="47" t="e">
        <f>'Value Tree - Fx'!BE19</f>
        <v>#VALUE!</v>
      </c>
      <c r="BF19" s="47"/>
      <c r="BG19" s="48"/>
      <c r="BH19" s="41"/>
      <c r="BK19" s="32" t="str">
        <f>'Value Tree - Fx'!BK19</f>
        <v>l500</v>
      </c>
      <c r="BL19" s="33">
        <f>'Value Tree - Fx'!BL19</f>
        <v>1</v>
      </c>
      <c r="BM19" s="51" t="e">
        <f>'Value Tree - Fx'!BM19</f>
        <v>#VALUE!</v>
      </c>
      <c r="BN19" s="51"/>
      <c r="BO19" s="51"/>
      <c r="BP19" s="33">
        <f>'Value Tree - Fx'!BP19</f>
        <v>1</v>
      </c>
      <c r="BQ19" s="51" t="e">
        <f>'Value Tree - Fx'!BQ19</f>
        <v>#VALUE!</v>
      </c>
      <c r="BR19" s="51"/>
      <c r="BS19" s="52"/>
    </row>
    <row r="20" spans="5:71">
      <c r="E20" s="8"/>
      <c r="F20" s="5"/>
      <c r="G20" s="5"/>
      <c r="H20" s="5"/>
      <c r="I20" s="5"/>
      <c r="J20" s="5"/>
      <c r="K20" s="5"/>
      <c r="L20" s="5"/>
      <c r="M20" s="5"/>
      <c r="N20" s="39"/>
      <c r="O20" s="5"/>
      <c r="Y20" s="39"/>
      <c r="Z20" s="5"/>
      <c r="AV20" s="41"/>
      <c r="BH20" s="41"/>
    </row>
    <row r="21" spans="5:71">
      <c r="E21" s="8"/>
      <c r="F21" s="5"/>
      <c r="G21" s="5"/>
      <c r="H21" s="5"/>
      <c r="I21" s="5"/>
      <c r="J21" s="5"/>
      <c r="K21" s="5"/>
      <c r="L21" s="5"/>
      <c r="M21" s="5"/>
      <c r="N21" s="39"/>
      <c r="O21" s="5"/>
      <c r="Y21" s="39"/>
      <c r="Z21" s="5"/>
      <c r="AV21" s="41"/>
      <c r="BH21" s="41"/>
    </row>
    <row r="22" spans="5:71" hidden="1">
      <c r="E22" s="19" t="str">
        <f>'Value Tree - Fx'!E22</f>
        <v>+</v>
      </c>
      <c r="F22" s="26"/>
      <c r="G22" s="79" t="e">
        <f>'Value Tree 2'!$D$6</f>
        <v>#N/A</v>
      </c>
      <c r="H22" s="79"/>
      <c r="I22" s="79"/>
      <c r="J22" s="26"/>
      <c r="K22" s="79" t="str">
        <f>'Value Tree - Fx'!$A$12</f>
        <v>Year</v>
      </c>
      <c r="L22" s="79"/>
      <c r="M22" s="80"/>
      <c r="N22" s="39"/>
      <c r="O22" s="5"/>
      <c r="P22" s="19" t="str">
        <f>'Value Tree - Fx'!P22</f>
        <v>+</v>
      </c>
      <c r="Q22" s="26"/>
      <c r="R22" s="79" t="e">
        <f>'Value Tree 2'!$D$6</f>
        <v>#N/A</v>
      </c>
      <c r="S22" s="79"/>
      <c r="T22" s="79"/>
      <c r="U22" s="26"/>
      <c r="V22" s="79" t="str">
        <f>'Value Tree - Fx'!$A$12</f>
        <v>Year</v>
      </c>
      <c r="W22" s="79"/>
      <c r="X22" s="80"/>
      <c r="Y22" s="39"/>
      <c r="Z22" s="5"/>
      <c r="AV22" s="41"/>
      <c r="AY22" s="29" t="str">
        <f>'Value Tree - Fx'!AY22</f>
        <v>+</v>
      </c>
      <c r="AZ22" s="30"/>
      <c r="BA22" s="61" t="e">
        <f>'Value Tree 2'!$D$6</f>
        <v>#N/A</v>
      </c>
      <c r="BB22" s="61"/>
      <c r="BC22" s="61"/>
      <c r="BD22" s="30"/>
      <c r="BE22" s="61" t="str">
        <f>'Value Tree - Fx'!$A$12</f>
        <v>Year</v>
      </c>
      <c r="BF22" s="61"/>
      <c r="BG22" s="62"/>
      <c r="BH22" s="41"/>
      <c r="BK22" s="29" t="str">
        <f>'Value Tree - Fx'!BK22</f>
        <v>+</v>
      </c>
      <c r="BL22" s="30"/>
      <c r="BM22" s="61" t="e">
        <f>'Value Tree 2'!$D$6</f>
        <v>#N/A</v>
      </c>
      <c r="BN22" s="61"/>
      <c r="BO22" s="61"/>
      <c r="BP22" s="30"/>
      <c r="BQ22" s="61" t="str">
        <f>'Value Tree - Fx'!$A$12</f>
        <v>Year</v>
      </c>
      <c r="BR22" s="61"/>
      <c r="BS22" s="62"/>
    </row>
    <row r="23" spans="5:71">
      <c r="E23" s="28"/>
      <c r="F23" s="66" t="s">
        <v>14</v>
      </c>
      <c r="G23" s="67"/>
      <c r="H23" s="67"/>
      <c r="I23" s="67"/>
      <c r="J23" s="67"/>
      <c r="K23" s="67"/>
      <c r="L23" s="67"/>
      <c r="M23" s="68"/>
      <c r="N23" s="39"/>
      <c r="O23" s="5"/>
      <c r="P23" s="27"/>
      <c r="Q23" s="66" t="s">
        <v>16</v>
      </c>
      <c r="R23" s="67"/>
      <c r="S23" s="67"/>
      <c r="T23" s="67"/>
      <c r="U23" s="67"/>
      <c r="V23" s="67"/>
      <c r="W23" s="67"/>
      <c r="X23" s="68"/>
      <c r="Y23" s="39"/>
      <c r="Z23" s="5"/>
      <c r="AV23" s="41"/>
      <c r="AY23" s="31"/>
      <c r="AZ23" s="69" t="s">
        <v>45</v>
      </c>
      <c r="BA23" s="70"/>
      <c r="BB23" s="70"/>
      <c r="BC23" s="70"/>
      <c r="BD23" s="70"/>
      <c r="BE23" s="70"/>
      <c r="BF23" s="70"/>
      <c r="BG23" s="68"/>
      <c r="BH23" s="41"/>
      <c r="BK23" s="31"/>
      <c r="BL23" s="69" t="s">
        <v>57</v>
      </c>
      <c r="BM23" s="70"/>
      <c r="BN23" s="70"/>
      <c r="BO23" s="70"/>
      <c r="BP23" s="70"/>
      <c r="BQ23" s="70"/>
      <c r="BR23" s="70"/>
      <c r="BS23" s="68"/>
    </row>
    <row r="24" spans="5:71">
      <c r="E24" s="28" t="e">
        <f>'Value Tree - Fx'!E24</f>
        <v>#N/A</v>
      </c>
      <c r="F24" s="71"/>
      <c r="G24" s="73" t="e">
        <f>'Value Tree - Fx'!G24</f>
        <v>#VALUE!</v>
      </c>
      <c r="H24" s="73"/>
      <c r="I24" s="73"/>
      <c r="J24" s="53"/>
      <c r="K24" s="73" t="e">
        <f>'Value Tree - Fx'!K24</f>
        <v>#VALUE!</v>
      </c>
      <c r="L24" s="73"/>
      <c r="M24" s="74"/>
      <c r="N24" s="40"/>
      <c r="O24" s="36"/>
      <c r="P24" s="23" t="e">
        <f>'Value Tree - Fx'!P24</f>
        <v>#N/A</v>
      </c>
      <c r="Q24" s="71"/>
      <c r="R24" s="73" t="e">
        <f>'Value Tree - Fx'!R24</f>
        <v>#VALUE!</v>
      </c>
      <c r="S24" s="73"/>
      <c r="T24" s="73"/>
      <c r="U24" s="53"/>
      <c r="V24" s="73" t="e">
        <f>'Value Tree - Fx'!V24</f>
        <v>#VALUE!</v>
      </c>
      <c r="W24" s="73"/>
      <c r="X24" s="74"/>
      <c r="Y24" s="39"/>
      <c r="Z24" s="5"/>
      <c r="AV24" s="41"/>
      <c r="AY24" s="31" t="str">
        <f>'Value Tree - Fx'!AY24</f>
        <v>RF</v>
      </c>
      <c r="AZ24" s="71"/>
      <c r="BA24" s="73" t="e">
        <f>'Value Tree - Fx'!BA24</f>
        <v>#VALUE!</v>
      </c>
      <c r="BB24" s="73"/>
      <c r="BC24" s="73"/>
      <c r="BD24" s="53"/>
      <c r="BE24" s="77" t="e">
        <f>'Value Tree - Fx'!BE24</f>
        <v>#VALUE!</v>
      </c>
      <c r="BF24" s="77"/>
      <c r="BG24" s="74"/>
      <c r="BH24" s="41"/>
      <c r="BI24" s="3"/>
      <c r="BJ24" s="38"/>
      <c r="BK24" s="31" t="str">
        <f>'Value Tree - Fx'!BK24</f>
        <v>RF</v>
      </c>
      <c r="BL24" s="71"/>
      <c r="BM24" s="73" t="e">
        <f>'Value Tree - Fx'!BM24</f>
        <v>#VALUE!</v>
      </c>
      <c r="BN24" s="73"/>
      <c r="BO24" s="73"/>
      <c r="BP24" s="53"/>
      <c r="BQ24" s="77" t="e">
        <f>'Value Tree - Fx'!BQ24</f>
        <v>#VALUE!</v>
      </c>
      <c r="BR24" s="77"/>
      <c r="BS24" s="74"/>
    </row>
    <row r="25" spans="5:71">
      <c r="E25" s="28" t="e">
        <f>'Value Tree - Fx'!E25</f>
        <v>#N/A</v>
      </c>
      <c r="F25" s="72"/>
      <c r="G25" s="47" t="e">
        <f>'Value Tree - Fx'!G25</f>
        <v>#VALUE!</v>
      </c>
      <c r="H25" s="47"/>
      <c r="I25" s="47"/>
      <c r="J25" s="54"/>
      <c r="K25" s="47" t="e">
        <f>'Value Tree - Fx'!K25</f>
        <v>#VALUE!</v>
      </c>
      <c r="L25" s="47"/>
      <c r="M25" s="48"/>
      <c r="N25" s="39"/>
      <c r="O25" s="5"/>
      <c r="P25" s="23" t="e">
        <f>'Value Tree - Fx'!P25</f>
        <v>#N/A</v>
      </c>
      <c r="Q25" s="72"/>
      <c r="R25" s="47" t="e">
        <f>'Value Tree - Fx'!R25</f>
        <v>#VALUE!</v>
      </c>
      <c r="S25" s="47"/>
      <c r="T25" s="47"/>
      <c r="U25" s="54"/>
      <c r="V25" s="47" t="e">
        <f>'Value Tree - Fx'!V25</f>
        <v>#VALUE!</v>
      </c>
      <c r="W25" s="47"/>
      <c r="X25" s="48"/>
      <c r="Y25" s="39"/>
      <c r="Z25" s="5"/>
      <c r="AV25" s="41"/>
      <c r="AY25" s="31" t="str">
        <f>'Value Tree - Fx'!AY25</f>
        <v>L300</v>
      </c>
      <c r="AZ25" s="72"/>
      <c r="BA25" s="47" t="e">
        <f>'Value Tree - Fx'!BA25</f>
        <v>#VALUE!</v>
      </c>
      <c r="BB25" s="47"/>
      <c r="BC25" s="47"/>
      <c r="BD25" s="54"/>
      <c r="BE25" s="57" t="e">
        <f>'Value Tree - Fx'!BE25</f>
        <v>#VALUE!</v>
      </c>
      <c r="BF25" s="57"/>
      <c r="BG25" s="48"/>
      <c r="BK25" s="31" t="str">
        <f>'Value Tree - Fx'!BK25</f>
        <v>L300</v>
      </c>
      <c r="BL25" s="72"/>
      <c r="BM25" s="47" t="e">
        <f>'Value Tree - Fx'!BM25</f>
        <v>#VALUE!</v>
      </c>
      <c r="BN25" s="47"/>
      <c r="BO25" s="47"/>
      <c r="BP25" s="54"/>
      <c r="BQ25" s="57" t="e">
        <f>'Value Tree - Fx'!BQ25</f>
        <v>#VALUE!</v>
      </c>
      <c r="BR25" s="57"/>
      <c r="BS25" s="48"/>
    </row>
    <row r="26" spans="5:71" hidden="1">
      <c r="E26" s="24" t="str">
        <f>'Value Tree - Fx'!E26</f>
        <v>l500</v>
      </c>
      <c r="F26" s="25" t="e">
        <f>'Value Tree - Fx'!F26</f>
        <v>#VALUE!</v>
      </c>
      <c r="G26" s="47" t="e">
        <f>'Value Tree - Fx'!G26</f>
        <v>#VALUE!</v>
      </c>
      <c r="H26" s="47"/>
      <c r="I26" s="47"/>
      <c r="J26" s="25" t="e">
        <f>'Value Tree - Fx'!J26</f>
        <v>#VALUE!</v>
      </c>
      <c r="K26" s="47" t="e">
        <f>'Value Tree - Fx'!K26</f>
        <v>#VALUE!</v>
      </c>
      <c r="L26" s="47"/>
      <c r="M26" s="48"/>
      <c r="N26" s="39"/>
      <c r="O26" s="5"/>
      <c r="P26" s="24" t="str">
        <f>'Value Tree - Fx'!P26</f>
        <v>l500</v>
      </c>
      <c r="Q26" s="25" t="e">
        <f>'Value Tree - Fx'!Q26</f>
        <v>#VALUE!</v>
      </c>
      <c r="R26" s="47" t="e">
        <f>'Value Tree - Fx'!R26</f>
        <v>#VALUE!</v>
      </c>
      <c r="S26" s="47"/>
      <c r="T26" s="47"/>
      <c r="U26" s="25" t="e">
        <f>'Value Tree - Fx'!U26</f>
        <v>#VALUE!</v>
      </c>
      <c r="V26" s="47" t="e">
        <f>'Value Tree - Fx'!V26</f>
        <v>#VALUE!</v>
      </c>
      <c r="W26" s="47"/>
      <c r="X26" s="48"/>
      <c r="Y26" s="39"/>
      <c r="Z26" s="5"/>
      <c r="AV26" s="41"/>
      <c r="AY26" s="32" t="str">
        <f>'Value Tree - Fx'!AY26</f>
        <v>l500</v>
      </c>
      <c r="AZ26" s="33">
        <f>'Value Tree - Fx'!AZ26</f>
        <v>1</v>
      </c>
      <c r="BA26" s="51" t="e">
        <f>'Value Tree - Fx'!BA26</f>
        <v>#VALUE!</v>
      </c>
      <c r="BB26" s="51"/>
      <c r="BC26" s="51"/>
      <c r="BD26" s="33">
        <f>'Value Tree - Fx'!BD26</f>
        <v>1</v>
      </c>
      <c r="BE26" s="51" t="e">
        <f>'Value Tree - Fx'!BE26</f>
        <v>#VALUE!</v>
      </c>
      <c r="BF26" s="51"/>
      <c r="BG26" s="52"/>
      <c r="BK26" s="32" t="str">
        <f>'Value Tree - Fx'!BK26</f>
        <v>l500</v>
      </c>
      <c r="BL26" s="33">
        <f>'Value Tree - Fx'!BL26</f>
        <v>1</v>
      </c>
      <c r="BM26" s="51" t="e">
        <f>'Value Tree - Fx'!BM26</f>
        <v>#VALUE!</v>
      </c>
      <c r="BN26" s="51"/>
      <c r="BO26" s="51"/>
      <c r="BP26" s="33">
        <f>'Value Tree - Fx'!BP26</f>
        <v>1</v>
      </c>
      <c r="BQ26" s="51" t="e">
        <f>'Value Tree - Fx'!BQ26</f>
        <v>#VALUE!</v>
      </c>
      <c r="BR26" s="51"/>
      <c r="BS26" s="52"/>
    </row>
    <row r="27" spans="5:71">
      <c r="G27" s="17"/>
      <c r="H27" s="17"/>
      <c r="I27" s="17"/>
      <c r="K27" s="17"/>
      <c r="L27" s="17"/>
      <c r="M27" s="17"/>
      <c r="N27" s="39"/>
      <c r="O27" s="5"/>
      <c r="Y27" s="39"/>
      <c r="Z27" s="5"/>
      <c r="AV27" s="41"/>
    </row>
    <row r="28" spans="5:71">
      <c r="E28" s="8"/>
      <c r="F28" s="5"/>
      <c r="G28" s="5"/>
      <c r="H28" s="5"/>
      <c r="I28" s="5"/>
      <c r="J28" s="5"/>
      <c r="K28" s="5"/>
      <c r="L28" s="5"/>
      <c r="M28" s="5"/>
      <c r="N28" s="39"/>
      <c r="O28" s="5"/>
      <c r="R28" s="17"/>
      <c r="S28" s="17"/>
      <c r="T28" s="17"/>
      <c r="V28" s="17"/>
      <c r="W28" s="17"/>
      <c r="X28" s="17"/>
      <c r="Y28" s="39"/>
      <c r="Z28" s="5"/>
      <c r="AV28" s="41"/>
    </row>
    <row r="29" spans="5:71" hidden="1">
      <c r="E29" s="19" t="str">
        <f>'Value Tree - Fx'!E29</f>
        <v>+</v>
      </c>
      <c r="F29" s="26"/>
      <c r="G29" s="21" t="e">
        <f>'Value Tree 2'!$D$6</f>
        <v>#N/A</v>
      </c>
      <c r="H29" s="21"/>
      <c r="I29" s="21"/>
      <c r="J29" s="26"/>
      <c r="K29" s="21" t="str">
        <f>'Value Tree - Fx'!$A$12</f>
        <v>Year</v>
      </c>
      <c r="L29" s="21"/>
      <c r="M29" s="22"/>
      <c r="N29" s="39"/>
      <c r="O29" s="5"/>
      <c r="P29" s="19" t="str">
        <f>'Value Tree - Fx'!P29</f>
        <v>+</v>
      </c>
      <c r="Q29" s="26"/>
      <c r="R29" s="79" t="e">
        <f>'Value Tree 2'!$D$6</f>
        <v>#N/A</v>
      </c>
      <c r="S29" s="79"/>
      <c r="T29" s="79"/>
      <c r="U29" s="26"/>
      <c r="V29" s="79" t="str">
        <f>'Value Tree - Fx'!$A$12</f>
        <v>Year</v>
      </c>
      <c r="W29" s="79"/>
      <c r="X29" s="80"/>
      <c r="Y29" s="39"/>
      <c r="Z29" s="5"/>
      <c r="AA29" s="19" t="str">
        <f>'Value Tree - Fx'!AA29</f>
        <v>+</v>
      </c>
      <c r="AB29" s="20"/>
      <c r="AC29" s="79" t="e">
        <f>'Value Tree 2'!$D$6</f>
        <v>#N/A</v>
      </c>
      <c r="AD29" s="79"/>
      <c r="AE29" s="79"/>
      <c r="AF29" s="20"/>
      <c r="AG29" s="79" t="str">
        <f>'Value Tree - Fx'!$A$12</f>
        <v>Year</v>
      </c>
      <c r="AH29" s="79"/>
      <c r="AI29" s="80"/>
      <c r="AM29" s="19" t="str">
        <f>'Value Tree - Fx'!AM29</f>
        <v>+</v>
      </c>
      <c r="AN29" s="20"/>
      <c r="AO29" s="79" t="e">
        <f>'Value Tree 2'!$D$6</f>
        <v>#N/A</v>
      </c>
      <c r="AP29" s="79"/>
      <c r="AQ29" s="79"/>
      <c r="AR29" s="20"/>
      <c r="AS29" s="79" t="str">
        <f>'Value Tree - Fx'!$A$12</f>
        <v>Year</v>
      </c>
      <c r="AT29" s="79"/>
      <c r="AU29" s="80"/>
      <c r="AV29" s="41"/>
      <c r="AY29" s="29" t="str">
        <f>'Value Tree - Fx'!AY29</f>
        <v>+</v>
      </c>
      <c r="AZ29" s="30"/>
      <c r="BA29" s="61" t="e">
        <f>'Value Tree 2'!$D$6</f>
        <v>#N/A</v>
      </c>
      <c r="BB29" s="61"/>
      <c r="BC29" s="61"/>
      <c r="BD29" s="30"/>
      <c r="BE29" s="61" t="str">
        <f>'Value Tree - Fx'!$A$12</f>
        <v>Year</v>
      </c>
      <c r="BF29" s="61"/>
      <c r="BG29" s="62"/>
      <c r="BK29" s="29" t="str">
        <f>'Value Tree - Fx'!BK29</f>
        <v>+</v>
      </c>
      <c r="BL29" s="30"/>
      <c r="BM29" s="61" t="e">
        <f>'Value Tree 2'!$D$6</f>
        <v>#N/A</v>
      </c>
      <c r="BN29" s="61"/>
      <c r="BO29" s="61"/>
      <c r="BP29" s="30"/>
      <c r="BQ29" s="61" t="str">
        <f>'Value Tree - Fx'!$A$12</f>
        <v>Year</v>
      </c>
      <c r="BR29" s="61"/>
      <c r="BS29" s="62"/>
    </row>
    <row r="30" spans="5:71">
      <c r="E30" s="28"/>
      <c r="F30" s="66" t="s">
        <v>58</v>
      </c>
      <c r="G30" s="67"/>
      <c r="H30" s="67"/>
      <c r="I30" s="67"/>
      <c r="J30" s="67"/>
      <c r="K30" s="67"/>
      <c r="L30" s="67"/>
      <c r="M30" s="68"/>
      <c r="N30" s="39"/>
      <c r="O30" s="5"/>
      <c r="P30" s="27"/>
      <c r="Q30" s="66" t="s">
        <v>13</v>
      </c>
      <c r="R30" s="67"/>
      <c r="S30" s="67"/>
      <c r="T30" s="67"/>
      <c r="U30" s="67"/>
      <c r="V30" s="67"/>
      <c r="W30" s="67"/>
      <c r="X30" s="68"/>
      <c r="Y30" s="39"/>
      <c r="Z30" s="5"/>
      <c r="AA30" s="23"/>
      <c r="AB30" s="66" t="s">
        <v>36</v>
      </c>
      <c r="AC30" s="67"/>
      <c r="AD30" s="67"/>
      <c r="AE30" s="67"/>
      <c r="AF30" s="67"/>
      <c r="AG30" s="67"/>
      <c r="AH30" s="67"/>
      <c r="AI30" s="68"/>
      <c r="AM30" s="23"/>
      <c r="AN30" s="66" t="s">
        <v>49</v>
      </c>
      <c r="AO30" s="67"/>
      <c r="AP30" s="67"/>
      <c r="AQ30" s="67"/>
      <c r="AR30" s="67"/>
      <c r="AS30" s="67"/>
      <c r="AT30" s="67"/>
      <c r="AU30" s="68"/>
      <c r="AV30" s="41"/>
      <c r="AY30" s="31"/>
      <c r="AZ30" s="69" t="s">
        <v>51</v>
      </c>
      <c r="BA30" s="70"/>
      <c r="BB30" s="70"/>
      <c r="BC30" s="70"/>
      <c r="BD30" s="70"/>
      <c r="BE30" s="70"/>
      <c r="BF30" s="70"/>
      <c r="BG30" s="68"/>
      <c r="BK30" s="31"/>
      <c r="BL30" s="69" t="s">
        <v>46</v>
      </c>
      <c r="BM30" s="70"/>
      <c r="BN30" s="70"/>
      <c r="BO30" s="70"/>
      <c r="BP30" s="70"/>
      <c r="BQ30" s="70"/>
      <c r="BR30" s="70"/>
      <c r="BS30" s="68"/>
    </row>
    <row r="31" spans="5:71">
      <c r="E31" s="28" t="e">
        <f>'Value Tree - Fx'!E31</f>
        <v>#N/A</v>
      </c>
      <c r="F31" s="71"/>
      <c r="G31" s="75" t="e">
        <f>'Value Tree - Fx'!G31</f>
        <v>#VALUE!</v>
      </c>
      <c r="H31" s="75"/>
      <c r="I31" s="75"/>
      <c r="J31" s="53"/>
      <c r="K31" s="75" t="e">
        <f>'Value Tree - Fx'!K31</f>
        <v>#VALUE!</v>
      </c>
      <c r="L31" s="75"/>
      <c r="M31" s="76"/>
      <c r="N31" s="39"/>
      <c r="O31" s="36"/>
      <c r="P31" s="23" t="e">
        <f>'Value Tree - Fx'!P31</f>
        <v>#N/A</v>
      </c>
      <c r="Q31" s="71"/>
      <c r="R31" s="73" t="e">
        <f>'Value Tree - Fx'!R31</f>
        <v>#VALUE!</v>
      </c>
      <c r="S31" s="73"/>
      <c r="T31" s="73"/>
      <c r="U31" s="53"/>
      <c r="V31" s="73" t="e">
        <f>'Value Tree - Fx'!V31</f>
        <v>#VALUE!</v>
      </c>
      <c r="W31" s="73"/>
      <c r="X31" s="74"/>
      <c r="Y31" s="39"/>
      <c r="Z31" s="36"/>
      <c r="AA31" s="23" t="e">
        <f>'Value Tree - Fx'!AA31</f>
        <v>#N/A</v>
      </c>
      <c r="AB31" s="71"/>
      <c r="AC31" s="73" t="e">
        <f>'Value Tree - Fx'!AC31</f>
        <v>#VALUE!</v>
      </c>
      <c r="AD31" s="73"/>
      <c r="AE31" s="73"/>
      <c r="AF31" s="53"/>
      <c r="AG31" s="73" t="e">
        <f>'Value Tree - Fx'!AG31</f>
        <v>#VALUE!</v>
      </c>
      <c r="AH31" s="73"/>
      <c r="AI31" s="74"/>
      <c r="AJ31" s="4"/>
      <c r="AK31" s="3"/>
      <c r="AL31" s="37"/>
      <c r="AM31" s="23" t="e">
        <f>'Value Tree - Fx'!AM31</f>
        <v>#N/A</v>
      </c>
      <c r="AN31" s="71"/>
      <c r="AO31" s="73" t="e">
        <f>'Value Tree - Fx'!AO31</f>
        <v>#VALUE!</v>
      </c>
      <c r="AP31" s="73"/>
      <c r="AQ31" s="73"/>
      <c r="AR31" s="53"/>
      <c r="AS31" s="73" t="e">
        <f>'Value Tree - Fx'!AS31</f>
        <v>#VALUE!</v>
      </c>
      <c r="AT31" s="73"/>
      <c r="AU31" s="74"/>
      <c r="AV31" s="42"/>
      <c r="AW31" s="3"/>
      <c r="AX31" s="38"/>
      <c r="AY31" s="31" t="str">
        <f>'Value Tree - Fx'!AY31</f>
        <v>RF</v>
      </c>
      <c r="AZ31" s="71"/>
      <c r="BA31" s="73" t="e">
        <f>'Value Tree - Fx'!BA31</f>
        <v>#VALUE!</v>
      </c>
      <c r="BB31" s="73"/>
      <c r="BC31" s="73"/>
      <c r="BD31" s="53"/>
      <c r="BE31" s="77" t="e">
        <f>'Value Tree - Fx'!BE31</f>
        <v>#VALUE!</v>
      </c>
      <c r="BF31" s="77"/>
      <c r="BG31" s="74"/>
      <c r="BH31" s="4"/>
      <c r="BI31" s="3"/>
      <c r="BJ31" s="38"/>
      <c r="BK31" s="31" t="str">
        <f>'Value Tree - Fx'!BK31</f>
        <v>RF</v>
      </c>
      <c r="BL31" s="71"/>
      <c r="BM31" s="73" t="e">
        <f>'Value Tree - Fx'!BM31</f>
        <v>#VALUE!</v>
      </c>
      <c r="BN31" s="73"/>
      <c r="BO31" s="73"/>
      <c r="BP31" s="53"/>
      <c r="BQ31" s="77" t="e">
        <f>'Value Tree - Fx'!BQ31</f>
        <v>#VALUE!</v>
      </c>
      <c r="BR31" s="77"/>
      <c r="BS31" s="74"/>
    </row>
    <row r="32" spans="5:71">
      <c r="E32" s="28" t="e">
        <f>'Value Tree - Fx'!E32</f>
        <v>#N/A</v>
      </c>
      <c r="F32" s="72"/>
      <c r="G32" s="49" t="e">
        <f>'Value Tree - Fx'!G32</f>
        <v>#VALUE!</v>
      </c>
      <c r="H32" s="49"/>
      <c r="I32" s="49"/>
      <c r="J32" s="54"/>
      <c r="K32" s="49" t="e">
        <f>'Value Tree - Fx'!K32</f>
        <v>#VALUE!</v>
      </c>
      <c r="L32" s="49"/>
      <c r="M32" s="50"/>
      <c r="N32" s="39"/>
      <c r="O32" s="5"/>
      <c r="P32" s="23" t="e">
        <f>'Value Tree - Fx'!P32</f>
        <v>#N/A</v>
      </c>
      <c r="Q32" s="72"/>
      <c r="R32" s="47" t="e">
        <f>'Value Tree - Fx'!R32</f>
        <v>#VALUE!</v>
      </c>
      <c r="S32" s="47"/>
      <c r="T32" s="47"/>
      <c r="U32" s="54"/>
      <c r="V32" s="47" t="e">
        <f>'Value Tree - Fx'!V32</f>
        <v>#VALUE!</v>
      </c>
      <c r="W32" s="47"/>
      <c r="X32" s="48"/>
      <c r="Y32" s="39"/>
      <c r="Z32" s="5"/>
      <c r="AA32" s="23" t="e">
        <f>'Value Tree - Fx'!AA32</f>
        <v>#N/A</v>
      </c>
      <c r="AB32" s="72"/>
      <c r="AC32" s="47" t="e">
        <f>'Value Tree - Fx'!AC32</f>
        <v>#VALUE!</v>
      </c>
      <c r="AD32" s="47"/>
      <c r="AE32" s="47"/>
      <c r="AF32" s="54"/>
      <c r="AG32" s="47" t="e">
        <f>'Value Tree - Fx'!AG32</f>
        <v>#VALUE!</v>
      </c>
      <c r="AH32" s="47"/>
      <c r="AI32" s="48"/>
      <c r="AJ32" s="9"/>
      <c r="AM32" s="23" t="e">
        <f>'Value Tree - Fx'!AM32</f>
        <v>#N/A</v>
      </c>
      <c r="AN32" s="72"/>
      <c r="AO32" s="47" t="e">
        <f>'Value Tree - Fx'!AO32</f>
        <v>#VALUE!</v>
      </c>
      <c r="AP32" s="47"/>
      <c r="AQ32" s="47"/>
      <c r="AR32" s="54"/>
      <c r="AS32" s="47" t="e">
        <f>'Value Tree - Fx'!AS32</f>
        <v>#VALUE!</v>
      </c>
      <c r="AT32" s="47"/>
      <c r="AU32" s="48"/>
      <c r="AV32" s="9"/>
      <c r="AY32" s="31" t="str">
        <f>'Value Tree - Fx'!AY32</f>
        <v>L300</v>
      </c>
      <c r="AZ32" s="72"/>
      <c r="BA32" s="47" t="e">
        <f>'Value Tree - Fx'!BA32</f>
        <v>#VALUE!</v>
      </c>
      <c r="BB32" s="47"/>
      <c r="BC32" s="47"/>
      <c r="BD32" s="54"/>
      <c r="BE32" s="57" t="e">
        <f>'Value Tree - Fx'!BE32</f>
        <v>#VALUE!</v>
      </c>
      <c r="BF32" s="57"/>
      <c r="BG32" s="48"/>
      <c r="BH32" s="9"/>
      <c r="BK32" s="31" t="str">
        <f>'Value Tree - Fx'!BK32</f>
        <v>L300</v>
      </c>
      <c r="BL32" s="72"/>
      <c r="BM32" s="47" t="e">
        <f>'Value Tree - Fx'!BM32</f>
        <v>#VALUE!</v>
      </c>
      <c r="BN32" s="47"/>
      <c r="BO32" s="47"/>
      <c r="BP32" s="54"/>
      <c r="BQ32" s="57" t="e">
        <f>'Value Tree - Fx'!BQ32</f>
        <v>#VALUE!</v>
      </c>
      <c r="BR32" s="57"/>
      <c r="BS32" s="48"/>
    </row>
    <row r="33" spans="5:71" hidden="1">
      <c r="E33" s="24" t="str">
        <f>'Value Tree - Fx'!E33</f>
        <v>l500</v>
      </c>
      <c r="F33" s="25" t="e">
        <f>'Value Tree - Fx'!F33</f>
        <v>#VALUE!</v>
      </c>
      <c r="G33" s="49" t="e">
        <f>'Value Tree - Fx'!G33</f>
        <v>#VALUE!</v>
      </c>
      <c r="H33" s="49"/>
      <c r="I33" s="49"/>
      <c r="J33" s="25" t="e">
        <f>'Value Tree - Fx'!J33</f>
        <v>#VALUE!</v>
      </c>
      <c r="K33" s="49" t="e">
        <f>'Value Tree - Fx'!K33</f>
        <v>#VALUE!</v>
      </c>
      <c r="L33" s="49"/>
      <c r="M33" s="50"/>
      <c r="N33" s="39"/>
      <c r="O33" s="5"/>
      <c r="P33" s="24" t="str">
        <f>'Value Tree - Fx'!P33</f>
        <v>l500</v>
      </c>
      <c r="Q33" s="25" t="e">
        <f>'Value Tree - Fx'!Q33</f>
        <v>#VALUE!</v>
      </c>
      <c r="R33" s="47" t="e">
        <f>'Value Tree - Fx'!R33</f>
        <v>#VALUE!</v>
      </c>
      <c r="S33" s="47"/>
      <c r="T33" s="47"/>
      <c r="U33" s="25" t="e">
        <f>'Value Tree - Fx'!U33</f>
        <v>#VALUE!</v>
      </c>
      <c r="V33" s="47" t="e">
        <f>'Value Tree - Fx'!V33</f>
        <v>#VALUE!</v>
      </c>
      <c r="W33" s="47"/>
      <c r="X33" s="48"/>
      <c r="Y33" s="39"/>
      <c r="Z33" s="5"/>
      <c r="AA33" s="24" t="str">
        <f>'Value Tree - Fx'!AA33</f>
        <v>l500</v>
      </c>
      <c r="AB33" s="25" t="e">
        <f>'Value Tree - Fx'!AB33</f>
        <v>#VALUE!</v>
      </c>
      <c r="AC33" s="47" t="e">
        <f>'Value Tree - Fx'!AC33</f>
        <v>#VALUE!</v>
      </c>
      <c r="AD33" s="47"/>
      <c r="AE33" s="47"/>
      <c r="AF33" s="25" t="e">
        <f>'Value Tree - Fx'!AF33</f>
        <v>#VALUE!</v>
      </c>
      <c r="AG33" s="47" t="e">
        <f>'Value Tree - Fx'!AG33</f>
        <v>#VALUE!</v>
      </c>
      <c r="AH33" s="47"/>
      <c r="AI33" s="48"/>
      <c r="AJ33" s="41"/>
      <c r="AM33" s="24" t="str">
        <f>'Value Tree - Fx'!AM33</f>
        <v>l500</v>
      </c>
      <c r="AN33" s="25" t="e">
        <f>'Value Tree - Fx'!AN33</f>
        <v>#VALUE!</v>
      </c>
      <c r="AO33" s="47" t="e">
        <f>'Value Tree - Fx'!AO33</f>
        <v>#VALUE!</v>
      </c>
      <c r="AP33" s="47"/>
      <c r="AQ33" s="47"/>
      <c r="AR33" s="25" t="e">
        <f>'Value Tree - Fx'!AR33</f>
        <v>#VALUE!</v>
      </c>
      <c r="AS33" s="47" t="e">
        <f>'Value Tree - Fx'!AS33</f>
        <v>#VALUE!</v>
      </c>
      <c r="AT33" s="47"/>
      <c r="AU33" s="48"/>
      <c r="AV33" s="41"/>
      <c r="AY33" s="32" t="str">
        <f>'Value Tree - Fx'!AY33</f>
        <v>l500</v>
      </c>
      <c r="AZ33" s="33">
        <f>'Value Tree - Fx'!AZ33</f>
        <v>1</v>
      </c>
      <c r="BA33" s="51" t="e">
        <f>'Value Tree - Fx'!BA33</f>
        <v>#VALUE!</v>
      </c>
      <c r="BB33" s="51"/>
      <c r="BC33" s="51"/>
      <c r="BD33" s="33">
        <f>'Value Tree - Fx'!BD33</f>
        <v>1</v>
      </c>
      <c r="BE33" s="51" t="e">
        <f>'Value Tree - Fx'!BE33</f>
        <v>#VALUE!</v>
      </c>
      <c r="BF33" s="51"/>
      <c r="BG33" s="52"/>
      <c r="BH33" s="41"/>
      <c r="BK33" s="32" t="str">
        <f>'Value Tree - Fx'!BK33</f>
        <v>l500</v>
      </c>
      <c r="BL33" s="33">
        <f>'Value Tree - Fx'!BL33</f>
        <v>1</v>
      </c>
      <c r="BM33" s="51" t="e">
        <f>'Value Tree - Fx'!BM33</f>
        <v>#VALUE!</v>
      </c>
      <c r="BN33" s="51"/>
      <c r="BO33" s="51"/>
      <c r="BP33" s="33">
        <f>'Value Tree - Fx'!BP33</f>
        <v>1</v>
      </c>
      <c r="BQ33" s="51" t="e">
        <f>'Value Tree - Fx'!BQ33</f>
        <v>#VALUE!</v>
      </c>
      <c r="BR33" s="51"/>
      <c r="BS33" s="52"/>
    </row>
    <row r="34" spans="5:71">
      <c r="N34" s="39"/>
      <c r="O34" s="5"/>
      <c r="R34" s="17"/>
      <c r="S34" s="17"/>
      <c r="T34" s="17"/>
      <c r="V34" s="17"/>
      <c r="W34" s="17"/>
      <c r="X34" s="17"/>
      <c r="Y34" s="39"/>
      <c r="Z34" s="5"/>
      <c r="AJ34" s="41"/>
      <c r="AV34" s="41"/>
      <c r="BH34" s="41"/>
    </row>
    <row r="35" spans="5:71">
      <c r="N35" s="39"/>
      <c r="O35" s="5"/>
      <c r="Y35" s="39"/>
      <c r="Z35" s="5"/>
      <c r="AJ35" s="41"/>
      <c r="AV35" s="41"/>
      <c r="BH35" s="41"/>
    </row>
    <row r="36" spans="5:71" hidden="1">
      <c r="N36" s="39"/>
      <c r="O36" s="5"/>
      <c r="P36" s="19" t="str">
        <f>'Value Tree - Fx'!P36</f>
        <v>+</v>
      </c>
      <c r="Q36" s="26"/>
      <c r="R36" s="79" t="e">
        <f>'Value Tree 2'!$D$6</f>
        <v>#N/A</v>
      </c>
      <c r="S36" s="79"/>
      <c r="T36" s="79"/>
      <c r="U36" s="26"/>
      <c r="V36" s="79" t="str">
        <f>'Value Tree - Fx'!$A$12</f>
        <v>Year</v>
      </c>
      <c r="W36" s="79"/>
      <c r="X36" s="80"/>
      <c r="Y36" s="39"/>
      <c r="Z36" s="5"/>
      <c r="AA36" s="19" t="str">
        <f>'Value Tree - Fx'!AA36</f>
        <v>+</v>
      </c>
      <c r="AB36" s="20"/>
      <c r="AC36" s="79" t="e">
        <f>'Value Tree 2'!$D$6</f>
        <v>#N/A</v>
      </c>
      <c r="AD36" s="79"/>
      <c r="AE36" s="79"/>
      <c r="AF36" s="20"/>
      <c r="AG36" s="79" t="str">
        <f>'Value Tree - Fx'!$A$12</f>
        <v>Year</v>
      </c>
      <c r="AH36" s="79"/>
      <c r="AI36" s="80"/>
      <c r="AJ36" s="41"/>
      <c r="AM36" s="29" t="str">
        <f>'Value Tree - Fx'!AM36</f>
        <v>+</v>
      </c>
      <c r="AN36" s="30"/>
      <c r="AO36" s="61" t="e">
        <f>'Value Tree 2'!$D$6</f>
        <v>#N/A</v>
      </c>
      <c r="AP36" s="61"/>
      <c r="AQ36" s="61"/>
      <c r="AR36" s="30"/>
      <c r="AS36" s="61" t="str">
        <f>'Value Tree - Fx'!$A$12</f>
        <v>Year</v>
      </c>
      <c r="AT36" s="61"/>
      <c r="AU36" s="62"/>
      <c r="AV36" s="41"/>
      <c r="AY36" s="29" t="str">
        <f>'Value Tree - Fx'!AY36</f>
        <v>+</v>
      </c>
      <c r="AZ36" s="30"/>
      <c r="BA36" s="61" t="e">
        <f>'Value Tree 2'!$D$6</f>
        <v>#N/A</v>
      </c>
      <c r="BB36" s="61"/>
      <c r="BC36" s="61"/>
      <c r="BD36" s="30"/>
      <c r="BE36" s="61" t="str">
        <f>'Value Tree - Fx'!$A$12</f>
        <v>Year</v>
      </c>
      <c r="BF36" s="61"/>
      <c r="BG36" s="62"/>
      <c r="BH36" s="41"/>
      <c r="BK36" s="29" t="str">
        <f>'Value Tree - Fx'!BK36</f>
        <v>+</v>
      </c>
      <c r="BL36" s="30"/>
      <c r="BM36" s="61" t="e">
        <f>'Value Tree 2'!$D$6</f>
        <v>#N/A</v>
      </c>
      <c r="BN36" s="61"/>
      <c r="BO36" s="61"/>
      <c r="BP36" s="30"/>
      <c r="BQ36" s="61" t="str">
        <f>'Value Tree - Fx'!$A$12</f>
        <v>Year</v>
      </c>
      <c r="BR36" s="61"/>
      <c r="BS36" s="62"/>
    </row>
    <row r="37" spans="5:71">
      <c r="N37" s="39"/>
      <c r="O37" s="5"/>
      <c r="P37" s="27"/>
      <c r="Q37" s="66" t="s">
        <v>10</v>
      </c>
      <c r="R37" s="67"/>
      <c r="S37" s="67"/>
      <c r="T37" s="67"/>
      <c r="U37" s="67"/>
      <c r="V37" s="67"/>
      <c r="W37" s="67"/>
      <c r="X37" s="68"/>
      <c r="Y37" s="39"/>
      <c r="Z37" s="5"/>
      <c r="AA37" s="23"/>
      <c r="AB37" s="66" t="s">
        <v>39</v>
      </c>
      <c r="AC37" s="67"/>
      <c r="AD37" s="67"/>
      <c r="AE37" s="67"/>
      <c r="AF37" s="67"/>
      <c r="AG37" s="67"/>
      <c r="AH37" s="67"/>
      <c r="AI37" s="68"/>
      <c r="AJ37" s="41"/>
      <c r="AM37" s="31"/>
      <c r="AN37" s="66" t="s">
        <v>56</v>
      </c>
      <c r="AO37" s="67"/>
      <c r="AP37" s="67"/>
      <c r="AQ37" s="67"/>
      <c r="AR37" s="67"/>
      <c r="AS37" s="67"/>
      <c r="AT37" s="67"/>
      <c r="AU37" s="68"/>
      <c r="AV37" s="41"/>
      <c r="AY37" s="31"/>
      <c r="AZ37" s="69" t="s">
        <v>54</v>
      </c>
      <c r="BA37" s="70"/>
      <c r="BB37" s="70"/>
      <c r="BC37" s="70"/>
      <c r="BD37" s="70"/>
      <c r="BE37" s="70"/>
      <c r="BF37" s="70"/>
      <c r="BG37" s="68"/>
      <c r="BH37" s="41"/>
      <c r="BK37" s="31"/>
      <c r="BL37" s="69" t="s">
        <v>47</v>
      </c>
      <c r="BM37" s="70"/>
      <c r="BN37" s="70"/>
      <c r="BO37" s="70"/>
      <c r="BP37" s="70"/>
      <c r="BQ37" s="70"/>
      <c r="BR37" s="70"/>
      <c r="BS37" s="68"/>
    </row>
    <row r="38" spans="5:71">
      <c r="N38" s="41"/>
      <c r="O38" s="36"/>
      <c r="P38" s="23" t="e">
        <f>'Value Tree - Fx'!P38</f>
        <v>#N/A</v>
      </c>
      <c r="Q38" s="71"/>
      <c r="R38" s="73" t="e">
        <f>'Value Tree - Fx'!R38</f>
        <v>#VALUE!</v>
      </c>
      <c r="S38" s="73"/>
      <c r="T38" s="73"/>
      <c r="U38" s="53"/>
      <c r="V38" s="73" t="e">
        <f>'Value Tree - Fx'!V38</f>
        <v>#VALUE!</v>
      </c>
      <c r="W38" s="73"/>
      <c r="X38" s="74"/>
      <c r="Y38" s="39"/>
      <c r="Z38" s="36"/>
      <c r="AA38" s="23" t="e">
        <f>'Value Tree - Fx'!AA38</f>
        <v>#N/A</v>
      </c>
      <c r="AB38" s="71"/>
      <c r="AC38" s="73" t="e">
        <f>'Value Tree - Fx'!AC38</f>
        <v>#VALUE!</v>
      </c>
      <c r="AD38" s="73"/>
      <c r="AE38" s="73"/>
      <c r="AF38" s="53"/>
      <c r="AG38" s="73" t="e">
        <f>'Value Tree - Fx'!AG38</f>
        <v>#VALUE!</v>
      </c>
      <c r="AH38" s="73"/>
      <c r="AI38" s="74"/>
      <c r="AJ38" s="41"/>
      <c r="AK38" s="3"/>
      <c r="AL38" s="38"/>
      <c r="AM38" s="31" t="str">
        <f>'Value Tree - Fx'!AM38</f>
        <v>RF</v>
      </c>
      <c r="AN38" s="71"/>
      <c r="AO38" s="73" t="e">
        <f>'Value Tree - Fx'!AO38</f>
        <v>#VALUE!</v>
      </c>
      <c r="AP38" s="73"/>
      <c r="AQ38" s="73"/>
      <c r="AR38" s="53"/>
      <c r="AS38" s="73" t="e">
        <f>'Value Tree - Fx'!AS38</f>
        <v>#VALUE!</v>
      </c>
      <c r="AT38" s="73"/>
      <c r="AU38" s="74"/>
      <c r="AV38" s="41"/>
      <c r="AW38" s="3"/>
      <c r="AX38" s="38"/>
      <c r="AY38" s="31" t="str">
        <f>'Value Tree - Fx'!AY38</f>
        <v>RF</v>
      </c>
      <c r="AZ38" s="71"/>
      <c r="BA38" s="73" t="e">
        <f>'Value Tree - Fx'!BA38</f>
        <v>#VALUE!</v>
      </c>
      <c r="BB38" s="73"/>
      <c r="BC38" s="73"/>
      <c r="BD38" s="53"/>
      <c r="BE38" s="77" t="e">
        <f>'Value Tree - Fx'!BE38</f>
        <v>#VALUE!</v>
      </c>
      <c r="BF38" s="77"/>
      <c r="BG38" s="74"/>
      <c r="BH38" s="41"/>
      <c r="BI38" s="3"/>
      <c r="BJ38" s="38"/>
      <c r="BK38" s="31" t="str">
        <f>'Value Tree - Fx'!BK38</f>
        <v>RF</v>
      </c>
      <c r="BL38" s="71"/>
      <c r="BM38" s="73" t="e">
        <f>'Value Tree - Fx'!BM38</f>
        <v>#VALUE!</v>
      </c>
      <c r="BN38" s="73"/>
      <c r="BO38" s="73"/>
      <c r="BP38" s="53"/>
      <c r="BQ38" s="77" t="e">
        <f>'Value Tree - Fx'!BQ38</f>
        <v>#VALUE!</v>
      </c>
      <c r="BR38" s="77"/>
      <c r="BS38" s="74"/>
    </row>
    <row r="39" spans="5:71">
      <c r="N39" s="41"/>
      <c r="O39" s="5"/>
      <c r="P39" s="23" t="e">
        <f>'Value Tree - Fx'!P39</f>
        <v>#N/A</v>
      </c>
      <c r="Q39" s="72"/>
      <c r="R39" s="47" t="e">
        <f>'Value Tree - Fx'!R39</f>
        <v>#VALUE!</v>
      </c>
      <c r="S39" s="47"/>
      <c r="T39" s="47"/>
      <c r="U39" s="54"/>
      <c r="V39" s="47" t="e">
        <f>'Value Tree - Fx'!V39</f>
        <v>#VALUE!</v>
      </c>
      <c r="W39" s="47"/>
      <c r="X39" s="48"/>
      <c r="Y39" s="39"/>
      <c r="Z39" s="5"/>
      <c r="AA39" s="23" t="e">
        <f>'Value Tree - Fx'!AA39</f>
        <v>#N/A</v>
      </c>
      <c r="AB39" s="72"/>
      <c r="AC39" s="47" t="e">
        <f>'Value Tree - Fx'!AC39</f>
        <v>#VALUE!</v>
      </c>
      <c r="AD39" s="47"/>
      <c r="AE39" s="47"/>
      <c r="AF39" s="54"/>
      <c r="AG39" s="47" t="e">
        <f>'Value Tree - Fx'!AG39</f>
        <v>#VALUE!</v>
      </c>
      <c r="AH39" s="47"/>
      <c r="AI39" s="48"/>
      <c r="AM39" s="31" t="str">
        <f>'Value Tree - Fx'!AM39</f>
        <v>L300</v>
      </c>
      <c r="AN39" s="72"/>
      <c r="AO39" s="47" t="e">
        <f>'Value Tree - Fx'!AO39</f>
        <v>#VALUE!</v>
      </c>
      <c r="AP39" s="47"/>
      <c r="AQ39" s="47"/>
      <c r="AR39" s="54"/>
      <c r="AS39" s="47" t="e">
        <f>'Value Tree - Fx'!AS39</f>
        <v>#VALUE!</v>
      </c>
      <c r="AT39" s="47"/>
      <c r="AU39" s="48"/>
      <c r="AV39" s="41"/>
      <c r="AY39" s="31" t="str">
        <f>'Value Tree - Fx'!AY39</f>
        <v>L300</v>
      </c>
      <c r="AZ39" s="72"/>
      <c r="BA39" s="47" t="e">
        <f>'Value Tree - Fx'!BA39</f>
        <v>#VALUE!</v>
      </c>
      <c r="BB39" s="47"/>
      <c r="BC39" s="47"/>
      <c r="BD39" s="54"/>
      <c r="BE39" s="57" t="e">
        <f>'Value Tree - Fx'!BE39</f>
        <v>#VALUE!</v>
      </c>
      <c r="BF39" s="57"/>
      <c r="BG39" s="48"/>
      <c r="BH39" s="41"/>
      <c r="BK39" s="31" t="str">
        <f>'Value Tree - Fx'!BK39</f>
        <v>L300</v>
      </c>
      <c r="BL39" s="72"/>
      <c r="BM39" s="47" t="e">
        <f>'Value Tree - Fx'!BM39</f>
        <v>#VALUE!</v>
      </c>
      <c r="BN39" s="47"/>
      <c r="BO39" s="47"/>
      <c r="BP39" s="54"/>
      <c r="BQ39" s="57" t="e">
        <f>'Value Tree - Fx'!BQ39</f>
        <v>#VALUE!</v>
      </c>
      <c r="BR39" s="57"/>
      <c r="BS39" s="48"/>
    </row>
    <row r="40" spans="5:71" hidden="1">
      <c r="N40" s="41"/>
      <c r="O40" s="5"/>
      <c r="P40" s="24" t="str">
        <f>'Value Tree - Fx'!P40</f>
        <v>l500</v>
      </c>
      <c r="Q40" s="25" t="e">
        <f>'Value Tree - Fx'!Q40</f>
        <v>#VALUE!</v>
      </c>
      <c r="R40" s="81" t="e">
        <f>'Value Tree - Fx'!R40</f>
        <v>#VALUE!</v>
      </c>
      <c r="S40" s="81"/>
      <c r="T40" s="81"/>
      <c r="U40" s="25" t="e">
        <f>'Value Tree - Fx'!U40</f>
        <v>#VALUE!</v>
      </c>
      <c r="V40" s="81" t="e">
        <f>'Value Tree - Fx'!V40</f>
        <v>#VALUE!</v>
      </c>
      <c r="W40" s="81"/>
      <c r="X40" s="82"/>
      <c r="Y40" s="39"/>
      <c r="Z40" s="5"/>
      <c r="AA40" s="24" t="str">
        <f>'Value Tree - Fx'!AA40</f>
        <v>l500</v>
      </c>
      <c r="AB40" s="25" t="e">
        <f>'Value Tree - Fx'!AB40</f>
        <v>#VALUE!</v>
      </c>
      <c r="AC40" s="47" t="e">
        <f>'Value Tree - Fx'!AC40</f>
        <v>#VALUE!</v>
      </c>
      <c r="AD40" s="47"/>
      <c r="AE40" s="47"/>
      <c r="AF40" s="25" t="e">
        <f>'Value Tree - Fx'!AF40</f>
        <v>#VALUE!</v>
      </c>
      <c r="AG40" s="47" t="e">
        <f>'Value Tree - Fx'!AG40</f>
        <v>#VALUE!</v>
      </c>
      <c r="AH40" s="47"/>
      <c r="AI40" s="48"/>
      <c r="AM40" s="32" t="str">
        <f>'Value Tree - Fx'!AM40</f>
        <v>l500</v>
      </c>
      <c r="AN40" s="33">
        <f>'Value Tree - Fx'!AN40</f>
        <v>0</v>
      </c>
      <c r="AO40" s="51" t="e">
        <f>'Value Tree - Fx'!AO40</f>
        <v>#VALUE!</v>
      </c>
      <c r="AP40" s="51"/>
      <c r="AQ40" s="51"/>
      <c r="AR40" s="33">
        <f>'Value Tree - Fx'!AR40</f>
        <v>0</v>
      </c>
      <c r="AS40" s="51" t="e">
        <f>'Value Tree - Fx'!AS40</f>
        <v>#VALUE!</v>
      </c>
      <c r="AT40" s="51"/>
      <c r="AU40" s="52"/>
      <c r="AV40" s="41"/>
      <c r="AY40" s="32" t="str">
        <f>'Value Tree - Fx'!AY40</f>
        <v>l500</v>
      </c>
      <c r="AZ40" s="33">
        <f>'Value Tree - Fx'!AZ40</f>
        <v>1</v>
      </c>
      <c r="BA40" s="51" t="e">
        <f>'Value Tree - Fx'!BA40</f>
        <v>#VALUE!</v>
      </c>
      <c r="BB40" s="51"/>
      <c r="BC40" s="51"/>
      <c r="BD40" s="33">
        <f>'Value Tree - Fx'!BD40</f>
        <v>1</v>
      </c>
      <c r="BE40" s="51" t="e">
        <f>'Value Tree - Fx'!BE40</f>
        <v>#VALUE!</v>
      </c>
      <c r="BF40" s="51"/>
      <c r="BG40" s="52"/>
      <c r="BH40" s="41"/>
      <c r="BK40" s="32" t="str">
        <f>'Value Tree - Fx'!BK40</f>
        <v>l500</v>
      </c>
      <c r="BL40" s="33">
        <f>'Value Tree - Fx'!BL40</f>
        <v>1</v>
      </c>
      <c r="BM40" s="51" t="e">
        <f>'Value Tree - Fx'!BM40</f>
        <v>#VALUE!</v>
      </c>
      <c r="BN40" s="51"/>
      <c r="BO40" s="51"/>
      <c r="BP40" s="33">
        <f>'Value Tree - Fx'!BP40</f>
        <v>1</v>
      </c>
      <c r="BQ40" s="51" t="e">
        <f>'Value Tree - Fx'!BQ40</f>
        <v>#VALUE!</v>
      </c>
      <c r="BR40" s="51"/>
      <c r="BS40" s="52"/>
    </row>
    <row r="41" spans="5:71">
      <c r="N41" s="41"/>
      <c r="O41" s="5"/>
      <c r="Y41" s="39"/>
      <c r="Z41" s="5"/>
      <c r="AV41" s="41"/>
      <c r="BH41" s="41"/>
    </row>
    <row r="42" spans="5:71">
      <c r="N42" s="41"/>
      <c r="O42" s="5"/>
      <c r="R42" s="18"/>
      <c r="S42" s="18"/>
      <c r="T42" s="18"/>
      <c r="V42" s="18"/>
      <c r="W42" s="18"/>
      <c r="X42" s="18"/>
      <c r="Y42" s="39"/>
      <c r="Z42" s="5"/>
      <c r="AV42" s="41"/>
      <c r="BH42" s="41"/>
    </row>
    <row r="43" spans="5:71" hidden="1">
      <c r="N43" s="41"/>
      <c r="O43" s="5"/>
      <c r="P43" s="19" t="str">
        <f>'Value Tree - Fx'!P43</f>
        <v>+</v>
      </c>
      <c r="Q43" s="26"/>
      <c r="R43" s="79" t="e">
        <f>'Value Tree 2'!$D$6</f>
        <v>#N/A</v>
      </c>
      <c r="S43" s="79"/>
      <c r="T43" s="79"/>
      <c r="U43" s="26"/>
      <c r="V43" s="79" t="str">
        <f>'Value Tree - Fx'!$A$12</f>
        <v>Year</v>
      </c>
      <c r="W43" s="79"/>
      <c r="X43" s="80"/>
      <c r="Y43" s="39"/>
      <c r="Z43" s="5"/>
      <c r="AA43" s="19" t="str">
        <f>'Value Tree - Fx'!AA43</f>
        <v>+</v>
      </c>
      <c r="AB43" s="20"/>
      <c r="AC43" s="79" t="e">
        <f>'Value Tree 2'!$D$6</f>
        <v>#N/A</v>
      </c>
      <c r="AD43" s="79"/>
      <c r="AE43" s="79"/>
      <c r="AF43" s="20"/>
      <c r="AG43" s="79" t="str">
        <f>'Value Tree - Fx'!$A$12</f>
        <v>Year</v>
      </c>
      <c r="AH43" s="79"/>
      <c r="AI43" s="80"/>
      <c r="AM43" s="29" t="str">
        <f>'Value Tree - Fx'!AM43</f>
        <v>+</v>
      </c>
      <c r="AN43" s="20"/>
      <c r="AO43" s="79"/>
      <c r="AP43" s="79"/>
      <c r="AQ43" s="79"/>
      <c r="AR43" s="20"/>
      <c r="AS43" s="79"/>
      <c r="AT43" s="79"/>
      <c r="AU43" s="80"/>
      <c r="AV43" s="41"/>
      <c r="AY43" s="29" t="str">
        <f>'Value Tree - Fx'!AY43</f>
        <v>+</v>
      </c>
      <c r="AZ43" s="30"/>
      <c r="BA43" s="61" t="e">
        <f>'Value Tree 2'!$D$6</f>
        <v>#N/A</v>
      </c>
      <c r="BB43" s="61"/>
      <c r="BC43" s="61"/>
      <c r="BD43" s="30"/>
      <c r="BE43" s="61" t="str">
        <f>'Value Tree - Fx'!$A$12</f>
        <v>Year</v>
      </c>
      <c r="BF43" s="61"/>
      <c r="BG43" s="62"/>
      <c r="BH43" s="41"/>
      <c r="BK43" s="29" t="str">
        <f>'Value Tree - Fx'!BK43</f>
        <v>+</v>
      </c>
      <c r="BL43" s="30"/>
      <c r="BM43" s="61" t="e">
        <f>'Value Tree 2'!$D$6</f>
        <v>#N/A</v>
      </c>
      <c r="BN43" s="61"/>
      <c r="BO43" s="61"/>
      <c r="BP43" s="30"/>
      <c r="BQ43" s="61" t="str">
        <f>'Value Tree - Fx'!$A$12</f>
        <v>Year</v>
      </c>
      <c r="BR43" s="61"/>
      <c r="BS43" s="62"/>
    </row>
    <row r="44" spans="5:71">
      <c r="E44" s="8"/>
      <c r="L44" s="5"/>
      <c r="M44" s="5"/>
      <c r="N44" s="39"/>
      <c r="O44" s="5"/>
      <c r="P44" s="23"/>
      <c r="Q44" s="63" t="s">
        <v>7</v>
      </c>
      <c r="R44" s="64"/>
      <c r="S44" s="64"/>
      <c r="T44" s="64"/>
      <c r="U44" s="64"/>
      <c r="V44" s="64"/>
      <c r="W44" s="64"/>
      <c r="X44" s="65"/>
      <c r="Y44" s="39"/>
      <c r="Z44" s="5"/>
      <c r="AA44" s="23"/>
      <c r="AB44" s="66" t="s">
        <v>40</v>
      </c>
      <c r="AC44" s="67"/>
      <c r="AD44" s="67"/>
      <c r="AE44" s="67"/>
      <c r="AF44" s="67"/>
      <c r="AG44" s="67"/>
      <c r="AH44" s="67"/>
      <c r="AI44" s="68"/>
      <c r="AM44" s="23"/>
      <c r="AN44" s="66" t="s">
        <v>40</v>
      </c>
      <c r="AO44" s="67"/>
      <c r="AP44" s="67"/>
      <c r="AQ44" s="67"/>
      <c r="AR44" s="67"/>
      <c r="AS44" s="67"/>
      <c r="AT44" s="67"/>
      <c r="AU44" s="68"/>
      <c r="AV44" s="41"/>
      <c r="AY44" s="31"/>
      <c r="AZ44" s="69" t="s">
        <v>55</v>
      </c>
      <c r="BA44" s="70"/>
      <c r="BB44" s="70"/>
      <c r="BC44" s="70"/>
      <c r="BD44" s="70"/>
      <c r="BE44" s="70"/>
      <c r="BF44" s="70"/>
      <c r="BG44" s="68"/>
      <c r="BH44" s="41"/>
      <c r="BK44" s="31"/>
      <c r="BL44" s="69" t="s">
        <v>48</v>
      </c>
      <c r="BM44" s="70"/>
      <c r="BN44" s="70"/>
      <c r="BO44" s="70"/>
      <c r="BP44" s="70"/>
      <c r="BQ44" s="70"/>
      <c r="BR44" s="70"/>
      <c r="BS44" s="68"/>
    </row>
    <row r="45" spans="5:71">
      <c r="E45" s="8"/>
      <c r="L45" s="5"/>
      <c r="M45" s="5"/>
      <c r="N45" s="39"/>
      <c r="O45" s="36"/>
      <c r="P45" s="23" t="e">
        <f>'Value Tree - Fx'!P45</f>
        <v>#N/A</v>
      </c>
      <c r="Q45" s="71"/>
      <c r="R45" s="73" t="e">
        <f>'Value Tree - Fx'!R45</f>
        <v>#VALUE!</v>
      </c>
      <c r="S45" s="73"/>
      <c r="T45" s="73"/>
      <c r="U45" s="53"/>
      <c r="V45" s="73" t="e">
        <f>'Value Tree - Fx'!V45</f>
        <v>#VALUE!</v>
      </c>
      <c r="W45" s="73"/>
      <c r="X45" s="74"/>
      <c r="Y45" s="39"/>
      <c r="Z45" s="36"/>
      <c r="AA45" s="23" t="e">
        <f>'Value Tree - Fx'!AA45</f>
        <v>#N/A</v>
      </c>
      <c r="AB45" s="71"/>
      <c r="AC45" s="75" t="e">
        <f>'Value Tree - Fx'!AC45</f>
        <v>#VALUE!</v>
      </c>
      <c r="AD45" s="75"/>
      <c r="AE45" s="75"/>
      <c r="AF45" s="53"/>
      <c r="AG45" s="75" t="e">
        <f>'Value Tree - Fx'!AG45</f>
        <v>#VALUE!</v>
      </c>
      <c r="AH45" s="75"/>
      <c r="AI45" s="76"/>
      <c r="AM45" s="23">
        <f>'Value Tree - Fx'!AM45</f>
        <v>0</v>
      </c>
      <c r="AN45" s="71"/>
      <c r="AO45" s="73" t="e">
        <f>'Value Tree - Fx'!AO45</f>
        <v>#VALUE!</v>
      </c>
      <c r="AP45" s="73"/>
      <c r="AQ45" s="73"/>
      <c r="AR45" s="53"/>
      <c r="AS45" s="73" t="e">
        <f>'Value Tree - Fx'!AS45</f>
        <v>#VALUE!</v>
      </c>
      <c r="AT45" s="73"/>
      <c r="AU45" s="74"/>
      <c r="AV45" s="41"/>
      <c r="AW45" s="3"/>
      <c r="AX45" s="38"/>
      <c r="AY45" s="31" t="str">
        <f>'Value Tree - Fx'!AY45</f>
        <v>RF</v>
      </c>
      <c r="AZ45" s="71"/>
      <c r="BA45" s="73" t="e">
        <f>'Value Tree - Fx'!BA45</f>
        <v>#VALUE!</v>
      </c>
      <c r="BB45" s="73"/>
      <c r="BC45" s="73"/>
      <c r="BD45" s="53"/>
      <c r="BE45" s="77" t="e">
        <f>'Value Tree - Fx'!BE45</f>
        <v>#VALUE!</v>
      </c>
      <c r="BF45" s="77"/>
      <c r="BG45" s="74"/>
      <c r="BH45" s="41"/>
      <c r="BI45" s="3"/>
      <c r="BJ45" s="38"/>
      <c r="BK45" s="31" t="str">
        <f>'Value Tree - Fx'!BK45</f>
        <v>RF</v>
      </c>
      <c r="BL45" s="71"/>
      <c r="BM45" s="78" t="e">
        <f>'Value Tree - Fx'!BM45</f>
        <v>#VALUE!</v>
      </c>
      <c r="BN45" s="78"/>
      <c r="BO45" s="78"/>
      <c r="BP45" s="53"/>
      <c r="BQ45" s="55" t="e">
        <f>'Value Tree - Fx'!BQ45</f>
        <v>#VALUE!</v>
      </c>
      <c r="BR45" s="55"/>
      <c r="BS45" s="56"/>
    </row>
    <row r="46" spans="5:71">
      <c r="E46" s="8"/>
      <c r="L46" s="5"/>
      <c r="M46" s="5"/>
      <c r="N46" s="5"/>
      <c r="O46" s="5"/>
      <c r="P46" s="23" t="e">
        <f>'Value Tree - Fx'!P46</f>
        <v>#N/A</v>
      </c>
      <c r="Q46" s="72"/>
      <c r="R46" s="47" t="e">
        <f>'Value Tree - Fx'!R46</f>
        <v>#VALUE!</v>
      </c>
      <c r="S46" s="47"/>
      <c r="T46" s="47"/>
      <c r="U46" s="54"/>
      <c r="V46" s="47" t="e">
        <f>'Value Tree - Fx'!V46</f>
        <v>#VALUE!</v>
      </c>
      <c r="W46" s="47"/>
      <c r="X46" s="48"/>
      <c r="Y46" s="5"/>
      <c r="Z46" s="5"/>
      <c r="AA46" s="23" t="e">
        <f>'Value Tree - Fx'!AA46</f>
        <v>#N/A</v>
      </c>
      <c r="AB46" s="72"/>
      <c r="AC46" s="49" t="e">
        <f>'Value Tree - Fx'!AC46</f>
        <v>#VALUE!</v>
      </c>
      <c r="AD46" s="49"/>
      <c r="AE46" s="49"/>
      <c r="AF46" s="54"/>
      <c r="AG46" s="49" t="e">
        <f>'Value Tree - Fx'!AG46</f>
        <v>#VALUE!</v>
      </c>
      <c r="AH46" s="49"/>
      <c r="AI46" s="50"/>
      <c r="AM46" s="23">
        <f>'Value Tree - Fx'!AM46</f>
        <v>0</v>
      </c>
      <c r="AN46" s="72"/>
      <c r="AO46" s="47" t="e">
        <f>'Value Tree - Fx'!AO46</f>
        <v>#VALUE!</v>
      </c>
      <c r="AP46" s="47"/>
      <c r="AQ46" s="47"/>
      <c r="AR46" s="54"/>
      <c r="AS46" s="47" t="e">
        <f>'Value Tree - Fx'!AS46</f>
        <v>#VALUE!</v>
      </c>
      <c r="AT46" s="47"/>
      <c r="AU46" s="48"/>
      <c r="AY46" s="31" t="str">
        <f>'Value Tree - Fx'!AY46</f>
        <v>L300</v>
      </c>
      <c r="AZ46" s="72"/>
      <c r="BA46" s="47" t="e">
        <f>'Value Tree - Fx'!BA46</f>
        <v>#VALUE!</v>
      </c>
      <c r="BB46" s="47"/>
      <c r="BC46" s="47"/>
      <c r="BD46" s="54"/>
      <c r="BE46" s="57" t="e">
        <f>'Value Tree - Fx'!BE46</f>
        <v>#VALUE!</v>
      </c>
      <c r="BF46" s="57"/>
      <c r="BG46" s="48"/>
      <c r="BK46" s="31" t="str">
        <f>'Value Tree - Fx'!BK46</f>
        <v>L300</v>
      </c>
      <c r="BL46" s="72"/>
      <c r="BM46" s="58" t="e">
        <f>'Value Tree - Fx'!BM46</f>
        <v>#VALUE!</v>
      </c>
      <c r="BN46" s="58"/>
      <c r="BO46" s="58"/>
      <c r="BP46" s="54"/>
      <c r="BQ46" s="59" t="e">
        <f>'Value Tree - Fx'!BQ46</f>
        <v>#VALUE!</v>
      </c>
      <c r="BR46" s="59"/>
      <c r="BS46" s="60"/>
    </row>
    <row r="47" spans="5:71" hidden="1">
      <c r="E47" s="8"/>
      <c r="L47" s="5"/>
      <c r="M47" s="5"/>
      <c r="N47" s="5"/>
      <c r="O47" s="5"/>
      <c r="P47" s="24" t="str">
        <f>'Value Tree - Fx'!P47</f>
        <v>l500</v>
      </c>
      <c r="Q47" s="25" t="e">
        <f>'Value Tree - Fx'!Q47</f>
        <v>#VALUE!</v>
      </c>
      <c r="R47" s="47" t="e">
        <f>'Value Tree - Fx'!R47</f>
        <v>#VALUE!</v>
      </c>
      <c r="S47" s="47"/>
      <c r="T47" s="47"/>
      <c r="U47" s="25" t="e">
        <f>'Value Tree - Fx'!U47</f>
        <v>#VALUE!</v>
      </c>
      <c r="V47" s="47" t="e">
        <f>'Value Tree - Fx'!V47</f>
        <v>#VALUE!</v>
      </c>
      <c r="W47" s="47"/>
      <c r="X47" s="48"/>
      <c r="Y47" s="5"/>
      <c r="Z47" s="5"/>
      <c r="AA47" s="24" t="str">
        <f>'Value Tree - Fx'!AA47</f>
        <v>l500</v>
      </c>
      <c r="AB47" s="25" t="e">
        <f>'Value Tree - Fx'!AB47</f>
        <v>#VALUE!</v>
      </c>
      <c r="AC47" s="49" t="e">
        <f>'Value Tree - Fx'!AC47</f>
        <v>#VALUE!</v>
      </c>
      <c r="AD47" s="49"/>
      <c r="AE47" s="49"/>
      <c r="AF47" s="25" t="e">
        <f>'Value Tree - Fx'!AF47</f>
        <v>#VALUE!</v>
      </c>
      <c r="AG47" s="49" t="e">
        <f>'Value Tree - Fx'!AG47</f>
        <v>#VALUE!</v>
      </c>
      <c r="AH47" s="49"/>
      <c r="AI47" s="50"/>
      <c r="AM47" s="24">
        <f>'Value Tree - Fx'!AM47</f>
        <v>0</v>
      </c>
      <c r="AN47" s="25" t="e">
        <f>'Value Tree - Fx'!AN47</f>
        <v>#VALUE!</v>
      </c>
      <c r="AO47" s="47" t="e">
        <f>'Value Tree - Fx'!AO47</f>
        <v>#VALUE!</v>
      </c>
      <c r="AP47" s="47"/>
      <c r="AQ47" s="47"/>
      <c r="AR47" s="25" t="e">
        <f>'Value Tree - Fx'!AR47</f>
        <v>#VALUE!</v>
      </c>
      <c r="AS47" s="47" t="e">
        <f>'Value Tree - Fx'!AS47</f>
        <v>#VALUE!</v>
      </c>
      <c r="AT47" s="47"/>
      <c r="AU47" s="48"/>
      <c r="AY47" s="32" t="str">
        <f>'Value Tree - Fx'!AY47</f>
        <v>l500</v>
      </c>
      <c r="AZ47" s="33">
        <f>'Value Tree - Fx'!AZ47</f>
        <v>1</v>
      </c>
      <c r="BA47" s="51" t="e">
        <f>'Value Tree - Fx'!BA47</f>
        <v>#VALUE!</v>
      </c>
      <c r="BB47" s="51"/>
      <c r="BC47" s="51"/>
      <c r="BD47" s="33">
        <f>'Value Tree - Fx'!BD47</f>
        <v>1</v>
      </c>
      <c r="BE47" s="51" t="e">
        <f>'Value Tree - Fx'!BE47</f>
        <v>#VALUE!</v>
      </c>
      <c r="BF47" s="51"/>
      <c r="BG47" s="52"/>
      <c r="BK47" s="32" t="str">
        <f>'Value Tree - Fx'!BK47</f>
        <v>l500</v>
      </c>
      <c r="BL47" s="33">
        <f>'Value Tree - Fx'!BL47</f>
        <v>1</v>
      </c>
      <c r="BM47" s="44" t="e">
        <f>'Value Tree - Fx'!BM47</f>
        <v>#VALUE!</v>
      </c>
      <c r="BN47" s="44"/>
      <c r="BO47" s="44"/>
      <c r="BP47" s="33">
        <f>'Value Tree - Fx'!BP47</f>
        <v>1</v>
      </c>
      <c r="BQ47" s="44" t="e">
        <f>'Value Tree - Fx'!BQ47</f>
        <v>#VALUE!</v>
      </c>
      <c r="BR47" s="44"/>
      <c r="BS47" s="45"/>
    </row>
  </sheetData>
  <mergeCells count="344">
    <mergeCell ref="AC10:AE10"/>
    <mergeCell ref="Q16:X16"/>
    <mergeCell ref="R17:T17"/>
    <mergeCell ref="V17:X17"/>
    <mergeCell ref="R10:T10"/>
    <mergeCell ref="V10:X10"/>
    <mergeCell ref="R15:T15"/>
    <mergeCell ref="AS15:AU15"/>
    <mergeCell ref="BA15:BC15"/>
    <mergeCell ref="BE15:BG15"/>
    <mergeCell ref="AO11:AQ11"/>
    <mergeCell ref="R31:T31"/>
    <mergeCell ref="V31:X31"/>
    <mergeCell ref="AC19:AE19"/>
    <mergeCell ref="AC12:AE12"/>
    <mergeCell ref="V11:X11"/>
    <mergeCell ref="AC11:AE11"/>
    <mergeCell ref="AG11:AI11"/>
    <mergeCell ref="V15:X15"/>
    <mergeCell ref="AC15:AE15"/>
    <mergeCell ref="AG15:AI15"/>
    <mergeCell ref="AO15:AQ15"/>
    <mergeCell ref="R18:T18"/>
    <mergeCell ref="V18:X18"/>
    <mergeCell ref="G26:I26"/>
    <mergeCell ref="K26:M26"/>
    <mergeCell ref="R26:T26"/>
    <mergeCell ref="V26:X26"/>
    <mergeCell ref="BM36:BO36"/>
    <mergeCell ref="AC36:AE36"/>
    <mergeCell ref="AB38:AB39"/>
    <mergeCell ref="AC38:AE38"/>
    <mergeCell ref="AC39:AE39"/>
    <mergeCell ref="BM29:BO29"/>
    <mergeCell ref="BA26:BC26"/>
    <mergeCell ref="D4:G4"/>
    <mergeCell ref="J4:M4"/>
    <mergeCell ref="J6:M6"/>
    <mergeCell ref="D6:G6"/>
    <mergeCell ref="V22:X22"/>
    <mergeCell ref="G15:I15"/>
    <mergeCell ref="K15:M15"/>
    <mergeCell ref="R22:T22"/>
    <mergeCell ref="U17:U18"/>
    <mergeCell ref="Q17:Q18"/>
    <mergeCell ref="R8:T8"/>
    <mergeCell ref="V8:X8"/>
    <mergeCell ref="AC8:AE8"/>
    <mergeCell ref="AG8:AI8"/>
    <mergeCell ref="AO8:AQ8"/>
    <mergeCell ref="AS8:AU8"/>
    <mergeCell ref="BA8:BC8"/>
    <mergeCell ref="BE8:BG8"/>
    <mergeCell ref="BM8:BO8"/>
    <mergeCell ref="BQ8:BS8"/>
    <mergeCell ref="Q9:X9"/>
    <mergeCell ref="AB9:AI9"/>
    <mergeCell ref="AN9:AU9"/>
    <mergeCell ref="AZ9:BG9"/>
    <mergeCell ref="BL9:BS9"/>
    <mergeCell ref="Q10:Q11"/>
    <mergeCell ref="U10:U11"/>
    <mergeCell ref="AB10:AB11"/>
    <mergeCell ref="AF10:AF11"/>
    <mergeCell ref="AG10:AI10"/>
    <mergeCell ref="AN10:AN11"/>
    <mergeCell ref="AO10:AQ10"/>
    <mergeCell ref="AR10:AR11"/>
    <mergeCell ref="AS10:AU10"/>
    <mergeCell ref="AZ10:AZ11"/>
    <mergeCell ref="BA10:BC10"/>
    <mergeCell ref="BD10:BD11"/>
    <mergeCell ref="BE10:BG10"/>
    <mergeCell ref="BL10:BL11"/>
    <mergeCell ref="BM10:BO10"/>
    <mergeCell ref="BP10:BP11"/>
    <mergeCell ref="BQ10:BS10"/>
    <mergeCell ref="R11:T11"/>
    <mergeCell ref="BM11:BO11"/>
    <mergeCell ref="BQ11:BS11"/>
    <mergeCell ref="R12:T12"/>
    <mergeCell ref="V12:X12"/>
    <mergeCell ref="AG12:AI12"/>
    <mergeCell ref="AO12:AQ12"/>
    <mergeCell ref="AS12:AU12"/>
    <mergeCell ref="BA12:BC12"/>
    <mergeCell ref="BE12:BG12"/>
    <mergeCell ref="BM12:BO12"/>
    <mergeCell ref="BQ12:BS12"/>
    <mergeCell ref="AS11:AU11"/>
    <mergeCell ref="BA11:BC11"/>
    <mergeCell ref="BE11:BG11"/>
    <mergeCell ref="BM15:BO15"/>
    <mergeCell ref="BQ15:BS15"/>
    <mergeCell ref="F16:M16"/>
    <mergeCell ref="AB16:AI16"/>
    <mergeCell ref="AN16:AU16"/>
    <mergeCell ref="AZ16:BG16"/>
    <mergeCell ref="BL16:BS16"/>
    <mergeCell ref="F17:F18"/>
    <mergeCell ref="G17:I17"/>
    <mergeCell ref="J17:J18"/>
    <mergeCell ref="K17:M17"/>
    <mergeCell ref="AB17:AB18"/>
    <mergeCell ref="AC17:AE17"/>
    <mergeCell ref="AF17:AF18"/>
    <mergeCell ref="AG17:AI17"/>
    <mergeCell ref="AN17:AN18"/>
    <mergeCell ref="AO17:AQ17"/>
    <mergeCell ref="AR17:AR18"/>
    <mergeCell ref="AS17:AU17"/>
    <mergeCell ref="AZ17:AZ18"/>
    <mergeCell ref="BA17:BC17"/>
    <mergeCell ref="BD17:BD18"/>
    <mergeCell ref="BE17:BG17"/>
    <mergeCell ref="BL17:BL18"/>
    <mergeCell ref="BM17:BO17"/>
    <mergeCell ref="BP17:BP18"/>
    <mergeCell ref="BQ17:BS17"/>
    <mergeCell ref="G18:I18"/>
    <mergeCell ref="K18:M18"/>
    <mergeCell ref="AC18:AE18"/>
    <mergeCell ref="AG18:AI18"/>
    <mergeCell ref="AO18:AQ18"/>
    <mergeCell ref="AS18:AU18"/>
    <mergeCell ref="BA18:BC18"/>
    <mergeCell ref="BE18:BG18"/>
    <mergeCell ref="BM18:BO18"/>
    <mergeCell ref="BQ18:BS18"/>
    <mergeCell ref="BM19:BO19"/>
    <mergeCell ref="BQ19:BS19"/>
    <mergeCell ref="G22:I22"/>
    <mergeCell ref="K22:M22"/>
    <mergeCell ref="BA22:BC22"/>
    <mergeCell ref="BE22:BG22"/>
    <mergeCell ref="BM22:BO22"/>
    <mergeCell ref="BQ22:BS22"/>
    <mergeCell ref="F23:M23"/>
    <mergeCell ref="Q23:X23"/>
    <mergeCell ref="AZ23:BG23"/>
    <mergeCell ref="BL23:BS23"/>
    <mergeCell ref="G19:I19"/>
    <mergeCell ref="K19:M19"/>
    <mergeCell ref="R19:T19"/>
    <mergeCell ref="V19:X19"/>
    <mergeCell ref="AG19:AI19"/>
    <mergeCell ref="AO19:AQ19"/>
    <mergeCell ref="AS19:AU19"/>
    <mergeCell ref="BA19:BC19"/>
    <mergeCell ref="BE19:BG19"/>
    <mergeCell ref="F24:F25"/>
    <mergeCell ref="G24:I24"/>
    <mergeCell ref="J24:J25"/>
    <mergeCell ref="K24:M24"/>
    <mergeCell ref="Q24:Q25"/>
    <mergeCell ref="R24:T24"/>
    <mergeCell ref="U24:U25"/>
    <mergeCell ref="V24:X24"/>
    <mergeCell ref="AZ24:AZ25"/>
    <mergeCell ref="BA24:BC24"/>
    <mergeCell ref="BD24:BD25"/>
    <mergeCell ref="BE24:BG24"/>
    <mergeCell ref="BL24:BL25"/>
    <mergeCell ref="BM24:BO24"/>
    <mergeCell ref="BP24:BP25"/>
    <mergeCell ref="BQ24:BS24"/>
    <mergeCell ref="G25:I25"/>
    <mergeCell ref="K25:M25"/>
    <mergeCell ref="R25:T25"/>
    <mergeCell ref="V25:X25"/>
    <mergeCell ref="BA25:BC25"/>
    <mergeCell ref="BE25:BG25"/>
    <mergeCell ref="BM25:BO25"/>
    <mergeCell ref="BQ25:BS25"/>
    <mergeCell ref="BE26:BG26"/>
    <mergeCell ref="BM26:BO26"/>
    <mergeCell ref="BQ26:BS26"/>
    <mergeCell ref="R29:T29"/>
    <mergeCell ref="V29:X29"/>
    <mergeCell ref="AC29:AE29"/>
    <mergeCell ref="AG29:AI29"/>
    <mergeCell ref="AO29:AQ29"/>
    <mergeCell ref="AS29:AU29"/>
    <mergeCell ref="BA29:BC29"/>
    <mergeCell ref="BE29:BG29"/>
    <mergeCell ref="BQ29:BS29"/>
    <mergeCell ref="F30:M30"/>
    <mergeCell ref="Q30:X30"/>
    <mergeCell ref="AB30:AI30"/>
    <mergeCell ref="AN30:AU30"/>
    <mergeCell ref="AZ30:BG30"/>
    <mergeCell ref="BL30:BS30"/>
    <mergeCell ref="F31:F32"/>
    <mergeCell ref="J31:J32"/>
    <mergeCell ref="Q31:Q32"/>
    <mergeCell ref="U31:U32"/>
    <mergeCell ref="AB31:AB32"/>
    <mergeCell ref="AF31:AF32"/>
    <mergeCell ref="AG31:AI31"/>
    <mergeCell ref="AN31:AN32"/>
    <mergeCell ref="AO31:AQ31"/>
    <mergeCell ref="AR31:AR32"/>
    <mergeCell ref="AS31:AU31"/>
    <mergeCell ref="AZ31:AZ32"/>
    <mergeCell ref="BA31:BC31"/>
    <mergeCell ref="BD31:BD32"/>
    <mergeCell ref="BE31:BG31"/>
    <mergeCell ref="BL31:BL32"/>
    <mergeCell ref="BM31:BO31"/>
    <mergeCell ref="BP31:BP32"/>
    <mergeCell ref="BQ31:BS31"/>
    <mergeCell ref="G32:I32"/>
    <mergeCell ref="K32:M32"/>
    <mergeCell ref="R32:T32"/>
    <mergeCell ref="V32:X32"/>
    <mergeCell ref="AC32:AE32"/>
    <mergeCell ref="AG32:AI32"/>
    <mergeCell ref="AO32:AQ32"/>
    <mergeCell ref="AS32:AU32"/>
    <mergeCell ref="BA32:BC32"/>
    <mergeCell ref="BE32:BG32"/>
    <mergeCell ref="BM32:BO32"/>
    <mergeCell ref="BQ32:BS32"/>
    <mergeCell ref="AC31:AE31"/>
    <mergeCell ref="G31:I31"/>
    <mergeCell ref="K31:M31"/>
    <mergeCell ref="G33:I33"/>
    <mergeCell ref="K33:M33"/>
    <mergeCell ref="R33:T33"/>
    <mergeCell ref="V33:X33"/>
    <mergeCell ref="AC33:AE33"/>
    <mergeCell ref="AG33:AI33"/>
    <mergeCell ref="AO33:AQ33"/>
    <mergeCell ref="AS33:AU33"/>
    <mergeCell ref="BA33:BC33"/>
    <mergeCell ref="BE33:BG33"/>
    <mergeCell ref="BM33:BO33"/>
    <mergeCell ref="BQ33:BS33"/>
    <mergeCell ref="R36:T36"/>
    <mergeCell ref="V36:X36"/>
    <mergeCell ref="AG36:AI36"/>
    <mergeCell ref="AO36:AQ36"/>
    <mergeCell ref="AS36:AU36"/>
    <mergeCell ref="BA36:BC36"/>
    <mergeCell ref="BE36:BG36"/>
    <mergeCell ref="BQ36:BS36"/>
    <mergeCell ref="Q37:X37"/>
    <mergeCell ref="AB37:AI37"/>
    <mergeCell ref="AN37:AU37"/>
    <mergeCell ref="AZ37:BG37"/>
    <mergeCell ref="BL37:BS37"/>
    <mergeCell ref="Q38:Q39"/>
    <mergeCell ref="R38:T38"/>
    <mergeCell ref="U38:U39"/>
    <mergeCell ref="V38:X38"/>
    <mergeCell ref="AF38:AF39"/>
    <mergeCell ref="AG38:AI38"/>
    <mergeCell ref="AN38:AN39"/>
    <mergeCell ref="AO38:AQ38"/>
    <mergeCell ref="AR38:AR39"/>
    <mergeCell ref="AS38:AU38"/>
    <mergeCell ref="AZ38:AZ39"/>
    <mergeCell ref="BA38:BC38"/>
    <mergeCell ref="BD38:BD39"/>
    <mergeCell ref="BE38:BG38"/>
    <mergeCell ref="BL38:BL39"/>
    <mergeCell ref="BM38:BO38"/>
    <mergeCell ref="BP38:BP39"/>
    <mergeCell ref="BQ38:BS38"/>
    <mergeCell ref="R39:T39"/>
    <mergeCell ref="V39:X39"/>
    <mergeCell ref="AG39:AI39"/>
    <mergeCell ref="AO39:AQ39"/>
    <mergeCell ref="AS39:AU39"/>
    <mergeCell ref="BA39:BC39"/>
    <mergeCell ref="BE39:BG39"/>
    <mergeCell ref="BM39:BO39"/>
    <mergeCell ref="BQ39:BS39"/>
    <mergeCell ref="R40:T40"/>
    <mergeCell ref="V40:X40"/>
    <mergeCell ref="AC40:AE40"/>
    <mergeCell ref="AG40:AI40"/>
    <mergeCell ref="AO40:AQ40"/>
    <mergeCell ref="AS40:AU40"/>
    <mergeCell ref="BA40:BC40"/>
    <mergeCell ref="BE40:BG40"/>
    <mergeCell ref="BM40:BO40"/>
    <mergeCell ref="BQ40:BS40"/>
    <mergeCell ref="R43:T43"/>
    <mergeCell ref="V43:X43"/>
    <mergeCell ref="AC43:AE43"/>
    <mergeCell ref="AG43:AI43"/>
    <mergeCell ref="AO43:AQ43"/>
    <mergeCell ref="AS43:AU43"/>
    <mergeCell ref="BA43:BC43"/>
    <mergeCell ref="BE43:BG43"/>
    <mergeCell ref="BM43:BO43"/>
    <mergeCell ref="Q44:X44"/>
    <mergeCell ref="AB44:AI44"/>
    <mergeCell ref="AN44:AU44"/>
    <mergeCell ref="AZ44:BG44"/>
    <mergeCell ref="BL44:BS44"/>
    <mergeCell ref="Q45:Q46"/>
    <mergeCell ref="R45:T45"/>
    <mergeCell ref="U45:U46"/>
    <mergeCell ref="V45:X45"/>
    <mergeCell ref="AB45:AB46"/>
    <mergeCell ref="AC45:AE45"/>
    <mergeCell ref="AF45:AF46"/>
    <mergeCell ref="AG45:AI45"/>
    <mergeCell ref="AN45:AN46"/>
    <mergeCell ref="AO45:AQ45"/>
    <mergeCell ref="AR45:AR46"/>
    <mergeCell ref="AS45:AU45"/>
    <mergeCell ref="AZ45:AZ46"/>
    <mergeCell ref="BA45:BC45"/>
    <mergeCell ref="BD45:BD46"/>
    <mergeCell ref="BE45:BG45"/>
    <mergeCell ref="BL45:BL46"/>
    <mergeCell ref="BM45:BO45"/>
    <mergeCell ref="BQ47:BS47"/>
    <mergeCell ref="B1:AV2"/>
    <mergeCell ref="R47:T47"/>
    <mergeCell ref="V47:X47"/>
    <mergeCell ref="AC47:AE47"/>
    <mergeCell ref="AG47:AI47"/>
    <mergeCell ref="AO47:AQ47"/>
    <mergeCell ref="AS47:AU47"/>
    <mergeCell ref="BA47:BC47"/>
    <mergeCell ref="BE47:BG47"/>
    <mergeCell ref="BM47:BO47"/>
    <mergeCell ref="BP45:BP46"/>
    <mergeCell ref="BQ45:BS45"/>
    <mergeCell ref="R46:T46"/>
    <mergeCell ref="V46:X46"/>
    <mergeCell ref="AC46:AE46"/>
    <mergeCell ref="AG46:AI46"/>
    <mergeCell ref="AO46:AQ46"/>
    <mergeCell ref="AS46:AU46"/>
    <mergeCell ref="BA46:BC46"/>
    <mergeCell ref="BE46:BG46"/>
    <mergeCell ref="BM46:BO46"/>
    <mergeCell ref="BQ46:BS46"/>
    <mergeCell ref="BQ43:BS43"/>
  </mergeCells>
  <conditionalFormatting sqref="F25 J25 Q32 U32">
    <cfRule type="expression" dxfId="44" priority="44">
      <formula>F29=-1</formula>
    </cfRule>
    <cfRule type="expression" dxfId="43" priority="43">
      <formula>F29=0</formula>
    </cfRule>
    <cfRule type="expression" dxfId="42" priority="45">
      <formula>F29=1</formula>
    </cfRule>
  </conditionalFormatting>
  <conditionalFormatting sqref="J17:J18">
    <cfRule type="expression" dxfId="41" priority="39">
      <formula>J19=1</formula>
    </cfRule>
    <cfRule type="expression" dxfId="40" priority="38">
      <formula>J19=-1</formula>
    </cfRule>
    <cfRule type="expression" dxfId="39" priority="37">
      <formula>J19=0</formula>
    </cfRule>
  </conditionalFormatting>
  <conditionalFormatting sqref="Q10 U10 Q17 U17 F17:F18 F24 J24 Q24 U24 F31 J31 Q31 U31 Q38 U38 Q45 U45">
    <cfRule type="expression" dxfId="38" priority="40">
      <formula>F12=0</formula>
    </cfRule>
    <cfRule type="expression" dxfId="37" priority="42">
      <formula>F12=1</formula>
    </cfRule>
    <cfRule type="expression" dxfId="36" priority="41">
      <formula>F12=-1</formula>
    </cfRule>
  </conditionalFormatting>
  <conditionalFormatting sqref="AB10 AF10">
    <cfRule type="expression" dxfId="35" priority="35">
      <formula>AB12=-1</formula>
    </cfRule>
    <cfRule type="expression" dxfId="34" priority="36">
      <formula>AB12=1</formula>
    </cfRule>
    <cfRule type="expression" dxfId="33" priority="34">
      <formula>AB12=0</formula>
    </cfRule>
  </conditionalFormatting>
  <conditionalFormatting sqref="AB17 AF17">
    <cfRule type="expression" dxfId="32" priority="31">
      <formula>AB19=0</formula>
    </cfRule>
    <cfRule type="expression" dxfId="31" priority="33">
      <formula>AB19=1</formula>
    </cfRule>
    <cfRule type="expression" dxfId="30" priority="32">
      <formula>AB19=-1</formula>
    </cfRule>
  </conditionalFormatting>
  <conditionalFormatting sqref="AB31 AF31">
    <cfRule type="expression" dxfId="29" priority="30">
      <formula>AB33=1</formula>
    </cfRule>
    <cfRule type="expression" dxfId="28" priority="29">
      <formula>AB33=-1</formula>
    </cfRule>
    <cfRule type="expression" dxfId="27" priority="28">
      <formula>AB33=0</formula>
    </cfRule>
  </conditionalFormatting>
  <conditionalFormatting sqref="AB38 AF38">
    <cfRule type="expression" dxfId="26" priority="22">
      <formula>AB40=0</formula>
    </cfRule>
    <cfRule type="expression" dxfId="25" priority="23">
      <formula>AB40=-1</formula>
    </cfRule>
    <cfRule type="expression" dxfId="24" priority="24">
      <formula>AB40=1</formula>
    </cfRule>
  </conditionalFormatting>
  <conditionalFormatting sqref="AB45 AF45">
    <cfRule type="expression" dxfId="23" priority="21">
      <formula>AB47=1</formula>
    </cfRule>
    <cfRule type="expression" dxfId="22" priority="20">
      <formula>AB47=-1</formula>
    </cfRule>
    <cfRule type="expression" dxfId="21" priority="19">
      <formula>AB47=0</formula>
    </cfRule>
  </conditionalFormatting>
  <conditionalFormatting sqref="AN10 AR10">
    <cfRule type="expression" dxfId="20" priority="15">
      <formula>AN12=1</formula>
    </cfRule>
    <cfRule type="expression" dxfId="19" priority="14">
      <formula>AN12=-1</formula>
    </cfRule>
    <cfRule type="expression" dxfId="18" priority="13">
      <formula>AN12=0</formula>
    </cfRule>
  </conditionalFormatting>
  <conditionalFormatting sqref="AN17 AR17">
    <cfRule type="expression" dxfId="17" priority="11">
      <formula>AN19=-1</formula>
    </cfRule>
    <cfRule type="expression" dxfId="16" priority="12">
      <formula>AN19=1</formula>
    </cfRule>
    <cfRule type="expression" dxfId="15" priority="10">
      <formula>AN19=0</formula>
    </cfRule>
  </conditionalFormatting>
  <conditionalFormatting sqref="AN31 AR31">
    <cfRule type="expression" dxfId="14" priority="25">
      <formula>AN33=0</formula>
    </cfRule>
    <cfRule type="expression" dxfId="13" priority="26">
      <formula>AN33=-1</formula>
    </cfRule>
    <cfRule type="expression" dxfId="12" priority="27">
      <formula>AN33=1</formula>
    </cfRule>
  </conditionalFormatting>
  <conditionalFormatting sqref="AN45 AR45">
    <cfRule type="expression" dxfId="11" priority="18">
      <formula>AN47=1</formula>
    </cfRule>
    <cfRule type="expression" dxfId="10" priority="17">
      <formula>AN47=-1</formula>
    </cfRule>
    <cfRule type="expression" dxfId="9" priority="16">
      <formula>AN47=0</formula>
    </cfRule>
  </conditionalFormatting>
  <conditionalFormatting sqref="AZ10 BD10">
    <cfRule type="expression" dxfId="8" priority="9">
      <formula>AZ12=1</formula>
    </cfRule>
    <cfRule type="expression" dxfId="7" priority="8">
      <formula>AZ12=-1</formula>
    </cfRule>
    <cfRule type="expression" dxfId="6" priority="7">
      <formula>AZ12=0</formula>
    </cfRule>
  </conditionalFormatting>
  <conditionalFormatting sqref="AZ17 BD17">
    <cfRule type="expression" dxfId="5" priority="6">
      <formula>AZ19=1</formula>
    </cfRule>
    <cfRule type="expression" dxfId="4" priority="5">
      <formula>AZ19=-1</formula>
    </cfRule>
    <cfRule type="expression" dxfId="3" priority="4">
      <formula>AZ19=0</formula>
    </cfRule>
  </conditionalFormatting>
  <conditionalFormatting sqref="BL10 BP10">
    <cfRule type="expression" dxfId="2" priority="2">
      <formula>BL12=-1</formula>
    </cfRule>
    <cfRule type="expression" dxfId="1" priority="3">
      <formula>BL12=1</formula>
    </cfRule>
    <cfRule type="expression" dxfId="0" priority="1">
      <formula>BL12=0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Value Tree - Fx</vt:lpstr>
      <vt:lpstr>Value Tree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Athayde</dc:creator>
  <cp:lastModifiedBy>Enrico Athayde</cp:lastModifiedBy>
  <dcterms:created xsi:type="dcterms:W3CDTF">2026-04-13T18:16:18Z</dcterms:created>
  <dcterms:modified xsi:type="dcterms:W3CDTF">2026-04-27T18:35:32Z</dcterms:modified>
</cp:coreProperties>
</file>