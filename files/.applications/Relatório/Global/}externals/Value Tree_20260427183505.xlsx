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cticonsultores-my.sharepoint.com/personal/eathayde_ctiglobal_com/Documents/Área de Trabalho/CTI projetos/Votorantim/"/>
    </mc:Choice>
  </mc:AlternateContent>
  <xr:revisionPtr revIDLastSave="0" documentId="8_{0A60814A-CB62-4278-A9BE-3B652375773D}" xr6:coauthVersionLast="47" xr6:coauthVersionMax="47" xr10:uidLastSave="{00000000-0000-0000-0000-000000000000}"/>
  <bookViews>
    <workbookView xWindow="-28908" yWindow="-1980" windowWidth="29016" windowHeight="15696" firstSheet="2" activeTab="2" xr2:uid="{BB3FCC84-5EE6-486F-AD64-0F6B1656FB64}"/>
  </bookViews>
  <sheets>
    <sheet name="Cognos_Office_Connection_Cache" sheetId="4" state="veryHidden" r:id="rId1"/>
    <sheet name="Value Tree - Fx" sheetId="2" state="hidden" r:id="rId2"/>
    <sheet name="Value Tree" sheetId="3" r:id="rId3"/>
  </sheets>
  <definedNames>
    <definedName name="cafe_validation_temp" hidden="1">Cognos_Office_Connection_Cache!$B$2:$B$18</definedName>
    <definedName name="ID" localSheetId="0">"3f7751d6-d8ba-4019-b93b-f908a13f3e0f"</definedName>
    <definedName name="ID" localSheetId="2" hidden="1">"98a33560-2910-4b14-b86a-8a3eaa48788a"</definedName>
    <definedName name="ID" localSheetId="1">"1b435c45-51a4-4dee-9013-d77740d1f498"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7" i="2" l="1"/>
  <c r="CH7" i="2"/>
  <c r="CL6" i="2"/>
  <c r="CK6" i="2"/>
  <c r="D6" i="3"/>
  <c r="J4" i="3"/>
  <c r="D4" i="3"/>
  <c r="J6" i="3"/>
  <c r="CL43" i="2"/>
  <c r="CL42" i="2"/>
  <c r="CL31" i="2"/>
  <c r="CL35" i="2"/>
  <c r="CL33" i="2"/>
  <c r="CG6" i="2" l="1"/>
  <c r="CH6" i="2"/>
  <c r="CH35" i="2"/>
  <c r="CH31" i="2"/>
  <c r="CH43" i="2"/>
  <c r="CH42" i="2"/>
  <c r="CH33" i="2"/>
  <c r="CD7" i="2" l="1"/>
  <c r="BZ7" i="2"/>
  <c r="AA10" i="2"/>
  <c r="CD6" i="2"/>
  <c r="CC6" i="2"/>
  <c r="BZ6" i="2"/>
  <c r="BY6" i="2"/>
  <c r="C4" i="2"/>
  <c r="CD14" i="2"/>
  <c r="BZ25" i="2"/>
  <c r="CD22" i="2"/>
  <c r="BZ21" i="2"/>
  <c r="CD21" i="2"/>
  <c r="CD24" i="2"/>
  <c r="CD42" i="2"/>
  <c r="BZ8" i="2"/>
  <c r="BZ24" i="2"/>
  <c r="BZ33" i="2"/>
  <c r="CD9" i="2"/>
  <c r="CD11" i="2"/>
  <c r="CD33" i="2"/>
  <c r="BZ12" i="2"/>
  <c r="CD17" i="2"/>
  <c r="CD35" i="2"/>
  <c r="BZ35" i="2"/>
  <c r="CD12" i="2"/>
  <c r="CD25" i="2"/>
  <c r="CD15" i="2"/>
  <c r="BZ43" i="2"/>
  <c r="BZ17" i="2"/>
  <c r="BZ14" i="2"/>
  <c r="CD8" i="2"/>
  <c r="BZ15" i="2"/>
  <c r="BZ42" i="2"/>
  <c r="BZ11" i="2"/>
  <c r="BZ31" i="2"/>
  <c r="CD31" i="2"/>
  <c r="BZ22" i="2"/>
  <c r="BZ9" i="2"/>
  <c r="CD43" i="2"/>
  <c r="P43" i="2" l="1"/>
  <c r="AA48" i="2"/>
  <c r="AA44" i="2"/>
  <c r="AA38" i="2"/>
  <c r="AA34" i="2"/>
  <c r="P38" i="2"/>
  <c r="E38" i="2"/>
  <c r="E32" i="2"/>
  <c r="P32" i="2"/>
  <c r="P27" i="2"/>
  <c r="AA27" i="2"/>
  <c r="AA23" i="2"/>
  <c r="P21" i="2"/>
  <c r="P16" i="2"/>
  <c r="AA15" i="2"/>
  <c r="E19" i="2"/>
  <c r="E13" i="2"/>
  <c r="CK7" i="2" l="1"/>
  <c r="CG7" i="2"/>
  <c r="CC7" i="2"/>
  <c r="BY7" i="2"/>
  <c r="BF5" i="2"/>
  <c r="BB5" i="2"/>
  <c r="P8" i="2"/>
  <c r="AA8" i="2"/>
  <c r="P9" i="2"/>
  <c r="AA9" i="2"/>
  <c r="P10" i="2"/>
  <c r="E11" i="2"/>
  <c r="E12" i="2"/>
  <c r="AA12" i="2"/>
  <c r="P14" i="2"/>
  <c r="AA14" i="2"/>
  <c r="AP9" i="2"/>
  <c r="AP12" i="2"/>
  <c r="AP8" i="2"/>
  <c r="AP14" i="2"/>
  <c r="BY22" i="2"/>
  <c r="CC25" i="2"/>
  <c r="BY9" i="2"/>
  <c r="AJ23" i="2"/>
  <c r="CC9" i="2"/>
  <c r="BY15" i="2"/>
  <c r="CK31" i="2"/>
  <c r="CC21" i="2"/>
  <c r="CC15" i="2"/>
  <c r="CC31" i="2"/>
  <c r="AJ34" i="2"/>
  <c r="AJ44" i="2"/>
  <c r="BY8" i="2"/>
  <c r="CC24" i="2"/>
  <c r="CK35" i="2"/>
  <c r="BY25" i="2"/>
  <c r="AJ48" i="2"/>
  <c r="CG42" i="2"/>
  <c r="BY17" i="2"/>
  <c r="CC22" i="2"/>
  <c r="CG43" i="2"/>
  <c r="CG33" i="2"/>
  <c r="BY33" i="2"/>
  <c r="BY35" i="2"/>
  <c r="CC11" i="2"/>
  <c r="BY43" i="2"/>
  <c r="CK42" i="2"/>
  <c r="AJ38" i="2"/>
  <c r="BY12" i="2"/>
  <c r="CC42" i="2"/>
  <c r="CK33" i="2"/>
  <c r="CC43" i="2"/>
  <c r="CC17" i="2"/>
  <c r="CG35" i="2"/>
  <c r="BY11" i="2"/>
  <c r="CC12" i="2"/>
  <c r="CC14" i="2"/>
  <c r="AJ27" i="2"/>
  <c r="CC33" i="2"/>
  <c r="BY42" i="2"/>
  <c r="BY24" i="2"/>
  <c r="CK43" i="2"/>
  <c r="CG31" i="2"/>
  <c r="BY14" i="2"/>
  <c r="CC8" i="2"/>
  <c r="BY21" i="2"/>
  <c r="BY31" i="2"/>
  <c r="CC35" i="2"/>
  <c r="AR4" i="2" l="1"/>
  <c r="AC6" i="2"/>
  <c r="AF6" i="2"/>
  <c r="R6" i="2"/>
  <c r="BB6" i="2"/>
  <c r="G8" i="2"/>
  <c r="R11" i="2"/>
  <c r="G14" i="2"/>
  <c r="P15" i="2"/>
  <c r="A17" i="2"/>
  <c r="BB14" i="2"/>
  <c r="AC12" i="2"/>
  <c r="BB8" i="2"/>
  <c r="BB12" i="2"/>
  <c r="BB9" i="2"/>
  <c r="G13" i="2"/>
  <c r="BB15" i="2"/>
  <c r="AC15" i="2"/>
  <c r="AC9" i="2"/>
  <c r="AC14" i="2"/>
  <c r="BB11" i="2"/>
  <c r="AC10" i="2"/>
  <c r="AC8" i="2"/>
  <c r="BX9" i="2" l="1"/>
  <c r="BX12" i="2"/>
  <c r="AZ9" i="3"/>
  <c r="BX8" i="2"/>
  <c r="BX11" i="2"/>
  <c r="BX15" i="2"/>
  <c r="BX14" i="2"/>
  <c r="AS4" i="2"/>
  <c r="AB10" i="2"/>
  <c r="AB15" i="2"/>
  <c r="V6" i="2"/>
  <c r="K8" i="2"/>
  <c r="BF6" i="2"/>
  <c r="AM6" i="2"/>
  <c r="AJ6" i="2"/>
  <c r="V11" i="2"/>
  <c r="K14" i="2"/>
  <c r="AZ14" i="3"/>
  <c r="AC10" i="3"/>
  <c r="AC9" i="3"/>
  <c r="AC12" i="3"/>
  <c r="AC13" i="3"/>
  <c r="AZ10" i="3"/>
  <c r="AZ11" i="3"/>
  <c r="AZ12" i="3"/>
  <c r="AZ13" i="3"/>
  <c r="E17" i="2"/>
  <c r="BF15" i="2"/>
  <c r="AF9" i="2"/>
  <c r="AF8" i="2"/>
  <c r="AF12" i="2"/>
  <c r="BF8" i="2"/>
  <c r="BF12" i="2"/>
  <c r="AJ9" i="2"/>
  <c r="AJ12" i="2"/>
  <c r="BF14" i="2"/>
  <c r="AJ15" i="2"/>
  <c r="AJ10" i="2"/>
  <c r="AJ8" i="2"/>
  <c r="BF9" i="2"/>
  <c r="BF11" i="2"/>
  <c r="AJ14" i="2"/>
  <c r="AF14" i="2"/>
  <c r="CB14" i="2" l="1"/>
  <c r="CB11" i="2"/>
  <c r="CB12" i="2"/>
  <c r="CB15" i="2"/>
  <c r="CB8" i="2"/>
  <c r="CB9" i="2"/>
  <c r="AF10" i="3"/>
  <c r="AF9" i="3"/>
  <c r="AF12" i="3"/>
  <c r="AF13" i="3"/>
  <c r="AI10" i="2"/>
  <c r="AI15" i="2"/>
  <c r="AJ10" i="3"/>
  <c r="AJ9" i="3"/>
  <c r="AJ12" i="3"/>
  <c r="AJ13" i="3"/>
  <c r="BD10" i="3"/>
  <c r="BD9" i="3"/>
  <c r="BD11" i="3"/>
  <c r="BD12" i="3"/>
  <c r="BD13" i="3"/>
  <c r="BD14" i="3"/>
  <c r="R17" i="2"/>
  <c r="V17" i="2"/>
  <c r="BF17" i="2"/>
  <c r="AM8" i="2"/>
  <c r="AM9" i="2"/>
  <c r="AM12" i="2"/>
  <c r="AM14" i="2"/>
  <c r="BB17" i="2"/>
  <c r="CB17" i="2" l="1"/>
  <c r="BX17" i="2"/>
  <c r="AM9" i="3"/>
  <c r="AM12" i="3"/>
  <c r="AM13" i="3"/>
  <c r="AM10" i="3"/>
  <c r="BD15" i="3"/>
  <c r="AZ15" i="3"/>
  <c r="E18" i="2"/>
  <c r="P19" i="2"/>
  <c r="AC19" i="2"/>
  <c r="AF19" i="2"/>
  <c r="BB19" i="2"/>
  <c r="BF19" i="2"/>
  <c r="P20" i="2"/>
  <c r="AA21" i="2"/>
  <c r="BF21" i="2"/>
  <c r="BB21" i="2"/>
  <c r="AC21" i="2"/>
  <c r="AJ21" i="2"/>
  <c r="AC27" i="2"/>
  <c r="AC23" i="2"/>
  <c r="CB21" i="2" l="1"/>
  <c r="BX21" i="2"/>
  <c r="AI23" i="2"/>
  <c r="AB23" i="2"/>
  <c r="BD19" i="3"/>
  <c r="AZ19" i="3"/>
  <c r="AJ19" i="3"/>
  <c r="AC19" i="3"/>
  <c r="R22" i="2"/>
  <c r="V22" i="2"/>
  <c r="AA22" i="2"/>
  <c r="A24" i="2"/>
  <c r="BB24" i="2"/>
  <c r="AF21" i="2"/>
  <c r="BB22" i="2"/>
  <c r="BF22" i="2"/>
  <c r="AC22" i="2"/>
  <c r="AJ22" i="2"/>
  <c r="AM21" i="2"/>
  <c r="BF24" i="2"/>
  <c r="CB24" i="2" l="1"/>
  <c r="CB22" i="2"/>
  <c r="BX24" i="2"/>
  <c r="BX22" i="2"/>
  <c r="AF19" i="3"/>
  <c r="AM19" i="3"/>
  <c r="BD21" i="3"/>
  <c r="AZ21" i="3"/>
  <c r="BD20" i="3"/>
  <c r="AZ20" i="3"/>
  <c r="AJ20" i="3"/>
  <c r="AC20" i="3"/>
  <c r="P25" i="2"/>
  <c r="AA25" i="2"/>
  <c r="BF25" i="2"/>
  <c r="AC25" i="2"/>
  <c r="BB25" i="2"/>
  <c r="AF22" i="2"/>
  <c r="AM22" i="2"/>
  <c r="AJ25" i="2"/>
  <c r="CB25" i="2" l="1"/>
  <c r="BX25" i="2"/>
  <c r="AM20" i="3"/>
  <c r="AF20" i="3"/>
  <c r="AI27" i="2"/>
  <c r="AB27" i="2"/>
  <c r="BD22" i="3"/>
  <c r="AZ22" i="3"/>
  <c r="AJ22" i="3"/>
  <c r="AC22" i="3"/>
  <c r="P26" i="2"/>
  <c r="AA26" i="2"/>
  <c r="A28" i="2"/>
  <c r="V16" i="2"/>
  <c r="R16" i="2"/>
  <c r="K13" i="2"/>
  <c r="K12" i="2"/>
  <c r="AM25" i="2"/>
  <c r="G12" i="2"/>
  <c r="R25" i="2"/>
  <c r="AF25" i="2"/>
  <c r="R8" i="2" a="1"/>
  <c r="AJ26" i="2"/>
  <c r="V15" i="2"/>
  <c r="R14" i="2"/>
  <c r="V10" i="2" a="1"/>
  <c r="AC26" i="2"/>
  <c r="R15" i="2"/>
  <c r="V8" i="2" a="1"/>
  <c r="R19" i="2"/>
  <c r="V19" i="2"/>
  <c r="R26" i="2"/>
  <c r="V26" i="2"/>
  <c r="V21" i="2"/>
  <c r="R10" i="2" a="1"/>
  <c r="V9" i="2" a="1"/>
  <c r="V27" i="2"/>
  <c r="V14" i="2"/>
  <c r="R27" i="2"/>
  <c r="R9" i="2" a="1"/>
  <c r="R20" i="2"/>
  <c r="G11" i="2"/>
  <c r="V25" i="2"/>
  <c r="K11" i="2"/>
  <c r="V20" i="2"/>
  <c r="R21" i="2"/>
  <c r="AM22" i="3" l="1"/>
  <c r="AF22" i="3"/>
  <c r="Q27" i="2"/>
  <c r="U16" i="2"/>
  <c r="U21" i="2"/>
  <c r="Q21" i="2"/>
  <c r="U27" i="2"/>
  <c r="Q16" i="2"/>
  <c r="F13" i="2"/>
  <c r="J13" i="2"/>
  <c r="V18" i="3"/>
  <c r="R18" i="3"/>
  <c r="V17" i="3"/>
  <c r="R17" i="3"/>
  <c r="V13" i="3"/>
  <c r="V14" i="3"/>
  <c r="K11" i="3"/>
  <c r="K12" i="3"/>
  <c r="V10" i="2"/>
  <c r="V9" i="2"/>
  <c r="V10" i="3" s="1"/>
  <c r="V8" i="2"/>
  <c r="R14" i="3"/>
  <c r="R13" i="3"/>
  <c r="G11" i="3"/>
  <c r="G12" i="3"/>
  <c r="R10" i="2"/>
  <c r="R9" i="2"/>
  <c r="R10" i="3" s="1"/>
  <c r="R8" i="2"/>
  <c r="R22" i="3"/>
  <c r="V22" i="3"/>
  <c r="R23" i="3"/>
  <c r="V23" i="3"/>
  <c r="AJ23" i="3"/>
  <c r="AC23" i="3"/>
  <c r="G28" i="2"/>
  <c r="K28" i="2"/>
  <c r="R28" i="2"/>
  <c r="V28" i="2"/>
  <c r="AC29" i="2"/>
  <c r="AF29" i="2"/>
  <c r="BB29" i="2"/>
  <c r="BF29" i="2"/>
  <c r="BK29" i="2"/>
  <c r="BO29" i="2"/>
  <c r="E30" i="2"/>
  <c r="G30" i="2"/>
  <c r="R32" i="2"/>
  <c r="AC34" i="2"/>
  <c r="G32" i="2"/>
  <c r="K32" i="2"/>
  <c r="V32" i="2"/>
  <c r="AF26" i="2"/>
  <c r="AM26" i="2"/>
  <c r="K30" i="2"/>
  <c r="AC38" i="2"/>
  <c r="AF23" i="3" l="1"/>
  <c r="AM23" i="3"/>
  <c r="U10" i="2"/>
  <c r="J32" i="2"/>
  <c r="F32" i="2"/>
  <c r="Q10" i="2"/>
  <c r="K26" i="3"/>
  <c r="G26" i="3"/>
  <c r="R9" i="3"/>
  <c r="V9" i="3"/>
  <c r="P30" i="2"/>
  <c r="A31" i="2"/>
  <c r="R30" i="2"/>
  <c r="K17" i="2"/>
  <c r="G18" i="2"/>
  <c r="K18" i="2"/>
  <c r="G17" i="2"/>
  <c r="G19" i="2"/>
  <c r="K19" i="2"/>
  <c r="V30" i="2"/>
  <c r="F19" i="2" l="1"/>
  <c r="J19" i="2"/>
  <c r="G15" i="3"/>
  <c r="K15" i="3"/>
  <c r="G16" i="3"/>
  <c r="K16" i="3"/>
  <c r="V26" i="3"/>
  <c r="R26" i="3"/>
  <c r="E31" i="2"/>
  <c r="G31" i="2"/>
  <c r="K31" i="2"/>
  <c r="K27" i="3" l="1"/>
  <c r="G27" i="3"/>
  <c r="P31" i="2"/>
  <c r="R31" i="2"/>
  <c r="V31" i="2"/>
  <c r="U32" i="2" l="1"/>
  <c r="Q32" i="2"/>
  <c r="V27" i="3"/>
  <c r="R27" i="3"/>
  <c r="AA31" i="2"/>
  <c r="BK31" i="2"/>
  <c r="AJ31" i="2"/>
  <c r="AC31" i="2"/>
  <c r="BF31" i="2"/>
  <c r="BB31" i="2"/>
  <c r="BO31" i="2"/>
  <c r="CB31" i="2" l="1"/>
  <c r="CJ31" i="2"/>
  <c r="BX31" i="2"/>
  <c r="CF31" i="2"/>
  <c r="BM27" i="3"/>
  <c r="BI27" i="3"/>
  <c r="BD27" i="3"/>
  <c r="AZ27" i="3"/>
  <c r="AJ27" i="3"/>
  <c r="AC27" i="3"/>
  <c r="G33" i="2"/>
  <c r="K33" i="2"/>
  <c r="R33" i="2"/>
  <c r="V33" i="2"/>
  <c r="AA33" i="2"/>
  <c r="AM31" i="2"/>
  <c r="BB35" i="2"/>
  <c r="K38" i="2"/>
  <c r="BF35" i="2"/>
  <c r="R38" i="2"/>
  <c r="BK33" i="2"/>
  <c r="BO35" i="2"/>
  <c r="BB33" i="2"/>
  <c r="G38" i="2"/>
  <c r="BF33" i="2"/>
  <c r="V38" i="2"/>
  <c r="BK35" i="2"/>
  <c r="BO33" i="2"/>
  <c r="AF31" i="2"/>
  <c r="AC33" i="2"/>
  <c r="AJ33" i="2"/>
  <c r="CJ35" i="2" l="1"/>
  <c r="CB33" i="2"/>
  <c r="CJ33" i="2"/>
  <c r="CB35" i="2"/>
  <c r="CF33" i="2"/>
  <c r="CF35" i="2"/>
  <c r="BX33" i="2"/>
  <c r="BX35" i="2"/>
  <c r="AM27" i="3"/>
  <c r="AF27" i="3"/>
  <c r="AI34" i="2"/>
  <c r="AB34" i="2"/>
  <c r="BM29" i="3"/>
  <c r="BI29" i="3"/>
  <c r="BD29" i="3"/>
  <c r="AZ29" i="3"/>
  <c r="BM28" i="3"/>
  <c r="BI28" i="3"/>
  <c r="BD28" i="3"/>
  <c r="AZ28" i="3"/>
  <c r="AJ28" i="3"/>
  <c r="AC28" i="3"/>
  <c r="E36" i="2"/>
  <c r="G36" i="2"/>
  <c r="AM33" i="2"/>
  <c r="AF33" i="2"/>
  <c r="K36" i="2"/>
  <c r="AF28" i="3" l="1"/>
  <c r="AM28" i="3"/>
  <c r="K30" i="3"/>
  <c r="G30" i="3"/>
  <c r="P36" i="2"/>
  <c r="R36" i="2"/>
  <c r="V36" i="2"/>
  <c r="V30" i="3" l="1"/>
  <c r="R30" i="3"/>
  <c r="AA36" i="2"/>
  <c r="AJ36" i="2"/>
  <c r="AC36" i="2"/>
  <c r="AJ30" i="3" l="1"/>
  <c r="AC30" i="3"/>
  <c r="E37" i="2"/>
  <c r="G37" i="2"/>
  <c r="AM36" i="2"/>
  <c r="AF36" i="2"/>
  <c r="K37" i="2"/>
  <c r="AF30" i="3" l="1"/>
  <c r="AM30" i="3"/>
  <c r="J38" i="2"/>
  <c r="F38" i="2"/>
  <c r="K31" i="3"/>
  <c r="G31" i="3"/>
  <c r="P37" i="2"/>
  <c r="R37" i="2"/>
  <c r="V37" i="2"/>
  <c r="U38" i="2" l="1"/>
  <c r="Q38" i="2"/>
  <c r="V31" i="3"/>
  <c r="R31" i="3"/>
  <c r="AA37" i="2"/>
  <c r="AJ37" i="2"/>
  <c r="AC37" i="2"/>
  <c r="AC31" i="3" l="1"/>
  <c r="AB38" i="2"/>
  <c r="AI38" i="2"/>
  <c r="AJ31" i="3"/>
  <c r="R39" i="2"/>
  <c r="V39" i="2"/>
  <c r="AC40" i="2"/>
  <c r="AF40" i="2"/>
  <c r="BB40" i="2"/>
  <c r="BF40" i="2"/>
  <c r="BK40" i="2"/>
  <c r="BO40" i="2"/>
  <c r="P41" i="2"/>
  <c r="AC44" i="2"/>
  <c r="R43" i="2"/>
  <c r="AM37" i="2"/>
  <c r="AC48" i="2"/>
  <c r="R41" i="2"/>
  <c r="AF37" i="2"/>
  <c r="V41" i="2"/>
  <c r="V43" i="2"/>
  <c r="AM31" i="3" l="1"/>
  <c r="AF31" i="3"/>
  <c r="V34" i="3"/>
  <c r="R34" i="3"/>
  <c r="G42" i="2"/>
  <c r="H42" i="2"/>
  <c r="P42" i="2"/>
  <c r="V42" i="2"/>
  <c r="R42" i="2"/>
  <c r="Q43" i="2" l="1"/>
  <c r="U43" i="2"/>
  <c r="V35" i="3"/>
  <c r="R35" i="3"/>
  <c r="AA42" i="2"/>
  <c r="BK42" i="2"/>
  <c r="BF42" i="2"/>
  <c r="AC42" i="2"/>
  <c r="BB42" i="2"/>
  <c r="AJ42" i="2"/>
  <c r="BO42" i="2"/>
  <c r="CB42" i="2" l="1"/>
  <c r="CJ42" i="2"/>
  <c r="CF42" i="2"/>
  <c r="BX42" i="2"/>
  <c r="AI44" i="2"/>
  <c r="AB44" i="2"/>
  <c r="BM35" i="3"/>
  <c r="BI35" i="3"/>
  <c r="BD35" i="3"/>
  <c r="AZ35" i="3"/>
  <c r="AJ35" i="3"/>
  <c r="AC35" i="3"/>
  <c r="AA43" i="2"/>
  <c r="AF42" i="2"/>
  <c r="BO43" i="2"/>
  <c r="G45" i="2"/>
  <c r="AC43" i="2"/>
  <c r="AM42" i="2"/>
  <c r="BB43" i="2"/>
  <c r="BF43" i="2"/>
  <c r="BK43" i="2"/>
  <c r="AJ43" i="2"/>
  <c r="CB43" i="2" l="1"/>
  <c r="CJ43" i="2"/>
  <c r="CF43" i="2"/>
  <c r="BX43" i="2"/>
  <c r="AF35" i="3"/>
  <c r="AM35" i="3"/>
  <c r="BM36" i="3"/>
  <c r="BI36" i="3"/>
  <c r="BD36" i="3"/>
  <c r="AZ36" i="3"/>
  <c r="AJ36" i="3"/>
  <c r="AC36" i="3"/>
  <c r="AA46" i="2"/>
  <c r="AF43" i="2"/>
  <c r="AM43" i="2"/>
  <c r="AJ46" i="2"/>
  <c r="AC46" i="2"/>
  <c r="AF36" i="3" l="1"/>
  <c r="AM36" i="3"/>
  <c r="AB48" i="2"/>
  <c r="AI48" i="2"/>
  <c r="AJ38" i="3"/>
  <c r="AC38" i="3"/>
  <c r="AA47" i="2"/>
  <c r="AJ47" i="2"/>
  <c r="AC47" i="2"/>
  <c r="AM46" i="2"/>
  <c r="AF46" i="2"/>
  <c r="AM38" i="3" l="1"/>
  <c r="AF38" i="3"/>
  <c r="AJ39" i="3"/>
  <c r="AC39" i="3"/>
  <c r="AF47" i="2"/>
  <c r="AM47" i="2"/>
  <c r="AM39" i="3" l="1"/>
  <c r="AF3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<sst xmlns="http://schemas.openxmlformats.org/spreadsheetml/2006/main" count="287" uniqueCount="109">
  <si>
    <t>Value</t>
  </si>
  <si>
    <t>DFS.200.KPIs</t>
  </si>
  <si>
    <t>Total Value</t>
  </si>
  <si>
    <t>USD Conv.</t>
  </si>
  <si>
    <t>VCLatam</t>
  </si>
  <si>
    <t>DFS.M.140.Indirect_Cash_Flow</t>
  </si>
  <si>
    <t>EBIT (USD M) Mg. EBITDA - VCLatam</t>
  </si>
  <si>
    <t>Total Products</t>
  </si>
  <si>
    <t>RF</t>
  </si>
  <si>
    <t>UYU</t>
  </si>
  <si>
    <t>Artigas</t>
  </si>
  <si>
    <t>L500</t>
  </si>
  <si>
    <t>DFS.100.Profil_and_Loss</t>
  </si>
  <si>
    <t>BOB</t>
  </si>
  <si>
    <t>Itacamba</t>
  </si>
  <si>
    <t>EBITDA VCLatam  (LMU M)</t>
  </si>
  <si>
    <t>EBITDA VCLatam Breakdown (USD M)</t>
  </si>
  <si>
    <t>EBITDA (USD M) Mg. EBITDA - VCLatam</t>
  </si>
  <si>
    <t>-</t>
  </si>
  <si>
    <t>Year</t>
  </si>
  <si>
    <t>+</t>
  </si>
  <si>
    <t>Fin. Results (M)</t>
  </si>
  <si>
    <t>Accounts_ICF</t>
  </si>
  <si>
    <t>EUR Conv.</t>
  </si>
  <si>
    <t>VCEAA</t>
  </si>
  <si>
    <t>Net Profit</t>
  </si>
  <si>
    <t>EUR</t>
  </si>
  <si>
    <t>Corporate</t>
  </si>
  <si>
    <t>EBIT (EUR M) Mg. EBITDA - VCEA</t>
  </si>
  <si>
    <t>Income Tax (M)</t>
  </si>
  <si>
    <t>ROIC (%)</t>
  </si>
  <si>
    <t>Accounts_PNL</t>
  </si>
  <si>
    <t>TRY</t>
  </si>
  <si>
    <t>Turkey</t>
  </si>
  <si>
    <t>Spain</t>
  </si>
  <si>
    <t>EBITDA VCEA (LMU M)</t>
  </si>
  <si>
    <t>EBITDA VCEA Breakdown (EUR M)</t>
  </si>
  <si>
    <t>EBITDA (EUR M) Mg. EBITDA - VCEA</t>
  </si>
  <si>
    <t>Produto</t>
  </si>
  <si>
    <t>WK Capital (M)</t>
  </si>
  <si>
    <t>FCF (M)</t>
  </si>
  <si>
    <t>VCNA</t>
  </si>
  <si>
    <t>Region</t>
  </si>
  <si>
    <t>PRODCORP - Corporate</t>
  </si>
  <si>
    <t>PRODAG010 - Aggregates</t>
  </si>
  <si>
    <t>Aggregates</t>
  </si>
  <si>
    <t>EBIT (USD M) Mg. EBITDA - VCNA</t>
  </si>
  <si>
    <t>Capex (M)</t>
  </si>
  <si>
    <t>PRODRM010 - Ready Mix</t>
  </si>
  <si>
    <t>Ready Mix</t>
  </si>
  <si>
    <t>Currency</t>
  </si>
  <si>
    <t>PRODCE010 - Cement</t>
  </si>
  <si>
    <t>Cement</t>
  </si>
  <si>
    <t>EBITDA VCNA Breakdown (USD M)</t>
  </si>
  <si>
    <t>EBITDA (USD M) Mg. EBITDA - VCNA</t>
  </si>
  <si>
    <t>l500</t>
  </si>
  <si>
    <t>Versão</t>
  </si>
  <si>
    <t>EBIT (M)</t>
  </si>
  <si>
    <t>PRODMZ010 - Motz</t>
  </si>
  <si>
    <t>VCBR</t>
  </si>
  <si>
    <t>BRL Conv.</t>
  </si>
  <si>
    <t>Motz</t>
  </si>
  <si>
    <t>PRODLM010 - Lime</t>
  </si>
  <si>
    <t>Lime</t>
  </si>
  <si>
    <t>Net Profit (M)</t>
  </si>
  <si>
    <t>PRODAL010 - Ag. Lime</t>
  </si>
  <si>
    <t>Agric Lime</t>
  </si>
  <si>
    <t>Mês</t>
  </si>
  <si>
    <t>PRODMT010 - Mortars</t>
  </si>
  <si>
    <t>Mortars</t>
  </si>
  <si>
    <t>EBITDA (M)</t>
  </si>
  <si>
    <t>EBIT (BRL M) Mg. EBIT - VCBR</t>
  </si>
  <si>
    <t>Net Debt / Adj EBITDA (x)</t>
  </si>
  <si>
    <t>Ano</t>
  </si>
  <si>
    <t>EBITDA VCBR Breakdown (BRL M)</t>
  </si>
  <si>
    <t>EBITDA (BRL M) Mg. EBITDA - VCBR</t>
  </si>
  <si>
    <t>Net Debt (M)</t>
  </si>
  <si>
    <t>CONS_VC:REV.100.Revenue_Consolidated</t>
  </si>
  <si>
    <t>CONS_VC:DFS.180.Gross_Debt</t>
  </si>
  <si>
    <t>EBITDA LTM</t>
  </si>
  <si>
    <t>CONS_VC:DFS.140.Indirect_Cash_Flow</t>
  </si>
  <si>
    <t>CONS_VC:DFS.100.Profit_and_loss</t>
  </si>
  <si>
    <t>CONS_VC:DFS.200.KPIs</t>
  </si>
  <si>
    <t>Cubo</t>
  </si>
  <si>
    <t>Cash Generation Before Financing</t>
  </si>
  <si>
    <t xml:space="preserve">global </t>
  </si>
  <si>
    <t>global</t>
  </si>
  <si>
    <t>Global</t>
  </si>
  <si>
    <t>Month</t>
  </si>
  <si>
    <t>FY</t>
  </si>
  <si>
    <t xml:space="preserve">Summary: Comparison between Actual/RF and L300/PY (YTD &amp; FY) 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</si>
  <si>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</si>
  <si>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</si>
  <si>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</si>
  <si>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</si>
  <si>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</si>
  <si>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</si>
  <si>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</si>
  <si>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</si>
  <si>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</si>
  <si>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</si>
  <si>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</si>
  <si>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</si>
  <si>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</si>
  <si>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</si>
  <si>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</si>
  <si>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</si>
  <si>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</si>
  <si>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[Value Tree.xlsx]Value Tree'!J6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</si>
</sst>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#,##0_-;\-#,##0_-;_-&quot;-&quot;_-;_-@_-"/>
    <numFmt numFmtId="165" formatCode="#,##0.00\x"/>
    <numFmt numFmtId="166" formatCode="0.00\x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10.5"/>
      <name val="Calibri"/>
      <family val="2"/>
    </font>
    <font>
      <b/>
      <sz val="1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Wingdings"/>
      <charset val="2"/>
    </font>
    <font>
      <u/>
      <sz val="11"/>
      <color theme="1"/>
      <name val="Aptos Narrow"/>
      <family val="2"/>
      <scheme val="minor"/>
    </font>
    <font>
      <b/>
      <sz val="18"/>
      <color rgb="FF0000CC"/>
      <name val="Votorantim sans"/>
    </font>
    <font>
      <b/>
      <sz val="11"/>
      <color theme="1" tint="0.34998626667073579"/>
      <name val="Votorantim sans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mediumDashed">
        <color indexed="64"/>
      </left>
      <right/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2" fillId="0" borderId="0" xfId="0" applyFont="1"/>
    <xf numFmtId="37" fontId="3" fillId="0" borderId="0" xfId="0" applyNumberFormat="1" applyFont="1" applyAlignment="1">
      <alignment vertical="center"/>
    </xf>
    <xf numFmtId="0" fontId="0" fillId="0" borderId="2" xfId="0" applyBorder="1"/>
    <xf numFmtId="0" fontId="0" fillId="0" borderId="3" xfId="0" applyBorder="1"/>
    <xf numFmtId="0" fontId="4" fillId="0" borderId="0" xfId="0" applyFont="1"/>
    <xf numFmtId="37" fontId="4" fillId="0" borderId="0" xfId="0" applyNumberFormat="1" applyFont="1"/>
    <xf numFmtId="37" fontId="4" fillId="0" borderId="7" xfId="0" applyNumberFormat="1" applyFont="1" applyBorder="1"/>
    <xf numFmtId="37" fontId="4" fillId="0" borderId="11" xfId="0" applyNumberFormat="1" applyFont="1" applyBorder="1"/>
    <xf numFmtId="37" fontId="4" fillId="0" borderId="6" xfId="0" applyNumberFormat="1" applyFont="1" applyBorder="1" applyAlignment="1">
      <alignment horizontal="center"/>
    </xf>
    <xf numFmtId="37" fontId="6" fillId="0" borderId="0" xfId="0" applyNumberFormat="1" applyFont="1" applyAlignment="1">
      <alignment vertical="center"/>
    </xf>
    <xf numFmtId="37" fontId="5" fillId="0" borderId="6" xfId="0" applyNumberFormat="1" applyFont="1" applyBorder="1" applyAlignment="1">
      <alignment horizontal="center"/>
    </xf>
    <xf numFmtId="37" fontId="4" fillId="0" borderId="10" xfId="0" applyNumberFormat="1" applyFont="1" applyBorder="1"/>
    <xf numFmtId="37" fontId="7" fillId="0" borderId="11" xfId="0" applyNumberFormat="1" applyFont="1" applyBorder="1" applyAlignment="1">
      <alignment vertical="center"/>
    </xf>
    <xf numFmtId="37" fontId="2" fillId="0" borderId="0" xfId="0" applyNumberFormat="1" applyFont="1" applyAlignment="1">
      <alignment vertical="center"/>
    </xf>
    <xf numFmtId="37" fontId="0" fillId="0" borderId="7" xfId="0" applyNumberFormat="1" applyBorder="1"/>
    <xf numFmtId="0" fontId="0" fillId="0" borderId="10" xfId="0" applyBorder="1"/>
    <xf numFmtId="0" fontId="10" fillId="0" borderId="0" xfId="0" applyFont="1"/>
    <xf numFmtId="0" fontId="4" fillId="2" borderId="4" xfId="0" applyFont="1" applyFill="1" applyBorder="1"/>
    <xf numFmtId="0" fontId="4" fillId="2" borderId="5" xfId="0" applyFont="1" applyFill="1" applyBorder="1"/>
    <xf numFmtId="0" fontId="8" fillId="2" borderId="5" xfId="0" applyFont="1" applyFill="1" applyBorder="1"/>
    <xf numFmtId="0" fontId="8" fillId="2" borderId="23" xfId="0" applyFont="1" applyFill="1" applyBorder="1"/>
    <xf numFmtId="0" fontId="8" fillId="0" borderId="0" xfId="0" applyFont="1"/>
    <xf numFmtId="0" fontId="4" fillId="2" borderId="8" xfId="0" applyFont="1" applyFill="1" applyBorder="1"/>
    <xf numFmtId="0" fontId="4" fillId="2" borderId="0" xfId="0" applyFont="1" applyFill="1"/>
    <xf numFmtId="0" fontId="8" fillId="2" borderId="0" xfId="0" applyFont="1" applyFill="1"/>
    <xf numFmtId="0" fontId="8" fillId="2" borderId="25" xfId="0" applyFont="1" applyFill="1" applyBorder="1"/>
    <xf numFmtId="0" fontId="8" fillId="2" borderId="26" xfId="0" applyFont="1" applyFill="1" applyBorder="1"/>
    <xf numFmtId="0" fontId="8" fillId="0" borderId="2" xfId="0" applyFont="1" applyBorder="1"/>
    <xf numFmtId="0" fontId="8" fillId="0" borderId="3" xfId="0" applyFont="1" applyBorder="1"/>
    <xf numFmtId="0" fontId="8" fillId="0" borderId="1" xfId="0" applyFont="1" applyBorder="1"/>
    <xf numFmtId="0" fontId="8" fillId="0" borderId="6" xfId="0" applyFont="1" applyBorder="1"/>
    <xf numFmtId="0" fontId="8" fillId="0" borderId="10" xfId="0" applyFont="1" applyBorder="1"/>
    <xf numFmtId="0" fontId="8" fillId="0" borderId="11" xfId="0" applyFont="1" applyBorder="1"/>
    <xf numFmtId="0" fontId="5" fillId="2" borderId="0" xfId="0" applyFont="1" applyFill="1"/>
    <xf numFmtId="0" fontId="8" fillId="0" borderId="27" xfId="0" applyFont="1" applyBorder="1"/>
    <xf numFmtId="0" fontId="8" fillId="0" borderId="9" xfId="0" applyFont="1" applyBorder="1"/>
    <xf numFmtId="0" fontId="4" fillId="2" borderId="21" xfId="0" applyFont="1" applyFill="1" applyBorder="1"/>
    <xf numFmtId="0" fontId="4" fillId="2" borderId="22" xfId="0" applyFont="1" applyFill="1" applyBorder="1"/>
    <xf numFmtId="0" fontId="8" fillId="2" borderId="22" xfId="0" applyFont="1" applyFill="1" applyBorder="1"/>
    <xf numFmtId="0" fontId="8" fillId="2" borderId="28" xfId="0" applyFont="1" applyFill="1" applyBorder="1"/>
    <xf numFmtId="37" fontId="0" fillId="0" borderId="0" xfId="0" applyNumberFormat="1"/>
    <xf numFmtId="37" fontId="4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37" fontId="7" fillId="0" borderId="0" xfId="0" applyNumberFormat="1" applyFont="1" applyAlignment="1">
      <alignment vertical="center"/>
    </xf>
    <xf numFmtId="37" fontId="4" fillId="4" borderId="0" xfId="0" applyNumberFormat="1" applyFont="1" applyFill="1" applyAlignment="1">
      <alignment horizontal="center"/>
    </xf>
    <xf numFmtId="37" fontId="4" fillId="2" borderId="0" xfId="0" applyNumberFormat="1" applyFont="1" applyFill="1"/>
    <xf numFmtId="37" fontId="5" fillId="4" borderId="0" xfId="0" applyNumberFormat="1" applyFont="1" applyFill="1" applyAlignment="1">
      <alignment horizontal="center"/>
    </xf>
    <xf numFmtId="37" fontId="5" fillId="2" borderId="0" xfId="0" applyNumberFormat="1" applyFont="1" applyFill="1"/>
    <xf numFmtId="0" fontId="0" fillId="0" borderId="11" xfId="0" applyBorder="1"/>
    <xf numFmtId="0" fontId="0" fillId="0" borderId="9" xfId="0" applyBorder="1"/>
    <xf numFmtId="37" fontId="7" fillId="0" borderId="7" xfId="0" applyNumberFormat="1" applyFont="1" applyBorder="1" applyAlignment="1">
      <alignment vertical="center"/>
    </xf>
    <xf numFmtId="9" fontId="0" fillId="5" borderId="0" xfId="1" applyFont="1" applyFill="1" applyBorder="1"/>
    <xf numFmtId="9" fontId="4" fillId="0" borderId="0" xfId="1" applyFont="1" applyFill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0" fillId="6" borderId="0" xfId="0" applyFill="1"/>
    <xf numFmtId="0" fontId="8" fillId="3" borderId="0" xfId="0" applyFont="1" applyFill="1"/>
    <xf numFmtId="0" fontId="0" fillId="7" borderId="0" xfId="0" applyFill="1"/>
    <xf numFmtId="0" fontId="8" fillId="3" borderId="29" xfId="0" applyFont="1" applyFill="1" applyBorder="1"/>
    <xf numFmtId="0" fontId="8" fillId="2" borderId="11" xfId="0" applyFont="1" applyFill="1" applyBorder="1"/>
    <xf numFmtId="0" fontId="8" fillId="2" borderId="33" xfId="0" applyFont="1" applyFill="1" applyBorder="1"/>
    <xf numFmtId="0" fontId="8" fillId="3" borderId="31" xfId="0" applyFont="1" applyFill="1" applyBorder="1"/>
    <xf numFmtId="0" fontId="8" fillId="3" borderId="32" xfId="0" applyFont="1" applyFill="1" applyBorder="1"/>
    <xf numFmtId="0" fontId="8" fillId="3" borderId="15" xfId="0" applyFont="1" applyFill="1" applyBorder="1"/>
    <xf numFmtId="0" fontId="8" fillId="3" borderId="13" xfId="0" applyFont="1" applyFill="1" applyBorder="1"/>
    <xf numFmtId="0" fontId="8" fillId="3" borderId="7" xfId="0" applyFont="1" applyFill="1" applyBorder="1"/>
    <xf numFmtId="0" fontId="0" fillId="8" borderId="0" xfId="0" applyFill="1"/>
    <xf numFmtId="0" fontId="4" fillId="8" borderId="0" xfId="0" applyFont="1" applyFill="1"/>
    <xf numFmtId="0" fontId="0" fillId="8" borderId="34" xfId="0" applyFill="1" applyBorder="1"/>
    <xf numFmtId="0" fontId="13" fillId="8" borderId="34" xfId="0" applyFont="1" applyFill="1" applyBorder="1"/>
    <xf numFmtId="0" fontId="14" fillId="8" borderId="34" xfId="0" applyFont="1" applyFill="1" applyBorder="1"/>
    <xf numFmtId="0" fontId="0" fillId="8" borderId="35" xfId="0" applyFill="1" applyBorder="1"/>
    <xf numFmtId="0" fontId="8" fillId="8" borderId="35" xfId="0" applyFont="1" applyFill="1" applyBorder="1"/>
    <xf numFmtId="0" fontId="0" fillId="0" borderId="0" xfId="0" quotePrefix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top"/>
    </xf>
    <xf numFmtId="164" fontId="8" fillId="0" borderId="2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4" borderId="10" xfId="0" applyNumberFormat="1" applyFont="1" applyFill="1" applyBorder="1" applyAlignment="1">
      <alignment horizontal="center"/>
    </xf>
    <xf numFmtId="164" fontId="8" fillId="4" borderId="9" xfId="0" applyNumberFormat="1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31" xfId="0" applyFont="1" applyFill="1" applyBorder="1" applyAlignment="1">
      <alignment horizontal="center"/>
    </xf>
    <xf numFmtId="0" fontId="8" fillId="3" borderId="32" xfId="0" applyFont="1" applyFill="1" applyBorder="1" applyAlignment="1">
      <alignment horizontal="center"/>
    </xf>
    <xf numFmtId="9" fontId="8" fillId="4" borderId="11" xfId="1" applyFont="1" applyFill="1" applyBorder="1" applyAlignment="1">
      <alignment horizontal="center"/>
    </xf>
    <xf numFmtId="9" fontId="8" fillId="4" borderId="10" xfId="1" applyFont="1" applyFill="1" applyBorder="1" applyAlignment="1">
      <alignment horizontal="center"/>
    </xf>
    <xf numFmtId="9" fontId="8" fillId="4" borderId="9" xfId="1" applyFont="1" applyFill="1" applyBorder="1" applyAlignment="1">
      <alignment horizontal="center"/>
    </xf>
    <xf numFmtId="9" fontId="8" fillId="0" borderId="3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9" fontId="8" fillId="0" borderId="1" xfId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9" fontId="8" fillId="0" borderId="24" xfId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4" fontId="8" fillId="4" borderId="6" xfId="0" applyNumberFormat="1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164" fontId="8" fillId="4" borderId="2" xfId="0" applyNumberFormat="1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center"/>
    </xf>
    <xf numFmtId="37" fontId="11" fillId="0" borderId="18" xfId="0" applyNumberFormat="1" applyFont="1" applyBorder="1" applyAlignment="1">
      <alignment horizontal="center"/>
    </xf>
    <xf numFmtId="37" fontId="11" fillId="0" borderId="17" xfId="0" applyNumberFormat="1" applyFont="1" applyBorder="1" applyAlignment="1">
      <alignment horizontal="center"/>
    </xf>
    <xf numFmtId="37" fontId="11" fillId="0" borderId="16" xfId="0" applyNumberFormat="1" applyFont="1" applyBorder="1" applyAlignment="1">
      <alignment horizontal="center"/>
    </xf>
    <xf numFmtId="37" fontId="5" fillId="0" borderId="18" xfId="0" applyNumberFormat="1" applyFont="1" applyBorder="1" applyAlignment="1">
      <alignment horizontal="center"/>
    </xf>
    <xf numFmtId="37" fontId="5" fillId="0" borderId="17" xfId="0" applyNumberFormat="1" applyFont="1" applyBorder="1" applyAlignment="1">
      <alignment horizontal="center"/>
    </xf>
    <xf numFmtId="37" fontId="5" fillId="0" borderId="16" xfId="0" applyNumberFormat="1" applyFont="1" applyBorder="1" applyAlignment="1">
      <alignment horizontal="center"/>
    </xf>
    <xf numFmtId="164" fontId="8" fillId="0" borderId="19" xfId="0" applyNumberFormat="1" applyFont="1" applyBorder="1" applyAlignment="1">
      <alignment horizontal="center"/>
    </xf>
    <xf numFmtId="164" fontId="8" fillId="0" borderId="20" xfId="0" applyNumberFormat="1" applyFont="1" applyBorder="1" applyAlignment="1">
      <alignment horizontal="center"/>
    </xf>
    <xf numFmtId="164" fontId="8" fillId="4" borderId="14" xfId="0" applyNumberFormat="1" applyFont="1" applyFill="1" applyBorder="1" applyAlignment="1">
      <alignment horizontal="center"/>
    </xf>
    <xf numFmtId="164" fontId="8" fillId="4" borderId="12" xfId="0" applyNumberFormat="1" applyFont="1" applyFill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0" fontId="8" fillId="3" borderId="29" xfId="0" applyFont="1" applyFill="1" applyBorder="1" applyAlignment="1">
      <alignment horizontal="center"/>
    </xf>
    <xf numFmtId="0" fontId="8" fillId="3" borderId="30" xfId="0" applyFont="1" applyFill="1" applyBorder="1" applyAlignment="1">
      <alignment horizontal="center"/>
    </xf>
    <xf numFmtId="9" fontId="8" fillId="4" borderId="7" xfId="1" applyFont="1" applyFill="1" applyBorder="1" applyAlignment="1">
      <alignment horizontal="center"/>
    </xf>
    <xf numFmtId="9" fontId="8" fillId="4" borderId="0" xfId="1" applyFont="1" applyFill="1" applyBorder="1" applyAlignment="1">
      <alignment horizontal="center"/>
    </xf>
    <xf numFmtId="9" fontId="8" fillId="4" borderId="0" xfId="1" applyFont="1" applyFill="1" applyAlignment="1">
      <alignment horizontal="center"/>
    </xf>
    <xf numFmtId="9" fontId="8" fillId="4" borderId="6" xfId="1" applyFont="1" applyFill="1" applyBorder="1" applyAlignment="1">
      <alignment horizontal="center"/>
    </xf>
    <xf numFmtId="9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9" fontId="8" fillId="4" borderId="10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165" fontId="8" fillId="4" borderId="10" xfId="0" applyNumberFormat="1" applyFont="1" applyFill="1" applyBorder="1" applyAlignment="1">
      <alignment horizontal="center"/>
    </xf>
    <xf numFmtId="165" fontId="8" fillId="4" borderId="9" xfId="0" applyNumberFormat="1" applyFont="1" applyFill="1" applyBorder="1" applyAlignment="1">
      <alignment horizontal="center"/>
    </xf>
    <xf numFmtId="165" fontId="8" fillId="0" borderId="2" xfId="0" applyNumberFormat="1" applyFont="1" applyBorder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0" fontId="16" fillId="0" borderId="3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37" fontId="4" fillId="0" borderId="2" xfId="0" applyNumberFormat="1" applyFont="1" applyBorder="1" applyAlignment="1">
      <alignment horizontal="center"/>
    </xf>
    <xf numFmtId="37" fontId="4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9" fontId="4" fillId="0" borderId="2" xfId="1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9" fontId="4" fillId="0" borderId="2" xfId="1" applyFont="1" applyFill="1" applyBorder="1" applyAlignment="1">
      <alignment horizontal="center"/>
    </xf>
    <xf numFmtId="37" fontId="5" fillId="0" borderId="0" xfId="0" applyNumberFormat="1" applyFont="1" applyAlignment="1">
      <alignment horizontal="center"/>
    </xf>
    <xf numFmtId="37" fontId="5" fillId="0" borderId="6" xfId="0" applyNumberFormat="1" applyFont="1" applyBorder="1" applyAlignment="1">
      <alignment horizontal="center"/>
    </xf>
    <xf numFmtId="37" fontId="4" fillId="4" borderId="0" xfId="0" applyNumberFormat="1" applyFont="1" applyFill="1" applyAlignment="1">
      <alignment horizontal="center"/>
    </xf>
    <xf numFmtId="37" fontId="4" fillId="0" borderId="0" xfId="0" applyNumberFormat="1" applyFont="1" applyAlignment="1">
      <alignment horizontal="center"/>
    </xf>
    <xf numFmtId="37" fontId="5" fillId="0" borderId="10" xfId="0" applyNumberFormat="1" applyFont="1" applyBorder="1" applyAlignment="1">
      <alignment horizontal="center"/>
    </xf>
    <xf numFmtId="37" fontId="5" fillId="0" borderId="9" xfId="0" applyNumberFormat="1" applyFont="1" applyBorder="1" applyAlignment="1">
      <alignment horizontal="center"/>
    </xf>
    <xf numFmtId="37" fontId="5" fillId="4" borderId="0" xfId="0" applyNumberFormat="1" applyFont="1" applyFill="1" applyAlignment="1">
      <alignment horizontal="center"/>
    </xf>
    <xf numFmtId="9" fontId="4" fillId="0" borderId="0" xfId="1" applyFont="1" applyFill="1" applyAlignment="1">
      <alignment horizontal="center"/>
    </xf>
    <xf numFmtId="9" fontId="4" fillId="6" borderId="0" xfId="1" applyFont="1" applyFill="1" applyBorder="1" applyAlignment="1">
      <alignment horizontal="center"/>
    </xf>
    <xf numFmtId="9" fontId="4" fillId="6" borderId="6" xfId="1" applyFont="1" applyFill="1" applyBorder="1" applyAlignment="1">
      <alignment horizontal="center"/>
    </xf>
    <xf numFmtId="37" fontId="4" fillId="0" borderId="6" xfId="0" applyNumberFormat="1" applyFont="1" applyBorder="1" applyAlignment="1">
      <alignment horizontal="center"/>
    </xf>
    <xf numFmtId="9" fontId="4" fillId="0" borderId="0" xfId="1" applyFont="1" applyFill="1" applyBorder="1" applyAlignment="1">
      <alignment horizontal="center"/>
    </xf>
    <xf numFmtId="9" fontId="4" fillId="0" borderId="6" xfId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9" fontId="4" fillId="6" borderId="0" xfId="1" applyFont="1" applyFill="1" applyAlignment="1">
      <alignment horizontal="center"/>
    </xf>
    <xf numFmtId="9" fontId="4" fillId="4" borderId="0" xfId="1" applyFont="1" applyFill="1" applyBorder="1" applyAlignment="1">
      <alignment horizontal="center"/>
    </xf>
    <xf numFmtId="9" fontId="4" fillId="4" borderId="6" xfId="1" applyFont="1" applyFill="1" applyBorder="1" applyAlignment="1">
      <alignment horizontal="center"/>
    </xf>
    <xf numFmtId="37" fontId="4" fillId="0" borderId="10" xfId="0" applyNumberFormat="1" applyFont="1" applyBorder="1" applyAlignment="1">
      <alignment horizontal="center"/>
    </xf>
    <xf numFmtId="37" fontId="4" fillId="0" borderId="9" xfId="0" applyNumberFormat="1" applyFont="1" applyBorder="1" applyAlignment="1">
      <alignment horizontal="center"/>
    </xf>
    <xf numFmtId="37" fontId="4" fillId="4" borderId="6" xfId="0" applyNumberFormat="1" applyFont="1" applyFill="1" applyBorder="1" applyAlignment="1">
      <alignment horizontal="center"/>
    </xf>
    <xf numFmtId="37" fontId="9" fillId="0" borderId="0" xfId="0" applyNumberFormat="1" applyFont="1" applyAlignment="1">
      <alignment horizontal="center"/>
    </xf>
    <xf numFmtId="37" fontId="4" fillId="3" borderId="0" xfId="0" applyNumberFormat="1" applyFont="1" applyFill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37" fontId="4" fillId="6" borderId="0" xfId="0" applyNumberFormat="1" applyFont="1" applyFill="1" applyAlignment="1">
      <alignment horizontal="center"/>
    </xf>
    <xf numFmtId="9" fontId="4" fillId="0" borderId="0" xfId="1" applyFont="1" applyBorder="1" applyAlignment="1">
      <alignment horizontal="center"/>
    </xf>
    <xf numFmtId="9" fontId="4" fillId="0" borderId="6" xfId="1" applyFont="1" applyBorder="1" applyAlignment="1">
      <alignment horizontal="center"/>
    </xf>
    <xf numFmtId="0" fontId="4" fillId="0" borderId="0" xfId="0" applyFont="1" applyAlignment="1">
      <alignment horizontal="center"/>
    </xf>
    <xf numFmtId="37" fontId="4" fillId="2" borderId="0" xfId="0" applyNumberFormat="1" applyFont="1" applyFill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4" fillId="4" borderId="0" xfId="1" applyFont="1" applyFill="1" applyAlignment="1">
      <alignment horizontal="center"/>
    </xf>
    <xf numFmtId="37" fontId="9" fillId="0" borderId="2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0" borderId="6" xfId="0" applyNumberFormat="1" applyFont="1" applyBorder="1" applyAlignment="1">
      <alignment horizontal="center"/>
    </xf>
    <xf numFmtId="166" fontId="4" fillId="4" borderId="0" xfId="0" applyNumberFormat="1" applyFont="1" applyFill="1" applyAlignment="1">
      <alignment horizontal="center"/>
    </xf>
    <xf numFmtId="166" fontId="4" fillId="4" borderId="6" xfId="0" applyNumberFormat="1" applyFont="1" applyFill="1" applyBorder="1" applyAlignment="1">
      <alignment horizontal="center"/>
    </xf>
  </cellXfs>
  <cellStyles count="2">
    <cellStyle name="Normal" xfId="0" builtinId="0" customBuiltin="1"/>
    <cellStyle name="Porcentagem" xfId="1" builtinId="5"/>
  </cellStyles>
  <dxfs count="241"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fgColor rgb="FF0824CE"/>
          <bgColor rgb="FF0623D0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fgColor rgb="FF0824CE"/>
          <bgColor rgb="FF0D1FC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824CE"/>
        </patternFill>
      </fill>
    </dxf>
    <dxf>
      <font>
        <strike val="0"/>
      </font>
      <fill>
        <patternFill>
          <fgColor rgb="FF0824CE"/>
          <bgColor rgb="FF0623D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fgColor rgb="FF0824CE"/>
          <bgColor rgb="FF0D1FC9"/>
        </patternFill>
      </fill>
    </dxf>
    <dxf>
      <font>
        <strike val="0"/>
      </font>
      <fill>
        <patternFill>
          <fgColor rgb="FF0824CE"/>
          <bgColor rgb="FF0623D0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fgColor rgb="FF0824CE"/>
          <bgColor rgb="FF0D1FC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824CE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fgColor rgb="FF0824CE"/>
          <bgColor rgb="FF0623D0"/>
        </patternFill>
      </fill>
    </dxf>
    <dxf>
      <font>
        <strike val="0"/>
      </font>
      <fill>
        <patternFill>
          <fgColor rgb="FF0824CE"/>
          <bgColor rgb="FF0D1FC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711CF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2E0FC7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41CC2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CC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CC"/>
        </patternFill>
      </fill>
    </dxf>
    <dxf>
      <font>
        <strike val="0"/>
      </font>
      <fill>
        <patternFill>
          <bgColor rgb="FF0000CC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CC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1108CE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0000BF"/>
        </patternFill>
      </fill>
    </dxf>
    <dxf>
      <font>
        <strike val="0"/>
      </font>
      <fill>
        <patternFill>
          <bgColor rgb="FFC00000"/>
        </patternFill>
      </fill>
    </dxf>
    <dxf>
      <font>
        <strike val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0000CC"/>
      <color rgb="FF141CC2"/>
      <color rgb="FF2E0FC7"/>
      <color rgb="FF0711CF"/>
      <color rgb="FF0623D0"/>
      <color rgb="FF0824CE"/>
      <color rgb="FF0D1FC9"/>
      <color rgb="FF1108CE"/>
      <color rgb="FF000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46382</xdr:colOff>
      <xdr:row>33</xdr:row>
      <xdr:rowOff>46382</xdr:rowOff>
    </xdr:from>
    <xdr:to>
      <xdr:col>10</xdr:col>
      <xdr:colOff>112305</xdr:colOff>
      <xdr:row>38</xdr:row>
      <xdr:rowOff>162730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6682E7D3-2442-4306-AE5F-2E5DF2A7FFD8}"/>
            </a:ext>
          </a:extLst>
        </xdr:cNvPr>
        <xdr:cNvSpPr/>
      </xdr:nvSpPr>
      <xdr:spPr>
        <a:xfrm>
          <a:off x="46382" y="5898542"/>
          <a:ext cx="6161923" cy="1030748"/>
        </a:xfrm>
        <a:prstGeom prst="rect">
          <a:avLst/>
        </a:prstGeom>
        <a:noFill/>
        <a:ln>
          <a:solidFill>
            <a:schemeClr val="bg1">
              <a:lumMod val="50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oneCellAnchor>
    <xdr:from>
      <xdr:col>1</xdr:col>
      <xdr:colOff>66068</xdr:colOff>
      <xdr:row>33</xdr:row>
      <xdr:rowOff>121086</xdr:rowOff>
    </xdr:from>
    <xdr:ext cx="1366492" cy="473274"/>
    <xdr:pic>
      <xdr:nvPicPr>
        <xdr:cNvPr id="3" name="Imagem 2">
          <a:extLst>
            <a:ext uri="{FF2B5EF4-FFF2-40B4-BE49-F238E27FC236}">
              <a16:creationId xmlns:a16="http://schemas.microsoft.com/office/drawing/2014/main" id="{C2BE0B4E-17C9-4016-A959-AE2A0794D85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088" y="5927526"/>
          <a:ext cx="1366492" cy="473274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36</xdr:row>
      <xdr:rowOff>52778</xdr:rowOff>
    </xdr:from>
    <xdr:ext cx="1676400" cy="432000"/>
    <xdr:pic>
      <xdr:nvPicPr>
        <xdr:cNvPr id="4" name="Imagem 3">
          <a:extLst>
            <a:ext uri="{FF2B5EF4-FFF2-40B4-BE49-F238E27FC236}">
              <a16:creationId xmlns:a16="http://schemas.microsoft.com/office/drawing/2014/main" id="{DF32D5D9-291D-48CB-BC8D-6CF6ADAA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6423098"/>
          <a:ext cx="1676400" cy="432000"/>
        </a:xfrm>
        <a:prstGeom prst="rect">
          <a:avLst/>
        </a:prstGeom>
      </xdr:spPr>
    </xdr:pic>
    <xdr:clientData/>
  </xdr:oneCellAnchor>
  <xdr:oneCellAnchor>
    <xdr:from>
      <xdr:col>53</xdr:col>
      <xdr:colOff>66260</xdr:colOff>
      <xdr:row>0</xdr:row>
      <xdr:rowOff>53009</xdr:rowOff>
    </xdr:from>
    <xdr:ext cx="2425941" cy="550333"/>
    <xdr:pic>
      <xdr:nvPicPr>
        <xdr:cNvPr id="6" name="Gráfico 13">
          <a:extLst>
            <a:ext uri="{FF2B5EF4-FFF2-40B4-BE49-F238E27FC236}">
              <a16:creationId xmlns:a16="http://schemas.microsoft.com/office/drawing/2014/main" id="{70201350-7792-46C7-B92C-4EAB9A879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2375060" y="53009"/>
          <a:ext cx="2425941" cy="55033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15C0-9369-46A7-9B71-602D1CD875DE}">
  <sheetPr codeName="Planilha1"/>
  <dimension ref="B1:B18"/>
  <sheetViews>
    <sheetView workbookViewId="0"/>
  </sheetViews>
  <sheetFormatPr defaultRowHeight="14.4"/>
  <sheetData>
    <row r="1" spans="2:2">
      <c r="B1" s="74" t="s">
        <v>108</v>
      </c>
    </row>
    <row r="2" spans="2:2">
      <c r="B2" s="74" t="s">
        <v>91</v>
      </c>
    </row>
    <row r="3" spans="2:2">
      <c r="B3" s="74" t="s">
        <v>92</v>
      </c>
    </row>
    <row r="4" spans="2:2">
      <c r="B4" s="74" t="s">
        <v>93</v>
      </c>
    </row>
    <row r="5" spans="2:2">
      <c r="B5" s="74" t="s">
        <v>94</v>
      </c>
    </row>
    <row r="6" spans="2:2">
      <c r="B6" s="74" t="s">
        <v>95</v>
      </c>
    </row>
    <row r="7" spans="2:2">
      <c r="B7" s="74" t="s">
        <v>96</v>
      </c>
    </row>
    <row r="8" spans="2:2">
      <c r="B8" s="74" t="s">
        <v>97</v>
      </c>
    </row>
    <row r="9" spans="2:2">
      <c r="B9" s="74" t="s">
        <v>98</v>
      </c>
    </row>
    <row r="10" spans="2:2">
      <c r="B10" s="74" t="s">
        <v>99</v>
      </c>
    </row>
    <row r="11" spans="2:2">
      <c r="B11" s="74" t="s">
        <v>100</v>
      </c>
    </row>
    <row r="12" spans="2:2">
      <c r="B12" s="74" t="s">
        <v>101</v>
      </c>
    </row>
    <row r="13" spans="2:2">
      <c r="B13" s="74" t="s">
        <v>102</v>
      </c>
    </row>
    <row r="14" spans="2:2">
      <c r="B14" s="74" t="s">
        <v>103</v>
      </c>
    </row>
    <row r="15" spans="2:2">
      <c r="B15" s="74" t="s">
        <v>104</v>
      </c>
    </row>
    <row r="16" spans="2:2">
      <c r="B16" s="74" t="s">
        <v>105</v>
      </c>
    </row>
    <row r="17" spans="2:2">
      <c r="B17" s="74" t="s">
        <v>106</v>
      </c>
    </row>
    <row r="18" spans="2:2">
      <c r="B18" s="74" t="s">
        <v>107</v>
      </c>
    </row>
  </sheetData>
  <pageMargins left="0.511811024" right="0.511811024" top="0.78740157499999996" bottom="0.78740157499999996" header="0.31496062000000002" footer="0.31496062000000002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658D-4974-4D1A-A719-212EEFAFC6C7}">
  <sheetPr codeName="Planilha2"/>
  <dimension ref="A2:DH71"/>
  <sheetViews>
    <sheetView showGridLines="0" workbookViewId="0">
      <selection activeCell="A11" sqref="A11"/>
    </sheetView>
  </sheetViews>
  <sheetFormatPr defaultRowHeight="14.4"/>
  <cols>
    <col min="1" max="1" width="34.33203125" customWidth="1"/>
    <col min="2" max="2" width="8.5546875" customWidth="1"/>
    <col min="3" max="3" width="4.33203125" customWidth="1"/>
    <col min="4" max="4" width="2.21875" customWidth="1"/>
    <col min="5" max="5" width="6.5546875" customWidth="1"/>
    <col min="6" max="6" width="4.21875" customWidth="1"/>
    <col min="7" max="15" width="2.21875" customWidth="1"/>
    <col min="16" max="16" width="5.88671875" customWidth="1"/>
    <col min="17" max="18" width="2.21875" customWidth="1"/>
    <col min="19" max="19" width="3.5546875" customWidth="1"/>
    <col min="20" max="26" width="2.21875" customWidth="1"/>
    <col min="27" max="27" width="4.44140625" customWidth="1"/>
    <col min="28" max="32" width="2.21875" customWidth="1"/>
    <col min="33" max="33" width="4.5546875" customWidth="1"/>
    <col min="34" max="42" width="2.21875" customWidth="1"/>
    <col min="43" max="43" width="5.21875" customWidth="1"/>
    <col min="44" max="44" width="4.44140625" customWidth="1"/>
    <col min="45" max="45" width="5" customWidth="1"/>
    <col min="46" max="46" width="7.21875" customWidth="1"/>
    <col min="47" max="75" width="2.21875" customWidth="1"/>
    <col min="76" max="76" width="3.88671875" customWidth="1"/>
    <col min="77" max="83" width="3.44140625" customWidth="1"/>
    <col min="84" max="84" width="2.88671875" customWidth="1"/>
    <col min="85" max="86" width="4.109375" customWidth="1"/>
    <col min="87" max="90" width="2.88671875" customWidth="1"/>
    <col min="91" max="92" width="1.6640625" customWidth="1"/>
    <col min="93" max="102" width="2.21875" customWidth="1"/>
    <col min="103" max="112" width="4.21875" customWidth="1"/>
  </cols>
  <sheetData>
    <row r="2" spans="1:102">
      <c r="A2" s="1" t="s">
        <v>83</v>
      </c>
    </row>
    <row r="3" spans="1:102">
      <c r="A3" s="17" t="s">
        <v>82</v>
      </c>
    </row>
    <row r="4" spans="1:102">
      <c r="A4" s="17" t="s">
        <v>81</v>
      </c>
      <c r="C4" s="52">
        <f>3%</f>
        <v>0.03</v>
      </c>
      <c r="AR4" t="e">
        <f>'Value Tree'!$D$6</f>
        <v>#N/A</v>
      </c>
      <c r="AS4" t="str">
        <f>$A$17</f>
        <v>Year</v>
      </c>
    </row>
    <row r="5" spans="1:102">
      <c r="A5" t="s">
        <v>80</v>
      </c>
      <c r="AA5" s="49"/>
      <c r="AB5" s="16"/>
      <c r="AC5" s="178" t="s">
        <v>79</v>
      </c>
      <c r="AD5" s="178"/>
      <c r="AE5" s="178"/>
      <c r="AF5" s="16"/>
      <c r="AG5" s="16"/>
      <c r="AH5" s="16"/>
      <c r="AI5" s="16"/>
      <c r="AJ5" s="16"/>
      <c r="AK5" s="16"/>
      <c r="AL5" s="16"/>
      <c r="AM5" s="16"/>
      <c r="AN5" s="16"/>
      <c r="AO5" s="50"/>
      <c r="AR5" t="s">
        <v>86</v>
      </c>
      <c r="AS5" t="s">
        <v>85</v>
      </c>
      <c r="BB5" s="140" t="e">
        <f>'Value Tree'!$D$4</f>
        <v>#N/A</v>
      </c>
      <c r="BC5" s="140"/>
      <c r="BD5" s="140"/>
      <c r="BF5" s="140" t="e">
        <f>'Value Tree'!$D$4</f>
        <v>#N/A</v>
      </c>
      <c r="BG5" s="140"/>
      <c r="BH5" s="140"/>
    </row>
    <row r="6" spans="1:102">
      <c r="A6" t="s">
        <v>78</v>
      </c>
      <c r="P6" s="13" t="s">
        <v>20</v>
      </c>
      <c r="Q6" s="16"/>
      <c r="R6" s="170" t="e">
        <f>'Value Tree'!$D$6</f>
        <v>#N/A</v>
      </c>
      <c r="S6" s="170"/>
      <c r="T6" s="170"/>
      <c r="U6" s="16"/>
      <c r="V6" s="170" t="str">
        <f>$A$17</f>
        <v>Year</v>
      </c>
      <c r="W6" s="170"/>
      <c r="X6" s="171"/>
      <c r="AA6" s="51" t="s">
        <v>20</v>
      </c>
      <c r="AC6" s="175" t="e">
        <f>'Value Tree'!$D$6</f>
        <v>#N/A</v>
      </c>
      <c r="AD6" s="175"/>
      <c r="AE6" s="175"/>
      <c r="AF6" s="175" t="e">
        <f>'Value Tree'!$D$6</f>
        <v>#N/A</v>
      </c>
      <c r="AG6" s="175"/>
      <c r="AH6" s="175"/>
      <c r="AJ6" s="175" t="str">
        <f>$A$17</f>
        <v>Year</v>
      </c>
      <c r="AK6" s="175"/>
      <c r="AL6" s="175"/>
      <c r="AM6" s="175" t="str">
        <f>$A$17</f>
        <v>Year</v>
      </c>
      <c r="AN6" s="175"/>
      <c r="AO6" s="177"/>
      <c r="AT6" s="44"/>
      <c r="BB6" s="175" t="e">
        <f>'Value Tree'!$D$6</f>
        <v>#N/A</v>
      </c>
      <c r="BC6" s="175"/>
      <c r="BD6" s="175"/>
      <c r="BF6" s="175" t="str">
        <f>$A$17</f>
        <v>Year</v>
      </c>
      <c r="BG6" s="175"/>
      <c r="BH6" s="175"/>
      <c r="BW6" t="s">
        <v>20</v>
      </c>
      <c r="BY6" t="e">
        <f>'Value Tree'!$D$6</f>
        <v>#N/A</v>
      </c>
      <c r="BZ6" t="e">
        <f>'Value Tree'!$D$6</f>
        <v>#N/A</v>
      </c>
      <c r="CC6" t="str">
        <f>$A$17</f>
        <v>Year</v>
      </c>
      <c r="CD6" t="str">
        <f>$A$17</f>
        <v>Year</v>
      </c>
      <c r="CG6" t="e">
        <f>'Value Tree'!$D$6</f>
        <v>#N/A</v>
      </c>
      <c r="CH6" t="e">
        <f>'Value Tree'!$D$6</f>
        <v>#N/A</v>
      </c>
      <c r="CK6" t="str">
        <f>$A$17</f>
        <v>Year</v>
      </c>
      <c r="CL6" t="str">
        <f>$A$17</f>
        <v>Year</v>
      </c>
    </row>
    <row r="7" spans="1:102">
      <c r="A7" t="s">
        <v>77</v>
      </c>
      <c r="E7" s="41"/>
      <c r="F7" s="6"/>
      <c r="G7" s="6"/>
      <c r="H7" s="6"/>
      <c r="I7" s="6"/>
      <c r="J7" s="6"/>
      <c r="K7" s="6"/>
      <c r="L7" s="6"/>
      <c r="M7" s="6"/>
      <c r="N7" s="6"/>
      <c r="O7" s="6"/>
      <c r="P7" s="7"/>
      <c r="Q7" s="148" t="s">
        <v>76</v>
      </c>
      <c r="R7" s="148"/>
      <c r="S7" s="148"/>
      <c r="T7" s="148"/>
      <c r="U7" s="148"/>
      <c r="V7" s="148"/>
      <c r="W7" s="148"/>
      <c r="X7" s="149"/>
      <c r="Y7" s="6"/>
      <c r="Z7" s="6"/>
      <c r="AA7" s="7"/>
      <c r="AB7" s="148" t="s">
        <v>75</v>
      </c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9"/>
      <c r="AP7" s="6"/>
      <c r="AQ7" s="6"/>
      <c r="AR7" s="6"/>
      <c r="AS7" s="6"/>
      <c r="AT7" s="6"/>
      <c r="AU7" s="148" t="s">
        <v>74</v>
      </c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5"/>
      <c r="BX7" t="s">
        <v>88</v>
      </c>
      <c r="BY7" t="e">
        <f>'Value Tree'!$J$4</f>
        <v>#N/A</v>
      </c>
      <c r="BZ7" t="str">
        <f>$A$20</f>
        <v>l500</v>
      </c>
      <c r="CB7" t="s">
        <v>89</v>
      </c>
      <c r="CC7" t="e">
        <f>'Value Tree'!$J$4</f>
        <v>#N/A</v>
      </c>
      <c r="CD7" t="str">
        <f>$A$20</f>
        <v>l500</v>
      </c>
      <c r="CG7" t="e">
        <f>'Value Tree'!$J$4</f>
        <v>#N/A</v>
      </c>
      <c r="CH7" t="str">
        <f>$A$20</f>
        <v>l500</v>
      </c>
      <c r="CJ7" t="s">
        <v>89</v>
      </c>
      <c r="CK7" t="e">
        <f>'Value Tree'!$J$4</f>
        <v>#N/A</v>
      </c>
      <c r="CL7" t="str">
        <f>$A$20</f>
        <v>l500</v>
      </c>
    </row>
    <row r="8" spans="1:102">
      <c r="B8" t="s">
        <v>18</v>
      </c>
      <c r="E8" s="13" t="s">
        <v>20</v>
      </c>
      <c r="F8" s="12"/>
      <c r="G8" s="165" t="e">
        <f>'Value Tree'!$D$6</f>
        <v>#N/A</v>
      </c>
      <c r="H8" s="165"/>
      <c r="I8" s="165"/>
      <c r="J8" s="12"/>
      <c r="K8" s="165" t="str">
        <f>$A$17</f>
        <v>Year</v>
      </c>
      <c r="L8" s="165"/>
      <c r="M8" s="166"/>
      <c r="N8" s="6"/>
      <c r="O8" s="6"/>
      <c r="P8" s="7" t="e">
        <f>'Value Tree'!$D$4</f>
        <v>#N/A</v>
      </c>
      <c r="Q8" s="161"/>
      <c r="R8" s="150" t="e" cm="1">
        <f t="array" ref="R8">_xll.DBRW(A6,'Value Tree'!J6,R6,P8,A24,A28,"Closing Balance Debt",A48)</f>
        <v>#VALUE!</v>
      </c>
      <c r="S8" s="150"/>
      <c r="T8" s="150"/>
      <c r="U8" s="161"/>
      <c r="V8" s="150" t="e" cm="1">
        <f t="array" ref="V8">_xll.DBRW(A6,'Value Tree'!J6,V6,P8,A24,A28,"Closing Balance Debt",A48)</f>
        <v>#VALUE!</v>
      </c>
      <c r="W8" s="150"/>
      <c r="X8" s="167"/>
      <c r="Y8" s="6"/>
      <c r="Z8" s="6"/>
      <c r="AA8" s="7" t="e">
        <f>'Value Tree'!$D$4</f>
        <v>#N/A</v>
      </c>
      <c r="AB8" s="161"/>
      <c r="AC8" s="150" t="e">
        <f>_xll.DBRW($A$3,'Value Tree'!$J$6,AC$6,$AA8,$AQ8,$AP8,"Total Products","EBITDA LTM","Value")</f>
        <v>#VALUE!</v>
      </c>
      <c r="AD8" s="150"/>
      <c r="AE8" s="150"/>
      <c r="AF8" s="179" t="e">
        <f>AC8/_xll.DBRW($A$3,'Value Tree'!$J$6,AF6,$AA8,$AQ8,$AR8,"Total Products","EBITDA LTM","Value")</f>
        <v>#VALUE!</v>
      </c>
      <c r="AG8" s="179"/>
      <c r="AH8" s="179"/>
      <c r="AI8" s="161"/>
      <c r="AJ8" s="150" t="e">
        <f>_xll.DBRW($A$3,'Value Tree'!$J$6,AJ$6,$AA8,$AQ8,$AP8,"Total Products","EBITDA LTM","Value")</f>
        <v>#VALUE!</v>
      </c>
      <c r="AK8" s="150"/>
      <c r="AL8" s="150"/>
      <c r="AM8" s="163" t="e">
        <f>AJ8/_xll.DBRW($A$3,'Value Tree'!$J$6,AM6,$AA8,$AQ8,$AR8,"Total Products","EBITDA LTM","Value")</f>
        <v>#VALUE!</v>
      </c>
      <c r="AN8" s="163"/>
      <c r="AO8" s="164"/>
      <c r="AP8" t="str">
        <f>_xll.SUBNM("CONS_VC:ALL.D.Region","","VCBR")</f>
        <v>VCBR</v>
      </c>
      <c r="AQ8" s="6" t="s">
        <v>60</v>
      </c>
      <c r="AR8" s="6" t="s">
        <v>87</v>
      </c>
      <c r="AS8" s="6"/>
      <c r="AT8" s="46"/>
      <c r="AU8" s="154" t="s">
        <v>52</v>
      </c>
      <c r="AV8" s="154"/>
      <c r="AW8" s="154"/>
      <c r="AX8" s="154"/>
      <c r="AY8" s="154"/>
      <c r="AZ8" s="154"/>
      <c r="BA8" s="57"/>
      <c r="BB8" s="150" t="e">
        <f>_xll.DBRW($A$3,'Value Tree'!$J$6,BB$6,$CV8,$CR8,$CT8,$CX8,"EBITDA LTM","Value")</f>
        <v>#VALUE!</v>
      </c>
      <c r="BC8" s="150"/>
      <c r="BD8" s="150"/>
      <c r="BE8" s="57"/>
      <c r="BF8" s="150" t="e">
        <f>_xll.DBRW($A$3,'Value Tree'!$J$6,BF$6,$CV8,$CR8,$CT8,$CX8,"EBITDA LTM","Value")</f>
        <v>#VALUE!</v>
      </c>
      <c r="BG8" s="150"/>
      <c r="BH8" s="150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5"/>
      <c r="BX8" s="55" t="e">
        <f>IF($BW$6="+",IF(BB8&gt;BZ8*(1+IF(BZ8&gt;0,$C$4,-$C$4)),1,IF(BB8&gt;=BY8*(1+IF(BY8&gt;0,-$C$4,$C$4)),0,-1)),IF($BW$6="-",IF(BB8&lt;BZ8*(1+IF(BZ8&gt;0,-$C$4,$C$4)),1,IF(BB8&lt;=BY8*(1+IF(BY8&gt;0,$C$4,-$C$4)),0,-1))))</f>
        <v>#VALUE!</v>
      </c>
      <c r="BY8" s="56" t="e">
        <f>_xll.DBRW($A$3,'Value Tree'!$J$6,BY$6,BY$7,$CR8,$CT8,$CX8,"EBITDA LTM","Value")</f>
        <v>#VALUE!</v>
      </c>
      <c r="BZ8" s="56" t="e">
        <f>_xll.DBRW($A$3,'Value Tree'!$J$6,BZ$6,BZ$7,$CR8,$CT8,$CX8,"EBITDA LTM","Value")</f>
        <v>#VALUE!</v>
      </c>
      <c r="CA8" s="56"/>
      <c r="CB8" s="58" t="e">
        <f>IF($BW$6="+",IF(BF8&gt;CD8*(1+IF(CD8&gt;0,$C$4,-$C$4)),1,IF(BF8&gt;=CC8*(1+IF(CC8&gt;0,-$C$4,$C$4)),0,-1)),IF($BW$6="-",IF(BF8&lt;CD8*(1+IF(CD8&gt;0,-$C$4,$C$4)),1,IF(BF8&lt;=CC8*(1+IF(CC8&gt;0,$C$4,-$C$4)),0,-1))))</f>
        <v>#VALUE!</v>
      </c>
      <c r="CC8" s="56" t="e">
        <f>_xll.DBRW($A$3,'Value Tree'!$J$6,CC$6,CC$7,$CR8,$CT8,$CX8,"EBITDA LTM","Value")</f>
        <v>#VALUE!</v>
      </c>
      <c r="CD8" s="56" t="e">
        <f>_xll.DBRW($A$3,'Value Tree'!$J$6,CD$6,CD$7,$CR8,$CT8,$CX8,"EBITDA LTM","Value")</f>
        <v>#VALUE!</v>
      </c>
      <c r="CR8" s="6" t="s">
        <v>60</v>
      </c>
      <c r="CT8" t="s">
        <v>59</v>
      </c>
      <c r="CV8" t="s">
        <v>8</v>
      </c>
      <c r="CX8" t="s">
        <v>51</v>
      </c>
    </row>
    <row r="9" spans="1:102">
      <c r="A9" s="1" t="s">
        <v>73</v>
      </c>
      <c r="E9" s="15"/>
      <c r="F9" s="148" t="s">
        <v>72</v>
      </c>
      <c r="G9" s="148"/>
      <c r="H9" s="148"/>
      <c r="I9" s="148"/>
      <c r="J9" s="148"/>
      <c r="K9" s="148"/>
      <c r="L9" s="148"/>
      <c r="M9" s="149"/>
      <c r="N9" s="6"/>
      <c r="O9" s="6"/>
      <c r="P9" s="7" t="e">
        <f>'Value Tree'!$J$4</f>
        <v>#N/A</v>
      </c>
      <c r="Q9" s="161"/>
      <c r="R9" s="151" t="e" cm="1">
        <f t="array" ref="R9">_xll.DBRW(A6,'Value Tree'!J6,R6,P9,A24,A28,"Closing Balance Debt",A48)</f>
        <v>#VALUE!</v>
      </c>
      <c r="S9" s="151"/>
      <c r="T9" s="151"/>
      <c r="U9" s="161"/>
      <c r="V9" s="151" t="e" cm="1">
        <f t="array" ref="V9">_xll.DBRW(A6,'Value Tree'!J6,V6,P9,A24,A28,"Closing Balance Debt",A48)</f>
        <v>#VALUE!</v>
      </c>
      <c r="W9" s="151"/>
      <c r="X9" s="158"/>
      <c r="Y9" s="6"/>
      <c r="Z9" s="6"/>
      <c r="AA9" s="7" t="e">
        <f>'Value Tree'!$J$4</f>
        <v>#N/A</v>
      </c>
      <c r="AB9" s="161"/>
      <c r="AC9" s="151" t="e">
        <f>_xll.DBRW($A$3,'Value Tree'!$J$6,AC$6,$AA9,$AQ9,$AP9,"Total Products","EBITDA LTM","Value")</f>
        <v>#VALUE!</v>
      </c>
      <c r="AD9" s="151"/>
      <c r="AE9" s="151"/>
      <c r="AF9" s="155" t="e">
        <f>AC9/_xll.DBRW($A$3,'Value Tree'!$J$6,AF6,$AA9,$AQ9,$AR9,"Total Products","EBITDA LTM","Value")</f>
        <v>#VALUE!</v>
      </c>
      <c r="AG9" s="155"/>
      <c r="AH9" s="155"/>
      <c r="AI9" s="161"/>
      <c r="AJ9" s="151" t="e">
        <f>_xll.DBRW($A$3,'Value Tree'!$J$6,AJ$6,$AA9,$AQ9,$AP9,"Total Products","EBITDA LTM","Value")</f>
        <v>#VALUE!</v>
      </c>
      <c r="AK9" s="151"/>
      <c r="AL9" s="151"/>
      <c r="AM9" s="159" t="e">
        <f>AJ9/_xll.DBRW($A$3,'Value Tree'!$J$6,AM6,$AA9,$AQ9,$AR9,"Total Products","EBITDA LTM","Value")</f>
        <v>#VALUE!</v>
      </c>
      <c r="AN9" s="159"/>
      <c r="AO9" s="160"/>
      <c r="AP9" t="str">
        <f>_xll.SUBNM("CONS_VC:ALL.D.Region","","VCBR")</f>
        <v>VCBR</v>
      </c>
      <c r="AQ9" s="6" t="s">
        <v>60</v>
      </c>
      <c r="AR9" s="6" t="s">
        <v>87</v>
      </c>
      <c r="AS9" s="6"/>
      <c r="AT9" s="46"/>
      <c r="AU9" s="148" t="s">
        <v>49</v>
      </c>
      <c r="AV9" s="148"/>
      <c r="AW9" s="148"/>
      <c r="AX9" s="148"/>
      <c r="AY9" s="148"/>
      <c r="AZ9" s="148"/>
      <c r="BA9" s="57"/>
      <c r="BB9" s="151" t="e">
        <f>_xll.DBRW($A$3,'Value Tree'!$J$6,BB$6,$CV9,$CR9,$CT9,$CX9,"EBITDA LTM","Value")</f>
        <v>#VALUE!</v>
      </c>
      <c r="BC9" s="151"/>
      <c r="BD9" s="151"/>
      <c r="BE9" s="57"/>
      <c r="BF9" s="151" t="e">
        <f>_xll.DBRW($A$3,'Value Tree'!$J$6,BF$6,$CV9,$CR9,$CT9,$CX9,"EBITDA LTM","Value")</f>
        <v>#VALUE!</v>
      </c>
      <c r="BG9" s="151"/>
      <c r="BH9" s="151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6"/>
      <c r="BT9" s="5"/>
      <c r="BX9" s="55" t="e">
        <f t="shared" ref="BX9:BX17" si="0">IF($BW$6="+",IF(BB9&gt;BZ9*(1+IF(BZ9&gt;0,$C$4,-$C$4)),1,IF(BB9&gt;=BY9*(1+IF(BY9&gt;0,-$C$4,$C$4)),0,-1)),IF($BW$6="-",IF(BB9&lt;BZ9*(1+IF(BZ9&gt;0,-$C$4,$C$4)),1,IF(BB9&lt;=BY9*(1+IF(BY9&gt;0,$C$4,-$C$4)),0,-1))))</f>
        <v>#VALUE!</v>
      </c>
      <c r="BY9" s="56" t="e">
        <f>_xll.DBRW($A$3,'Value Tree'!$J$6,BY$6,BY$7,$CR9,$CT9,$CX9,"EBITDA LTM","Value")</f>
        <v>#VALUE!</v>
      </c>
      <c r="BZ9" s="56" t="e">
        <f>_xll.DBRW($A$3,'Value Tree'!$J$6,BZ$6,BZ$7,$CR9,$CT9,$CX9,"EBITDA LTM","Value")</f>
        <v>#VALUE!</v>
      </c>
      <c r="CA9" s="56"/>
      <c r="CB9" s="58" t="e">
        <f t="shared" ref="CB9:CB17" si="1">IF($BW$6="+",IF(BF9&gt;CD9*(1+IF(CD9&gt;0,$C$4,-$C$4)),1,IF(BF9&gt;=CC9*(1+IF(CC9&gt;0,-$C$4,$C$4)),0,-1)),IF($BW$6="-",IF(BF9&lt;CD9*(1+IF(CD9&gt;0,-$C$4,$C$4)),1,IF(BF9&lt;=CC9*(1+IF(CC9&gt;0,$C$4,-$C$4)),0,-1))))</f>
        <v>#VALUE!</v>
      </c>
      <c r="CC9" s="56" t="e">
        <f>_xll.DBRW($A$3,'Value Tree'!$J$6,CC$6,CC$7,$CR9,$CT9,$CX9,"EBITDA LTM","Value")</f>
        <v>#VALUE!</v>
      </c>
      <c r="CD9" s="56" t="e">
        <f>_xll.DBRW($A$3,'Value Tree'!$J$6,CD$6,CD$7,$CR9,$CT9,$CX9,"EBITDA LTM","Value")</f>
        <v>#VALUE!</v>
      </c>
      <c r="CR9" s="6" t="s">
        <v>60</v>
      </c>
      <c r="CT9" t="s">
        <v>59</v>
      </c>
      <c r="CV9" t="s">
        <v>8</v>
      </c>
      <c r="CX9" t="s">
        <v>48</v>
      </c>
    </row>
    <row r="10" spans="1:102">
      <c r="A10" s="1"/>
      <c r="E10" s="15"/>
      <c r="F10" s="43"/>
      <c r="G10" s="43"/>
      <c r="H10" s="43"/>
      <c r="I10" s="43"/>
      <c r="J10" s="43"/>
      <c r="K10" s="43"/>
      <c r="L10" s="43"/>
      <c r="M10" s="11"/>
      <c r="N10" s="6"/>
      <c r="O10" s="6"/>
      <c r="P10" s="4" t="str">
        <f>$A$20</f>
        <v>l500</v>
      </c>
      <c r="Q10" s="3" t="e">
        <f>IF(P6="+",IF(R8&gt;R10*(1+IF(R10&gt;0,$C$4,-$C$4)),1,IF(R8&gt;=R9*(1+IF(R9&gt;0,-$C$4,$C$4)),0,-1)),IF(P6="-",IF(R8&lt;R10*(1+IF(R10&gt;0,-$C$4,$C$4)),1,IF(R8&lt;=R9*(1+IF(R9&gt;0,$C$4,-$C$4)),0,-1))))</f>
        <v>#VALUE!</v>
      </c>
      <c r="R10" s="141" t="e" cm="1">
        <f t="array" ref="R10">_xll.DBRW($A$6,'Value Tree'!$J$6,R6,P10,$A$24,$A$28,"Closing Balance Debt",$A$48)</f>
        <v>#VALUE!</v>
      </c>
      <c r="S10" s="141"/>
      <c r="T10" s="141"/>
      <c r="U10" s="3" t="e">
        <f>IF(P6="+",IF(V8&gt;V10*(1+IF(V10&gt;0,$C$4,-$C$4)),1,IF(V8&gt;=V9*(1+IF(V9&gt;0,-$C$4,$C$4)),0,-1)),IF(P6="-",IF(V8&lt;V10*(1+IF(V10&gt;0,-$C$4,$C$4)),1,IF(V8&lt;=V9*(1+IF(V9&gt;0,$C$4,-$C$4)),0,-1))))</f>
        <v>#VALUE!</v>
      </c>
      <c r="V10" s="141" t="e" cm="1">
        <f t="array" ref="V10">_xll.DBRW($A$6,'Value Tree'!$J$6,V6,P10,$A$24,$A$28,"Closing Balance Debt",$A$48)</f>
        <v>#VALUE!</v>
      </c>
      <c r="W10" s="141"/>
      <c r="X10" s="142"/>
      <c r="AA10" s="4" t="str">
        <f>$A$20</f>
        <v>l500</v>
      </c>
      <c r="AB10" s="3" t="e">
        <f>IF(AA6="+",IF(AC8&gt;AC10*(1+IF(AC10&gt;0,$C$4,-$C$4)),1,IF(AC8&gt;=AC9*(1+IF(AC9&gt;0,-$C$4,$C$4)),0,-1)),IF(AA6="-",IF(AC8&lt;AC10*(1+IF(AC10&gt;0,-$C$4,$C$4)),1,IF(AC8&lt;=AC9*(1+IF(AC9&gt;0,$C$4,-$C$4)),0,-1))))</f>
        <v>#VALUE!</v>
      </c>
      <c r="AC10" s="141" t="e">
        <f>_xll.DBRW($A$3,'Value Tree'!$J$6,AC$6,$AA10,$AQ9,$AP9,"Total Products","EBITDA LTM","Value")</f>
        <v>#VALUE!</v>
      </c>
      <c r="AD10" s="141"/>
      <c r="AE10" s="141"/>
      <c r="AF10" s="143"/>
      <c r="AG10" s="143"/>
      <c r="AH10" s="143"/>
      <c r="AI10" s="3" t="e">
        <f>IF(AA6="+",IF(AJ8&gt;AJ10*(1+IF(AJ10&gt;0,$C$4,-$C$4)),1,IF(AJ8&gt;=AJ9*(1+IF(AJ9&gt;0,-$C$4,$C$4)),0,-1)),IF(AA6="-",IF(AJ8&lt;AJ10*(1+IF(AJ10&gt;0,-$C$4,$C$4)),1,IF(AJ8&lt;=AJ9*(1+IF(AJ9&gt;0,$C$4,-$C$4)),0,-1))))</f>
        <v>#VALUE!</v>
      </c>
      <c r="AJ10" s="141" t="e">
        <f>_xll.DBRW($A$3,'Value Tree'!$J$6,AJ$6,$AA10,$AQ9,$AP9,"Total Products","EBITDA LTM","Value")</f>
        <v>#VALUE!</v>
      </c>
      <c r="AK10" s="141"/>
      <c r="AL10" s="141"/>
      <c r="AM10" s="143"/>
      <c r="AN10" s="143"/>
      <c r="AO10" s="144"/>
      <c r="AQ10" s="6"/>
      <c r="AR10" s="6"/>
      <c r="AS10" s="6"/>
      <c r="AT10" s="46"/>
      <c r="AU10" s="43"/>
      <c r="AV10" s="43"/>
      <c r="AW10" s="43"/>
      <c r="AX10" s="43"/>
      <c r="AY10" s="43"/>
      <c r="AZ10" s="43"/>
      <c r="BA10" s="57"/>
      <c r="BB10" s="42"/>
      <c r="BC10" s="42"/>
      <c r="BD10" s="42"/>
      <c r="BE10" s="57"/>
      <c r="BF10" s="42"/>
      <c r="BG10" s="42"/>
      <c r="BH10" s="42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5"/>
      <c r="CR10" s="6"/>
    </row>
    <row r="11" spans="1:102">
      <c r="D11" s="6"/>
      <c r="E11" s="15" t="e">
        <f>'Value Tree'!$D$4</f>
        <v>#N/A</v>
      </c>
      <c r="F11" s="161"/>
      <c r="G11" s="183" t="e">
        <f>_xll.DBRW(A6,'Value Tree'!J6,G8,E11,A24,A28,"Closing Balance Debt",A48)/_xll.DBRW(A3,'Value Tree'!J6,G8,E11,A24,A28,"Total Products","EBITDA Adjacências","Value")</f>
        <v>#VALUE!</v>
      </c>
      <c r="H11" s="183"/>
      <c r="I11" s="183"/>
      <c r="J11" s="161"/>
      <c r="K11" s="183" t="e">
        <f>_xll.DBRW(A6,'Value Tree'!J6,K8,E11,A24,A28,"Closing Balance Debt",A48)/_xll.DBRW(A3,'Value Tree'!J6,K8,E11,A24,A28,"Total Products","EBITDA Adjacências","Value")</f>
        <v>#VALUE!</v>
      </c>
      <c r="L11" s="183"/>
      <c r="M11" s="184"/>
      <c r="N11" s="6"/>
      <c r="O11" s="6"/>
      <c r="P11" s="13" t="s">
        <v>20</v>
      </c>
      <c r="Q11" s="12"/>
      <c r="R11" s="165" t="e">
        <f>'Value Tree'!$D$6</f>
        <v>#N/A</v>
      </c>
      <c r="S11" s="165"/>
      <c r="T11" s="165"/>
      <c r="U11" s="12"/>
      <c r="V11" s="165" t="str">
        <f>$A$17</f>
        <v>Year</v>
      </c>
      <c r="W11" s="165"/>
      <c r="X11" s="166"/>
      <c r="Y11" s="6"/>
      <c r="Z11" s="6"/>
      <c r="AA11" s="8"/>
      <c r="AB11" s="152" t="s">
        <v>71</v>
      </c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3"/>
      <c r="AP11" s="6"/>
      <c r="AQ11" s="6"/>
      <c r="AR11" s="6"/>
      <c r="AS11" s="6"/>
      <c r="AT11" s="46"/>
      <c r="AU11" s="154" t="s">
        <v>45</v>
      </c>
      <c r="AV11" s="154"/>
      <c r="AW11" s="154"/>
      <c r="AX11" s="154"/>
      <c r="AY11" s="154"/>
      <c r="AZ11" s="154"/>
      <c r="BA11" s="57"/>
      <c r="BB11" s="150" t="e">
        <f>_xll.DBRW($A$3,'Value Tree'!$J$6,BB$6,$CV11,$CR11,$CT11,$CX11,"EBITDA LTM","Value")</f>
        <v>#VALUE!</v>
      </c>
      <c r="BC11" s="150"/>
      <c r="BD11" s="150"/>
      <c r="BE11" s="57"/>
      <c r="BF11" s="150" t="e">
        <f>_xll.DBRW($A$3,'Value Tree'!$J$6,BF$6,$CV11,$CR11,$CT11,$CX11,"EBITDA LTM","Value")</f>
        <v>#VALUE!</v>
      </c>
      <c r="BG11" s="150"/>
      <c r="BH11" s="150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5"/>
      <c r="BX11" s="55" t="e">
        <f t="shared" si="0"/>
        <v>#VALUE!</v>
      </c>
      <c r="BY11" s="56" t="e">
        <f>_xll.DBRW($A$3,'Value Tree'!$J$6,BY$6,BY$7,$CR11,$CT11,$CX11,"EBITDA LTM","Value")</f>
        <v>#VALUE!</v>
      </c>
      <c r="BZ11" s="56" t="e">
        <f>_xll.DBRW($A$3,'Value Tree'!$J$6,BZ$6,BZ$7,$CR11,$CT11,$CX11,"EBITDA LTM","Value")</f>
        <v>#VALUE!</v>
      </c>
      <c r="CA11" s="56"/>
      <c r="CB11" s="58" t="e">
        <f t="shared" si="1"/>
        <v>#VALUE!</v>
      </c>
      <c r="CC11" s="56" t="e">
        <f>_xll.DBRW($A$3,'Value Tree'!$J$6,CC$6,CC$7,$CR11,$CT11,$CX11,"EBITDA LTM","Value")</f>
        <v>#VALUE!</v>
      </c>
      <c r="CD11" s="56" t="e">
        <f>_xll.DBRW($A$3,'Value Tree'!$J$6,CD$6,CD$7,$CR11,$CT11,$CX11,"EBITDA LTM","Value")</f>
        <v>#VALUE!</v>
      </c>
      <c r="CR11" s="6" t="s">
        <v>60</v>
      </c>
      <c r="CT11" t="s">
        <v>59</v>
      </c>
      <c r="CV11" t="s">
        <v>8</v>
      </c>
      <c r="CX11" t="s">
        <v>44</v>
      </c>
    </row>
    <row r="12" spans="1:102">
      <c r="E12" s="15" t="e">
        <f>'Value Tree'!$J$4</f>
        <v>#N/A</v>
      </c>
      <c r="F12" s="161"/>
      <c r="G12" s="181" t="e">
        <f>_xll.DBRW(A6,'Value Tree'!J6,G8,E12,A24,A28,"Closing Balance Debt",A48)/_xll.DBRW(A3,'Value Tree'!J6,G8,E12,A24,A28,"Total Products","EBITDA Adjacências","Value")</f>
        <v>#VALUE!</v>
      </c>
      <c r="H12" s="181"/>
      <c r="I12" s="181"/>
      <c r="J12" s="161"/>
      <c r="K12" s="181" t="e">
        <f>_xll.DBRW(A6,'Value Tree'!J6,K8,E12,A24,A28,"Closing Balance Debt",A48)/_xll.DBRW(A3,'Value Tree'!J6,K8,E12,A24,A28,"Total Products","EBITDA Adjacências","Value")</f>
        <v>#VALUE!</v>
      </c>
      <c r="L12" s="181"/>
      <c r="M12" s="182"/>
      <c r="N12" s="6"/>
      <c r="O12" s="6"/>
      <c r="P12" s="7"/>
      <c r="Q12" s="148" t="s">
        <v>70</v>
      </c>
      <c r="R12" s="148"/>
      <c r="S12" s="148"/>
      <c r="T12" s="148"/>
      <c r="U12" s="148"/>
      <c r="V12" s="148"/>
      <c r="W12" s="148"/>
      <c r="X12" s="149"/>
      <c r="Y12" s="6"/>
      <c r="Z12" s="6"/>
      <c r="AA12" s="7" t="e">
        <f>'Value Tree'!$D$4</f>
        <v>#N/A</v>
      </c>
      <c r="AB12" s="169"/>
      <c r="AC12" s="150" t="e">
        <f>_xll.DBRW($A$3,'Value Tree'!$J$6,AC$6,$AA12,$AQ12,$AP12,"Total Products","EBIT","Value")</f>
        <v>#VALUE!</v>
      </c>
      <c r="AD12" s="150"/>
      <c r="AE12" s="150"/>
      <c r="AF12" s="162" t="e">
        <f>AC12/_xll.DBRW($A$3,'Value Tree'!$J$6,AF6,$AA12,$AQ12,$AR12,"Total Products","EBITDA LTM","Value")</f>
        <v>#VALUE!</v>
      </c>
      <c r="AG12" s="162"/>
      <c r="AH12" s="162"/>
      <c r="AI12" s="169"/>
      <c r="AJ12" s="150" t="e">
        <f>_xll.DBRW($A$3,'Value Tree'!$J$6,AJ$6,$AA12,$AQ12,$AP12,"Total Products","EBIT","Value")</f>
        <v>#VALUE!</v>
      </c>
      <c r="AK12" s="150"/>
      <c r="AL12" s="150"/>
      <c r="AM12" s="156" t="e">
        <f>AJ12/_xll.DBRW($A$3,'Value Tree'!$J$6,AM6,$AA12,$AQ12,$AR12,"Total Products","EBITDA LTM","Value")</f>
        <v>#VALUE!</v>
      </c>
      <c r="AN12" s="156"/>
      <c r="AO12" s="157"/>
      <c r="AP12" t="str">
        <f>_xll.SUBNM("CONS_VC:ALL.D.Region","","VCBR")</f>
        <v>VCBR</v>
      </c>
      <c r="AQ12" s="6" t="s">
        <v>60</v>
      </c>
      <c r="AR12" s="6" t="s">
        <v>87</v>
      </c>
      <c r="AS12" s="6"/>
      <c r="AT12" s="46"/>
      <c r="AU12" s="148" t="s">
        <v>69</v>
      </c>
      <c r="AV12" s="148"/>
      <c r="AW12" s="148"/>
      <c r="AX12" s="148"/>
      <c r="AY12" s="148"/>
      <c r="AZ12" s="148"/>
      <c r="BA12" s="57"/>
      <c r="BB12" s="151" t="e">
        <f>_xll.DBRW($A$3,'Value Tree'!$J$6,BB$6,$CV12,$CR12,$CT12,$CX12,"EBITDA LTM","Value")</f>
        <v>#VALUE!</v>
      </c>
      <c r="BC12" s="151"/>
      <c r="BD12" s="151"/>
      <c r="BE12" s="57"/>
      <c r="BF12" s="151" t="e">
        <f>_xll.DBRW($A$3,'Value Tree'!$J$6,BF$6,$CV12,$CR12,$CT12,$CX12,"EBITDA LTM","Value")</f>
        <v>#VALUE!</v>
      </c>
      <c r="BG12" s="151"/>
      <c r="BH12" s="151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5"/>
      <c r="BX12" s="55" t="e">
        <f t="shared" si="0"/>
        <v>#VALUE!</v>
      </c>
      <c r="BY12" s="56" t="e">
        <f>_xll.DBRW($A$3,'Value Tree'!$J$6,BY$6,BY$7,$CR12,$CT12,$CX12,"EBITDA LTM","Value")</f>
        <v>#VALUE!</v>
      </c>
      <c r="BZ12" s="56" t="e">
        <f>_xll.DBRW($A$3,'Value Tree'!$J$6,BZ$6,BZ$7,$CR12,$CT12,$CX12,"EBITDA LTM","Value")</f>
        <v>#VALUE!</v>
      </c>
      <c r="CA12" s="56"/>
      <c r="CB12" s="58" t="e">
        <f t="shared" si="1"/>
        <v>#VALUE!</v>
      </c>
      <c r="CC12" s="56" t="e">
        <f>_xll.DBRW($A$3,'Value Tree'!$J$6,CC$6,CC$7,$CR12,$CT12,$CX12,"EBITDA LTM","Value")</f>
        <v>#VALUE!</v>
      </c>
      <c r="CD12" s="56" t="e">
        <f>_xll.DBRW($A$3,'Value Tree'!$J$6,CD$6,CD$7,$CR12,$CT12,$CX12,"EBITDA LTM","Value")</f>
        <v>#VALUE!</v>
      </c>
      <c r="CR12" s="6" t="s">
        <v>60</v>
      </c>
      <c r="CT12" t="s">
        <v>59</v>
      </c>
      <c r="CV12" t="s">
        <v>8</v>
      </c>
      <c r="CX12" t="s">
        <v>68</v>
      </c>
    </row>
    <row r="13" spans="1:102">
      <c r="E13" s="4" t="str">
        <f>$A$20</f>
        <v>l500</v>
      </c>
      <c r="F13" s="3" t="e">
        <f>IF(E8="+",IF(G11&gt;G13*(1+IF(G13&gt;0,$C$4,-$C$4)),1,IF(G11&gt;=G12*(1+IF(G12&gt;0,-$C$4,$C$4)),0,-1)),IF(E8="-",IF(G11&lt;G13*(1+IF(G13&gt;0,-$C$4,$C$4)),1,IF(G11&lt;=G12*(1+IF(G12&gt;0,$C$4,-$C$4)),0,-1))))</f>
        <v>#VALUE!</v>
      </c>
      <c r="G13" s="151" t="e">
        <f>_xll.DBRW(A6,'Value Tree'!J6,G8,E13,A24,A28,"Closing Balance Debt",A48)/_xll.DBRW(A3,'Value Tree'!J6,G8,E13,A24,A28,"Total Products","EBITDA Adjacências","Value")</f>
        <v>#VALUE!</v>
      </c>
      <c r="H13" s="151"/>
      <c r="I13" s="151"/>
      <c r="J13" s="3" t="e">
        <f>IF(E8="+",IF(K11&gt;K13*(1+IF(K13&gt;0,$C$4,-$C$4)),1,IF(K11&gt;=K12*(1+IF(K12&gt;0,-$C$4,$C$4)),0,-1)),IF(E8="-",IF(K11&lt;K13*(1+IF(K13&gt;0,-$C$4,$C$4)),1,IF(K11&lt;=K12*(1+IF(K12&gt;0,$C$4,-$C$4)),0,-1))))</f>
        <v>#VALUE!</v>
      </c>
      <c r="K13" s="151" t="e">
        <f>_xll.DBRW(A6,'Value Tree'!J6,K8,E13,A24,A28,"Closing Balance Debt",A48)/_xll.DBRW(A3,'Value Tree'!J6,K8,E13,A24,A28,"Total Products","EBITDA Adjacências","Value")</f>
        <v>#VALUE!</v>
      </c>
      <c r="L13" s="151"/>
      <c r="M13" s="151"/>
      <c r="N13" s="6"/>
      <c r="O13" s="6"/>
      <c r="P13" s="7"/>
      <c r="Q13" s="43"/>
      <c r="R13" s="43"/>
      <c r="S13" s="43"/>
      <c r="T13" s="43"/>
      <c r="U13" s="43"/>
      <c r="V13" s="43"/>
      <c r="W13" s="43"/>
      <c r="X13" s="11"/>
      <c r="Y13" s="6"/>
      <c r="Z13" s="6"/>
      <c r="AA13" s="7"/>
      <c r="AB13" s="169"/>
      <c r="AC13" s="42"/>
      <c r="AD13" s="42"/>
      <c r="AE13" s="42"/>
      <c r="AF13" s="155"/>
      <c r="AG13" s="155"/>
      <c r="AH13" s="155"/>
      <c r="AI13" s="169"/>
      <c r="AJ13" s="42"/>
      <c r="AK13" s="42"/>
      <c r="AL13" s="42"/>
      <c r="AM13" s="53"/>
      <c r="AN13" s="53"/>
      <c r="AO13" s="54"/>
      <c r="AQ13" s="6"/>
      <c r="AR13" s="6"/>
      <c r="AS13" s="6"/>
      <c r="AT13" s="46"/>
      <c r="AU13" s="43"/>
      <c r="AV13" s="43"/>
      <c r="AW13" s="43"/>
      <c r="AX13" s="43"/>
      <c r="AY13" s="43"/>
      <c r="AZ13" s="43"/>
      <c r="BA13" s="57"/>
      <c r="BB13" s="42"/>
      <c r="BC13" s="42"/>
      <c r="BD13" s="42"/>
      <c r="BE13" s="57"/>
      <c r="BF13" s="42"/>
      <c r="BG13" s="42"/>
      <c r="BH13" s="42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5"/>
      <c r="CR13" s="6"/>
    </row>
    <row r="14" spans="1:102" ht="13.8" customHeight="1">
      <c r="A14" s="1" t="s">
        <v>67</v>
      </c>
      <c r="E14" s="13" t="s">
        <v>20</v>
      </c>
      <c r="F14" s="12"/>
      <c r="G14" s="165" t="e">
        <f>'Value Tree'!$D$6</f>
        <v>#N/A</v>
      </c>
      <c r="H14" s="165"/>
      <c r="I14" s="165"/>
      <c r="J14" s="12"/>
      <c r="K14" s="165" t="str">
        <f>$A$17</f>
        <v>Year</v>
      </c>
      <c r="L14" s="165"/>
      <c r="M14" s="166"/>
      <c r="N14" s="6"/>
      <c r="O14" s="6"/>
      <c r="P14" s="7" t="e">
        <f>'Value Tree'!$D$4</f>
        <v>#N/A</v>
      </c>
      <c r="Q14" s="161"/>
      <c r="R14" s="150" t="e">
        <f>_xll.DBRW(A3,'Value Tree'!J6,R11,P14,A24,A28,"Total Products","EBITDA LTM","Value")</f>
        <v>#VALUE!</v>
      </c>
      <c r="S14" s="150"/>
      <c r="T14" s="150"/>
      <c r="U14" s="161"/>
      <c r="V14" s="150" t="e">
        <f>_xll.DBRW(A3,'Value Tree'!J6,V11,P14,A24,A28,"Total Products","EBITDA LTM","Value")</f>
        <v>#VALUE!</v>
      </c>
      <c r="W14" s="150"/>
      <c r="X14" s="167"/>
      <c r="Y14" s="6"/>
      <c r="Z14" s="6"/>
      <c r="AA14" s="7" t="e">
        <f>'Value Tree'!$J$4</f>
        <v>#N/A</v>
      </c>
      <c r="AB14" s="169"/>
      <c r="AC14" s="151" t="e">
        <f>_xll.DBRW($A$3,'Value Tree'!$J$6,AC$6,$AA14,$AQ14,$AP14,"Total Products","EBIT","Value")</f>
        <v>#VALUE!</v>
      </c>
      <c r="AD14" s="151"/>
      <c r="AE14" s="151"/>
      <c r="AF14" s="155" t="e">
        <f>AC14/_xll.DBRW($A$3,'Value Tree'!$J$6,AF6,$AA14,$AQ14,$AR14,"Total Products","EBITDA LTM","Value")</f>
        <v>#VALUE!</v>
      </c>
      <c r="AG14" s="155"/>
      <c r="AH14" s="155"/>
      <c r="AI14" s="169"/>
      <c r="AJ14" s="151" t="e">
        <f>_xll.DBRW($A$3,'Value Tree'!$J$6,AJ$6,$AA14,$AQ14,$AP14,"Total Products","EBIT","Value")</f>
        <v>#VALUE!</v>
      </c>
      <c r="AK14" s="151"/>
      <c r="AL14" s="151"/>
      <c r="AM14" s="159" t="e">
        <f>AJ14/_xll.DBRW($A$3,'Value Tree'!$J$6,AM6,$AA14,$AQ14,$AR14,"Total Products","EBITDA LTM","Value")</f>
        <v>#VALUE!</v>
      </c>
      <c r="AN14" s="159"/>
      <c r="AO14" s="160"/>
      <c r="AP14" t="str">
        <f>_xll.SUBNM("CONS_VC:ALL.D.Region","","VCBR")</f>
        <v>VCBR</v>
      </c>
      <c r="AQ14" s="6" t="s">
        <v>60</v>
      </c>
      <c r="AR14" s="6" t="s">
        <v>87</v>
      </c>
      <c r="AS14" s="6"/>
      <c r="AT14" s="46"/>
      <c r="AU14" s="154" t="s">
        <v>66</v>
      </c>
      <c r="AV14" s="154"/>
      <c r="AW14" s="154"/>
      <c r="AX14" s="154"/>
      <c r="AY14" s="154"/>
      <c r="AZ14" s="154"/>
      <c r="BA14" s="57"/>
      <c r="BB14" s="150" t="e">
        <f>_xll.DBRW($A$3,'Value Tree'!$J$6,BB$6,$CV14,$CR14,$CT14,$CX14,"EBITDA LTM","Value")</f>
        <v>#VALUE!</v>
      </c>
      <c r="BC14" s="150"/>
      <c r="BD14" s="150"/>
      <c r="BE14" s="57"/>
      <c r="BF14" s="150" t="e">
        <f>_xll.DBRW($A$3,'Value Tree'!$J$6,BF$6,$CV14,$CR14,$CT14,$CX14,"EBITDA LTM","Value")</f>
        <v>#VALUE!</v>
      </c>
      <c r="BG14" s="150"/>
      <c r="BH14" s="150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5"/>
      <c r="BX14" s="55" t="e">
        <f t="shared" si="0"/>
        <v>#VALUE!</v>
      </c>
      <c r="BY14" s="56" t="e">
        <f>_xll.DBRW($A$3,'Value Tree'!$J$6,BY$6,BY$7,$CR14,$CT14,$CX14,"EBITDA LTM","Value")</f>
        <v>#VALUE!</v>
      </c>
      <c r="BZ14" s="56" t="e">
        <f>_xll.DBRW($A$3,'Value Tree'!$J$6,BZ$6,BZ$7,$CR14,$CT14,$CX14,"EBITDA LTM","Value")</f>
        <v>#VALUE!</v>
      </c>
      <c r="CA14" s="56"/>
      <c r="CB14" s="58" t="e">
        <f t="shared" si="1"/>
        <v>#VALUE!</v>
      </c>
      <c r="CC14" s="56" t="e">
        <f>_xll.DBRW($A$3,'Value Tree'!$J$6,CC$6,CC$7,$CR14,$CT14,$CX14,"EBITDA LTM","Value")</f>
        <v>#VALUE!</v>
      </c>
      <c r="CD14" s="56" t="e">
        <f>_xll.DBRW($A$3,'Value Tree'!$J$6,CD$6,CD$7,$CR14,$CT14,$CX14,"EBITDA LTM","Value")</f>
        <v>#VALUE!</v>
      </c>
      <c r="CR14" s="6" t="s">
        <v>60</v>
      </c>
      <c r="CT14" t="s">
        <v>59</v>
      </c>
      <c r="CV14" t="s">
        <v>8</v>
      </c>
      <c r="CX14" t="s">
        <v>65</v>
      </c>
    </row>
    <row r="15" spans="1:102">
      <c r="E15" s="15"/>
      <c r="F15" s="148" t="s">
        <v>64</v>
      </c>
      <c r="G15" s="148"/>
      <c r="H15" s="148"/>
      <c r="I15" s="148"/>
      <c r="J15" s="148"/>
      <c r="K15" s="148"/>
      <c r="L15" s="148"/>
      <c r="M15" s="149"/>
      <c r="N15" s="6"/>
      <c r="O15" s="6"/>
      <c r="P15" s="7" t="e">
        <f>'Value Tree'!$J$4</f>
        <v>#N/A</v>
      </c>
      <c r="Q15" s="161"/>
      <c r="R15" s="168" t="e">
        <f>_xll.DBRW(A3,'Value Tree'!J6,R11,P15,A24,A28,"Total Products","EBITDA LTM","Value")</f>
        <v>#VALUE!</v>
      </c>
      <c r="S15" s="168"/>
      <c r="T15" s="168"/>
      <c r="U15" s="161"/>
      <c r="V15" s="151" t="e">
        <f>_xll.DBRW(A3,'Value Tree'!J6,V11,P15,A24,A28,"Total Products","EBITDA LTM","Value")</f>
        <v>#VALUE!</v>
      </c>
      <c r="W15" s="151"/>
      <c r="X15" s="158"/>
      <c r="Y15" s="6"/>
      <c r="Z15" s="6"/>
      <c r="AA15" s="4" t="str">
        <f>$A$20</f>
        <v>l500</v>
      </c>
      <c r="AB15" s="3" t="e">
        <f>IF(AA6="+",IF(AC12&gt;AC15*(1+IF(AC15&gt;0,$C$4,-$C$4)),1,IF(AC12&gt;=AC14*(1+IF(AC14&gt;0,-$C$4,$C$4)),0,-1)),IF(AA6="-",IF(AC12&lt;AC15*(1+IF(AC15&gt;0,-$C$4,$C$4)),1,IF(AC12&lt;=AC14*(1+IF(AC14&gt;0,$C$4,-$C$4)),0,-1))))</f>
        <v>#VALUE!</v>
      </c>
      <c r="AC15" s="141" t="e">
        <f>_xll.DBRW($A$3,'Value Tree'!$J$6,AC$6,$AA15,$AQ14,$AP14,"Total Products","EBIT","Value")</f>
        <v>#VALUE!</v>
      </c>
      <c r="AD15" s="141"/>
      <c r="AE15" s="141"/>
      <c r="AF15" s="141"/>
      <c r="AG15" s="141"/>
      <c r="AH15" s="141"/>
      <c r="AI15" s="3" t="e">
        <f>IF(AA6="+",IF(AJ12&gt;AJ15*(1+IF(AJ15&gt;0,$C$4,-$C$4)),1,IF(AJ12&gt;=AJ14*(1+IF(AJ14&gt;0,-$C$4,$C$4)),0,-1)),IF(AA6="-",IF(AJ12&lt;AJ15*(1+IF(AJ15&gt;0,-$C$4,$C$4)),1,IF(AJ12&lt;=AJ14*(1+IF(AJ14&gt;0,$C$4,-$C$4)),0,-1))))</f>
        <v>#VALUE!</v>
      </c>
      <c r="AJ15" s="141" t="e">
        <f>_xll.DBRW($A$3,'Value Tree'!$J$6,AJ$6,$AA15,$AQ14,$AP14,"Total Products","EBIT","Value")</f>
        <v>#VALUE!</v>
      </c>
      <c r="AK15" s="141"/>
      <c r="AL15" s="141"/>
      <c r="AM15" s="141"/>
      <c r="AN15" s="141"/>
      <c r="AO15" s="142"/>
      <c r="AP15" s="6"/>
      <c r="AQ15" s="6"/>
      <c r="AR15" s="6"/>
      <c r="AS15" s="6"/>
      <c r="AT15" s="46"/>
      <c r="AU15" s="148" t="s">
        <v>63</v>
      </c>
      <c r="AV15" s="148"/>
      <c r="AW15" s="148"/>
      <c r="AX15" s="148"/>
      <c r="AY15" s="148"/>
      <c r="AZ15" s="148"/>
      <c r="BA15" s="57"/>
      <c r="BB15" s="151" t="e">
        <f>_xll.DBRW($A$3,'Value Tree'!$J$6,BB$6,$CV15,$CR15,$CT15,$CX15,"EBITDA LTM","Value")</f>
        <v>#VALUE!</v>
      </c>
      <c r="BC15" s="151"/>
      <c r="BD15" s="151"/>
      <c r="BE15" s="57"/>
      <c r="BF15" s="151" t="e">
        <f>_xll.DBRW($A$3,'Value Tree'!$J$6,BF$6,$CV15,$CR15,$CT15,$CX15,"EBITDA LTM","Value")</f>
        <v>#VALUE!</v>
      </c>
      <c r="BG15" s="151"/>
      <c r="BH15" s="151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5"/>
      <c r="BX15" s="55" t="e">
        <f t="shared" si="0"/>
        <v>#VALUE!</v>
      </c>
      <c r="BY15" s="56" t="e">
        <f>_xll.DBRW($A$3,'Value Tree'!$J$6,BY$6,BY$7,$CR15,$CT15,$CX15,"EBITDA LTM","Value")</f>
        <v>#VALUE!</v>
      </c>
      <c r="BZ15" s="56" t="e">
        <f>_xll.DBRW($A$3,'Value Tree'!$J$6,BZ$6,BZ$7,$CR15,$CT15,$CX15,"EBITDA LTM","Value")</f>
        <v>#VALUE!</v>
      </c>
      <c r="CA15" s="56"/>
      <c r="CB15" s="58" t="e">
        <f t="shared" si="1"/>
        <v>#VALUE!</v>
      </c>
      <c r="CC15" s="56" t="e">
        <f>_xll.DBRW($A$3,'Value Tree'!$J$6,CC$6,CC$7,$CR15,$CT15,$CX15,"EBITDA LTM","Value")</f>
        <v>#VALUE!</v>
      </c>
      <c r="CD15" s="56" t="e">
        <f>_xll.DBRW($A$3,'Value Tree'!$J$6,CD$6,CD$7,$CR15,$CT15,$CX15,"EBITDA LTM","Value")</f>
        <v>#VALUE!</v>
      </c>
      <c r="CR15" s="6" t="s">
        <v>60</v>
      </c>
      <c r="CT15" t="s">
        <v>59</v>
      </c>
      <c r="CV15" t="s">
        <v>8</v>
      </c>
      <c r="CX15" t="s">
        <v>62</v>
      </c>
    </row>
    <row r="16" spans="1:102">
      <c r="E16" s="15"/>
      <c r="F16" s="43"/>
      <c r="G16" s="43"/>
      <c r="H16" s="43"/>
      <c r="I16" s="43"/>
      <c r="J16" s="43"/>
      <c r="K16" s="43"/>
      <c r="L16" s="43"/>
      <c r="M16" s="11"/>
      <c r="N16" s="6"/>
      <c r="O16" s="6"/>
      <c r="P16" s="4" t="str">
        <f>$A$20</f>
        <v>l500</v>
      </c>
      <c r="Q16" s="3" t="e">
        <f>IF(P11="+",IF(R14&gt;R16*(1+IF(R16&gt;0,$C$4,-$C$4)),1,IF(R14&gt;=R15*(1+IF(R15&gt;0,-$C$4,$C$4)),0,-1)),IF(P11="-",IF(R14&lt;R16*(1+IF(R16&gt;0,-$C$4,$C$4)),1,IF(R14&lt;=R15*(1+IF(R15&gt;0,$C$4,-$C$4)),0,-1))))</f>
        <v>#VALUE!</v>
      </c>
      <c r="R16" s="180" t="e">
        <f>_xll.DBRW(A3,'Value Tree'!J6,R11,P16,A24,A28,"Total Products","EBITDA LTM","Value")</f>
        <v>#VALUE!</v>
      </c>
      <c r="S16" s="180"/>
      <c r="T16" s="180"/>
      <c r="U16" s="3" t="e">
        <f>IF(P11="+",IF(V14&gt;V16*(1+IF(V16&gt;0,$C$4,-$C$4)),1,IF(V14&gt;=V15*(1+IF(V15&gt;0,-$C$4,$C$4)),0,-1)),IF(P11="-",IF(V14&lt;V16*(1+IF(V16&gt;0,-$C$4,$C$4)),1,IF(V14&lt;=V15*(1+IF(V15&gt;0,$C$4,-$C$4)),0,-1))))</f>
        <v>#VALUE!</v>
      </c>
      <c r="V16" s="141" t="e">
        <f>_xll.DBRW(A3,'Value Tree'!J6,V11,P16,A24,A28,"Total Products","EBITDA LTM","Value")</f>
        <v>#VALUE!</v>
      </c>
      <c r="W16" s="141"/>
      <c r="X16" s="142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46"/>
      <c r="AU16" s="43"/>
      <c r="AV16" s="43"/>
      <c r="AW16" s="43"/>
      <c r="AX16" s="43"/>
      <c r="AY16" s="43"/>
      <c r="AZ16" s="43"/>
      <c r="BA16" s="57"/>
      <c r="BB16" s="42"/>
      <c r="BC16" s="42"/>
      <c r="BD16" s="42"/>
      <c r="BE16" s="57"/>
      <c r="BF16" s="42"/>
      <c r="BG16" s="42"/>
      <c r="BH16" s="42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5"/>
      <c r="CR16" s="6"/>
    </row>
    <row r="17" spans="1:112" ht="13.8" customHeight="1">
      <c r="A17" t="str">
        <f>_xll.SUBNM("CONS_VC:ALL.D.Month",,"Year","MEMBER_NAME")</f>
        <v>Year</v>
      </c>
      <c r="E17" s="15" t="e">
        <f>'Value Tree'!$D$4</f>
        <v>#N/A</v>
      </c>
      <c r="F17" s="161"/>
      <c r="G17" s="150" t="e">
        <f>_xll.DBRW(A4,'Value Tree'!J6,G14,E17,A24,A28,A31,A36,A45)</f>
        <v>#VALUE!</v>
      </c>
      <c r="H17" s="150"/>
      <c r="I17" s="150"/>
      <c r="J17" s="161"/>
      <c r="K17" s="150" t="e">
        <f>_xll.DBRW(A4,'Value Tree'!J6,K14,E17,A24,A28,A31,A36,A45)</f>
        <v>#VALUE!</v>
      </c>
      <c r="L17" s="150"/>
      <c r="M17" s="167"/>
      <c r="N17" s="6"/>
      <c r="O17" s="6"/>
      <c r="P17" s="13" t="s">
        <v>20</v>
      </c>
      <c r="Q17" s="12"/>
      <c r="R17" s="165" t="e">
        <f>'Value Tree'!$D$6</f>
        <v>#N/A</v>
      </c>
      <c r="S17" s="165"/>
      <c r="T17" s="165"/>
      <c r="U17" s="12"/>
      <c r="V17" s="165" t="str">
        <f>$A$17</f>
        <v>Year</v>
      </c>
      <c r="W17" s="165"/>
      <c r="X17" s="16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46"/>
      <c r="AU17" s="154" t="s">
        <v>61</v>
      </c>
      <c r="AV17" s="154"/>
      <c r="AW17" s="154"/>
      <c r="AX17" s="154"/>
      <c r="AY17" s="154"/>
      <c r="AZ17" s="154"/>
      <c r="BA17" s="57"/>
      <c r="BB17" s="150" t="e">
        <f>_xll.DBRW($A$3,'Value Tree'!$J$6,BB$6,$CV17,$CR17,$CT17,$CX17,"EBITDA LTM","Value")</f>
        <v>#VALUE!</v>
      </c>
      <c r="BC17" s="150"/>
      <c r="BD17" s="150"/>
      <c r="BE17" s="57"/>
      <c r="BF17" s="150" t="e">
        <f>_xll.DBRW($A$3,'Value Tree'!$J$6,BF$6,$CV17,$CR17,$CT17,$CX17,"EBITDA LTM","Value")</f>
        <v>#VALUE!</v>
      </c>
      <c r="BG17" s="150"/>
      <c r="BH17" s="150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5"/>
      <c r="BX17" s="55" t="e">
        <f t="shared" si="0"/>
        <v>#VALUE!</v>
      </c>
      <c r="BY17" s="56" t="e">
        <f>_xll.DBRW($A$3,'Value Tree'!$J$6,BY$6,BY$7,$CR17,$CT17,$CX17,"EBITDA LTM","Value")</f>
        <v>#VALUE!</v>
      </c>
      <c r="BZ17" s="56" t="e">
        <f>_xll.DBRW($A$3,'Value Tree'!$J$6,BZ$6,BZ$7,$CR17,$CT17,$CX17,"EBITDA LTM","Value")</f>
        <v>#VALUE!</v>
      </c>
      <c r="CA17" s="56"/>
      <c r="CB17" s="58" t="e">
        <f t="shared" si="1"/>
        <v>#VALUE!</v>
      </c>
      <c r="CC17" s="56" t="e">
        <f>_xll.DBRW($A$3,'Value Tree'!$J$6,CC$6,CC$7,$CR17,$CT17,$CX17,"EBITDA LTM","Value")</f>
        <v>#VALUE!</v>
      </c>
      <c r="CD17" s="56" t="e">
        <f>_xll.DBRW($A$3,'Value Tree'!$J$6,CD$6,CD$7,$CR17,$CT17,$CX17,"EBITDA LTM","Value")</f>
        <v>#VALUE!</v>
      </c>
      <c r="CR17" s="6" t="s">
        <v>60</v>
      </c>
      <c r="CT17" t="s">
        <v>59</v>
      </c>
      <c r="CV17" t="s">
        <v>8</v>
      </c>
      <c r="CX17" t="s">
        <v>58</v>
      </c>
    </row>
    <row r="18" spans="1:112" ht="13.8" customHeight="1">
      <c r="E18" s="15" t="e">
        <f>'Value Tree'!$J$4</f>
        <v>#N/A</v>
      </c>
      <c r="F18" s="161"/>
      <c r="G18" s="151" t="e">
        <f>_xll.DBRW(A4,'Value Tree'!J6,G14,E18,A24,A28,A31,A36,A45)</f>
        <v>#VALUE!</v>
      </c>
      <c r="H18" s="151"/>
      <c r="I18" s="151"/>
      <c r="J18" s="161"/>
      <c r="K18" s="151" t="e">
        <f>_xll.DBRW(A4,'Value Tree'!J6,K14,E18,A24,A28,A31,A36,A45)</f>
        <v>#VALUE!</v>
      </c>
      <c r="L18" s="151"/>
      <c r="M18" s="158"/>
      <c r="N18" s="6"/>
      <c r="O18" s="6"/>
      <c r="P18" s="7"/>
      <c r="Q18" s="148" t="s">
        <v>57</v>
      </c>
      <c r="R18" s="148"/>
      <c r="S18" s="148"/>
      <c r="T18" s="148"/>
      <c r="U18" s="148"/>
      <c r="V18" s="148"/>
      <c r="W18" s="148"/>
      <c r="X18" s="149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5"/>
    </row>
    <row r="19" spans="1:112">
      <c r="A19" s="1" t="s">
        <v>56</v>
      </c>
      <c r="E19" s="4" t="str">
        <f>$A$20</f>
        <v>l500</v>
      </c>
      <c r="F19" s="3" t="e">
        <f>IF(E14="+",IF(G17&gt;G19*(1+IF(G19&gt;0,$C$4,-$C$4)),1,IF(G17&gt;=G18*(1+IF(G18&gt;0,-$C$4,$C$4)),0,-1)),IF(E14="-",IF(G17&lt;G19*(1+IF(G19&gt;0,-$C$4,$C$4)),1,IF(G17&lt;=G18*(1+IF(G18&gt;0,$C$4,-$C$4)),0,-1))))</f>
        <v>#VALUE!</v>
      </c>
      <c r="G19" s="141" t="e">
        <f>_xll.DBRW(A4,'Value Tree'!J6,G14,E19,A24,A28,A31,A36,A45)</f>
        <v>#VALUE!</v>
      </c>
      <c r="H19" s="141"/>
      <c r="I19" s="141"/>
      <c r="J19" s="3" t="e">
        <f>IF(E14="+",IF(K17&gt;K19*(1+IF(K19&gt;0,$C$4,-$C$4)),1,IF(K17&gt;=K18*(1+IF(K18&gt;0,-$C$4,$C$4)),0,-1)),IF(E14="-",IF(K17&lt;K19*(1+IF(K19&gt;0,-$C$4,$C$4)),1,IF(K17&lt;=K18*(1+IF(K18&gt;0,$C$4,-$C$4)),0,-1))))</f>
        <v>#VALUE!</v>
      </c>
      <c r="K19" s="141" t="e">
        <f>_xll.DBRW(A4,'Value Tree'!J6,K14,E19,A24,A28,A31,A36,A45)</f>
        <v>#VALUE!</v>
      </c>
      <c r="L19" s="141"/>
      <c r="M19" s="142"/>
      <c r="N19" s="6"/>
      <c r="O19" s="6"/>
      <c r="P19" s="7" t="e">
        <f>'Value Tree'!$D$4</f>
        <v>#N/A</v>
      </c>
      <c r="Q19" s="161"/>
      <c r="R19" s="150" t="e">
        <f>_xll.DBRW(A3,'Value Tree'!J6,R17,P19,A24,A28,"Total Products","EBIT","Value")</f>
        <v>#VALUE!</v>
      </c>
      <c r="S19" s="150"/>
      <c r="T19" s="150"/>
      <c r="U19" s="161"/>
      <c r="V19" s="150" t="e">
        <f>_xll.DBRW(A3,'Value Tree'!J6,V17,P19,A24,A28,"Total Products","EBIT","Value")</f>
        <v>#VALUE!</v>
      </c>
      <c r="W19" s="150"/>
      <c r="X19" s="167"/>
      <c r="Y19" s="6"/>
      <c r="Z19" s="6"/>
      <c r="AA19" s="13" t="s">
        <v>20</v>
      </c>
      <c r="AB19" s="12"/>
      <c r="AC19" s="170" t="e">
        <f>'Value Tree'!$D$6</f>
        <v>#N/A</v>
      </c>
      <c r="AD19" s="170"/>
      <c r="AE19" s="170"/>
      <c r="AF19" s="170" t="e">
        <f>'Value Tree'!$D$6</f>
        <v>#N/A</v>
      </c>
      <c r="AG19" s="170"/>
      <c r="AH19" s="170"/>
      <c r="AI19" s="12"/>
      <c r="AJ19" s="170" t="s">
        <v>19</v>
      </c>
      <c r="AK19" s="170"/>
      <c r="AL19" s="170"/>
      <c r="AM19" s="170" t="s">
        <v>19</v>
      </c>
      <c r="AN19" s="170"/>
      <c r="AO19" s="171"/>
      <c r="AP19" s="6"/>
      <c r="AQ19" s="6"/>
      <c r="AR19" s="6"/>
      <c r="AS19" s="6"/>
      <c r="AT19" s="46"/>
      <c r="AU19" s="46"/>
      <c r="AV19" s="46"/>
      <c r="AW19" s="46"/>
      <c r="AX19" s="46"/>
      <c r="AY19" s="46"/>
      <c r="AZ19" s="46"/>
      <c r="BA19" s="46"/>
      <c r="BB19" s="176" t="e">
        <f>'Value Tree'!$D$6</f>
        <v>#N/A</v>
      </c>
      <c r="BC19" s="176"/>
      <c r="BD19" s="176"/>
      <c r="BE19" s="46"/>
      <c r="BF19" s="176" t="str">
        <f>$A$17</f>
        <v>Year</v>
      </c>
      <c r="BG19" s="176"/>
      <c r="BH19" s="17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5"/>
    </row>
    <row r="20" spans="1:112">
      <c r="A20" t="s">
        <v>55</v>
      </c>
      <c r="E20" s="41"/>
      <c r="F20" s="6"/>
      <c r="G20" s="6"/>
      <c r="H20" s="6"/>
      <c r="I20" s="6"/>
      <c r="J20" s="6"/>
      <c r="K20" s="6"/>
      <c r="L20" s="6"/>
      <c r="M20" s="6"/>
      <c r="N20" s="6"/>
      <c r="O20" s="6"/>
      <c r="P20" s="7" t="e">
        <f>'Value Tree'!$J$4</f>
        <v>#N/A</v>
      </c>
      <c r="Q20" s="161"/>
      <c r="R20" s="151" t="e">
        <f>_xll.DBRW(A3,'Value Tree'!J6,R17,P20,A24,A28,"Total Products","EBIT","Value")</f>
        <v>#VALUE!</v>
      </c>
      <c r="S20" s="151"/>
      <c r="T20" s="151"/>
      <c r="U20" s="161"/>
      <c r="V20" s="151" t="e">
        <f>_xll.DBRW(A3,'Value Tree'!J6,V17,P20,A24,A28,"Total Products","EBIT","Value")</f>
        <v>#VALUE!</v>
      </c>
      <c r="W20" s="151"/>
      <c r="X20" s="158"/>
      <c r="Y20" s="6"/>
      <c r="Z20" s="6"/>
      <c r="AA20" s="7"/>
      <c r="AB20" s="148" t="s">
        <v>54</v>
      </c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9"/>
      <c r="AP20" s="6"/>
      <c r="AQ20" s="6"/>
      <c r="AR20" s="6"/>
      <c r="AS20" s="6"/>
      <c r="AT20" s="46"/>
      <c r="AU20" s="148" t="s">
        <v>53</v>
      </c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5"/>
      <c r="BW20" t="s">
        <v>20</v>
      </c>
    </row>
    <row r="21" spans="1:112">
      <c r="E21" s="41"/>
      <c r="F21" s="6"/>
      <c r="G21" s="6"/>
      <c r="H21" s="6"/>
      <c r="I21" s="6"/>
      <c r="J21" s="6"/>
      <c r="K21" s="6"/>
      <c r="L21" s="6"/>
      <c r="M21" s="6"/>
      <c r="N21" s="6"/>
      <c r="O21" s="6"/>
      <c r="P21" s="4" t="str">
        <f>$A$20</f>
        <v>l500</v>
      </c>
      <c r="Q21" s="3" t="e">
        <f>IF(P17="+",IF(R19&gt;R21*(1+IF(R21&gt;0,$C$4,-$C$4)),1,IF(R19&gt;=R20*(1+IF(R20&gt;0,-$C$4,$C$4)),0,-1)),IF(P17="-",IF(R19&lt;R21*(1+IF(R21&gt;0,-$C$4,$C$4)),1,IF(R19&lt;=R20*(1+IF(R20&gt;0,$C$4,-$C$4)),0,-1))))</f>
        <v>#VALUE!</v>
      </c>
      <c r="R21" s="141" t="e">
        <f>_xll.DBRW(A3,'Value Tree'!J6,R17,P21,A24,A28,"Total Products","EBIT","Value")</f>
        <v>#VALUE!</v>
      </c>
      <c r="S21" s="141"/>
      <c r="T21" s="141"/>
      <c r="U21" s="3" t="e">
        <f>IF(P17="+",IF(V19&gt;V21*(1+IF(V21&gt;0,$C$4,-$C$4)),1,IF(V19&gt;=V20*(1+IF(V20&gt;0,-$C$4,$C$4)),0,-1)),IF(P17="-",IF(V19&lt;V21*(1+IF(V21&gt;0,-$C$4,$C$4)),1,IF(V19&lt;=V20*(1+IF(V20&gt;0,$C$4,-$C$4)),0,-1))))</f>
        <v>#VALUE!</v>
      </c>
      <c r="V21" s="141" t="e">
        <f>_xll.DBRW(A3,'Value Tree'!J6,V17,P21,A24,A28,"Total Products","EBIT","Value")</f>
        <v>#VALUE!</v>
      </c>
      <c r="W21" s="141"/>
      <c r="X21" s="142"/>
      <c r="Y21" s="6"/>
      <c r="Z21" s="6"/>
      <c r="AA21" s="7" t="e">
        <f>'Value Tree'!$D$4</f>
        <v>#N/A</v>
      </c>
      <c r="AB21" s="161"/>
      <c r="AC21" s="172" t="e">
        <f>_xll.DBRW($A$3,'Value Tree'!$J$6,AC$19,$AA21,$AQ21,$AP21,"Total Products","EBITDA LTM","Value")</f>
        <v>#VALUE!</v>
      </c>
      <c r="AD21" s="172"/>
      <c r="AE21" s="172"/>
      <c r="AF21" s="162" t="e">
        <f>AC21/_xll.DBRW($A$3,'Value Tree'!$J$6,AF19,$AA21,$AQ21,$AR21,"Total Products","EBITDA LTM","Value")</f>
        <v>#VALUE!</v>
      </c>
      <c r="AG21" s="162"/>
      <c r="AH21" s="162"/>
      <c r="AI21" s="161"/>
      <c r="AJ21" s="150" t="e">
        <f>_xll.DBRW($A$3,'Value Tree'!$J$6,AJ$19,$AA21,$AQ21,$AP21,"Total Products","EBITDA LTM","Value")</f>
        <v>#VALUE!</v>
      </c>
      <c r="AK21" s="150"/>
      <c r="AL21" s="150"/>
      <c r="AM21" s="156" t="e">
        <f>AJ21/_xll.DBRW($A$3,'Value Tree'!$J$6,AM19,$AA21,$AQ21,$AR21,"Total Products","EBITDA LTM","Value")</f>
        <v>#VALUE!</v>
      </c>
      <c r="AN21" s="156"/>
      <c r="AO21" s="157"/>
      <c r="AP21" s="6" t="s">
        <v>41</v>
      </c>
      <c r="AQ21" s="6" t="s">
        <v>3</v>
      </c>
      <c r="AR21" s="6" t="s">
        <v>87</v>
      </c>
      <c r="AS21" s="6"/>
      <c r="AT21" s="46"/>
      <c r="AU21" s="154" t="s">
        <v>52</v>
      </c>
      <c r="AV21" s="154"/>
      <c r="AW21" s="154"/>
      <c r="AX21" s="154"/>
      <c r="AY21" s="154"/>
      <c r="AZ21" s="154"/>
      <c r="BA21" s="57"/>
      <c r="BB21" s="150" t="e">
        <f>_xll.DBRW($A$3,'Value Tree'!$J$6,BB$19,$CV21,$CR21,$CT21,$CX21,"EBITDA LTM","Value")</f>
        <v>#VALUE!</v>
      </c>
      <c r="BC21" s="150"/>
      <c r="BD21" s="150"/>
      <c r="BE21" s="57"/>
      <c r="BF21" s="150" t="e">
        <f>_xll.DBRW($A$3,'Value Tree'!$J$6,BF$19,$CV21,$CR21,$CT21,$CX21,"EBITDA LTM","Value")</f>
        <v>#VALUE!</v>
      </c>
      <c r="BG21" s="150"/>
      <c r="BH21" s="150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5"/>
      <c r="BX21" s="55" t="e">
        <f>IF($BW$20="+",IF(BB21&gt;BZ21*(1+IF(BZ21&gt;0,$C$4,-$C$4)),1,IF(BB21&gt;=BY21*(1+IF(BY21&gt;0,-$C$4,$C$4)),0,-1)),IF($BW$20="-",IF(BB21&lt;BZ21*(1+IF(BZ21&gt;0,-$C$4,$C$4)),1,IF(BB21&lt;=BY21*(1+IF(BY21&gt;0,$C$4,-$C$4)),0,-1))))</f>
        <v>#VALUE!</v>
      </c>
      <c r="BY21" s="56" t="e">
        <f>_xll.DBRW($A$3,'Value Tree'!$J$6,BY$6,BY$7,$CR21,$CT21,$CX21,"EBITDA LTM","Value")</f>
        <v>#VALUE!</v>
      </c>
      <c r="BZ21" s="56" t="e">
        <f>_xll.DBRW($A$3,'Value Tree'!$J$6,BZ$6,BZ$7,$CR21,$CT21,$CX21,"EBITDA LTM","Value")</f>
        <v>#VALUE!</v>
      </c>
      <c r="CA21" s="56"/>
      <c r="CB21" s="58" t="e">
        <f>IF($BW$20="+",IF(BF21&gt;CD21*(1+IF(CD21&gt;0,$C$4,-$C$4)),1,IF(BF21&gt;=CC21*(1+IF(CC21&gt;0,-$C$4,$C$4)),0,-1)),IF($BW$20="-",IF(BF21&lt;CD21*(1+IF(CD21&gt;0,-$C$4,$C$4)),1,IF(BF21&lt;=CC21*(1+IF(CC21&gt;0,$C$4,-$C$4)),0,-1))))</f>
        <v>#VALUE!</v>
      </c>
      <c r="CC21" s="56" t="e">
        <f>_xll.DBRW($A$3,'Value Tree'!$J$6,CC$6,CC$7,$CR21,$CT21,$CX21,"EBITDA LTM","Value")</f>
        <v>#VALUE!</v>
      </c>
      <c r="CD21" s="56" t="e">
        <f>_xll.DBRW($A$3,'Value Tree'!$J$6,CD$6,CD$7,$CR21,$CT21,$CX21,"EBITDA LTM","Value")</f>
        <v>#VALUE!</v>
      </c>
      <c r="CR21" t="s">
        <v>3</v>
      </c>
      <c r="CT21" t="s">
        <v>41</v>
      </c>
      <c r="CV21" t="s">
        <v>8</v>
      </c>
      <c r="CX21" t="s">
        <v>51</v>
      </c>
    </row>
    <row r="22" spans="1:112">
      <c r="A22" s="1" t="s">
        <v>50</v>
      </c>
      <c r="E22" s="41"/>
      <c r="F22" s="6"/>
      <c r="G22" s="6"/>
      <c r="H22" s="6"/>
      <c r="I22" s="6"/>
      <c r="J22" s="6"/>
      <c r="K22" s="6"/>
      <c r="L22" s="6"/>
      <c r="M22" s="6"/>
      <c r="N22" s="6"/>
      <c r="O22" s="6"/>
      <c r="P22" s="13" t="s">
        <v>20</v>
      </c>
      <c r="Q22" s="12"/>
      <c r="R22" s="165" t="e">
        <f>'Value Tree'!$D$6</f>
        <v>#N/A</v>
      </c>
      <c r="S22" s="165"/>
      <c r="T22" s="165"/>
      <c r="U22" s="12"/>
      <c r="V22" s="165" t="str">
        <f>$A$17</f>
        <v>Year</v>
      </c>
      <c r="W22" s="165"/>
      <c r="X22" s="166"/>
      <c r="Y22" s="6"/>
      <c r="Z22" s="6"/>
      <c r="AA22" s="7" t="e">
        <f>'Value Tree'!$J$4</f>
        <v>#N/A</v>
      </c>
      <c r="AB22" s="161"/>
      <c r="AC22" s="151" t="e">
        <f>_xll.DBRW($A$3,'Value Tree'!$J$6,AC$19,$AA22,$AQ22,$AP22,"Total Products","EBITDA LTM","Value")</f>
        <v>#VALUE!</v>
      </c>
      <c r="AD22" s="151"/>
      <c r="AE22" s="151"/>
      <c r="AF22" s="155" t="e">
        <f>AC22/_xll.DBRW($A$3,'Value Tree'!$J$6,AF19,$AA22,$AQ22,$AR22,"Total Products","EBITDA LTM","Value")</f>
        <v>#VALUE!</v>
      </c>
      <c r="AG22" s="155"/>
      <c r="AH22" s="155"/>
      <c r="AI22" s="161"/>
      <c r="AJ22" s="151" t="e">
        <f>_xll.DBRW($A$3,'Value Tree'!$J$6,AJ$19,$AA22,$AQ22,$AP22,"Total Products","EBITDA LTM","Value")</f>
        <v>#VALUE!</v>
      </c>
      <c r="AK22" s="151"/>
      <c r="AL22" s="151"/>
      <c r="AM22" s="159" t="e">
        <f>AJ22/_xll.DBRW($A$3,'Value Tree'!$J$6,AM19,$AA22,$AQ22,$AR22,"Total Products","EBITDA LTM","Value")</f>
        <v>#VALUE!</v>
      </c>
      <c r="AN22" s="159"/>
      <c r="AO22" s="160"/>
      <c r="AP22" s="6" t="s">
        <v>41</v>
      </c>
      <c r="AQ22" s="6" t="s">
        <v>3</v>
      </c>
      <c r="AR22" s="6" t="s">
        <v>87</v>
      </c>
      <c r="AS22" s="6"/>
      <c r="AT22" s="46"/>
      <c r="AU22" s="148" t="s">
        <v>49</v>
      </c>
      <c r="AV22" s="148"/>
      <c r="AW22" s="148"/>
      <c r="AX22" s="148"/>
      <c r="AY22" s="148"/>
      <c r="AZ22" s="148"/>
      <c r="BA22" s="57"/>
      <c r="BB22" s="151" t="e">
        <f>_xll.DBRW($A$3,'Value Tree'!$J$6,BB$19,$CV22,$CR22,$CT22,$CX22,"EBITDA LTM","Value")</f>
        <v>#VALUE!</v>
      </c>
      <c r="BC22" s="151"/>
      <c r="BD22" s="151"/>
      <c r="BE22" s="57"/>
      <c r="BF22" s="151" t="e">
        <f>_xll.DBRW($A$3,'Value Tree'!$J$6,BF$19,$CV22,$CR22,$CT22,$CX22,"EBITDA LTM","Value")</f>
        <v>#VALUE!</v>
      </c>
      <c r="BG22" s="151"/>
      <c r="BH22" s="151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5"/>
      <c r="BX22" s="55" t="e">
        <f t="shared" ref="BX22:BX25" si="2">IF($BW$20="+",IF(BB22&gt;BZ22*(1+IF(BZ22&gt;0,$C$4,-$C$4)),1,IF(BB22&gt;=BY22*(1+IF(BY22&gt;0,-$C$4,$C$4)),0,-1)),IF($BW$20="-",IF(BB22&lt;BZ22*(1+IF(BZ22&gt;0,-$C$4,$C$4)),1,IF(BB22&lt;=BY22*(1+IF(BY22&gt;0,$C$4,-$C$4)),0,-1))))</f>
        <v>#VALUE!</v>
      </c>
      <c r="BY22" s="56" t="e">
        <f>_xll.DBRW($A$3,'Value Tree'!$J$6,BY$6,BY$7,$CR22,$CT22,$CX22,"EBITDA LTM","Value")</f>
        <v>#VALUE!</v>
      </c>
      <c r="BZ22" s="56" t="e">
        <f>_xll.DBRW($A$3,'Value Tree'!$J$6,BZ$6,BZ$7,$CR22,$CT22,$CX22,"EBITDA LTM","Value")</f>
        <v>#VALUE!</v>
      </c>
      <c r="CA22" s="56"/>
      <c r="CB22" s="58" t="e">
        <f t="shared" ref="CB22:CB25" si="3">IF($BW$20="+",IF(BF22&gt;CD22*(1+IF(CD22&gt;0,$C$4,-$C$4)),1,IF(BF22&gt;=CC22*(1+IF(CC22&gt;0,-$C$4,$C$4)),0,-1)),IF($BW$20="-",IF(BF22&lt;CD22*(1+IF(CD22&gt;0,-$C$4,$C$4)),1,IF(BF22&lt;=CC22*(1+IF(CC22&gt;0,$C$4,-$C$4)),0,-1))))</f>
        <v>#VALUE!</v>
      </c>
      <c r="CC22" s="56" t="e">
        <f>_xll.DBRW($A$3,'Value Tree'!$J$6,CC$6,CC$7,$CR22,$CT22,$CX22,"EBITDA LTM","Value")</f>
        <v>#VALUE!</v>
      </c>
      <c r="CD22" s="56" t="e">
        <f>_xll.DBRW($A$3,'Value Tree'!$J$6,CD$6,CD$7,$CR22,$CT22,$CX22,"EBITDA LTM","Value")</f>
        <v>#VALUE!</v>
      </c>
      <c r="CR22" t="s">
        <v>3</v>
      </c>
      <c r="CT22" t="s">
        <v>41</v>
      </c>
      <c r="CV22" t="s">
        <v>8</v>
      </c>
      <c r="CX22" t="s">
        <v>48</v>
      </c>
    </row>
    <row r="23" spans="1:112">
      <c r="A23" s="1"/>
      <c r="E23" s="41"/>
      <c r="F23" s="6"/>
      <c r="G23" s="6"/>
      <c r="H23" s="6"/>
      <c r="I23" s="6"/>
      <c r="J23" s="6"/>
      <c r="K23" s="6"/>
      <c r="L23" s="6"/>
      <c r="M23" s="6"/>
      <c r="N23" s="6"/>
      <c r="O23" s="6"/>
      <c r="P23" s="51"/>
      <c r="Q23" s="6"/>
      <c r="R23" s="42"/>
      <c r="S23" s="42"/>
      <c r="T23" s="42"/>
      <c r="U23" s="6"/>
      <c r="V23" s="42"/>
      <c r="W23" s="42"/>
      <c r="X23" s="9"/>
      <c r="Y23" s="6"/>
      <c r="Z23" s="6"/>
      <c r="AA23" s="4" t="str">
        <f>$A$20</f>
        <v>l500</v>
      </c>
      <c r="AB23" s="3" t="e">
        <f>IF(AA19="+",IF(AC21&gt;AC23*(1+IF(AC23&gt;0,$C$4,-$C$4)),1,IF(AC21&gt;=AC22*(1+IF(AC22&gt;0,-$C$4,$C$4)),0,-1)),IF(AA19="-",IF(AC21&lt;AC23*(1+IF(AC23&gt;0,-$C$4,$C$4)),1,IF(AC21&lt;=AC22*(1+IF(AC22&gt;0,$C$4,-$C$4)),0,-1))))</f>
        <v>#VALUE!</v>
      </c>
      <c r="AC23" s="141" t="e">
        <f>_xll.DBRW($A$3,'Value Tree'!$J$6,AC$19,$AA23,$AQ22,$AP22,"Total Products","EBITDA LTM","Value")</f>
        <v>#VALUE!</v>
      </c>
      <c r="AD23" s="141"/>
      <c r="AE23" s="141"/>
      <c r="AF23" s="145"/>
      <c r="AG23" s="145"/>
      <c r="AH23" s="145"/>
      <c r="AI23" s="3" t="e">
        <f>IF(AA19="+",IF(AJ21&gt;AJ23*(1+IF(AJ23&gt;0,$C$4,-$C$4)),1,IF(AJ21&gt;=AJ22*(1+IF(AJ22&gt;0,-$C$4,$C$4)),0,-1)),IF(AA19="-",IF(AJ21&lt;AJ23*(1+IF(AJ23&gt;0,-$C$4,$C$4)),1,IF(AJ21&lt;=AJ22*(1+IF(AJ22&gt;0,$C$4,-$C$4)),0,-1))))</f>
        <v>#VALUE!</v>
      </c>
      <c r="AJ23" s="141" t="e">
        <f>_xll.DBRW($A$3,'Value Tree'!$J$6,AJ$19,$AA23,$AQ22,$AP22,"Total Products","EBITDA LTM","Value")</f>
        <v>#VALUE!</v>
      </c>
      <c r="AK23" s="141"/>
      <c r="AL23" s="141"/>
      <c r="AM23" s="145"/>
      <c r="AN23" s="145"/>
      <c r="AO23" s="146"/>
      <c r="AP23" s="6"/>
      <c r="AQ23" s="6"/>
      <c r="AR23" s="6"/>
      <c r="AS23" s="6"/>
      <c r="AT23" s="46"/>
      <c r="AU23" s="43"/>
      <c r="AV23" s="43"/>
      <c r="AW23" s="43"/>
      <c r="AX23" s="43"/>
      <c r="AY23" s="43"/>
      <c r="AZ23" s="43"/>
      <c r="BA23" s="57"/>
      <c r="BB23" s="42"/>
      <c r="BC23" s="42"/>
      <c r="BD23" s="42"/>
      <c r="BE23" s="57"/>
      <c r="BF23" s="42"/>
      <c r="BG23" s="42"/>
      <c r="BH23" s="42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6"/>
      <c r="BT23" s="5"/>
      <c r="CB23" s="58"/>
    </row>
    <row r="24" spans="1:112">
      <c r="A24" t="str">
        <f>_xll.SUBNM("CONS_VC:ALL.D.Currency","","BRL")</f>
        <v>BRL</v>
      </c>
      <c r="E24" s="41"/>
      <c r="F24" s="6"/>
      <c r="G24" s="6"/>
      <c r="H24" s="6"/>
      <c r="I24" s="6"/>
      <c r="J24" s="6"/>
      <c r="K24" s="6"/>
      <c r="L24" s="6"/>
      <c r="M24" s="6"/>
      <c r="N24" s="6"/>
      <c r="O24" s="6"/>
      <c r="P24" s="7"/>
      <c r="Q24" s="148" t="s">
        <v>47</v>
      </c>
      <c r="R24" s="148"/>
      <c r="S24" s="148"/>
      <c r="T24" s="148"/>
      <c r="U24" s="148"/>
      <c r="V24" s="148"/>
      <c r="W24" s="148"/>
      <c r="X24" s="149"/>
      <c r="Y24" s="6"/>
      <c r="Z24" s="6"/>
      <c r="AA24" s="8"/>
      <c r="AB24" s="152" t="s">
        <v>46</v>
      </c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  <c r="AN24" s="152"/>
      <c r="AO24" s="153"/>
      <c r="AP24" s="6"/>
      <c r="AQ24" s="6"/>
      <c r="AR24" s="6"/>
      <c r="AS24" s="6"/>
      <c r="AT24" s="46"/>
      <c r="AU24" s="154" t="s">
        <v>45</v>
      </c>
      <c r="AV24" s="154"/>
      <c r="AW24" s="154"/>
      <c r="AX24" s="154"/>
      <c r="AY24" s="154"/>
      <c r="AZ24" s="154"/>
      <c r="BA24" s="57"/>
      <c r="BB24" s="150" t="e">
        <f>_xll.DBRW($A$3,'Value Tree'!$J$6,BB$19,$CV24,$CR24,$CT24,$CX24,"EBITDA LTM","Value")</f>
        <v>#VALUE!</v>
      </c>
      <c r="BC24" s="150"/>
      <c r="BD24" s="150"/>
      <c r="BE24" s="57"/>
      <c r="BF24" s="150" t="e">
        <f>_xll.DBRW($A$3,'Value Tree'!$J$6,BF$19,$CV24,$CR24,$CT24,$CX24,"EBITDA LTM","Value")</f>
        <v>#VALUE!</v>
      </c>
      <c r="BG24" s="150"/>
      <c r="BH24" s="150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6"/>
      <c r="BT24" s="5"/>
      <c r="BX24" s="55" t="e">
        <f t="shared" si="2"/>
        <v>#VALUE!</v>
      </c>
      <c r="BY24" s="56" t="e">
        <f>_xll.DBRW($A$3,'Value Tree'!$J$6,BY$6,BY$7,$CR24,$CT24,$CX24,"EBITDA LTM","Value")</f>
        <v>#VALUE!</v>
      </c>
      <c r="BZ24" s="56" t="e">
        <f>_xll.DBRW($A$3,'Value Tree'!$J$6,BZ$6,BZ$7,$CR24,$CT24,$CX24,"EBITDA LTM","Value")</f>
        <v>#VALUE!</v>
      </c>
      <c r="CA24" s="56"/>
      <c r="CB24" s="58" t="e">
        <f t="shared" si="3"/>
        <v>#VALUE!</v>
      </c>
      <c r="CC24" s="56" t="e">
        <f>_xll.DBRW($A$3,'Value Tree'!$J$6,CC$6,CC$7,$CR24,$CT24,$CX24,"EBITDA LTM","Value")</f>
        <v>#VALUE!</v>
      </c>
      <c r="CD24" s="56" t="e">
        <f>_xll.DBRW($A$3,'Value Tree'!$J$6,CD$6,CD$7,$CR24,$CT24,$CX24,"EBITDA LTM","Value")</f>
        <v>#VALUE!</v>
      </c>
      <c r="CR24" t="s">
        <v>3</v>
      </c>
      <c r="CT24" t="s">
        <v>41</v>
      </c>
      <c r="CV24" t="s">
        <v>8</v>
      </c>
      <c r="CX24" t="s">
        <v>44</v>
      </c>
    </row>
    <row r="25" spans="1:112">
      <c r="E25" s="41"/>
      <c r="F25" s="6"/>
      <c r="G25" s="6"/>
      <c r="H25" s="6"/>
      <c r="I25" s="6"/>
      <c r="J25" s="6"/>
      <c r="K25" s="6"/>
      <c r="L25" s="6"/>
      <c r="M25" s="6"/>
      <c r="N25" s="6"/>
      <c r="O25" s="6"/>
      <c r="P25" s="7" t="e">
        <f>'Value Tree'!$D$4</f>
        <v>#N/A</v>
      </c>
      <c r="Q25" s="161"/>
      <c r="R25" s="150" t="e">
        <f>_xll.DBRW(A5,'Value Tree'!J6,R22,P25,A24,A28,"Expansion Capex",A48)</f>
        <v>#VALUE!</v>
      </c>
      <c r="S25" s="150"/>
      <c r="T25" s="150"/>
      <c r="U25" s="161"/>
      <c r="V25" s="150" t="e">
        <f>_xll.DBRW(A5,'Value Tree'!J6,V22,P25,A24,A28,"Expansion Capex",A48)</f>
        <v>#VALUE!</v>
      </c>
      <c r="W25" s="150"/>
      <c r="X25" s="167"/>
      <c r="Y25" s="6"/>
      <c r="Z25" s="6"/>
      <c r="AA25" s="7" t="e">
        <f>'Value Tree'!$D$4</f>
        <v>#N/A</v>
      </c>
      <c r="AB25" s="161"/>
      <c r="AC25" s="150" t="e">
        <f>_xll.DBRW($A$3,'Value Tree'!$J$6,AC$19,$AA25,$AQ25,$AP25,"Total Products","EBIT","Value")</f>
        <v>#VALUE!</v>
      </c>
      <c r="AD25" s="150"/>
      <c r="AE25" s="150"/>
      <c r="AF25" s="162" t="e">
        <f>AC25/_xll.DBRW($A$3,'Value Tree'!$J$6,AF19,$AA25,$AQ25,$AR25,"Total Products","EBITDA LTM","Value")</f>
        <v>#VALUE!</v>
      </c>
      <c r="AG25" s="162"/>
      <c r="AH25" s="162"/>
      <c r="AI25" s="161"/>
      <c r="AJ25" s="150" t="e">
        <f>_xll.DBRW($A$3,'Value Tree'!$J$6,AJ$19,$AA25,$AQ25,$AP25,"Total Products","EBITDA LTM","Value")</f>
        <v>#VALUE!</v>
      </c>
      <c r="AK25" s="150"/>
      <c r="AL25" s="150"/>
      <c r="AM25" s="156" t="e">
        <f>AJ25/_xll.DBRW($A$3,'Value Tree'!$J$6,AM19,$AA25,$AQ25,$AR25,"Total Products","EBITDA LTM","Value")</f>
        <v>#VALUE!</v>
      </c>
      <c r="AN25" s="156"/>
      <c r="AO25" s="157"/>
      <c r="AP25" s="6" t="s">
        <v>41</v>
      </c>
      <c r="AQ25" s="6" t="s">
        <v>3</v>
      </c>
      <c r="AR25" s="6" t="s">
        <v>87</v>
      </c>
      <c r="AS25" s="6"/>
      <c r="AT25" s="46"/>
      <c r="AU25" s="148" t="s">
        <v>27</v>
      </c>
      <c r="AV25" s="148"/>
      <c r="AW25" s="148"/>
      <c r="AX25" s="148"/>
      <c r="AY25" s="148"/>
      <c r="AZ25" s="148"/>
      <c r="BA25" s="57"/>
      <c r="BB25" s="151" t="e">
        <f>_xll.DBRW($A$3,'Value Tree'!$J$6,BB$19,$CV25,$CR25,$CT25,$CX25,"EBITDA LTM","Value")</f>
        <v>#VALUE!</v>
      </c>
      <c r="BC25" s="151"/>
      <c r="BD25" s="151"/>
      <c r="BE25" s="57"/>
      <c r="BF25" s="151" t="e">
        <f>_xll.DBRW($A$3,'Value Tree'!$J$6,BF$19,$CV25,$CR25,$CT25,$CX25,"EBITDA LTM","Value")</f>
        <v>#VALUE!</v>
      </c>
      <c r="BG25" s="151"/>
      <c r="BH25" s="151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5"/>
      <c r="BX25" s="55" t="e">
        <f t="shared" si="2"/>
        <v>#VALUE!</v>
      </c>
      <c r="BY25" s="56" t="e">
        <f>_xll.DBRW($A$3,'Value Tree'!$J$6,BY$6,BY$7,$CR25,$CT25,$CX25,"EBITDA LTM","Value")</f>
        <v>#VALUE!</v>
      </c>
      <c r="BZ25" s="56" t="e">
        <f>_xll.DBRW($A$3,'Value Tree'!$J$6,BZ$6,BZ$7,$CR25,$CT25,$CX25,"EBITDA LTM","Value")</f>
        <v>#VALUE!</v>
      </c>
      <c r="CA25" s="56"/>
      <c r="CB25" s="58" t="e">
        <f t="shared" si="3"/>
        <v>#VALUE!</v>
      </c>
      <c r="CC25" s="56" t="e">
        <f>_xll.DBRW($A$3,'Value Tree'!$J$6,CC$6,CC$7,$CR25,$CT25,$CX25,"EBITDA LTM","Value")</f>
        <v>#VALUE!</v>
      </c>
      <c r="CD25" s="56" t="e">
        <f>_xll.DBRW($A$3,'Value Tree'!$J$6,CD$6,CD$7,$CR25,$CT25,$CX25,"EBITDA LTM","Value")</f>
        <v>#VALUE!</v>
      </c>
      <c r="CR25" t="s">
        <v>3</v>
      </c>
      <c r="CT25" t="s">
        <v>41</v>
      </c>
      <c r="CV25" t="s">
        <v>8</v>
      </c>
      <c r="CX25" t="s">
        <v>43</v>
      </c>
    </row>
    <row r="26" spans="1:112">
      <c r="A26" s="1" t="s">
        <v>42</v>
      </c>
      <c r="E26" s="41"/>
      <c r="F26" s="6"/>
      <c r="G26" s="6"/>
      <c r="H26" s="6"/>
      <c r="I26" s="6"/>
      <c r="J26" s="6"/>
      <c r="K26" s="6"/>
      <c r="L26" s="6"/>
      <c r="M26" s="6"/>
      <c r="N26" s="6"/>
      <c r="O26" s="6"/>
      <c r="P26" s="7" t="e">
        <f>'Value Tree'!$J$4</f>
        <v>#N/A</v>
      </c>
      <c r="Q26" s="161"/>
      <c r="R26" s="151" t="e">
        <f>_xll.DBRW(A5,'Value Tree'!J6,R22,P26,A24,A28,"Expansion Capex",A48)</f>
        <v>#VALUE!</v>
      </c>
      <c r="S26" s="151"/>
      <c r="T26" s="151"/>
      <c r="U26" s="161"/>
      <c r="V26" s="151" t="e">
        <f>_xll.DBRW(A5,'Value Tree'!J6,V22,P26,A24,A28,"Expansion Capex",A48)</f>
        <v>#VALUE!</v>
      </c>
      <c r="W26" s="151"/>
      <c r="X26" s="158"/>
      <c r="Y26" s="6"/>
      <c r="Z26" s="6"/>
      <c r="AA26" s="7" t="e">
        <f>'Value Tree'!$J$4</f>
        <v>#N/A</v>
      </c>
      <c r="AB26" s="161"/>
      <c r="AC26" s="151" t="e">
        <f>_xll.DBRW($A$3,'Value Tree'!$J$6,AC$19,$AA26,$AQ26,$AP26,"Total Products","EBIT","Value")</f>
        <v>#VALUE!</v>
      </c>
      <c r="AD26" s="151"/>
      <c r="AE26" s="151"/>
      <c r="AF26" s="155" t="e">
        <f>AC26/_xll.DBRW($A$3,'Value Tree'!$J$6,AF19,$AA26,$AQ26,$AR26,"Total Products","EBITDA LTM","Value")</f>
        <v>#VALUE!</v>
      </c>
      <c r="AG26" s="155"/>
      <c r="AH26" s="155"/>
      <c r="AI26" s="161"/>
      <c r="AJ26" s="151" t="e">
        <f>_xll.DBRW($A$3,'Value Tree'!$J$6,AJ$19,$AA26,$AQ26,$AP26,"Total Products","EBITDA LTM","Value")</f>
        <v>#VALUE!</v>
      </c>
      <c r="AK26" s="151"/>
      <c r="AL26" s="151"/>
      <c r="AM26" s="159" t="e">
        <f>AJ26/_xll.DBRW($A$3,'Value Tree'!$J$6,AM19,$AA26,$AQ26,$AR26,"Total Products","EBITDA LTM","Value")</f>
        <v>#VALUE!</v>
      </c>
      <c r="AN26" s="159"/>
      <c r="AO26" s="160"/>
      <c r="AP26" s="6" t="s">
        <v>41</v>
      </c>
      <c r="AQ26" s="6" t="s">
        <v>3</v>
      </c>
      <c r="AR26" s="6" t="s">
        <v>87</v>
      </c>
      <c r="AS26" s="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5"/>
    </row>
    <row r="27" spans="1:112">
      <c r="A27" s="1"/>
      <c r="E27" s="41"/>
      <c r="F27" s="6"/>
      <c r="G27" s="6"/>
      <c r="H27" s="6"/>
      <c r="I27" s="6"/>
      <c r="J27" s="6"/>
      <c r="K27" s="6"/>
      <c r="L27" s="6"/>
      <c r="M27" s="6"/>
      <c r="N27" s="6"/>
      <c r="O27" s="6"/>
      <c r="P27" s="4" t="str">
        <f>$A$20</f>
        <v>l500</v>
      </c>
      <c r="Q27" s="3" t="e">
        <f>IF(P22="+",IF(R25&gt;R27*(1+IF(R27&gt;0,$C$4,-$C$4)),1,IF(R25&gt;=R26*(1+IF(R26&gt;0,-$C$4,$C$4)),0,-1)),IF(P22="-",IF(R25&lt;R27*(1+IF(R27&gt;0,-$C$4,$C$4)),1,IF(R25&lt;=R26*(1+IF(R26&gt;0,$C$4,-$C$4)),0,-1))))</f>
        <v>#VALUE!</v>
      </c>
      <c r="R27" s="42" t="e">
        <f>_xll.DBRW(A5,'Value Tree'!J6,R22,P27,A24,A28,"Expansion Capex",A48)</f>
        <v>#VALUE!</v>
      </c>
      <c r="S27" s="42"/>
      <c r="T27" s="42"/>
      <c r="U27" s="3" t="e">
        <f>IF(P22="+",IF(V25&gt;V27*(1+IF(V27&gt;0,$C$4,-$C$4)),1,IF(V25&gt;=V26*(1+IF(V26&gt;0,-$C$4,$C$4)),0,-1)),IF(P22="-",IF(V25&lt;V27*(1+IF(V27&gt;0,-$C$4,$C$4)),1,IF(V25&lt;=V26*(1+IF(V26&gt;0,$C$4,-$C$4)),0,-1))))</f>
        <v>#VALUE!</v>
      </c>
      <c r="V27" s="42" t="e">
        <f>_xll.DBRW(A5,'Value Tree'!J6,V22,P27,A24,A28,"Expansion Capex",A48)</f>
        <v>#VALUE!</v>
      </c>
      <c r="W27" s="42"/>
      <c r="X27" s="9"/>
      <c r="Y27" s="6"/>
      <c r="Z27" s="6"/>
      <c r="AA27" s="4" t="str">
        <f>$A$20</f>
        <v>l500</v>
      </c>
      <c r="AB27" s="3" t="e">
        <f>IF(AA19="+",IF(AC25&gt;AC27*(1+IF(AC27&gt;0,$C$4,-$C$4)),1,IF(AC25&gt;=AC26*(1+IF(AC26&gt;0,-$C$4,$C$4)),0,-1)),IF(AA19="-",IF(AC25&lt;AC27*(1+IF(AC27&gt;0,-$C$4,$C$4)),1,IF(AC25&lt;=AC26*(1+IF(AC26&gt;0,$C$4,-$C$4)),0,-1))))</f>
        <v>#VALUE!</v>
      </c>
      <c r="AC27" s="141" t="e">
        <f>_xll.DBRW($A$3,'Value Tree'!$J$6,AC$19,$AA27,$AQ26,$AP26,"Total Products","EBIT","Value")</f>
        <v>#VALUE!</v>
      </c>
      <c r="AD27" s="141"/>
      <c r="AE27" s="141"/>
      <c r="AF27" s="147"/>
      <c r="AG27" s="147"/>
      <c r="AH27" s="147"/>
      <c r="AI27" s="3" t="e">
        <f>IF(AA19="+",IF(AJ25&gt;AJ27*(1+IF(AJ27&gt;0,$C$4,-$C$4)),1,IF(AJ25&gt;=AJ26*(1+IF(AJ26&gt;0,-$C$4,$C$4)),0,-1)),IF(AA19="-",IF(AJ25&lt;AJ27*(1+IF(AJ27&gt;0,-$C$4,$C$4)),1,IF(AJ25&lt;=AJ26*(1+IF(AJ26&gt;0,$C$4,-$C$4)),0,-1))))</f>
        <v>#VALUE!</v>
      </c>
      <c r="AJ27" s="141" t="e">
        <f>_xll.DBRW($A$3,'Value Tree'!$J$6,AJ$19,$AA27,$AQ26,$AP26,"Total Products","EBITDA LTM","Value")</f>
        <v>#VALUE!</v>
      </c>
      <c r="AK27" s="141"/>
      <c r="AL27" s="141"/>
      <c r="AM27" s="145"/>
      <c r="AN27" s="145"/>
      <c r="AO27" s="146"/>
      <c r="AP27" s="6"/>
      <c r="AQ27" s="6"/>
      <c r="AR27" s="6"/>
      <c r="AS27" s="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6"/>
      <c r="BQ27" s="46"/>
      <c r="BR27" s="46"/>
      <c r="BS27" s="46"/>
      <c r="BT27" s="5"/>
    </row>
    <row r="28" spans="1:112">
      <c r="A28" t="str">
        <f>_xll.SUBNM("CONS_VC:ALL.D.Region","DEFAuLT","Global")</f>
        <v>Global</v>
      </c>
      <c r="E28" s="13" t="s">
        <v>20</v>
      </c>
      <c r="F28" s="12"/>
      <c r="G28" s="165" t="e">
        <f>'Value Tree'!$D$6</f>
        <v>#N/A</v>
      </c>
      <c r="H28" s="165"/>
      <c r="I28" s="165"/>
      <c r="J28" s="12"/>
      <c r="K28" s="165" t="str">
        <f>$A$17</f>
        <v>Year</v>
      </c>
      <c r="L28" s="165"/>
      <c r="M28" s="166"/>
      <c r="N28" s="6"/>
      <c r="O28" s="6"/>
      <c r="P28" s="13" t="s">
        <v>20</v>
      </c>
      <c r="Q28" s="12"/>
      <c r="R28" s="165" t="e">
        <f>'Value Tree'!$D$6</f>
        <v>#N/A</v>
      </c>
      <c r="S28" s="165"/>
      <c r="T28" s="165"/>
      <c r="U28" s="12"/>
      <c r="V28" s="165" t="str">
        <f>$A$17</f>
        <v>Year</v>
      </c>
      <c r="W28" s="165"/>
      <c r="X28" s="16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6"/>
      <c r="BQ28" s="46"/>
      <c r="BR28" s="46"/>
      <c r="BS28" s="46"/>
      <c r="BT28" s="5"/>
    </row>
    <row r="29" spans="1:112">
      <c r="E29" s="15"/>
      <c r="F29" s="148" t="s">
        <v>40</v>
      </c>
      <c r="G29" s="148"/>
      <c r="H29" s="148"/>
      <c r="I29" s="148"/>
      <c r="J29" s="148"/>
      <c r="K29" s="148"/>
      <c r="L29" s="148"/>
      <c r="M29" s="149"/>
      <c r="N29" s="6"/>
      <c r="O29" s="6"/>
      <c r="P29" s="7"/>
      <c r="Q29" s="148" t="s">
        <v>39</v>
      </c>
      <c r="R29" s="148"/>
      <c r="S29" s="148"/>
      <c r="T29" s="148"/>
      <c r="U29" s="148"/>
      <c r="V29" s="148"/>
      <c r="W29" s="148"/>
      <c r="X29" s="149"/>
      <c r="Y29" s="6"/>
      <c r="Z29" s="6"/>
      <c r="AA29" s="13" t="s">
        <v>20</v>
      </c>
      <c r="AB29" s="12"/>
      <c r="AC29" s="170" t="e">
        <f>'Value Tree'!$D$6</f>
        <v>#N/A</v>
      </c>
      <c r="AD29" s="170"/>
      <c r="AE29" s="170"/>
      <c r="AF29" s="170" t="e">
        <f>'Value Tree'!$D$6</f>
        <v>#N/A</v>
      </c>
      <c r="AG29" s="170"/>
      <c r="AH29" s="170"/>
      <c r="AI29" s="12"/>
      <c r="AJ29" s="170" t="s">
        <v>19</v>
      </c>
      <c r="AK29" s="170"/>
      <c r="AL29" s="170"/>
      <c r="AM29" s="170" t="s">
        <v>19</v>
      </c>
      <c r="AN29" s="170"/>
      <c r="AO29" s="171"/>
      <c r="AP29" s="6"/>
      <c r="AQ29" s="6"/>
      <c r="AR29" s="6"/>
      <c r="AS29" s="6"/>
      <c r="AT29" s="46"/>
      <c r="AU29" s="46"/>
      <c r="AV29" s="46"/>
      <c r="AW29" s="46"/>
      <c r="AX29" s="46"/>
      <c r="AY29" s="46"/>
      <c r="AZ29" s="46"/>
      <c r="BA29" s="46"/>
      <c r="BB29" s="176" t="e">
        <f>'Value Tree'!$D$6</f>
        <v>#N/A</v>
      </c>
      <c r="BC29" s="176"/>
      <c r="BD29" s="176"/>
      <c r="BE29" s="46"/>
      <c r="BF29" s="176" t="str">
        <f>$A$17</f>
        <v>Year</v>
      </c>
      <c r="BG29" s="176"/>
      <c r="BH29" s="176"/>
      <c r="BI29" s="46"/>
      <c r="BJ29" s="46"/>
      <c r="BK29" s="176" t="e">
        <f>'Value Tree'!$D$6</f>
        <v>#N/A</v>
      </c>
      <c r="BL29" s="176"/>
      <c r="BM29" s="176"/>
      <c r="BN29" s="46"/>
      <c r="BO29" s="176" t="str">
        <f>$A$17</f>
        <v>Year</v>
      </c>
      <c r="BP29" s="176"/>
      <c r="BQ29" s="176"/>
      <c r="BR29" s="46"/>
      <c r="BS29" s="46"/>
      <c r="BT29" s="5"/>
    </row>
    <row r="30" spans="1:112">
      <c r="A30" s="1" t="s">
        <v>38</v>
      </c>
      <c r="E30" s="15" t="e">
        <f>'Value Tree'!$D$4</f>
        <v>#N/A</v>
      </c>
      <c r="F30" s="161"/>
      <c r="G30" s="150" t="e">
        <f>_xll.DBRW($A$5,'Value Tree'!J6,G28,E30,A24,A28,A40,$A$48)</f>
        <v>#VALUE!</v>
      </c>
      <c r="H30" s="150"/>
      <c r="I30" s="150"/>
      <c r="J30" s="161"/>
      <c r="K30" s="150" t="e">
        <f>_xll.DBRW($A$5,'Value Tree'!J6,K28,E30,A24,A28,A40,$A$48)</f>
        <v>#VALUE!</v>
      </c>
      <c r="L30" s="150"/>
      <c r="M30" s="150"/>
      <c r="N30" s="6"/>
      <c r="O30" s="6"/>
      <c r="P30" s="7" t="e">
        <f>'Value Tree'!$D$4</f>
        <v>#N/A</v>
      </c>
      <c r="Q30" s="161"/>
      <c r="R30" s="150" t="e">
        <f>_xll.DBRW(A3,'Value Tree'!J6,R28,P30,A24,A28,"Total Products","Working Capital Balance","Value")</f>
        <v>#VALUE!</v>
      </c>
      <c r="S30" s="150"/>
      <c r="T30" s="150"/>
      <c r="U30" s="161"/>
      <c r="V30" s="150" t="e">
        <f>_xll.DBRW(A3,'Value Tree'!J6,V28,P30,A24,A28,"Total Products","Working Capital Balance","Value")</f>
        <v>#VALUE!</v>
      </c>
      <c r="W30" s="150"/>
      <c r="X30" s="167"/>
      <c r="Y30" s="6"/>
      <c r="Z30" s="6"/>
      <c r="AA30" s="7"/>
      <c r="AB30" s="148" t="s">
        <v>37</v>
      </c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9"/>
      <c r="AP30" s="6"/>
      <c r="AQ30" s="6"/>
      <c r="AR30" s="6"/>
      <c r="AS30" s="6"/>
      <c r="AT30" s="46"/>
      <c r="AU30" s="148" t="s">
        <v>36</v>
      </c>
      <c r="AV30" s="148"/>
      <c r="AW30" s="148"/>
      <c r="AX30" s="148"/>
      <c r="AY30" s="148"/>
      <c r="AZ30" s="148"/>
      <c r="BA30" s="148"/>
      <c r="BB30" s="148"/>
      <c r="BC30" s="148"/>
      <c r="BD30" s="148"/>
      <c r="BE30" s="148"/>
      <c r="BF30" s="148"/>
      <c r="BG30" s="148"/>
      <c r="BH30" s="148"/>
      <c r="BI30" s="46"/>
      <c r="BJ30" s="148" t="s">
        <v>35</v>
      </c>
      <c r="BK30" s="148"/>
      <c r="BL30" s="148"/>
      <c r="BM30" s="148"/>
      <c r="BN30" s="148"/>
      <c r="BO30" s="148"/>
      <c r="BP30" s="148"/>
      <c r="BQ30" s="148"/>
      <c r="BR30" s="48"/>
      <c r="BS30" s="46"/>
      <c r="BT30" s="5"/>
      <c r="BW30" t="s">
        <v>20</v>
      </c>
    </row>
    <row r="31" spans="1:112">
      <c r="A31" t="str">
        <f>_xll.SUBNM("CONS_VC:ALL.D.Products","","Total Products")</f>
        <v>Total Products</v>
      </c>
      <c r="E31" s="15" t="e">
        <f>'Value Tree'!$J$4</f>
        <v>#N/A</v>
      </c>
      <c r="F31" s="161"/>
      <c r="G31" s="151" t="e">
        <f>_xll.DBRW($A$5,'Value Tree'!J6,G28,E31,A24,A28,A40,$A$48)</f>
        <v>#VALUE!</v>
      </c>
      <c r="H31" s="151"/>
      <c r="I31" s="151"/>
      <c r="J31" s="161"/>
      <c r="K31" s="151" t="e">
        <f>_xll.DBRW($A$5,'Value Tree'!J6,K28,E31,A24,A28,A40,$A$48)</f>
        <v>#VALUE!</v>
      </c>
      <c r="L31" s="151"/>
      <c r="M31" s="158"/>
      <c r="N31" s="6"/>
      <c r="O31" s="6"/>
      <c r="P31" s="7" t="e">
        <f>'Value Tree'!$J$4</f>
        <v>#N/A</v>
      </c>
      <c r="Q31" s="161"/>
      <c r="R31" s="151" t="e">
        <f>_xll.DBRW(A3,'Value Tree'!J6,R28,P31,A24,A28,"Total Products","Working Capital Balance","Value")</f>
        <v>#VALUE!</v>
      </c>
      <c r="S31" s="151"/>
      <c r="T31" s="151"/>
      <c r="U31" s="161"/>
      <c r="V31" s="151" t="e">
        <f>_xll.DBRW(A3,'Value Tree'!J6,V28,P31,A24,A28,"Total Products","Working Capital Balance","Value")</f>
        <v>#VALUE!</v>
      </c>
      <c r="W31" s="151"/>
      <c r="X31" s="158"/>
      <c r="Y31" s="6"/>
      <c r="Z31" s="6"/>
      <c r="AA31" s="7" t="e">
        <f>'Value Tree'!$D$4</f>
        <v>#N/A</v>
      </c>
      <c r="AB31" s="169"/>
      <c r="AC31" s="150" t="e">
        <f>_xll.DBRW($A$3,'Value Tree'!$J$6,AC$29,$AA31,$AQ31,$AP31,"Total Products","EBITDA LTM","Value")</f>
        <v>#VALUE!</v>
      </c>
      <c r="AD31" s="150"/>
      <c r="AE31" s="150"/>
      <c r="AF31" s="162" t="e">
        <f>AC31/_xll.DBRW($A$3,'Value Tree'!$J$6,AF29,$AA31,$AQ31,$AR31,"Total Products","EBITDA LTM","Value")</f>
        <v>#VALUE!</v>
      </c>
      <c r="AG31" s="162"/>
      <c r="AH31" s="162"/>
      <c r="AI31" s="169"/>
      <c r="AJ31" s="150" t="e">
        <f>_xll.DBRW($A$3,'Value Tree'!$J$6,AJ$29,$AA31,$AQ31,$AP31,"Total Products","EBITDA LTM","Value")</f>
        <v>#VALUE!</v>
      </c>
      <c r="AK31" s="150"/>
      <c r="AL31" s="150"/>
      <c r="AM31" s="156" t="e">
        <f>AJ31/_xll.DBRW($A$3,'Value Tree'!$J$6,AM29,$AA31,$AQ31,$AR31,"Total Products","EBITDA LTM","Value")</f>
        <v>#VALUE!</v>
      </c>
      <c r="AN31" s="156"/>
      <c r="AO31" s="157"/>
      <c r="AP31" s="6" t="s">
        <v>24</v>
      </c>
      <c r="AQ31" t="s">
        <v>23</v>
      </c>
      <c r="AR31" s="6" t="s">
        <v>87</v>
      </c>
      <c r="AT31" s="46"/>
      <c r="AU31" s="154" t="s">
        <v>34</v>
      </c>
      <c r="AV31" s="154"/>
      <c r="AW31" s="154"/>
      <c r="AX31" s="154"/>
      <c r="AY31" s="154"/>
      <c r="AZ31" s="154"/>
      <c r="BA31" s="57"/>
      <c r="BB31" s="150" t="e">
        <f>_xll.DBRW($A$3,'Value Tree'!$J$6,BB$29,$CV31,$CR31,$CT31,$CX31,"EBITDA LTM","Value")</f>
        <v>#VALUE!</v>
      </c>
      <c r="BC31" s="150"/>
      <c r="BD31" s="150"/>
      <c r="BE31" s="57"/>
      <c r="BF31" s="150" t="e">
        <f>_xll.DBRW($A$3,'Value Tree'!$J$6,BF$29,$CV31,$CR31,$CT31,$CX31,"EBITDA LTM","Value")</f>
        <v>#VALUE!</v>
      </c>
      <c r="BG31" s="150"/>
      <c r="BH31" s="150"/>
      <c r="BI31" s="46"/>
      <c r="BJ31" s="57"/>
      <c r="BK31" s="150" t="e">
        <f>_xll.DBRW($A$3,'Value Tree'!$J$6,BK$29,$DF31,$DB31,$DD31,$DH31,"EBITDA LTM","Value")</f>
        <v>#VALUE!</v>
      </c>
      <c r="BL31" s="150"/>
      <c r="BM31" s="150"/>
      <c r="BN31" s="57"/>
      <c r="BO31" s="150" t="e">
        <f>_xll.DBRW($A$3,'Value Tree'!$J$6,BO$29,$DF31,$DB31,$DD31,$DH31,"EBITDA LTM","Value")</f>
        <v>#VALUE!</v>
      </c>
      <c r="BP31" s="150"/>
      <c r="BQ31" s="150"/>
      <c r="BR31" s="46"/>
      <c r="BS31" s="46"/>
      <c r="BT31" s="5"/>
      <c r="BX31" s="55" t="e">
        <f>IF($BW$30="+",IF(BB31&gt;BZ31*(1+IF(BZ31&gt;0,$C$4,-$C$4)),1,IF(BB31&gt;=BY31*(1+IF(BY31&gt;0,-$C$4,$C$4)),0,-1)),IF($BW$30="-",IF(BB31&lt;BZ31*(1+IF(BZ31&gt;0,-$C$4,$C$4)),1,IF(BB31&lt;=BY31*(1+IF(BY31&gt;0,$C$4,-$C$4)),0,-1))))</f>
        <v>#VALUE!</v>
      </c>
      <c r="BY31" s="56" t="e">
        <f>_xll.DBRW($A$3,'Value Tree'!$J$6,BY$6,BY$7,$CR31,$CT31,$CX31,"EBITDA LTM","Value")</f>
        <v>#VALUE!</v>
      </c>
      <c r="BZ31" s="56" t="e">
        <f>_xll.DBRW($A$3,'Value Tree'!$J$6,BZ$6,BZ$7,$CR31,$CT31,$CX31,"EBITDA LTM","Value")</f>
        <v>#VALUE!</v>
      </c>
      <c r="CA31" s="56"/>
      <c r="CB31" s="58" t="e">
        <f>IF($BW$30="+",IF(BF31&gt;CD31*(1+IF(CD31&gt;0,$C$4,-$C$4)),1,IF(BF31&gt;=CC31*(1+IF(CC31&gt;0,-$C$4,$C$4)),0,-1)),IF($BW$30="-",IF(BF31&lt;CD31*(1+IF(CD31&gt;0,-$C$4,$C$4)),1,IF(BF31&lt;=CC31*(1+IF(CC31&gt;0,$C$4,-$C$4)),0,-1))))</f>
        <v>#VALUE!</v>
      </c>
      <c r="CC31" s="56" t="e">
        <f>_xll.DBRW($A$3,'Value Tree'!$J$6,CC$6,CC$7,$CR31,$CT31,$CX31,"EBITDA LTM","Value")</f>
        <v>#VALUE!</v>
      </c>
      <c r="CD31" s="56" t="e">
        <f>_xll.DBRW($A$3,'Value Tree'!$J$6,CD$6,CD$7,$CR31,$CT31,$CX31,"EBITDA LTM","Value")</f>
        <v>#VALUE!</v>
      </c>
      <c r="CF31" s="55" t="e">
        <f>IF($BW$30="+",IF(BK31&gt;CH31*(1+IF(CH31&gt;0,$C$4,-$C$4)),1,IF(BK31&gt;=CG31*(1+IF(CG31&gt;0,-$C$4,$C$4)),0,-1)),IF($BW$30="-",IF(BK31&lt;CH31*(1+IF(CH31&gt;0,-$C$4,$C$4)),1,IF(BK31&lt;=CG31*(1+IF(CG31&gt;0,$C$4,-$C$4)),0,-1))))</f>
        <v>#VALUE!</v>
      </c>
      <c r="CG31" s="56" t="e">
        <f>_xll.DBRW($A$3,'Value Tree'!$J$6,CG$6,CG$7,$DB31,$CT31,$CX31,"EBITDA LTM","Value")</f>
        <v>#VALUE!</v>
      </c>
      <c r="CH31" s="56" t="e">
        <f>_xll.DBRW($A$3,'Value Tree'!$J$6,CH$6,CH$7,$DB31,$CT31,$CX31,"EBITDA LTM","Value")</f>
        <v>#VALUE!</v>
      </c>
      <c r="CI31" s="56"/>
      <c r="CJ31" s="58" t="e">
        <f>IF($BW$30="+",IF(BO31&gt;CL31*(1+IF(CL31&gt;0,$C$4,-$C$4)),1,IF(BO31&gt;=CK31*(1+IF(CK31&gt;0,-$C$4,$C$4)),0,-1)),IF($BW$30="-",IF(BO31&lt;CL31*(1+IF(CL31&gt;0,-$C$4,$C$4)),1,IF(BO31&lt;=CK31*(1+IF(CK31&gt;0,$C$4,-$C$4)),0,-1))))</f>
        <v>#VALUE!</v>
      </c>
      <c r="CK31" s="56" t="e">
        <f>_xll.DBRW($A$3,'Value Tree'!$J$6,CK$6,CK$7,$DB31,$CT31,$CX31,"EBITDA LTM","Value")</f>
        <v>#VALUE!</v>
      </c>
      <c r="CL31" s="56" t="e">
        <f>_xll.DBRW($A$3,'Value Tree'!$J$6,CL$6,CL$7,$DB31,$CT31,$CX31,"EBITDA LTM","Value")</f>
        <v>#VALUE!</v>
      </c>
      <c r="CR31" t="s">
        <v>23</v>
      </c>
      <c r="CT31" t="s">
        <v>24</v>
      </c>
      <c r="CV31" t="s">
        <v>8</v>
      </c>
      <c r="CX31" t="s">
        <v>7</v>
      </c>
      <c r="DB31" t="s">
        <v>26</v>
      </c>
      <c r="DD31" t="s">
        <v>24</v>
      </c>
      <c r="DF31" t="s">
        <v>8</v>
      </c>
      <c r="DH31" t="s">
        <v>7</v>
      </c>
    </row>
    <row r="32" spans="1:112">
      <c r="E32" s="4" t="str">
        <f>$A$20</f>
        <v>l500</v>
      </c>
      <c r="F32" s="3" t="e">
        <f>IF(E28="+",IF(G30&gt;G32*(1+IF(G32&gt;0,$C$4,-$C$4)),1,IF(G30&gt;=G31*(1+IF(G31&gt;0,-$C$4,$C$4)),0,-1)),IF(E28="-",IF(G30&lt;G32*(1+IF(G32&gt;0,-$C$4,$C$4)),1,IF(G30&lt;=G31*(1+IF(G31&gt;0,$C$4,-$C$4)),0,-1))))</f>
        <v>#VALUE!</v>
      </c>
      <c r="G32" s="141" t="e">
        <f>_xll.DBRW($A$5,'Value Tree'!J6,G28,E32,A24,A28,A40,$A$48)</f>
        <v>#VALUE!</v>
      </c>
      <c r="H32" s="141"/>
      <c r="I32" s="141"/>
      <c r="J32" s="3" t="e">
        <f>IF(E28="+",IF(K30&gt;K32*(1+IF(K32&gt;0,$C$4,-$C$4)),1,IF(K30&gt;=K31*(1+IF(K31&gt;0,-$C$4,$C$4)),0,-1)),IF(E28="-",IF(K30&lt;K32*(1+IF(K32&gt;0,-$C$4,$C$4)),1,IF(K30&lt;=K31*(1+IF(K31&gt;0,$C$4,-$C$4)),0,-1))))</f>
        <v>#VALUE!</v>
      </c>
      <c r="K32" s="141" t="e">
        <f>_xll.DBRW($A$5,'Value Tree'!J6,K28,E32,A24,A28,A40,$A$48)</f>
        <v>#VALUE!</v>
      </c>
      <c r="L32" s="141"/>
      <c r="M32" s="142"/>
      <c r="N32" s="6"/>
      <c r="O32" s="6"/>
      <c r="P32" s="4" t="str">
        <f>$A$20</f>
        <v>l500</v>
      </c>
      <c r="Q32" s="3" t="e">
        <f>IF(P28="+",IF(R30&gt;R32*(1+IF(R32&gt;0,$C$4,-$C$4)),1,IF(R30&gt;=R31*(1+IF(R31&gt;0,-$C$4,$C$4)),0,-1)),IF(P28="-",IF(R30&lt;R32*(1+IF(R32&gt;0,-$C$4,$C$4)),1,IF(R30&lt;=R31*(1+IF(R31&gt;0,$C$4,-$C$4)),0,-1))))</f>
        <v>#VALUE!</v>
      </c>
      <c r="R32" s="141" t="e">
        <f>_xll.DBRW(A3,'Value Tree'!J6,R28,P32,A24,A28,"Total Products","Working Capital Balance","Value")</f>
        <v>#VALUE!</v>
      </c>
      <c r="S32" s="141"/>
      <c r="T32" s="141"/>
      <c r="U32" s="3" t="e">
        <f>IF(P28="+",IF(V30&gt;V32*(1+IF(V32&gt;0,$C$4,-$C$4)),1,IF(V30&gt;=V31*(1+IF(V31&gt;0,-$C$4,$C$4)),0,-1)),IF(P28="-",IF(V30&lt;V32*(1+IF(V32&gt;0,-$C$4,$C$4)),1,IF(V30&lt;=V31*(1+IF(V31&gt;0,$C$4,-$C$4)),0,-1))))</f>
        <v>#VALUE!</v>
      </c>
      <c r="V32" s="141" t="e">
        <f>_xll.DBRW(A3,'Value Tree'!J6,V28,P32,A24,A28,"Total Products","Working Capital Balance","Value")</f>
        <v>#VALUE!</v>
      </c>
      <c r="W32" s="141"/>
      <c r="X32" s="142"/>
      <c r="Y32" s="6"/>
      <c r="Z32" s="6"/>
      <c r="AA32" s="7"/>
      <c r="AB32" s="169"/>
      <c r="AC32" s="42"/>
      <c r="AD32" s="42"/>
      <c r="AE32" s="42"/>
      <c r="AF32" s="53"/>
      <c r="AG32" s="53"/>
      <c r="AH32" s="53"/>
      <c r="AI32" s="169"/>
      <c r="AJ32" s="42"/>
      <c r="AK32" s="42"/>
      <c r="AL32" s="42"/>
      <c r="AM32" s="53"/>
      <c r="AN32" s="53"/>
      <c r="AO32" s="54"/>
      <c r="AP32" s="6"/>
      <c r="AT32" s="46"/>
      <c r="AU32" s="47"/>
      <c r="AV32" s="47"/>
      <c r="AW32" s="47"/>
      <c r="AX32" s="47"/>
      <c r="AY32" s="47"/>
      <c r="AZ32" s="47"/>
      <c r="BA32" s="57"/>
      <c r="BB32" s="45"/>
      <c r="BC32" s="45"/>
      <c r="BD32" s="45"/>
      <c r="BE32" s="57"/>
      <c r="BF32" s="45"/>
      <c r="BG32" s="45"/>
      <c r="BH32" s="45"/>
      <c r="BI32" s="46"/>
      <c r="BJ32" s="57"/>
      <c r="BK32" s="45"/>
      <c r="BL32" s="45"/>
      <c r="BM32" s="45"/>
      <c r="BN32" s="57"/>
      <c r="BO32" s="45"/>
      <c r="BP32" s="45"/>
      <c r="BQ32" s="45"/>
      <c r="BR32" s="46"/>
      <c r="BS32" s="46"/>
      <c r="BT32" s="5"/>
      <c r="CJ32" s="58"/>
    </row>
    <row r="33" spans="1:112">
      <c r="E33" s="13" t="s">
        <v>20</v>
      </c>
      <c r="F33" s="12"/>
      <c r="G33" s="165" t="e">
        <f>'Value Tree'!$D$6</f>
        <v>#N/A</v>
      </c>
      <c r="H33" s="165"/>
      <c r="I33" s="165"/>
      <c r="J33" s="12"/>
      <c r="K33" s="165" t="str">
        <f>$A$17</f>
        <v>Year</v>
      </c>
      <c r="L33" s="165"/>
      <c r="M33" s="166"/>
      <c r="N33" s="6"/>
      <c r="O33" s="6"/>
      <c r="P33" s="13" t="s">
        <v>20</v>
      </c>
      <c r="Q33" s="12"/>
      <c r="R33" s="165" t="e">
        <f>'Value Tree'!$D$6</f>
        <v>#N/A</v>
      </c>
      <c r="S33" s="165"/>
      <c r="T33" s="165"/>
      <c r="U33" s="12"/>
      <c r="V33" s="165" t="str">
        <f>$A$17</f>
        <v>Year</v>
      </c>
      <c r="W33" s="165"/>
      <c r="X33" s="166"/>
      <c r="Y33" s="6"/>
      <c r="Z33" s="6"/>
      <c r="AA33" s="7" t="e">
        <f>'Value Tree'!$J$4</f>
        <v>#N/A</v>
      </c>
      <c r="AB33" s="169"/>
      <c r="AC33" s="151" t="e">
        <f>_xll.DBRW($A$3,'Value Tree'!$J$6,AC$29,$AA33,$AQ33,$AP33,"Total Products","EBITDA LTM","Value")</f>
        <v>#VALUE!</v>
      </c>
      <c r="AD33" s="151"/>
      <c r="AE33" s="151"/>
      <c r="AF33" s="155" t="e">
        <f>AC33/_xll.DBRW($A$3,'Value Tree'!$J$6,AF29,$AA33,$AQ33,$AR33,"Total Products","EBITDA LTM","Value")</f>
        <v>#VALUE!</v>
      </c>
      <c r="AG33" s="155"/>
      <c r="AH33" s="155"/>
      <c r="AI33" s="169"/>
      <c r="AJ33" s="151" t="e">
        <f>_xll.DBRW($A$3,'Value Tree'!$J$6,AJ$29,$AA33,$AQ33,$AP33,"Total Products","EBITDA LTM","Value")</f>
        <v>#VALUE!</v>
      </c>
      <c r="AK33" s="151"/>
      <c r="AL33" s="151"/>
      <c r="AM33" s="159" t="e">
        <f>AJ33/_xll.DBRW($A$3,'Value Tree'!$J$6,AM29,$AA33,$AQ33,$AR33,"Total Products","EBITDA LTM","Value")</f>
        <v>#VALUE!</v>
      </c>
      <c r="AN33" s="159"/>
      <c r="AO33" s="160"/>
      <c r="AP33" s="6" t="s">
        <v>24</v>
      </c>
      <c r="AQ33" t="s">
        <v>23</v>
      </c>
      <c r="AR33" s="6" t="s">
        <v>87</v>
      </c>
      <c r="AT33" s="46"/>
      <c r="AU33" s="148" t="s">
        <v>33</v>
      </c>
      <c r="AV33" s="148"/>
      <c r="AW33" s="148"/>
      <c r="AX33" s="148"/>
      <c r="AY33" s="148"/>
      <c r="AZ33" s="148"/>
      <c r="BA33" s="57"/>
      <c r="BB33" s="151" t="e">
        <f>_xll.DBRW($A$3,'Value Tree'!$J$6,BB$29,$CV33,$CR33,$CT33,$CX33,"EBITDA LTM","Value")</f>
        <v>#VALUE!</v>
      </c>
      <c r="BC33" s="151"/>
      <c r="BD33" s="151"/>
      <c r="BE33" s="57"/>
      <c r="BF33" s="151" t="e">
        <f>_xll.DBRW($A$3,'Value Tree'!$J$6,BF$29,$CV33,$CR33,$CT33,$CX33,"EBITDA LTM","Value")</f>
        <v>#VALUE!</v>
      </c>
      <c r="BG33" s="151"/>
      <c r="BH33" s="151"/>
      <c r="BI33" s="46"/>
      <c r="BJ33" s="57"/>
      <c r="BK33" s="151" t="e">
        <f>_xll.DBRW($A$3,'Value Tree'!$J$6,BK$29,$DF33,$DB33,$DD33,$DH33,"EBITDA LTM","Value")</f>
        <v>#VALUE!</v>
      </c>
      <c r="BL33" s="151"/>
      <c r="BM33" s="151"/>
      <c r="BN33" s="57"/>
      <c r="BO33" s="151" t="e">
        <f>_xll.DBRW($A$3,'Value Tree'!$J$6,BO$29,$DF33,$DB33,$DD33,$DH33,"EBITDA LTM","Value")</f>
        <v>#VALUE!</v>
      </c>
      <c r="BP33" s="151"/>
      <c r="BQ33" s="151"/>
      <c r="BR33" s="46"/>
      <c r="BS33" s="46"/>
      <c r="BT33" s="5"/>
      <c r="BX33" s="55" t="e">
        <f>IF($BW$30="+",IF(BB33&gt;BZ33*(1+IF(BZ33&gt;0,$C$4,-$C$4)),1,IF(BB33&gt;=BY33*(1+IF(BY33&gt;0,-$C$4,$C$4)),0,-1)),IF($BW$30="-",IF(BB33&lt;BZ33*(1+IF(BZ33&gt;0,-$C$4,$C$4)),1,IF(BB33&lt;=BY33*(1+IF(BY33&gt;0,$C$4,-$C$4)),0,-1))))</f>
        <v>#VALUE!</v>
      </c>
      <c r="BY33" s="56" t="e">
        <f>_xll.DBRW($A$3,'Value Tree'!$J$6,BY$6,BY$7,$CR33,$CT33,$CX33,"EBITDA LTM","Value")</f>
        <v>#VALUE!</v>
      </c>
      <c r="BZ33" s="56" t="e">
        <f>_xll.DBRW($A$3,'Value Tree'!$J$6,BZ$6,BZ$7,$CR33,$CT33,$CX33,"EBITDA LTM","Value")</f>
        <v>#VALUE!</v>
      </c>
      <c r="CA33" s="56"/>
      <c r="CB33" s="58" t="e">
        <f t="shared" ref="CB33:CB35" si="4">IF($BW$30="+",IF(BF33&gt;CD33*(1+IF(CD33&gt;0,$C$4,-$C$4)),1,IF(BF33&gt;=CC33*(1+IF(CC33&gt;0,-$C$4,$C$4)),0,-1)),IF($BW$30="-",IF(BF33&lt;CD33*(1+IF(CD33&gt;0,-$C$4,$C$4)),1,IF(BF33&lt;=CC33*(1+IF(CC33&gt;0,$C$4,-$C$4)),0,-1))))</f>
        <v>#VALUE!</v>
      </c>
      <c r="CC33" s="56" t="e">
        <f>_xll.DBRW($A$3,'Value Tree'!$J$6,CC$6,CC$7,$CR33,$CT33,$CX33,"EBITDA LTM","Value")</f>
        <v>#VALUE!</v>
      </c>
      <c r="CD33" s="56" t="e">
        <f>_xll.DBRW($A$3,'Value Tree'!$J$6,CD$6,CD$7,$CR33,$CT33,$CX33,"EBITDA LTM","Value")</f>
        <v>#VALUE!</v>
      </c>
      <c r="CF33" s="55" t="e">
        <f t="shared" ref="CF33:CF35" si="5">IF($BW$30="+",IF(BK33&gt;CH33*(1+IF(CH33&gt;0,$C$4,-$C$4)),1,IF(BK33&gt;=CG33*(1+IF(CG33&gt;0,-$C$4,$C$4)),0,-1)),IF($BW$30="-",IF(BK33&lt;CH33*(1+IF(CH33&gt;0,-$C$4,$C$4)),1,IF(BK33&lt;=CG33*(1+IF(CG33&gt;0,$C$4,-$C$4)),0,-1))))</f>
        <v>#VALUE!</v>
      </c>
      <c r="CG33" s="56" t="e">
        <f>_xll.DBRW($A$3,'Value Tree'!$J$6,CG$6,CG$7,$DB33,$CT33,$CX33,"EBITDA LTM","Value")</f>
        <v>#VALUE!</v>
      </c>
      <c r="CH33" s="56" t="e">
        <f>_xll.DBRW($A$3,'Value Tree'!$J$6,CH$6,CH$7,$DB33,$CT33,$CX33,"EBITDA LTM","Value")</f>
        <v>#VALUE!</v>
      </c>
      <c r="CI33" s="56"/>
      <c r="CJ33" s="58" t="e">
        <f t="shared" ref="CJ33:CJ35" si="6">IF($BW$30="+",IF(BO33&gt;CL33*(1+IF(CL33&gt;0,$C$4,-$C$4)),1,IF(BO33&gt;=CK33*(1+IF(CK33&gt;0,-$C$4,$C$4)),0,-1)),IF($BW$30="-",IF(BO33&lt;CL33*(1+IF(CL33&gt;0,-$C$4,$C$4)),1,IF(BO33&lt;=CK33*(1+IF(CK33&gt;0,$C$4,-$C$4)),0,-1))))</f>
        <v>#VALUE!</v>
      </c>
      <c r="CK33" s="56" t="e">
        <f>_xll.DBRW($A$3,'Value Tree'!$J$6,CK$6,CK$7,$DB33,$CT33,$CX33,"EBITDA LTM","Value")</f>
        <v>#VALUE!</v>
      </c>
      <c r="CL33" s="56" t="e">
        <f>_xll.DBRW($A$3,'Value Tree'!$J$6,CL$6,CL$7,$DB33,$CT33,$CX33,"EBITDA LTM","Value")</f>
        <v>#VALUE!</v>
      </c>
      <c r="CR33" t="s">
        <v>23</v>
      </c>
      <c r="CT33" t="s">
        <v>24</v>
      </c>
      <c r="CV33" t="s">
        <v>8</v>
      </c>
      <c r="CX33" t="s">
        <v>7</v>
      </c>
      <c r="DB33" t="s">
        <v>32</v>
      </c>
      <c r="DD33" t="s">
        <v>24</v>
      </c>
      <c r="DF33" t="s">
        <v>8</v>
      </c>
      <c r="DH33" t="s">
        <v>7</v>
      </c>
    </row>
    <row r="34" spans="1:112">
      <c r="E34" s="51"/>
      <c r="F34" s="6"/>
      <c r="G34" s="42"/>
      <c r="H34" s="42"/>
      <c r="I34" s="42"/>
      <c r="J34" s="6"/>
      <c r="K34" s="42"/>
      <c r="L34" s="42"/>
      <c r="M34" s="9"/>
      <c r="N34" s="6"/>
      <c r="O34" s="6"/>
      <c r="P34" s="51"/>
      <c r="Q34" s="6"/>
      <c r="R34" s="42"/>
      <c r="S34" s="42"/>
      <c r="T34" s="42"/>
      <c r="U34" s="6"/>
      <c r="V34" s="42"/>
      <c r="W34" s="42"/>
      <c r="X34" s="9"/>
      <c r="Y34" s="6"/>
      <c r="Z34" s="6"/>
      <c r="AA34" s="4" t="str">
        <f>$A$20</f>
        <v>l500</v>
      </c>
      <c r="AB34" s="3" t="e">
        <f>IF(AA29="+",IF(AC31&gt;AC34*(1+IF(AC34&gt;0,$C$4,-$C$4)),1,IF(AC31&gt;=AC33*(1+IF(AC33&gt;0,-$C$4,$C$4)),0,-1)),IF(AA29="-",IF(AC31&lt;AC34*(1+IF(AC34&gt;0,-$C$4,$C$4)),1,IF(AC31&lt;=AC33*(1+IF(AC33&gt;0,$C$4,-$C$4)),0,-1))))</f>
        <v>#VALUE!</v>
      </c>
      <c r="AC34" s="141" t="e">
        <f>_xll.DBRW($A$3,'Value Tree'!$J$6,AC$29,$AA34,$AQ33,$AP33,"Total Products","EBITDA LTM","Value")</f>
        <v>#VALUE!</v>
      </c>
      <c r="AD34" s="141"/>
      <c r="AE34" s="141"/>
      <c r="AF34" s="147"/>
      <c r="AG34" s="147"/>
      <c r="AH34" s="147"/>
      <c r="AI34" s="3" t="e">
        <f>IF(AA29="+",IF(AJ31&gt;AJ34*(1+IF(AJ34&gt;0,$C$4,-$C$4)),1,IF(AJ31&gt;=AJ33*(1+IF(AJ33&gt;0,-$C$4,$C$4)),0,-1)),IF(AA29="-",IF(AJ31&lt;AJ34*(1+IF(AJ34&gt;0,-$C$4,$C$4)),1,IF(AJ31&lt;=AJ33*(1+IF(AJ33&gt;0,$C$4,-$C$4)),0,-1))))</f>
        <v>#VALUE!</v>
      </c>
      <c r="AJ34" s="141" t="e">
        <f>_xll.DBRW($A$3,'Value Tree'!$J$6,AJ$29,$AA34,$AQ33,$AP33,"Total Products","EBITDA LTM","Value")</f>
        <v>#VALUE!</v>
      </c>
      <c r="AK34" s="141"/>
      <c r="AL34" s="141"/>
      <c r="AM34" s="145"/>
      <c r="AN34" s="145"/>
      <c r="AO34" s="146"/>
      <c r="AP34" s="6"/>
      <c r="AT34" s="46"/>
      <c r="AU34" s="43"/>
      <c r="AV34" s="43"/>
      <c r="AW34" s="43"/>
      <c r="AX34" s="43"/>
      <c r="AY34" s="43"/>
      <c r="AZ34" s="43"/>
      <c r="BA34" s="57"/>
      <c r="BB34" s="42"/>
      <c r="BC34" s="42"/>
      <c r="BD34" s="42"/>
      <c r="BE34" s="57"/>
      <c r="BF34" s="42"/>
      <c r="BG34" s="42"/>
      <c r="BH34" s="42"/>
      <c r="BI34" s="46"/>
      <c r="BJ34" s="57"/>
      <c r="BK34" s="42"/>
      <c r="BL34" s="42"/>
      <c r="BM34" s="42"/>
      <c r="BN34" s="57"/>
      <c r="BO34" s="42"/>
      <c r="BP34" s="42"/>
      <c r="BQ34" s="42"/>
      <c r="BR34" s="46"/>
      <c r="BS34" s="46"/>
      <c r="BT34" s="5"/>
      <c r="CJ34" s="58"/>
    </row>
    <row r="35" spans="1:112">
      <c r="A35" s="1" t="s">
        <v>31</v>
      </c>
      <c r="E35" s="15"/>
      <c r="F35" s="148" t="s">
        <v>30</v>
      </c>
      <c r="G35" s="148"/>
      <c r="H35" s="148"/>
      <c r="I35" s="148"/>
      <c r="J35" s="148"/>
      <c r="K35" s="148"/>
      <c r="L35" s="148"/>
      <c r="M35" s="149"/>
      <c r="N35" s="6"/>
      <c r="O35" s="6"/>
      <c r="P35" s="7"/>
      <c r="Q35" s="148" t="s">
        <v>29</v>
      </c>
      <c r="R35" s="148"/>
      <c r="S35" s="148"/>
      <c r="T35" s="148"/>
      <c r="U35" s="148"/>
      <c r="V35" s="148"/>
      <c r="W35" s="148"/>
      <c r="X35" s="149"/>
      <c r="Y35" s="6"/>
      <c r="Z35" s="6"/>
      <c r="AA35" s="8"/>
      <c r="AB35" s="152" t="s">
        <v>28</v>
      </c>
      <c r="AC35" s="152"/>
      <c r="AD35" s="152"/>
      <c r="AE35" s="152"/>
      <c r="AF35" s="152"/>
      <c r="AG35" s="152"/>
      <c r="AH35" s="152"/>
      <c r="AI35" s="152"/>
      <c r="AJ35" s="152"/>
      <c r="AK35" s="152"/>
      <c r="AL35" s="152"/>
      <c r="AM35" s="152"/>
      <c r="AN35" s="152"/>
      <c r="AO35" s="153"/>
      <c r="AP35" s="6"/>
      <c r="AQ35" s="6"/>
      <c r="AR35" s="6"/>
      <c r="AS35" s="6"/>
      <c r="AT35" s="46"/>
      <c r="AU35" s="154" t="s">
        <v>27</v>
      </c>
      <c r="AV35" s="154"/>
      <c r="AW35" s="154"/>
      <c r="AX35" s="154"/>
      <c r="AY35" s="154"/>
      <c r="AZ35" s="154"/>
      <c r="BA35" s="57"/>
      <c r="BB35" s="150" t="e">
        <f>_xll.DBRW($A$3,'Value Tree'!$J$6,BB$29,$CV35,$CR35,$CT35,$CX35,"EBITDA LTM","Value")</f>
        <v>#VALUE!</v>
      </c>
      <c r="BC35" s="150"/>
      <c r="BD35" s="150"/>
      <c r="BE35" s="57"/>
      <c r="BF35" s="150" t="e">
        <f>_xll.DBRW($A$3,'Value Tree'!$J$6,BF$29,$CV35,$CR35,$CT35,$CX35,"EBITDA LTM","Value")</f>
        <v>#VALUE!</v>
      </c>
      <c r="BG35" s="150"/>
      <c r="BH35" s="150"/>
      <c r="BI35" s="46"/>
      <c r="BJ35" s="57"/>
      <c r="BK35" s="150" t="e">
        <f>_xll.DBRW($A$3,'Value Tree'!$J$6,BK$29,$DF35,$DB35,$DD35,$DH35,"EBITDA LTM","Value")</f>
        <v>#VALUE!</v>
      </c>
      <c r="BL35" s="150"/>
      <c r="BM35" s="150"/>
      <c r="BN35" s="57"/>
      <c r="BO35" s="150" t="e">
        <f>_xll.DBRW($A$3,'Value Tree'!$J$6,BO$29,$DF35,$DB35,$DD35,$DH35,"EBITDA LTM","Value")</f>
        <v>#VALUE!</v>
      </c>
      <c r="BP35" s="150"/>
      <c r="BQ35" s="150"/>
      <c r="BR35" s="46"/>
      <c r="BS35" s="46"/>
      <c r="BT35" s="5"/>
      <c r="BX35" s="55" t="e">
        <f>IF($BW$30="+",IF(BB35&gt;BZ35*(1+IF(BZ35&gt;0,$C$4,-$C$4)),1,IF(BB35&gt;=BY35*(1+IF(BY35&gt;0,-$C$4,$C$4)),0,-1)),IF($BW$30="-",IF(BB35&lt;BZ35*(1+IF(BZ35&gt;0,-$C$4,$C$4)),1,IF(BB35&lt;=BY35*(1+IF(BY35&gt;0,$C$4,-$C$4)),0,-1))))</f>
        <v>#VALUE!</v>
      </c>
      <c r="BY35" s="56" t="e">
        <f>_xll.DBRW($A$3,'Value Tree'!$J$6,BY$6,BY$7,$CR35,$CT35,$CX35,"EBITDA LTM","Value")</f>
        <v>#VALUE!</v>
      </c>
      <c r="BZ35" s="56" t="e">
        <f>_xll.DBRW($A$3,'Value Tree'!$J$6,BZ$6,BZ$7,$CR35,$CT35,$CX35,"EBITDA LTM","Value")</f>
        <v>#VALUE!</v>
      </c>
      <c r="CA35" s="56"/>
      <c r="CB35" s="58" t="e">
        <f t="shared" si="4"/>
        <v>#VALUE!</v>
      </c>
      <c r="CC35" s="56" t="e">
        <f>_xll.DBRW($A$3,'Value Tree'!$J$6,CC$6,CC$7,$CR35,$CT35,$CX35,"EBITDA LTM","Value")</f>
        <v>#VALUE!</v>
      </c>
      <c r="CD35" s="56" t="e">
        <f>_xll.DBRW($A$3,'Value Tree'!$J$6,CD$6,CD$7,$CR35,$CT35,$CX35,"EBITDA LTM","Value")</f>
        <v>#VALUE!</v>
      </c>
      <c r="CF35" s="55" t="e">
        <f t="shared" si="5"/>
        <v>#VALUE!</v>
      </c>
      <c r="CG35" s="56" t="e">
        <f>_xll.DBRW($A$3,'Value Tree'!$J$6,CG$6,CG$7,$DB35,$CT35,$CX35,"EBITDA LTM","Value")</f>
        <v>#VALUE!</v>
      </c>
      <c r="CH35" s="56" t="e">
        <f>_xll.DBRW($A$3,'Value Tree'!$J$6,CH$6,CH$7,$DB35,$CT35,$CX35,"EBITDA LTM","Value")</f>
        <v>#VALUE!</v>
      </c>
      <c r="CI35" s="56"/>
      <c r="CJ35" s="58" t="e">
        <f t="shared" si="6"/>
        <v>#VALUE!</v>
      </c>
      <c r="CK35" s="56" t="e">
        <f>_xll.DBRW($A$3,'Value Tree'!$J$6,CK$6,CK$7,$DB35,$CT35,$CX35,"EBITDA LTM","Value")</f>
        <v>#VALUE!</v>
      </c>
      <c r="CL35" s="56" t="e">
        <f>_xll.DBRW($A$3,'Value Tree'!$J$6,CL$6,CL$7,$DB35,$CT35,$CX35,"EBITDA LTM","Value")</f>
        <v>#VALUE!</v>
      </c>
      <c r="CR35" t="s">
        <v>23</v>
      </c>
      <c r="CT35" t="s">
        <v>24</v>
      </c>
      <c r="CV35" t="s">
        <v>8</v>
      </c>
      <c r="CX35" t="s">
        <v>7</v>
      </c>
      <c r="DB35" t="s">
        <v>26</v>
      </c>
      <c r="DD35" t="s">
        <v>24</v>
      </c>
      <c r="DF35" t="s">
        <v>8</v>
      </c>
      <c r="DH35" t="s">
        <v>7</v>
      </c>
    </row>
    <row r="36" spans="1:112">
      <c r="A36" t="s">
        <v>25</v>
      </c>
      <c r="E36" s="15" t="e">
        <f>'Value Tree'!$D$4</f>
        <v>#N/A</v>
      </c>
      <c r="F36" s="161"/>
      <c r="G36" s="163" t="e">
        <f>_xll.DBRW(A3,'Value Tree'!J6,G33,E36,A24,A28,A31,"% ROIC","Value")</f>
        <v>#VALUE!</v>
      </c>
      <c r="H36" s="163"/>
      <c r="I36" s="163"/>
      <c r="J36" s="161"/>
      <c r="K36" s="163" t="e">
        <f>_xll.DBRW(A3,'Value Tree'!J6,K33,E36,A24,A28,A31,"% ROIC","Value")</f>
        <v>#VALUE!</v>
      </c>
      <c r="L36" s="163"/>
      <c r="M36" s="164"/>
      <c r="N36" s="6"/>
      <c r="O36" s="6"/>
      <c r="P36" s="7" t="e">
        <f>'Value Tree'!$D$4</f>
        <v>#N/A</v>
      </c>
      <c r="Q36" s="161"/>
      <c r="R36" s="150" t="e">
        <f>_xll.DBRW(A3,'Value Tree'!J6,R33,P36,A24,A28,"Total Products","Income Tax LTM","Value")</f>
        <v>#VALUE!</v>
      </c>
      <c r="S36" s="150"/>
      <c r="T36" s="150"/>
      <c r="U36" s="161"/>
      <c r="V36" s="150" t="e">
        <f>_xll.DBRW(A3,'Value Tree'!J6,V33,P36,A24,A28,"Total Products","Income Tax LTM","Value")</f>
        <v>#VALUE!</v>
      </c>
      <c r="W36" s="150"/>
      <c r="X36" s="167"/>
      <c r="Y36" s="6"/>
      <c r="Z36" s="6"/>
      <c r="AA36" s="7" t="e">
        <f>'Value Tree'!$D$4</f>
        <v>#N/A</v>
      </c>
      <c r="AB36" s="161"/>
      <c r="AC36" s="150" t="e">
        <f>_xll.DBRW($A$3,'Value Tree'!$J$6,AC$29,$AA36,$AQ36,$AP36,"Total Products","EBIT","Value")</f>
        <v>#VALUE!</v>
      </c>
      <c r="AD36" s="150"/>
      <c r="AE36" s="150"/>
      <c r="AF36" s="162" t="e">
        <f>AC36/_xll.DBRW($A$3,'Value Tree'!$J$6,AF29,$AA36,$AQ36,$AR36,"Total Products","EBITDA LTM","Value")</f>
        <v>#VALUE!</v>
      </c>
      <c r="AG36" s="162"/>
      <c r="AH36" s="162"/>
      <c r="AI36" s="161"/>
      <c r="AJ36" s="150" t="e">
        <f>_xll.DBRW($A$3,'Value Tree'!$J$6,AJ$29,$AA36,$AQ36,$AP36,"Total Products","EBITDA LTM","Value")</f>
        <v>#VALUE!</v>
      </c>
      <c r="AK36" s="150"/>
      <c r="AL36" s="150"/>
      <c r="AM36" s="156" t="e">
        <f>AJ36/_xll.DBRW($A$3,'Value Tree'!$J$6,AM29,$AA36,$AQ36,$AR36,"Total Products","EBITDA LTM","Value")</f>
        <v>#VALUE!</v>
      </c>
      <c r="AN36" s="156"/>
      <c r="AO36" s="157"/>
      <c r="AP36" s="6" t="s">
        <v>24</v>
      </c>
      <c r="AQ36" t="s">
        <v>23</v>
      </c>
      <c r="AR36" s="6" t="s">
        <v>87</v>
      </c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6"/>
      <c r="BT36" s="5"/>
    </row>
    <row r="37" spans="1:112">
      <c r="E37" s="15" t="e">
        <f>'Value Tree'!$J$4</f>
        <v>#N/A</v>
      </c>
      <c r="F37" s="161"/>
      <c r="G37" s="173" t="e">
        <f>_xll.DBRW(A3,'Value Tree'!J6,G33,E37,A24,A28,A31,"% ROIC","Value")</f>
        <v>#VALUE!</v>
      </c>
      <c r="H37" s="173"/>
      <c r="I37" s="173"/>
      <c r="J37" s="161"/>
      <c r="K37" s="173" t="e">
        <f>_xll.DBRW(A3,'Value Tree'!J6,K33,E37,A24,A28,A31,"% ROIC","Value")</f>
        <v>#VALUE!</v>
      </c>
      <c r="L37" s="173"/>
      <c r="M37" s="174"/>
      <c r="N37" s="6"/>
      <c r="O37" s="6"/>
      <c r="P37" s="7" t="e">
        <f>'Value Tree'!$J$4</f>
        <v>#N/A</v>
      </c>
      <c r="Q37" s="161"/>
      <c r="R37" s="151" t="e">
        <f>_xll.DBRW(A3,'Value Tree'!J6,R33,P37,A24,A28,"Total Products","Income Tax LTM","Value")</f>
        <v>#VALUE!</v>
      </c>
      <c r="S37" s="151"/>
      <c r="T37" s="151"/>
      <c r="U37" s="161"/>
      <c r="V37" s="151" t="e">
        <f>_xll.DBRW(A3,'Value Tree'!J6,V33,P37,A24,A28,"Total Products","Income Tax LTM","Value")</f>
        <v>#VALUE!</v>
      </c>
      <c r="W37" s="151"/>
      <c r="X37" s="158"/>
      <c r="Y37" s="6"/>
      <c r="Z37" s="6"/>
      <c r="AA37" s="7" t="e">
        <f>'Value Tree'!$J$4</f>
        <v>#N/A</v>
      </c>
      <c r="AB37" s="161"/>
      <c r="AC37" s="151" t="e">
        <f>_xll.DBRW($A$3,'Value Tree'!$J$6,AC$29,$AA37,$AQ37,$AP37,"Total Products","EBIT","Value")</f>
        <v>#VALUE!</v>
      </c>
      <c r="AD37" s="151"/>
      <c r="AE37" s="151"/>
      <c r="AF37" s="155" t="e">
        <f>AC37/_xll.DBRW($A$3,'Value Tree'!$J$6,AF29,$AA37,$AQ37,$AR37,"Total Products","EBITDA LTM","Value")</f>
        <v>#VALUE!</v>
      </c>
      <c r="AG37" s="155"/>
      <c r="AH37" s="155"/>
      <c r="AI37" s="161"/>
      <c r="AJ37" s="151" t="e">
        <f>_xll.DBRW($A$3,'Value Tree'!$J$6,AJ$29,$AA37,$AQ37,$AP37,"Total Products","EBITDA LTM","Value")</f>
        <v>#VALUE!</v>
      </c>
      <c r="AK37" s="151"/>
      <c r="AL37" s="151"/>
      <c r="AM37" s="159" t="e">
        <f>AJ37/_xll.DBRW($A$3,'Value Tree'!$J$6,AM29,$AA37,$AQ37,$AR37,"Total Products","EBITDA LTM","Value")</f>
        <v>#VALUE!</v>
      </c>
      <c r="AN37" s="159"/>
      <c r="AO37" s="160"/>
      <c r="AP37" s="6" t="s">
        <v>24</v>
      </c>
      <c r="AQ37" t="s">
        <v>23</v>
      </c>
      <c r="AR37" s="6" t="s">
        <v>87</v>
      </c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6"/>
      <c r="BT37" s="5"/>
    </row>
    <row r="38" spans="1:112">
      <c r="A38" s="14" t="s">
        <v>22</v>
      </c>
      <c r="E38" s="4" t="str">
        <f>$A$20</f>
        <v>l500</v>
      </c>
      <c r="F38" s="3" t="e">
        <f>IF(E33="+",IF(G36&gt;G38*(1+IF(G38&gt;0,$C$4,-$C$4)),1,IF(G36&gt;=G37*(1+IF(G37&gt;0,-$C$4,$C$4)),0,-1)),IF(E33="-",IF(G36&lt;G38*(1+IF(G38&gt;0,-$C$4,$C$4)),1,IF(G36&lt;=G37*(1+IF(G37&gt;0,$C$4,-$C$4)),0,-1))))</f>
        <v>#VALUE!</v>
      </c>
      <c r="G38" s="141" t="e">
        <f>_xll.DBRW(A3,'Value Tree'!J6,G33,E38,A24,A28,A31,"% ROIC","Value")</f>
        <v>#VALUE!</v>
      </c>
      <c r="H38" s="141"/>
      <c r="I38" s="141"/>
      <c r="J38" s="3" t="e">
        <f>IF(E33="+",IF(K36&gt;K38*(1+IF(K38&gt;0,$C$4,-$C$4)),1,IF(K36&gt;=K37*(1+IF(K37&gt;0,-$C$4,$C$4)),0,-1)),IF(E33="-",IF(K36&lt;K38*(1+IF(K38&gt;0,-$C$4,$C$4)),1,IF(K36&lt;=K37*(1+IF(K37&gt;0,$C$4,-$C$4)),0,-1))))</f>
        <v>#VALUE!</v>
      </c>
      <c r="K38" s="141" t="e">
        <f>_xll.DBRW(A3,'Value Tree'!J6,K33,E38,A24,A28,A31,"% ROIC","Value")</f>
        <v>#VALUE!</v>
      </c>
      <c r="L38" s="141"/>
      <c r="M38" s="142"/>
      <c r="N38" s="6"/>
      <c r="O38" s="6"/>
      <c r="P38" s="4" t="str">
        <f>$A$20</f>
        <v>l500</v>
      </c>
      <c r="Q38" s="3" t="e">
        <f>IF(P33="+",IF(R36&gt;R38*(1+IF(R38&gt;0,$C$4,-$C$4)),1,IF(R36&gt;=R37*(1+IF(R37&gt;0,-$C$4,$C$4)),0,-1)),IF(P33="-",IF(R36&lt;R38*(1+IF(R38&gt;0,-$C$4,$C$4)),1,IF(R36&lt;=R37*(1+IF(R37&gt;0,$C$4,-$C$4)),0,-1))))</f>
        <v>#VALUE!</v>
      </c>
      <c r="R38" s="143" t="e">
        <f>_xll.DBRW(A3,'Value Tree'!J6,R33,P38,A24,A28,"Total Products","Income Tax LTM","Value")</f>
        <v>#VALUE!</v>
      </c>
      <c r="S38" s="143"/>
      <c r="T38" s="143"/>
      <c r="U38" s="3" t="e">
        <f>IF(P33="+",IF(V36&gt;V38*(1+IF(V38&gt;0,$C$4,-$C$4)),1,IF(V36&gt;=V37*(1+IF(V37&gt;0,-$C$4,$C$4)),0,-1)),IF(P33="-",IF(V36&lt;V38*(1+IF(V38&gt;0,-$C$4,$C$4)),1,IF(V36&lt;=V37*(1+IF(V37&gt;0,$C$4,-$C$4)),0,-1))))</f>
        <v>#VALUE!</v>
      </c>
      <c r="V38" s="143" t="e">
        <f>_xll.DBRW(A3,'Value Tree'!J6,V33,P38,A24,A28,"Total Products","Income Tax LTM","Value")</f>
        <v>#VALUE!</v>
      </c>
      <c r="W38" s="143"/>
      <c r="X38" s="144"/>
      <c r="Y38" s="6"/>
      <c r="Z38" s="6"/>
      <c r="AA38" s="4" t="str">
        <f>$A$20</f>
        <v>l500</v>
      </c>
      <c r="AB38" s="3" t="e">
        <f>IF(AA29="+",IF(AC36&gt;AC38*(1+IF(AC38&gt;0,$C$4,-$C$4)),1,IF(AC36&gt;=AC37*(1+IF(AC37&gt;0,-$C$4,$C$4)),0,-1)),IF(AA29="-",IF(AC36&lt;AC38*(1+IF(AC38&gt;0,-$C$4,$C$4)),1,IF(AC36&lt;=AC37*(1+IF(AC37&gt;0,$C$4,-$C$4)),0,-1))))</f>
        <v>#VALUE!</v>
      </c>
      <c r="AC38" s="141" t="e">
        <f>_xll.DBRW($A$3,'Value Tree'!$J$6,AC$29,$AA38,$AQ37,$AP37,"Total Products","EBIT","Value")</f>
        <v>#VALUE!</v>
      </c>
      <c r="AD38" s="141"/>
      <c r="AE38" s="141"/>
      <c r="AF38" s="141"/>
      <c r="AG38" s="141"/>
      <c r="AH38" s="141"/>
      <c r="AI38" s="3" t="e">
        <f>IF(AA29="+",IF(AJ36&gt;AJ38*(1+IF(AJ38&gt;0,$C$4,-$C$4)),1,IF(AJ36&gt;=AJ37*(1+IF(AJ37&gt;0,-$C$4,$C$4)),0,-1)),IF(AA29="-",IF(AJ36&lt;AJ38*(1+IF(AJ38&gt;0,-$C$4,$C$4)),1,IF(AJ36&lt;=AJ37*(1+IF(AJ37&gt;0,$C$4,-$C$4)),0,-1))))</f>
        <v>#VALUE!</v>
      </c>
      <c r="AJ38" s="141" t="e">
        <f>_xll.DBRW($A$3,'Value Tree'!$J$6,AJ$29,$AA38,$AQ37,$AP37,"Total Products","EBITDA LTM","Value")</f>
        <v>#VALUE!</v>
      </c>
      <c r="AK38" s="141"/>
      <c r="AL38" s="141"/>
      <c r="AM38" s="141"/>
      <c r="AN38" s="141"/>
      <c r="AO38" s="142"/>
      <c r="AP38" s="6"/>
      <c r="AQ38" s="6"/>
      <c r="AR38" s="6"/>
      <c r="AS38" s="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6"/>
      <c r="BT38" s="5"/>
    </row>
    <row r="39" spans="1:112">
      <c r="A39" s="14"/>
      <c r="E39" s="41"/>
      <c r="F39" s="6"/>
      <c r="G39" s="6"/>
      <c r="H39" s="6"/>
      <c r="I39" s="6"/>
      <c r="J39" s="6"/>
      <c r="K39" s="6"/>
      <c r="L39" s="6"/>
      <c r="M39" s="6"/>
      <c r="N39" s="6"/>
      <c r="O39" s="6"/>
      <c r="P39" s="13" t="s">
        <v>20</v>
      </c>
      <c r="Q39" s="12"/>
      <c r="R39" s="165" t="e">
        <f>'Value Tree'!$D$6</f>
        <v>#N/A</v>
      </c>
      <c r="S39" s="165"/>
      <c r="T39" s="165"/>
      <c r="U39" s="12"/>
      <c r="V39" s="165" t="str">
        <f>$A$17</f>
        <v>Year</v>
      </c>
      <c r="W39" s="165"/>
      <c r="X39" s="16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5"/>
    </row>
    <row r="40" spans="1:112">
      <c r="A40" t="s">
        <v>84</v>
      </c>
      <c r="E40" s="41"/>
      <c r="F40" s="6"/>
      <c r="G40" s="6"/>
      <c r="H40" s="6"/>
      <c r="I40" s="6"/>
      <c r="J40" s="6"/>
      <c r="K40" s="6"/>
      <c r="L40" s="6"/>
      <c r="M40" s="6"/>
      <c r="N40" s="6"/>
      <c r="O40" s="6"/>
      <c r="P40" s="7"/>
      <c r="Q40" s="148" t="s">
        <v>21</v>
      </c>
      <c r="R40" s="148"/>
      <c r="S40" s="148"/>
      <c r="T40" s="148"/>
      <c r="U40" s="148"/>
      <c r="V40" s="148"/>
      <c r="W40" s="148"/>
      <c r="X40" s="149"/>
      <c r="Y40" s="6"/>
      <c r="Z40" s="6"/>
      <c r="AA40" s="13" t="s">
        <v>20</v>
      </c>
      <c r="AB40" s="12"/>
      <c r="AC40" s="170" t="e">
        <f>'Value Tree'!$D$6</f>
        <v>#N/A</v>
      </c>
      <c r="AD40" s="170"/>
      <c r="AE40" s="170"/>
      <c r="AF40" s="170" t="e">
        <f>'Value Tree'!$D$6</f>
        <v>#N/A</v>
      </c>
      <c r="AG40" s="170"/>
      <c r="AH40" s="170"/>
      <c r="AI40" s="12"/>
      <c r="AJ40" s="170" t="s">
        <v>19</v>
      </c>
      <c r="AK40" s="170"/>
      <c r="AL40" s="170"/>
      <c r="AM40" s="170" t="s">
        <v>19</v>
      </c>
      <c r="AN40" s="170"/>
      <c r="AO40" s="171"/>
      <c r="AP40" s="6"/>
      <c r="AQ40" s="6"/>
      <c r="AR40" s="6"/>
      <c r="AS40" s="6"/>
      <c r="AT40" s="44" t="s">
        <v>18</v>
      </c>
      <c r="AU40" s="46"/>
      <c r="AV40" s="46"/>
      <c r="AW40" s="46"/>
      <c r="AX40" s="46"/>
      <c r="AY40" s="46"/>
      <c r="AZ40" s="46"/>
      <c r="BA40" s="46"/>
      <c r="BB40" s="176" t="e">
        <f>'Value Tree'!$D$6</f>
        <v>#N/A</v>
      </c>
      <c r="BC40" s="176"/>
      <c r="BD40" s="176"/>
      <c r="BE40" s="46"/>
      <c r="BF40" s="176" t="str">
        <f>$A$17</f>
        <v>Year</v>
      </c>
      <c r="BG40" s="176"/>
      <c r="BH40" s="176"/>
      <c r="BI40" s="46"/>
      <c r="BJ40" s="46"/>
      <c r="BK40" s="176" t="e">
        <f>'Value Tree'!$D$6</f>
        <v>#N/A</v>
      </c>
      <c r="BL40" s="176"/>
      <c r="BM40" s="176"/>
      <c r="BN40" s="46"/>
      <c r="BO40" s="176" t="str">
        <f>$A$17</f>
        <v>Year</v>
      </c>
      <c r="BP40" s="176"/>
      <c r="BQ40" s="176"/>
      <c r="BR40" s="46"/>
      <c r="BS40" s="46"/>
      <c r="BT40" s="5"/>
    </row>
    <row r="41" spans="1:112">
      <c r="A41" s="2"/>
      <c r="E41" s="41"/>
      <c r="F41" s="6"/>
      <c r="G41" s="6"/>
      <c r="H41" s="6"/>
      <c r="I41" s="6"/>
      <c r="J41" s="6"/>
      <c r="K41" s="6"/>
      <c r="L41" s="6"/>
      <c r="M41" s="6"/>
      <c r="N41" s="6"/>
      <c r="O41" s="6"/>
      <c r="P41" s="7" t="e">
        <f>'Value Tree'!$D$4</f>
        <v>#N/A</v>
      </c>
      <c r="Q41" s="161"/>
      <c r="R41" s="150" t="e">
        <f>_xll.DBRW(A5,'Value Tree'!J6,R39,P41,A24,A28,"Financial Results",A48)</f>
        <v>#VALUE!</v>
      </c>
      <c r="S41" s="150"/>
      <c r="T41" s="150"/>
      <c r="U41" s="161"/>
      <c r="V41" s="150" t="e">
        <f>_xll.DBRW(A5,'Value Tree'!J6,V39,P41,A24,A28,"Financial Results",A48)</f>
        <v>#VALUE!</v>
      </c>
      <c r="W41" s="150"/>
      <c r="X41" s="167"/>
      <c r="Y41" s="6"/>
      <c r="Z41" s="6"/>
      <c r="AA41" s="7"/>
      <c r="AB41" s="148" t="s">
        <v>17</v>
      </c>
      <c r="AC41" s="148"/>
      <c r="AD41" s="148"/>
      <c r="AE41" s="148"/>
      <c r="AF41" s="148"/>
      <c r="AG41" s="148"/>
      <c r="AH41" s="148"/>
      <c r="AI41" s="148"/>
      <c r="AJ41" s="148"/>
      <c r="AK41" s="148"/>
      <c r="AL41" s="148"/>
      <c r="AM41" s="148"/>
      <c r="AN41" s="148"/>
      <c r="AO41" s="149"/>
      <c r="AP41" s="6"/>
      <c r="AQ41" s="6"/>
      <c r="AR41" s="6"/>
      <c r="AS41" s="6"/>
      <c r="AT41" s="46"/>
      <c r="AU41" s="148" t="s">
        <v>16</v>
      </c>
      <c r="AV41" s="148"/>
      <c r="AW41" s="148"/>
      <c r="AX41" s="148"/>
      <c r="AY41" s="148"/>
      <c r="AZ41" s="148"/>
      <c r="BA41" s="148"/>
      <c r="BB41" s="148"/>
      <c r="BC41" s="148"/>
      <c r="BD41" s="148"/>
      <c r="BE41" s="148"/>
      <c r="BF41" s="148"/>
      <c r="BG41" s="148"/>
      <c r="BH41" s="148"/>
      <c r="BI41" s="46"/>
      <c r="BJ41" s="148" t="s">
        <v>15</v>
      </c>
      <c r="BK41" s="148"/>
      <c r="BL41" s="148"/>
      <c r="BM41" s="148"/>
      <c r="BN41" s="148"/>
      <c r="BO41" s="148"/>
      <c r="BP41" s="148"/>
      <c r="BQ41" s="148"/>
      <c r="BR41" s="46"/>
      <c r="BS41" s="46"/>
      <c r="BT41" s="5"/>
      <c r="BW41" t="s">
        <v>20</v>
      </c>
    </row>
    <row r="42" spans="1:112">
      <c r="A42" s="10"/>
      <c r="E42" s="41"/>
      <c r="F42" s="6"/>
      <c r="G42" s="6" t="e">
        <f>'Value Tree'!$D$6</f>
        <v>#N/A</v>
      </c>
      <c r="H42" s="6" t="str">
        <f>A17</f>
        <v>Year</v>
      </c>
      <c r="I42" s="6"/>
      <c r="J42" s="6"/>
      <c r="K42" s="6"/>
      <c r="L42" s="6"/>
      <c r="M42" s="6"/>
      <c r="N42" s="6"/>
      <c r="O42" s="6"/>
      <c r="P42" s="7" t="e">
        <f>'Value Tree'!$J$4</f>
        <v>#N/A</v>
      </c>
      <c r="Q42" s="161"/>
      <c r="R42" s="151" t="e">
        <f>_xll.DBRW(A5,'Value Tree'!J6,R39,P42,A24,A28,"Financial Results",A48)</f>
        <v>#VALUE!</v>
      </c>
      <c r="S42" s="151"/>
      <c r="T42" s="151"/>
      <c r="U42" s="161"/>
      <c r="V42" s="151" t="e">
        <f>_xll.DBRW(A5,'Value Tree'!J6,V39,P42,A24,A28,"Financial Results",A48)</f>
        <v>#VALUE!</v>
      </c>
      <c r="W42" s="151"/>
      <c r="X42" s="158"/>
      <c r="Y42" s="6"/>
      <c r="Z42" s="6"/>
      <c r="AA42" s="7" t="e">
        <f>'Value Tree'!$D$4</f>
        <v>#N/A</v>
      </c>
      <c r="AB42" s="161"/>
      <c r="AC42" s="150" t="e">
        <f>_xll.DBRW($A$3,'Value Tree'!$J$6,AC$40,$AA42,$AQ42,$AP42,"Total Products","EBITDA LTM","Value")</f>
        <v>#VALUE!</v>
      </c>
      <c r="AD42" s="150"/>
      <c r="AE42" s="150"/>
      <c r="AF42" s="162" t="e">
        <f>AC42/_xll.DBRW($A$3,'Value Tree'!$J$6,AF40,$AA42,$AQ42,$AR42,"Total Products","EBITDA LTM","Value")</f>
        <v>#VALUE!</v>
      </c>
      <c r="AG42" s="162"/>
      <c r="AH42" s="162"/>
      <c r="AI42" s="161"/>
      <c r="AJ42" s="150" t="e">
        <f>_xll.DBRW($A$3,'Value Tree'!$J$6,AJ$40,$AA42,$AQ42,$AP42,"Total Products","EBITDA LTM","Value")</f>
        <v>#VALUE!</v>
      </c>
      <c r="AK42" s="150"/>
      <c r="AL42" s="150"/>
      <c r="AM42" s="156" t="e">
        <f>AJ42/_xll.DBRW($A$3,'Value Tree'!$J$6,AM40,$AA42,$AQ42,$AR42,"Total Products","EBITDA LTM","Value")</f>
        <v>#VALUE!</v>
      </c>
      <c r="AN42" s="156"/>
      <c r="AO42" s="157"/>
      <c r="AP42" s="6" t="s">
        <v>4</v>
      </c>
      <c r="AQ42" t="s">
        <v>3</v>
      </c>
      <c r="AR42" s="6" t="s">
        <v>87</v>
      </c>
      <c r="AT42" s="46"/>
      <c r="AU42" s="154" t="s">
        <v>14</v>
      </c>
      <c r="AV42" s="154"/>
      <c r="AW42" s="154"/>
      <c r="AX42" s="154"/>
      <c r="AY42" s="154"/>
      <c r="AZ42" s="154"/>
      <c r="BA42" s="57"/>
      <c r="BB42" s="150" t="e">
        <f>_xll.DBRW($A$3,'Value Tree'!$J$6,BB$40,$CV42,$CR42,$CT42,$CX42,"EBITDA LTM","Value")</f>
        <v>#VALUE!</v>
      </c>
      <c r="BC42" s="150"/>
      <c r="BD42" s="150"/>
      <c r="BE42" s="57"/>
      <c r="BF42" s="150" t="e">
        <f>_xll.DBRW($A$3,'Value Tree'!$J$6,BF$40,$CV42,$CR42,$CT42,$CX42,"EBITDA LTM","Value")</f>
        <v>#VALUE!</v>
      </c>
      <c r="BG42" s="150"/>
      <c r="BH42" s="150"/>
      <c r="BI42" s="46"/>
      <c r="BJ42" s="57"/>
      <c r="BK42" s="150" t="e">
        <f>_xll.DBRW($A$3,'Value Tree'!$J$6,BK$40,$DF42,$DB42,$DD42,$DH42,"EBITDA LTM","Value")</f>
        <v>#VALUE!</v>
      </c>
      <c r="BL42" s="150"/>
      <c r="BM42" s="150"/>
      <c r="BN42" s="57"/>
      <c r="BO42" s="150" t="e">
        <f>_xll.DBRW($A$3,'Value Tree'!$J$6,BO$40,$DF42,$DB42,$DD42,$DH42,"EBITDA LTM","Value")</f>
        <v>#VALUE!</v>
      </c>
      <c r="BP42" s="150"/>
      <c r="BQ42" s="150"/>
      <c r="BR42" s="46"/>
      <c r="BS42" s="46"/>
      <c r="BT42" s="5"/>
      <c r="BX42" s="55" t="e">
        <f>IF($BW$41="+",IF(BB42&gt;BZ42*(1+IF(BZ42&gt;0,$C$4,-$C$4)),1,IF(BB42&gt;=BY42*(1+IF(BY42&gt;0,-$C$4,$C$4)),0,-1)),IF($BW$41="-",IF(BB42&lt;BZ42*(1+IF(BZ42&gt;0,-$C$4,$C$4)),1,IF(BB42&lt;=BY42*(1+IF(BY42&gt;0,$C$4,-$C$4)),0,-1))))</f>
        <v>#VALUE!</v>
      </c>
      <c r="BY42" s="56" t="e">
        <f>_xll.DBRW($A$3,'Value Tree'!$J$6,BY$6,BY$7,$CR42,$CT42,$CX42,"EBITDA LTM","Value")</f>
        <v>#VALUE!</v>
      </c>
      <c r="BZ42" s="56" t="e">
        <f>_xll.DBRW($A$3,'Value Tree'!$J$6,BZ$6,BZ$7,$CR42,$CT42,$CX42,"EBITDA LTM","Value")</f>
        <v>#VALUE!</v>
      </c>
      <c r="CA42" s="56"/>
      <c r="CB42" s="58" t="e">
        <f>IF($BW$41="+",IF(BF42&gt;CD42*(1+IF(CD42&gt;0,$C$4,-$C$4)),1,IF(BF42&gt;=CC42*(1+IF(CC42&gt;0,-$C$4,$C$4)),0,-1)),IF($BW$41="-",IF(BF42&lt;CD42*(1+IF(CD42&gt;0,-$C$4,$C$4)),1,IF(BF42&lt;=CC42*(1+IF(CC42&gt;0,$C$4,-$C$4)),0,-1))))</f>
        <v>#VALUE!</v>
      </c>
      <c r="CC42" s="56" t="e">
        <f>_xll.DBRW($A$3,'Value Tree'!$J$6,CC$6,CC$7,$CR42,$CT42,$CX42,"EBITDA LTM","Value")</f>
        <v>#VALUE!</v>
      </c>
      <c r="CD42" s="56" t="e">
        <f>_xll.DBRW($A$3,'Value Tree'!$J$6,CD$6,CD$7,$CR42,$CT42,$CX42,"EBITDA LTM","Value")</f>
        <v>#VALUE!</v>
      </c>
      <c r="CF42" s="55" t="e">
        <f>IF($BW$41="+",IF(BK42&gt;CH42*(1+IF(CH42&gt;0,$C$4,-$C$4)),1,IF(BK42&gt;=CG42*(1+IF(CG42&gt;0,-$C$4,$C$4)),0,-1)),IF($BW$41="-",IF(BK42&lt;CH42*(1+IF(CH42&gt;0,-$C$4,$C$4)),1,IF(BK42&lt;=CG42*(1+IF(CG42&gt;0,$C$4,-$C$4)),0,-1))))</f>
        <v>#VALUE!</v>
      </c>
      <c r="CG42" s="56" t="e">
        <f>_xll.DBRW($A$3,'Value Tree'!$J$6,CG$6,CG$7,$DB42,$CT42,$CX42,"EBITDA LTM","Value")</f>
        <v>#VALUE!</v>
      </c>
      <c r="CH42" s="56" t="e">
        <f>_xll.DBRW($A$3,'Value Tree'!$J$6,CH$6,CH$7,$DB42,$CT42,$CX42,"EBITDA LTM","Value")</f>
        <v>#VALUE!</v>
      </c>
      <c r="CI42" s="56"/>
      <c r="CJ42" s="58" t="e">
        <f>IF($BW$41="+",IF(BO42&gt;CL42*(1+IF(CL42&gt;0,$C$4,-$C$4)),1,IF(BO42&gt;=CK42*(1+IF(CK42&gt;0,-$C$4,$C$4)),0,-1)),IF($BW$41="-",IF(BO42&lt;CL42*(1+IF(CL42&gt;0,-$C$4,$C$4)),1,IF(BO42&lt;=CK42*(1+IF(CK42&gt;0,$C$4,-$C$4)),0,-1))))</f>
        <v>#VALUE!</v>
      </c>
      <c r="CK42" s="56" t="e">
        <f>_xll.DBRW($A$3,'Value Tree'!$J$6,CK$6,CK$7,$DB42,$CT42,$CX42,"EBITDA LTM","Value")</f>
        <v>#VALUE!</v>
      </c>
      <c r="CL42" s="56" t="e">
        <f>_xll.DBRW($A$3,'Value Tree'!$J$6,CL$6,CL$7,$DB42,$CT42,$CX42,"EBITDA LTM","Value")</f>
        <v>#VALUE!</v>
      </c>
      <c r="CR42" t="s">
        <v>3</v>
      </c>
      <c r="CT42" t="s">
        <v>4</v>
      </c>
      <c r="CV42" t="s">
        <v>8</v>
      </c>
      <c r="CX42" t="s">
        <v>7</v>
      </c>
      <c r="DB42" t="s">
        <v>13</v>
      </c>
      <c r="DD42" t="s">
        <v>4</v>
      </c>
      <c r="DF42" t="s">
        <v>8</v>
      </c>
      <c r="DH42" t="s">
        <v>7</v>
      </c>
    </row>
    <row r="43" spans="1:112">
      <c r="A43" s="1" t="s">
        <v>12</v>
      </c>
      <c r="E43" s="41"/>
      <c r="F43" s="6"/>
      <c r="G43" t="s">
        <v>11</v>
      </c>
      <c r="H43" t="s">
        <v>11</v>
      </c>
      <c r="I43" s="6"/>
      <c r="J43" s="6"/>
      <c r="K43" s="6"/>
      <c r="L43" s="6"/>
      <c r="M43" s="6"/>
      <c r="N43" s="6"/>
      <c r="O43" s="6"/>
      <c r="P43" s="4" t="str">
        <f>$A$20</f>
        <v>l500</v>
      </c>
      <c r="Q43" s="3" t="e">
        <f>IF(P39="+",IF(R41&gt;R43*(1+IF(R43&gt;0,$C$4,-$C$4)),1,IF(R41&gt;=R42*(1+IF(R42&gt;0,-$C$4,$C$4)),0,-1)),IF(P39="-",IF(R41&lt;R43*(1+IF(R43&gt;0,-$C$4,$C$4)),1,IF(R41&lt;=R42*(1+IF(R42&gt;0,$C$4,-$C$4)),0,-1))))</f>
        <v>#VALUE!</v>
      </c>
      <c r="R43" s="141" t="e">
        <f>_xll.DBRW(A5,'Value Tree'!J6,R39,P43,A24,A28,"Financial Results",A48)</f>
        <v>#VALUE!</v>
      </c>
      <c r="S43" s="141"/>
      <c r="T43" s="141"/>
      <c r="U43" s="3" t="e">
        <f>IF(P39="+",IF(V41&gt;V43*(1+IF(V43&gt;0,$C$4,-$C$4)),1,IF(V41&gt;=V42*(1+IF(V42&gt;0,-$C$4,$C$4)),0,-1)),IF(P39="-",IF(V41&lt;V43*(1+IF(V43&gt;0,-$C$4,$C$4)),1,IF(V41&lt;=V42*(1+IF(V42&gt;0,$C$4,-$C$4)),0,-1))))</f>
        <v>#VALUE!</v>
      </c>
      <c r="V43" s="141" t="e">
        <f>_xll.DBRW(A5,'Value Tree'!J6,V39,P43,A24,A28,"Financial Results",A48)</f>
        <v>#VALUE!</v>
      </c>
      <c r="W43" s="141"/>
      <c r="X43" s="142"/>
      <c r="Y43" s="6"/>
      <c r="Z43" s="6"/>
      <c r="AA43" s="7" t="e">
        <f>'Value Tree'!$J$4</f>
        <v>#N/A</v>
      </c>
      <c r="AB43" s="161"/>
      <c r="AC43" s="151" t="e">
        <f>_xll.DBRW($A$3,'Value Tree'!$J$6,AC$40,$AA43,$AQ43,$AP43,"Total Products","EBITDA LTM","Value")</f>
        <v>#VALUE!</v>
      </c>
      <c r="AD43" s="151"/>
      <c r="AE43" s="151"/>
      <c r="AF43" s="155" t="e">
        <f>AC43/_xll.DBRW($A$3,'Value Tree'!$J$6,AF40,$AA43,$AQ43,$AR43,"Total Products","EBITDA LTM","Value")</f>
        <v>#VALUE!</v>
      </c>
      <c r="AG43" s="155"/>
      <c r="AH43" s="155"/>
      <c r="AI43" s="161"/>
      <c r="AJ43" s="151" t="e">
        <f>_xll.DBRW($A$3,'Value Tree'!$J$6,AJ$40,$AA43,$AQ43,$AP43,"Total Products","EBITDA LTM","Value")</f>
        <v>#VALUE!</v>
      </c>
      <c r="AK43" s="151"/>
      <c r="AL43" s="151"/>
      <c r="AM43" s="159" t="e">
        <f>AJ43/_xll.DBRW($A$3,'Value Tree'!$J$6,AM40,$AA43,$AQ43,$AR43,"Total Products","EBITDA LTM","Value")</f>
        <v>#VALUE!</v>
      </c>
      <c r="AN43" s="159"/>
      <c r="AO43" s="160"/>
      <c r="AP43" s="6" t="s">
        <v>4</v>
      </c>
      <c r="AQ43" t="s">
        <v>3</v>
      </c>
      <c r="AR43" s="6" t="s">
        <v>87</v>
      </c>
      <c r="AT43" s="46"/>
      <c r="AU43" s="148" t="s">
        <v>10</v>
      </c>
      <c r="AV43" s="148"/>
      <c r="AW43" s="148"/>
      <c r="AX43" s="148"/>
      <c r="AY43" s="148"/>
      <c r="AZ43" s="148"/>
      <c r="BA43" s="57"/>
      <c r="BB43" s="151" t="e">
        <f>_xll.DBRW($A$3,'Value Tree'!$J$6,BB$40,$CV43,$CR43,$CT43,$CX43,"EBITDA LTM","Value")</f>
        <v>#VALUE!</v>
      </c>
      <c r="BC43" s="151"/>
      <c r="BD43" s="151"/>
      <c r="BE43" s="57"/>
      <c r="BF43" s="151" t="e">
        <f>_xll.DBRW($A$3,'Value Tree'!$J$6,BF$40,$CV43,$CR43,$CT43,$CX43,"EBITDA LTM","Value")</f>
        <v>#VALUE!</v>
      </c>
      <c r="BG43" s="151"/>
      <c r="BH43" s="151"/>
      <c r="BI43" s="46"/>
      <c r="BJ43" s="57"/>
      <c r="BK43" s="151" t="e">
        <f>_xll.DBRW($A$3,'Value Tree'!$J$6,BK$40,$DF43,$DB43,$DD43,$DH43,"EBITDA LTM","Value")</f>
        <v>#VALUE!</v>
      </c>
      <c r="BL43" s="151"/>
      <c r="BM43" s="151"/>
      <c r="BN43" s="57"/>
      <c r="BO43" s="151" t="e">
        <f>_xll.DBRW($A$3,'Value Tree'!$J$6,BO$40,$DF43,$DB43,$DD43,$DH43,"EBITDA LTM","Value")</f>
        <v>#VALUE!</v>
      </c>
      <c r="BP43" s="151"/>
      <c r="BQ43" s="151"/>
      <c r="BR43" s="46"/>
      <c r="BS43" s="46"/>
      <c r="BT43" s="5"/>
      <c r="BX43" s="55" t="e">
        <f>IF($BW$41="+",IF(BB43&gt;BZ43*(1+IF(BZ43&gt;0,$C$4,-$C$4)),1,IF(BB43&gt;=BY43*(1+IF(BY43&gt;0,-$C$4,$C$4)),0,-1)),IF($BW$41="-",IF(BB43&lt;BZ43*(1+IF(BZ43&gt;0,-$C$4,$C$4)),1,IF(BB43&lt;=BY43*(1+IF(BY43&gt;0,$C$4,-$C$4)),0,-1))))</f>
        <v>#VALUE!</v>
      </c>
      <c r="BY43" s="56" t="e">
        <f>_xll.DBRW($A$3,'Value Tree'!$J$6,BY$6,BY$7,$CR43,$CT43,$CX43,"EBITDA LTM","Value")</f>
        <v>#VALUE!</v>
      </c>
      <c r="BZ43" s="56" t="e">
        <f>_xll.DBRW($A$3,'Value Tree'!$J$6,BZ$6,BZ$7,$CR43,$CT43,$CX43,"EBITDA LTM","Value")</f>
        <v>#VALUE!</v>
      </c>
      <c r="CA43" s="56"/>
      <c r="CB43" s="58" t="e">
        <f>IF($BW$41="+",IF(BF43&gt;CD43*(1+IF(CD43&gt;0,$C$4,-$C$4)),1,IF(BF43&gt;=CC43*(1+IF(CC43&gt;0,-$C$4,$C$4)),0,-1)),IF($BW$41="-",IF(BF43&lt;CD43*(1+IF(CD43&gt;0,-$C$4,$C$4)),1,IF(BF43&lt;=CC43*(1+IF(CC43&gt;0,$C$4,-$C$4)),0,-1))))</f>
        <v>#VALUE!</v>
      </c>
      <c r="CC43" s="56" t="e">
        <f>_xll.DBRW($A$3,'Value Tree'!$J$6,CC$6,CC$7,$CR43,$CT43,$CX43,"EBITDA LTM","Value")</f>
        <v>#VALUE!</v>
      </c>
      <c r="CD43" s="56" t="e">
        <f>_xll.DBRW($A$3,'Value Tree'!$J$6,CD$6,CD$7,$CR43,$CT43,$CX43,"EBITDA LTM","Value")</f>
        <v>#VALUE!</v>
      </c>
      <c r="CF43" s="55" t="e">
        <f>IF($BW$41="+",IF(BK43&gt;CH43*(1+IF(CH43&gt;0,$C$4,-$C$4)),1,IF(BK43&gt;=CG43*(1+IF(CG43&gt;0,-$C$4,$C$4)),0,-1)),IF($BW$41="-",IF(BK43&lt;CH43*(1+IF(CH43&gt;0,-$C$4,$C$4)),1,IF(BK43&lt;=CG43*(1+IF(CG43&gt;0,$C$4,-$C$4)),0,-1))))</f>
        <v>#VALUE!</v>
      </c>
      <c r="CG43" s="56" t="e">
        <f>_xll.DBRW($A$3,'Value Tree'!$J$6,CG$6,CG$7,$DB43,$CT43,$CX43,"EBITDA LTM","Value")</f>
        <v>#VALUE!</v>
      </c>
      <c r="CH43" s="56" t="e">
        <f>_xll.DBRW($A$3,'Value Tree'!$J$6,CH$6,CH$7,$DB43,$CT43,$CX43,"EBITDA LTM","Value")</f>
        <v>#VALUE!</v>
      </c>
      <c r="CI43" s="56"/>
      <c r="CJ43" s="58" t="e">
        <f>IF($BW$41="+",IF(BO43&gt;CL43*(1+IF(CL43&gt;0,$C$4,-$C$4)),1,IF(BO43&gt;=CK43*(1+IF(CK43&gt;0,-$C$4,$C$4)),0,-1)),IF($BW$41="-",IF(BO43&lt;CL43*(1+IF(CL43&gt;0,-$C$4,$C$4)),1,IF(BO43&lt;=CK43*(1+IF(CK43&gt;0,$C$4,-$C$4)),0,-1))))</f>
        <v>#VALUE!</v>
      </c>
      <c r="CK43" s="56" t="e">
        <f>_xll.DBRW($A$3,'Value Tree'!$J$6,CK$6,CK$7,$DB43,$CT43,$CX43,"EBITDA LTM","Value")</f>
        <v>#VALUE!</v>
      </c>
      <c r="CL43" s="56" t="e">
        <f>_xll.DBRW($A$3,'Value Tree'!$J$6,CL$6,CL$7,$DB43,$CT43,$CX43,"EBITDA LTM","Value")</f>
        <v>#VALUE!</v>
      </c>
      <c r="CR43" t="s">
        <v>3</v>
      </c>
      <c r="CT43" t="s">
        <v>4</v>
      </c>
      <c r="CV43" t="s">
        <v>8</v>
      </c>
      <c r="CX43" t="s">
        <v>7</v>
      </c>
      <c r="DB43" t="s">
        <v>9</v>
      </c>
      <c r="DD43" t="s">
        <v>4</v>
      </c>
      <c r="DF43" t="s">
        <v>8</v>
      </c>
      <c r="DH43" t="s">
        <v>7</v>
      </c>
    </row>
    <row r="44" spans="1:112">
      <c r="A44" s="1"/>
      <c r="E44" s="41"/>
      <c r="F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4" t="str">
        <f>$A$20</f>
        <v>l500</v>
      </c>
      <c r="AB44" s="3" t="e">
        <f>IF(AA40="+",IF(AC42&gt;AC44*(1+IF(AC44&gt;0,$C$4,-$C$4)),1,IF(AC42&gt;=AC43*(1+IF(AC43&gt;0,-$C$4,$C$4)),0,-1)),IF(AA40="-",IF(AC42&lt;AC44*(1+IF(AC44&gt;0,-$C$4,$C$4)),1,IF(AC42&lt;=AC43*(1+IF(AC43&gt;0,$C$4,-$C$4)),0,-1))))</f>
        <v>#VALUE!</v>
      </c>
      <c r="AC44" s="141" t="e">
        <f>_xll.DBRW($A$3,'Value Tree'!$J$6,AC$40,$AA44,$AQ43,$AP43,"Total Products","EBITDA LTM","Value")</f>
        <v>#VALUE!</v>
      </c>
      <c r="AD44" s="141"/>
      <c r="AE44" s="141"/>
      <c r="AF44" s="147"/>
      <c r="AG44" s="147"/>
      <c r="AH44" s="147"/>
      <c r="AI44" s="3" t="e">
        <f>IF(AA40="+",IF(AJ42&gt;AJ44*(1+IF(AJ44&gt;0,$C$4,-$C$4)),1,IF(AJ42&gt;=AJ43*(1+IF(AJ43&gt;0,-$C$4,$C$4)),0,-1)),IF(AA40="-",IF(AJ42&lt;AJ44*(1+IF(AJ44&gt;0,-$C$4,$C$4)),1,IF(AJ42&lt;=AJ43*(1+IF(AJ43&gt;0,$C$4,-$C$4)),0,-1))))</f>
        <v>#VALUE!</v>
      </c>
      <c r="AJ44" s="141" t="e">
        <f>_xll.DBRW($A$3,'Value Tree'!$J$6,AJ$40,$AA44,$AQ43,$AP43,"Total Products","EBITDA LTM","Value")</f>
        <v>#VALUE!</v>
      </c>
      <c r="AK44" s="141"/>
      <c r="AL44" s="141"/>
      <c r="AM44" s="145"/>
      <c r="AN44" s="145"/>
      <c r="AO44" s="146"/>
      <c r="AP44" s="6"/>
      <c r="AT44" s="46"/>
      <c r="AU44" s="43"/>
      <c r="AV44" s="43"/>
      <c r="AW44" s="43"/>
      <c r="AX44" s="43"/>
      <c r="AY44" s="43"/>
      <c r="BQ44" s="42"/>
      <c r="BR44" s="46"/>
      <c r="BS44" s="46"/>
      <c r="BT44" s="5"/>
    </row>
    <row r="45" spans="1:112">
      <c r="A45" t="s">
        <v>0</v>
      </c>
      <c r="E45" s="41"/>
      <c r="F45" s="6"/>
      <c r="G45" t="e">
        <f>_xll.DBRW(A6,'Value Tree'!J6,G42,G43,A24,A28,"Closing Balance Debt",A48)</f>
        <v>#VALUE!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8"/>
      <c r="AB45" s="152" t="s">
        <v>6</v>
      </c>
      <c r="AC45" s="15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3"/>
      <c r="AP45" s="6"/>
      <c r="AQ45" s="6"/>
      <c r="AR45" s="6"/>
      <c r="AS45" s="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6"/>
      <c r="BT45" s="5"/>
    </row>
    <row r="46" spans="1:112">
      <c r="A46" s="2"/>
      <c r="E46" s="4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7" t="e">
        <f>'Value Tree'!$D$4</f>
        <v>#N/A</v>
      </c>
      <c r="AB46" s="161"/>
      <c r="AC46" s="150" t="e">
        <f>_xll.DBRW($A$3,'Value Tree'!$J$6,AC$40,$AA46,$AQ46,$AP46,"Total Products","EBIT","Value")</f>
        <v>#VALUE!</v>
      </c>
      <c r="AD46" s="150"/>
      <c r="AE46" s="150"/>
      <c r="AF46" s="162" t="e">
        <f>AC46/_xll.DBRW($A$3,'Value Tree'!$J$6,AF40,$AA46,$AQ46,$AR46,"Total Products","EBITDA LTM","Value")</f>
        <v>#VALUE!</v>
      </c>
      <c r="AG46" s="162"/>
      <c r="AH46" s="162"/>
      <c r="AI46" s="161"/>
      <c r="AJ46" s="150" t="e">
        <f>_xll.DBRW($A$3,'Value Tree'!$J$6,AJ$40,$AA46,$AQ46,$AP46,"Total Products","EBITDA LTM","Value")</f>
        <v>#VALUE!</v>
      </c>
      <c r="AK46" s="150"/>
      <c r="AL46" s="150"/>
      <c r="AM46" s="156" t="e">
        <f>AJ46/_xll.DBRW($A$3,'Value Tree'!$J$6,AM40,$AA46,$AQ46,$AR46,"Total Products","EBITDA LTM","Value")</f>
        <v>#VALUE!</v>
      </c>
      <c r="AN46" s="156"/>
      <c r="AO46" s="157"/>
      <c r="AP46" s="6" t="s">
        <v>4</v>
      </c>
      <c r="AQ46" t="s">
        <v>3</v>
      </c>
      <c r="AR46" s="6" t="s">
        <v>87</v>
      </c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6"/>
      <c r="BQ46" s="46"/>
      <c r="BR46" s="46"/>
      <c r="BS46" s="46"/>
      <c r="BT46" s="5"/>
    </row>
    <row r="47" spans="1:112">
      <c r="A47" s="1" t="s">
        <v>5</v>
      </c>
      <c r="E47" s="4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7" t="e">
        <f>'Value Tree'!$J$4</f>
        <v>#N/A</v>
      </c>
      <c r="AB47" s="161"/>
      <c r="AC47" s="151" t="e">
        <f>_xll.DBRW($A$3,'Value Tree'!$J$6,AC$40,$AA47,$AQ47,$AP47,"Total Products","EBIT","Value")</f>
        <v>#VALUE!</v>
      </c>
      <c r="AD47" s="151"/>
      <c r="AE47" s="151"/>
      <c r="AF47" s="155" t="e">
        <f>AC47/_xll.DBRW($A$3,'Value Tree'!$J$6,AF40,$AA47,$AQ47,$AR47,"Total Products","EBITDA LTM","Value")</f>
        <v>#VALUE!</v>
      </c>
      <c r="AG47" s="155"/>
      <c r="AH47" s="155"/>
      <c r="AI47" s="161"/>
      <c r="AJ47" s="151" t="e">
        <f>_xll.DBRW($A$3,'Value Tree'!$J$6,AJ$40,$AA47,$AQ47,$AP47,"Total Products","EBITDA LTM","Value")</f>
        <v>#VALUE!</v>
      </c>
      <c r="AK47" s="151"/>
      <c r="AL47" s="151"/>
      <c r="AM47" s="159" t="e">
        <f>AJ47/_xll.DBRW($A$3,'Value Tree'!$J$6,AM40,$AA47,$AQ47,$AR47,"Total Products","EBITDA LTM","Value")</f>
        <v>#VALUE!</v>
      </c>
      <c r="AN47" s="159"/>
      <c r="AO47" s="160"/>
      <c r="AP47" s="6" t="s">
        <v>4</v>
      </c>
      <c r="AQ47" t="s">
        <v>3</v>
      </c>
      <c r="AR47" s="6" t="s">
        <v>87</v>
      </c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6"/>
      <c r="BQ47" s="46"/>
      <c r="BR47" s="46"/>
      <c r="BS47" s="46"/>
      <c r="BT47" s="5"/>
    </row>
    <row r="48" spans="1:112">
      <c r="A48" t="s">
        <v>2</v>
      </c>
      <c r="AA48" s="4" t="str">
        <f>$A$20</f>
        <v>l500</v>
      </c>
      <c r="AB48" s="3" t="e">
        <f>IF(AA40="+",IF(AC46&gt;AC48*(1+IF(AC48&gt;0,$C$4,-$C$4)),1,IF(AC46&gt;=AC47*(1+IF(AC47&gt;0,-$C$4,$C$4)),0,-1)),IF(AA40="-",IF(AC46&lt;AC48*(1+IF(AC48&gt;0,-$C$4,$C$4)),1,IF(AC46&lt;=AC47*(1+IF(AC47&gt;0,$C$4,-$C$4)),0,-1))))</f>
        <v>#VALUE!</v>
      </c>
      <c r="AC48" s="143" t="e">
        <f>_xll.DBRW($A$3,'Value Tree'!$J$6,AC$40,$AA48,$AQ47,$AP47,"Total Products","EBIT","Value")</f>
        <v>#VALUE!</v>
      </c>
      <c r="AD48" s="143"/>
      <c r="AE48" s="143"/>
      <c r="AF48" s="143"/>
      <c r="AG48" s="143"/>
      <c r="AH48" s="143"/>
      <c r="AI48" s="3" t="e">
        <f>IF(AA40="+",IF(AJ46&gt;AJ48*(1+IF(AJ48&gt;0,$C$4,-$C$4)),1,IF(AJ46&gt;=AJ47*(1+IF(AJ47&gt;0,-$C$4,$C$4)),0,-1)),IF(AA40="-",IF(AJ46&lt;AJ48*(1+IF(AJ48&gt;0,-$C$4,$C$4)),1,IF(AJ46&lt;=AJ47*(1+IF(AJ47&gt;0,$C$4,-$C$4)),0,-1))))</f>
        <v>#VALUE!</v>
      </c>
      <c r="AJ48" s="143" t="e">
        <f>_xll.DBRW($A$3,'Value Tree'!$J$6,AJ$40,$AA48,$AQ47,$AP47,"Total Products","EBITDA LTM","Value")</f>
        <v>#VALUE!</v>
      </c>
      <c r="AK48" s="143"/>
      <c r="AL48" s="143"/>
      <c r="AM48" s="143"/>
      <c r="AN48" s="143"/>
      <c r="AO48" s="144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1" t="s">
        <v>1</v>
      </c>
    </row>
    <row r="71" spans="1:1">
      <c r="A71" t="s">
        <v>0</v>
      </c>
    </row>
  </sheetData>
  <mergeCells count="335">
    <mergeCell ref="R16:T16"/>
    <mergeCell ref="V16:X16"/>
    <mergeCell ref="F9:M9"/>
    <mergeCell ref="K12:M12"/>
    <mergeCell ref="G12:I12"/>
    <mergeCell ref="F11:F12"/>
    <mergeCell ref="R26:T26"/>
    <mergeCell ref="G28:I28"/>
    <mergeCell ref="K28:M28"/>
    <mergeCell ref="Q8:Q9"/>
    <mergeCell ref="U8:U9"/>
    <mergeCell ref="K8:M8"/>
    <mergeCell ref="G8:I8"/>
    <mergeCell ref="K11:M11"/>
    <mergeCell ref="G11:I11"/>
    <mergeCell ref="J11:J12"/>
    <mergeCell ref="G17:I17"/>
    <mergeCell ref="K17:M17"/>
    <mergeCell ref="G14:I14"/>
    <mergeCell ref="K14:M14"/>
    <mergeCell ref="G18:I18"/>
    <mergeCell ref="K18:M18"/>
    <mergeCell ref="U25:U26"/>
    <mergeCell ref="AC48:AE48"/>
    <mergeCell ref="AJ48:AL48"/>
    <mergeCell ref="F17:F18"/>
    <mergeCell ref="J17:J18"/>
    <mergeCell ref="AC38:AE38"/>
    <mergeCell ref="AJ38:AL38"/>
    <mergeCell ref="V38:X38"/>
    <mergeCell ref="R38:T38"/>
    <mergeCell ref="V43:X43"/>
    <mergeCell ref="R43:T43"/>
    <mergeCell ref="AJ23:AL23"/>
    <mergeCell ref="AC23:AE23"/>
    <mergeCell ref="AC27:AE27"/>
    <mergeCell ref="AJ27:AL27"/>
    <mergeCell ref="K32:M32"/>
    <mergeCell ref="AC34:AE34"/>
    <mergeCell ref="AJ34:AL34"/>
    <mergeCell ref="AC44:AE44"/>
    <mergeCell ref="AJ44:AL44"/>
    <mergeCell ref="AF44:AH44"/>
    <mergeCell ref="F36:F37"/>
    <mergeCell ref="J36:J37"/>
    <mergeCell ref="Q36:Q37"/>
    <mergeCell ref="U36:U37"/>
    <mergeCell ref="Q18:X18"/>
    <mergeCell ref="AF26:AH26"/>
    <mergeCell ref="AC25:AE25"/>
    <mergeCell ref="AF25:AH25"/>
    <mergeCell ref="R19:T19"/>
    <mergeCell ref="V19:X19"/>
    <mergeCell ref="R20:T20"/>
    <mergeCell ref="V20:X20"/>
    <mergeCell ref="AC19:AE19"/>
    <mergeCell ref="AF19:AH19"/>
    <mergeCell ref="AU43:AZ43"/>
    <mergeCell ref="G19:I19"/>
    <mergeCell ref="R6:T6"/>
    <mergeCell ref="V6:X6"/>
    <mergeCell ref="AC46:AE46"/>
    <mergeCell ref="AJ46:AL46"/>
    <mergeCell ref="AJ31:AL31"/>
    <mergeCell ref="AB21:AB22"/>
    <mergeCell ref="AI21:AI22"/>
    <mergeCell ref="R31:T31"/>
    <mergeCell ref="V31:X31"/>
    <mergeCell ref="U30:U31"/>
    <mergeCell ref="U19:U20"/>
    <mergeCell ref="V26:X26"/>
    <mergeCell ref="R25:T25"/>
    <mergeCell ref="V25:X25"/>
    <mergeCell ref="Q24:X24"/>
    <mergeCell ref="U14:U15"/>
    <mergeCell ref="Q14:Q15"/>
    <mergeCell ref="U41:U42"/>
    <mergeCell ref="AB42:AB43"/>
    <mergeCell ref="Q30:Q31"/>
    <mergeCell ref="AC26:AE26"/>
    <mergeCell ref="AB25:AB26"/>
    <mergeCell ref="AU41:BH41"/>
    <mergeCell ref="BJ41:BQ41"/>
    <mergeCell ref="AM42:AO42"/>
    <mergeCell ref="AU42:AZ42"/>
    <mergeCell ref="AC5:AE5"/>
    <mergeCell ref="AF8:AH8"/>
    <mergeCell ref="AC6:AE6"/>
    <mergeCell ref="AJ6:AL6"/>
    <mergeCell ref="AF6:AH6"/>
    <mergeCell ref="BB25:BD25"/>
    <mergeCell ref="BF25:BH25"/>
    <mergeCell ref="AU25:AZ25"/>
    <mergeCell ref="AU24:AZ24"/>
    <mergeCell ref="BK29:BM29"/>
    <mergeCell ref="BO29:BQ29"/>
    <mergeCell ref="BK35:BM35"/>
    <mergeCell ref="BO35:BQ35"/>
    <mergeCell ref="BB33:BD33"/>
    <mergeCell ref="BF33:BH33"/>
    <mergeCell ref="BK33:BM33"/>
    <mergeCell ref="BO33:BQ33"/>
    <mergeCell ref="BF24:BH24"/>
    <mergeCell ref="AI25:AI26"/>
    <mergeCell ref="AI8:AI9"/>
    <mergeCell ref="BB43:BD43"/>
    <mergeCell ref="BF43:BH43"/>
    <mergeCell ref="AU31:AZ31"/>
    <mergeCell ref="BB31:BD31"/>
    <mergeCell ref="BF31:BH31"/>
    <mergeCell ref="AU30:BH30"/>
    <mergeCell ref="BJ30:BQ30"/>
    <mergeCell ref="AM44:AO44"/>
    <mergeCell ref="BB40:BD40"/>
    <mergeCell ref="BF40:BH40"/>
    <mergeCell ref="AU35:AZ35"/>
    <mergeCell ref="BB35:BD35"/>
    <mergeCell ref="BK31:BM31"/>
    <mergeCell ref="BO31:BQ31"/>
    <mergeCell ref="AU33:AZ33"/>
    <mergeCell ref="BO40:BQ40"/>
    <mergeCell ref="BK40:BM40"/>
    <mergeCell ref="AM33:AO33"/>
    <mergeCell ref="BB42:BD42"/>
    <mergeCell ref="BF42:BH42"/>
    <mergeCell ref="BK42:BM42"/>
    <mergeCell ref="BO42:BQ42"/>
    <mergeCell ref="BK43:BM43"/>
    <mergeCell ref="BO43:BQ43"/>
    <mergeCell ref="BB6:BD6"/>
    <mergeCell ref="BF6:BH6"/>
    <mergeCell ref="BB19:BD19"/>
    <mergeCell ref="BF19:BH19"/>
    <mergeCell ref="BB29:BD29"/>
    <mergeCell ref="BF29:BH29"/>
    <mergeCell ref="AI36:AI37"/>
    <mergeCell ref="AJ26:AL26"/>
    <mergeCell ref="AM26:AO26"/>
    <mergeCell ref="AJ25:AL25"/>
    <mergeCell ref="AM25:AO25"/>
    <mergeCell ref="AM6:AO6"/>
    <mergeCell ref="AJ37:AL37"/>
    <mergeCell ref="AM37:AO37"/>
    <mergeCell ref="AU22:AZ22"/>
    <mergeCell ref="BB22:BD22"/>
    <mergeCell ref="AU21:AZ21"/>
    <mergeCell ref="BB21:BD21"/>
    <mergeCell ref="BF21:BH21"/>
    <mergeCell ref="AU20:BH20"/>
    <mergeCell ref="BF22:BH22"/>
    <mergeCell ref="AU14:AZ14"/>
    <mergeCell ref="AJ19:AL19"/>
    <mergeCell ref="AM19:AO19"/>
    <mergeCell ref="AM22:AO22"/>
    <mergeCell ref="AM21:AO21"/>
    <mergeCell ref="AB20:AO20"/>
    <mergeCell ref="BB24:BD24"/>
    <mergeCell ref="BF35:BH35"/>
    <mergeCell ref="F29:M29"/>
    <mergeCell ref="Q29:X29"/>
    <mergeCell ref="G30:I30"/>
    <mergeCell ref="K30:M30"/>
    <mergeCell ref="R30:T30"/>
    <mergeCell ref="V30:X30"/>
    <mergeCell ref="AC33:AE33"/>
    <mergeCell ref="F30:F31"/>
    <mergeCell ref="Q25:Q26"/>
    <mergeCell ref="R21:T21"/>
    <mergeCell ref="V21:X21"/>
    <mergeCell ref="Q19:Q20"/>
    <mergeCell ref="K19:M19"/>
    <mergeCell ref="K36:M36"/>
    <mergeCell ref="R36:T36"/>
    <mergeCell ref="AC36:AE36"/>
    <mergeCell ref="AC29:AE29"/>
    <mergeCell ref="AC31:AE31"/>
    <mergeCell ref="AB35:AO35"/>
    <mergeCell ref="AB30:AO30"/>
    <mergeCell ref="AB31:AB33"/>
    <mergeCell ref="AI31:AI33"/>
    <mergeCell ref="F35:M35"/>
    <mergeCell ref="Q35:X35"/>
    <mergeCell ref="G33:I33"/>
    <mergeCell ref="K33:M33"/>
    <mergeCell ref="G31:I31"/>
    <mergeCell ref="K31:M31"/>
    <mergeCell ref="J30:J31"/>
    <mergeCell ref="AB46:AB47"/>
    <mergeCell ref="R41:T41"/>
    <mergeCell ref="V41:X41"/>
    <mergeCell ref="AB41:AO41"/>
    <mergeCell ref="Q41:Q42"/>
    <mergeCell ref="AI42:AI43"/>
    <mergeCell ref="AF37:AH37"/>
    <mergeCell ref="AM31:AO31"/>
    <mergeCell ref="AF36:AH36"/>
    <mergeCell ref="V33:X33"/>
    <mergeCell ref="AC47:AE47"/>
    <mergeCell ref="AF47:AH47"/>
    <mergeCell ref="AJ47:AL47"/>
    <mergeCell ref="AM47:AO47"/>
    <mergeCell ref="AF33:AH33"/>
    <mergeCell ref="AJ33:AL33"/>
    <mergeCell ref="AM46:AO46"/>
    <mergeCell ref="G37:I37"/>
    <mergeCell ref="K37:M37"/>
    <mergeCell ref="R37:T37"/>
    <mergeCell ref="V37:X37"/>
    <mergeCell ref="AC37:AE37"/>
    <mergeCell ref="AB36:AB37"/>
    <mergeCell ref="AJ36:AL36"/>
    <mergeCell ref="AM36:AO36"/>
    <mergeCell ref="AB45:AO45"/>
    <mergeCell ref="R39:T39"/>
    <mergeCell ref="V39:X39"/>
    <mergeCell ref="AC40:AE40"/>
    <mergeCell ref="AF40:AH40"/>
    <mergeCell ref="AJ40:AL40"/>
    <mergeCell ref="AM40:AO40"/>
    <mergeCell ref="AJ43:AL43"/>
    <mergeCell ref="AM43:AO43"/>
    <mergeCell ref="R42:T42"/>
    <mergeCell ref="V42:X42"/>
    <mergeCell ref="AC42:AE42"/>
    <mergeCell ref="AJ42:AL42"/>
    <mergeCell ref="Q40:X40"/>
    <mergeCell ref="V36:X36"/>
    <mergeCell ref="G36:I36"/>
    <mergeCell ref="BF17:BH17"/>
    <mergeCell ref="R17:T17"/>
    <mergeCell ref="V17:X17"/>
    <mergeCell ref="BB17:BD17"/>
    <mergeCell ref="AC15:AE15"/>
    <mergeCell ref="AJ15:AL15"/>
    <mergeCell ref="R28:T28"/>
    <mergeCell ref="V28:X28"/>
    <mergeCell ref="R33:T33"/>
    <mergeCell ref="AF21:AH21"/>
    <mergeCell ref="R22:T22"/>
    <mergeCell ref="V22:X22"/>
    <mergeCell ref="AC22:AE22"/>
    <mergeCell ref="AF22:AH22"/>
    <mergeCell ref="AJ22:AL22"/>
    <mergeCell ref="R32:T32"/>
    <mergeCell ref="V32:X32"/>
    <mergeCell ref="AF31:AH31"/>
    <mergeCell ref="AB24:AO24"/>
    <mergeCell ref="AJ29:AL29"/>
    <mergeCell ref="AM29:AO29"/>
    <mergeCell ref="AF29:AH29"/>
    <mergeCell ref="AC21:AE21"/>
    <mergeCell ref="AJ21:AL21"/>
    <mergeCell ref="BF14:BH14"/>
    <mergeCell ref="F15:M15"/>
    <mergeCell ref="R15:T15"/>
    <mergeCell ref="V15:X15"/>
    <mergeCell ref="AU15:AZ15"/>
    <mergeCell ref="BB15:BD15"/>
    <mergeCell ref="BF15:BH15"/>
    <mergeCell ref="R14:T14"/>
    <mergeCell ref="V14:X14"/>
    <mergeCell ref="AC14:AE14"/>
    <mergeCell ref="AF14:AH14"/>
    <mergeCell ref="AJ14:AL14"/>
    <mergeCell ref="AM14:AO14"/>
    <mergeCell ref="AI12:AI14"/>
    <mergeCell ref="AB12:AB14"/>
    <mergeCell ref="G13:I13"/>
    <mergeCell ref="K13:M13"/>
    <mergeCell ref="AM8:AO8"/>
    <mergeCell ref="AU8:AZ8"/>
    <mergeCell ref="BF12:BH12"/>
    <mergeCell ref="R11:T11"/>
    <mergeCell ref="V11:X11"/>
    <mergeCell ref="AF12:AH12"/>
    <mergeCell ref="R10:T10"/>
    <mergeCell ref="V10:X10"/>
    <mergeCell ref="AC10:AE10"/>
    <mergeCell ref="AJ10:AL10"/>
    <mergeCell ref="BB11:BD11"/>
    <mergeCell ref="BF11:BH11"/>
    <mergeCell ref="BF8:BH8"/>
    <mergeCell ref="BB8:BD8"/>
    <mergeCell ref="V8:X8"/>
    <mergeCell ref="AC8:AE8"/>
    <mergeCell ref="AJ8:AL8"/>
    <mergeCell ref="AB8:AB9"/>
    <mergeCell ref="AF48:AH48"/>
    <mergeCell ref="AM48:AO48"/>
    <mergeCell ref="AF13:AH13"/>
    <mergeCell ref="BB9:BD9"/>
    <mergeCell ref="Q12:X12"/>
    <mergeCell ref="AC12:AE12"/>
    <mergeCell ref="AJ12:AL12"/>
    <mergeCell ref="AM12:AO12"/>
    <mergeCell ref="AU12:AZ12"/>
    <mergeCell ref="R9:T9"/>
    <mergeCell ref="V9:X9"/>
    <mergeCell ref="AC9:AE9"/>
    <mergeCell ref="AF9:AH9"/>
    <mergeCell ref="AJ9:AL9"/>
    <mergeCell ref="AM9:AO9"/>
    <mergeCell ref="AU9:AZ9"/>
    <mergeCell ref="BB12:BD12"/>
    <mergeCell ref="AU17:AZ17"/>
    <mergeCell ref="BB14:BD14"/>
    <mergeCell ref="AI46:AI47"/>
    <mergeCell ref="AC43:AE43"/>
    <mergeCell ref="AF43:AH43"/>
    <mergeCell ref="AF42:AH42"/>
    <mergeCell ref="AF46:AH46"/>
    <mergeCell ref="BB5:BD5"/>
    <mergeCell ref="BF5:BH5"/>
    <mergeCell ref="G32:I32"/>
    <mergeCell ref="G38:I38"/>
    <mergeCell ref="K38:M38"/>
    <mergeCell ref="AF10:AH10"/>
    <mergeCell ref="AM10:AO10"/>
    <mergeCell ref="AM15:AO15"/>
    <mergeCell ref="AF15:AH15"/>
    <mergeCell ref="AF23:AH23"/>
    <mergeCell ref="AM23:AO23"/>
    <mergeCell ref="AM27:AO27"/>
    <mergeCell ref="AF27:AH27"/>
    <mergeCell ref="AF34:AH34"/>
    <mergeCell ref="AM34:AO34"/>
    <mergeCell ref="AF38:AH38"/>
    <mergeCell ref="AM38:AO38"/>
    <mergeCell ref="Q7:X7"/>
    <mergeCell ref="AB7:AO7"/>
    <mergeCell ref="AU7:BH7"/>
    <mergeCell ref="R8:T8"/>
    <mergeCell ref="BF9:BH9"/>
    <mergeCell ref="AB11:AO11"/>
    <mergeCell ref="AU11:AZ11"/>
  </mergeCells>
  <conditionalFormatting sqref="F11:F12">
    <cfRule type="expression" dxfId="240" priority="184">
      <formula>F13=0</formula>
    </cfRule>
    <cfRule type="expression" dxfId="239" priority="185">
      <formula>F13=-1</formula>
    </cfRule>
    <cfRule type="expression" dxfId="238" priority="186">
      <formula>F13=1</formula>
    </cfRule>
  </conditionalFormatting>
  <conditionalFormatting sqref="F17:F18">
    <cfRule type="expression" dxfId="237" priority="180">
      <formula>F19=1</formula>
    </cfRule>
    <cfRule type="expression" dxfId="236" priority="179">
      <formula>F19=-1</formula>
    </cfRule>
    <cfRule type="expression" dxfId="235" priority="178">
      <formula>F19=0</formula>
    </cfRule>
  </conditionalFormatting>
  <conditionalFormatting sqref="F30:F31">
    <cfRule type="expression" dxfId="234" priority="122">
      <formula>F32=-1</formula>
    </cfRule>
    <cfRule type="expression" dxfId="233" priority="123">
      <formula>F32=1</formula>
    </cfRule>
    <cfRule type="expression" dxfId="232" priority="121">
      <formula>F32=0</formula>
    </cfRule>
  </conditionalFormatting>
  <conditionalFormatting sqref="F36:F37">
    <cfRule type="expression" dxfId="231" priority="118">
      <formula>F38=0</formula>
    </cfRule>
    <cfRule type="expression" dxfId="230" priority="119">
      <formula>F38=-1</formula>
    </cfRule>
    <cfRule type="expression" dxfId="229" priority="120">
      <formula>F38=1</formula>
    </cfRule>
  </conditionalFormatting>
  <conditionalFormatting sqref="J11:J12">
    <cfRule type="expression" dxfId="228" priority="183">
      <formula>J13=1</formula>
    </cfRule>
    <cfRule type="expression" dxfId="227" priority="182">
      <formula>J13=-1</formula>
    </cfRule>
    <cfRule type="expression" dxfId="226" priority="181">
      <formula>J13=0</formula>
    </cfRule>
  </conditionalFormatting>
  <conditionalFormatting sqref="J17:J18">
    <cfRule type="expression" dxfId="225" priority="177">
      <formula>J19=1</formula>
    </cfRule>
    <cfRule type="expression" dxfId="224" priority="176">
      <formula>J19=-1</formula>
    </cfRule>
    <cfRule type="expression" dxfId="223" priority="175">
      <formula>J19=0</formula>
    </cfRule>
  </conditionalFormatting>
  <conditionalFormatting sqref="J30:J31">
    <cfRule type="expression" dxfId="222" priority="124">
      <formula>J32=0</formula>
    </cfRule>
    <cfRule type="expression" dxfId="221" priority="125">
      <formula>J32=-1</formula>
    </cfRule>
    <cfRule type="expression" dxfId="220" priority="126">
      <formula>J32=1</formula>
    </cfRule>
  </conditionalFormatting>
  <conditionalFormatting sqref="J36:J37">
    <cfRule type="expression" dxfId="219" priority="116">
      <formula>J38=-1</formula>
    </cfRule>
    <cfRule type="expression" dxfId="218" priority="117">
      <formula>J38=1</formula>
    </cfRule>
    <cfRule type="expression" dxfId="217" priority="115">
      <formula>J38=0</formula>
    </cfRule>
  </conditionalFormatting>
  <conditionalFormatting sqref="Q8:Q9">
    <cfRule type="expression" dxfId="216" priority="168">
      <formula>Q10=1</formula>
    </cfRule>
    <cfRule type="expression" dxfId="215" priority="167">
      <formula>Q10=-1</formula>
    </cfRule>
    <cfRule type="expression" dxfId="214" priority="166">
      <formula>Q10=0</formula>
    </cfRule>
  </conditionalFormatting>
  <conditionalFormatting sqref="Q14:Q15">
    <cfRule type="expression" dxfId="213" priority="156">
      <formula>Q16=1</formula>
    </cfRule>
    <cfRule type="expression" dxfId="212" priority="155">
      <formula>Q16=-1</formula>
    </cfRule>
    <cfRule type="expression" dxfId="211" priority="154">
      <formula>Q16=0</formula>
    </cfRule>
  </conditionalFormatting>
  <conditionalFormatting sqref="Q19:Q20">
    <cfRule type="expression" dxfId="210" priority="150">
      <formula>Q21=1</formula>
    </cfRule>
    <cfRule type="expression" dxfId="209" priority="149">
      <formula>Q21=-1</formula>
    </cfRule>
    <cfRule type="expression" dxfId="208" priority="148">
      <formula>Q21=0</formula>
    </cfRule>
  </conditionalFormatting>
  <conditionalFormatting sqref="Q25:Q26">
    <cfRule type="expression" dxfId="207" priority="142">
      <formula>Q27=0</formula>
    </cfRule>
    <cfRule type="expression" dxfId="206" priority="144">
      <formula>Q27=1</formula>
    </cfRule>
    <cfRule type="expression" dxfId="205" priority="143">
      <formula>Q27=-1</formula>
    </cfRule>
  </conditionalFormatting>
  <conditionalFormatting sqref="Q30:Q31">
    <cfRule type="expression" dxfId="204" priority="138">
      <formula>Q32=1</formula>
    </cfRule>
    <cfRule type="expression" dxfId="203" priority="137">
      <formula>Q32=-1</formula>
    </cfRule>
    <cfRule type="expression" dxfId="202" priority="136">
      <formula>Q32=0</formula>
    </cfRule>
  </conditionalFormatting>
  <conditionalFormatting sqref="Q36:Q37">
    <cfRule type="expression" dxfId="201" priority="130">
      <formula>Q38=0</formula>
    </cfRule>
    <cfRule type="expression" dxfId="200" priority="132">
      <formula>Q38=1</formula>
    </cfRule>
    <cfRule type="expression" dxfId="199" priority="131">
      <formula>Q38=-1</formula>
    </cfRule>
  </conditionalFormatting>
  <conditionalFormatting sqref="Q41:Q42">
    <cfRule type="expression" dxfId="198" priority="114">
      <formula>Q43=1</formula>
    </cfRule>
    <cfRule type="expression" dxfId="197" priority="113">
      <formula>Q43=-1</formula>
    </cfRule>
    <cfRule type="expression" dxfId="196" priority="112">
      <formula>Q43=0</formula>
    </cfRule>
  </conditionalFormatting>
  <conditionalFormatting sqref="U8:U9">
    <cfRule type="expression" dxfId="195" priority="165">
      <formula>U10=1</formula>
    </cfRule>
    <cfRule type="expression" dxfId="194" priority="164">
      <formula>U10=-1</formula>
    </cfRule>
    <cfRule type="expression" dxfId="193" priority="163">
      <formula>U10=0</formula>
    </cfRule>
  </conditionalFormatting>
  <conditionalFormatting sqref="U14:U15">
    <cfRule type="expression" dxfId="192" priority="152">
      <formula>U16=-1</formula>
    </cfRule>
    <cfRule type="expression" dxfId="191" priority="151">
      <formula>U16=0</formula>
    </cfRule>
    <cfRule type="expression" dxfId="190" priority="153">
      <formula>U16=1</formula>
    </cfRule>
  </conditionalFormatting>
  <conditionalFormatting sqref="U19:U20">
    <cfRule type="expression" dxfId="189" priority="145">
      <formula>U21=0</formula>
    </cfRule>
    <cfRule type="expression" dxfId="188" priority="147">
      <formula>U21=1</formula>
    </cfRule>
    <cfRule type="expression" dxfId="187" priority="146">
      <formula>U21=-1</formula>
    </cfRule>
  </conditionalFormatting>
  <conditionalFormatting sqref="U25:U26">
    <cfRule type="expression" dxfId="186" priority="141">
      <formula>U27=1</formula>
    </cfRule>
    <cfRule type="expression" dxfId="185" priority="139">
      <formula>U27=0</formula>
    </cfRule>
    <cfRule type="expression" dxfId="184" priority="140">
      <formula>U27=-1</formula>
    </cfRule>
  </conditionalFormatting>
  <conditionalFormatting sqref="U30:U31">
    <cfRule type="expression" dxfId="183" priority="135">
      <formula>U32=1</formula>
    </cfRule>
    <cfRule type="expression" dxfId="182" priority="134">
      <formula>U32=-1</formula>
    </cfRule>
    <cfRule type="expression" dxfId="181" priority="133">
      <formula>U32=0</formula>
    </cfRule>
  </conditionalFormatting>
  <conditionalFormatting sqref="U36:U37">
    <cfRule type="expression" dxfId="180" priority="129">
      <formula>U38=1</formula>
    </cfRule>
    <cfRule type="expression" dxfId="179" priority="128">
      <formula>U38=-1</formula>
    </cfRule>
    <cfRule type="expression" dxfId="178" priority="127">
      <formula>U38=0</formula>
    </cfRule>
  </conditionalFormatting>
  <conditionalFormatting sqref="U41:U42">
    <cfRule type="expression" dxfId="177" priority="109">
      <formula>U43=0</formula>
    </cfRule>
    <cfRule type="expression" dxfId="176" priority="111">
      <formula>U43=1</formula>
    </cfRule>
    <cfRule type="expression" dxfId="175" priority="110">
      <formula>U43=-1</formula>
    </cfRule>
  </conditionalFormatting>
  <conditionalFormatting sqref="AB8:AB9">
    <cfRule type="expression" dxfId="174" priority="160">
      <formula>AB10=0</formula>
    </cfRule>
    <cfRule type="expression" dxfId="173" priority="161">
      <formula>AB10=-1</formula>
    </cfRule>
    <cfRule type="expression" dxfId="172" priority="162">
      <formula>AB10=1</formula>
    </cfRule>
  </conditionalFormatting>
  <conditionalFormatting sqref="AB12:AB14">
    <cfRule type="expression" dxfId="171" priority="72">
      <formula>AB15=1</formula>
    </cfRule>
    <cfRule type="expression" dxfId="170" priority="70">
      <formula>AB15=0</formula>
    </cfRule>
    <cfRule type="expression" dxfId="169" priority="71">
      <formula>AB15=-1</formula>
    </cfRule>
  </conditionalFormatting>
  <conditionalFormatting sqref="AB21:AB22">
    <cfRule type="expression" dxfId="168" priority="84">
      <formula>AB23=1</formula>
    </cfRule>
    <cfRule type="expression" dxfId="167" priority="83">
      <formula>AB23=-1</formula>
    </cfRule>
    <cfRule type="expression" dxfId="166" priority="82">
      <formula>AB23=0</formula>
    </cfRule>
  </conditionalFormatting>
  <conditionalFormatting sqref="AB25:AB26">
    <cfRule type="expression" dxfId="165" priority="88">
      <formula>AB27=0</formula>
    </cfRule>
    <cfRule type="expression" dxfId="164" priority="89">
      <formula>AB27=-1</formula>
    </cfRule>
    <cfRule type="expression" dxfId="163" priority="90">
      <formula>AB27=1</formula>
    </cfRule>
  </conditionalFormatting>
  <conditionalFormatting sqref="AB31:AB33">
    <cfRule type="expression" dxfId="162" priority="76">
      <formula>AB34=0</formula>
    </cfRule>
    <cfRule type="expression" dxfId="161" priority="77">
      <formula>AB34=-1</formula>
    </cfRule>
    <cfRule type="expression" dxfId="160" priority="78">
      <formula>AB34=1</formula>
    </cfRule>
  </conditionalFormatting>
  <conditionalFormatting sqref="AB36:AB37">
    <cfRule type="expression" dxfId="159" priority="96">
      <formula>AB38=1</formula>
    </cfRule>
    <cfRule type="expression" dxfId="158" priority="95">
      <formula>AB38=-1</formula>
    </cfRule>
    <cfRule type="expression" dxfId="157" priority="94">
      <formula>AB38=0</formula>
    </cfRule>
  </conditionalFormatting>
  <conditionalFormatting sqref="AB42:AB43">
    <cfRule type="expression" dxfId="156" priority="106">
      <formula>AB44=0</formula>
    </cfRule>
    <cfRule type="expression" dxfId="155" priority="108">
      <formula>AB44=1</formula>
    </cfRule>
    <cfRule type="expression" dxfId="154" priority="107">
      <formula>AB44=-1</formula>
    </cfRule>
  </conditionalFormatting>
  <conditionalFormatting sqref="AB46:AB47">
    <cfRule type="expression" dxfId="153" priority="102">
      <formula>AB48=1</formula>
    </cfRule>
    <cfRule type="expression" dxfId="152" priority="101">
      <formula>AB48=-1</formula>
    </cfRule>
    <cfRule type="expression" dxfId="151" priority="100">
      <formula>AB48=0</formula>
    </cfRule>
  </conditionalFormatting>
  <conditionalFormatting sqref="AI8:AI9">
    <cfRule type="expression" dxfId="150" priority="157">
      <formula>AI10=0</formula>
    </cfRule>
    <cfRule type="expression" dxfId="149" priority="158">
      <formula>AI10=-1</formula>
    </cfRule>
    <cfRule type="expression" dxfId="148" priority="159">
      <formula>AI10=1</formula>
    </cfRule>
  </conditionalFormatting>
  <conditionalFormatting sqref="AI12:AI14">
    <cfRule type="expression" dxfId="147" priority="69">
      <formula>AI15=1</formula>
    </cfRule>
    <cfRule type="expression" dxfId="146" priority="68">
      <formula>AI15=-1</formula>
    </cfRule>
    <cfRule type="expression" dxfId="145" priority="67">
      <formula>AI15=0</formula>
    </cfRule>
  </conditionalFormatting>
  <conditionalFormatting sqref="AI21:AI22">
    <cfRule type="expression" dxfId="144" priority="80">
      <formula>AI23=-1</formula>
    </cfRule>
    <cfRule type="expression" dxfId="143" priority="81">
      <formula>AI23=1</formula>
    </cfRule>
    <cfRule type="expression" dxfId="142" priority="79">
      <formula>AI23=0</formula>
    </cfRule>
  </conditionalFormatting>
  <conditionalFormatting sqref="AI25:AI26">
    <cfRule type="expression" dxfId="141" priority="85">
      <formula>AI27=0</formula>
    </cfRule>
    <cfRule type="expression" dxfId="140" priority="86">
      <formula>AI27=-1</formula>
    </cfRule>
    <cfRule type="expression" dxfId="139" priority="87">
      <formula>AI27=1</formula>
    </cfRule>
  </conditionalFormatting>
  <conditionalFormatting sqref="AI31:AI33">
    <cfRule type="expression" dxfId="138" priority="75">
      <formula>AI34=1</formula>
    </cfRule>
    <cfRule type="expression" dxfId="137" priority="74">
      <formula>AI34=-1</formula>
    </cfRule>
    <cfRule type="expression" dxfId="136" priority="73">
      <formula>AI34=0</formula>
    </cfRule>
  </conditionalFormatting>
  <conditionalFormatting sqref="AI36:AI37">
    <cfRule type="expression" dxfId="135" priority="93">
      <formula>AI38=1</formula>
    </cfRule>
    <cfRule type="expression" dxfId="134" priority="92">
      <formula>AI38=-1</formula>
    </cfRule>
    <cfRule type="expression" dxfId="133" priority="91">
      <formula>AI38=0</formula>
    </cfRule>
  </conditionalFormatting>
  <conditionalFormatting sqref="AI42:AI43">
    <cfRule type="expression" dxfId="132" priority="104">
      <formula>AI44=-1</formula>
    </cfRule>
    <cfRule type="expression" dxfId="131" priority="103">
      <formula>AI44=0</formula>
    </cfRule>
    <cfRule type="expression" dxfId="130" priority="105">
      <formula>AI44=1</formula>
    </cfRule>
  </conditionalFormatting>
  <conditionalFormatting sqref="AI46:AI47">
    <cfRule type="expression" dxfId="129" priority="99">
      <formula>AI48=1</formula>
    </cfRule>
    <cfRule type="expression" dxfId="128" priority="98">
      <formula>AI48=-1</formula>
    </cfRule>
    <cfRule type="expression" dxfId="127" priority="97">
      <formula>AI48=0</formula>
    </cfRule>
  </conditionalFormatting>
  <conditionalFormatting sqref="BA8:BA17">
    <cfRule type="expression" dxfId="126" priority="59">
      <formula>BX8=-1</formula>
    </cfRule>
    <cfRule type="expression" dxfId="125" priority="58">
      <formula>BX8=0</formula>
    </cfRule>
    <cfRule type="expression" dxfId="124" priority="60">
      <formula>BX8=1</formula>
    </cfRule>
  </conditionalFormatting>
  <conditionalFormatting sqref="BA21:BA25">
    <cfRule type="expression" dxfId="123" priority="43">
      <formula>BX21=0</formula>
    </cfRule>
    <cfRule type="expression" dxfId="122" priority="44">
      <formula>BX21=-1</formula>
    </cfRule>
    <cfRule type="expression" dxfId="121" priority="45">
      <formula>BX21=1</formula>
    </cfRule>
  </conditionalFormatting>
  <conditionalFormatting sqref="BA31:BA35">
    <cfRule type="expression" dxfId="120" priority="37">
      <formula>BX31=0</formula>
    </cfRule>
    <cfRule type="expression" dxfId="119" priority="39">
      <formula>BX31=1</formula>
    </cfRule>
    <cfRule type="expression" dxfId="118" priority="38">
      <formula>BX31=-1</formula>
    </cfRule>
  </conditionalFormatting>
  <conditionalFormatting sqref="BA42:BA43">
    <cfRule type="expression" dxfId="117" priority="21">
      <formula>BX42=1</formula>
    </cfRule>
    <cfRule type="expression" dxfId="116" priority="20">
      <formula>BX42=-1</formula>
    </cfRule>
    <cfRule type="expression" dxfId="115" priority="19">
      <formula>BX42=0</formula>
    </cfRule>
  </conditionalFormatting>
  <conditionalFormatting sqref="BE8:BE17">
    <cfRule type="expression" dxfId="114" priority="46">
      <formula>CB8=0</formula>
    </cfRule>
    <cfRule type="expression" dxfId="113" priority="47">
      <formula>CB8=-1</formula>
    </cfRule>
    <cfRule type="expression" dxfId="112" priority="48">
      <formula>CB8=1</formula>
    </cfRule>
  </conditionalFormatting>
  <conditionalFormatting sqref="BE21:BE25">
    <cfRule type="expression" dxfId="111" priority="42">
      <formula>CB21=1</formula>
    </cfRule>
    <cfRule type="expression" dxfId="110" priority="41">
      <formula>CB21=-1</formula>
    </cfRule>
    <cfRule type="expression" dxfId="109" priority="40">
      <formula>CB21=0</formula>
    </cfRule>
  </conditionalFormatting>
  <conditionalFormatting sqref="BE31:BE35">
    <cfRule type="expression" dxfId="108" priority="36">
      <formula>CB31=1</formula>
    </cfRule>
    <cfRule type="expression" dxfId="107" priority="35">
      <formula>CB31=-1</formula>
    </cfRule>
    <cfRule type="expression" dxfId="106" priority="34">
      <formula>CB31=0</formula>
    </cfRule>
  </conditionalFormatting>
  <conditionalFormatting sqref="BE42:BE43">
    <cfRule type="expression" dxfId="105" priority="1">
      <formula>CB42=0</formula>
    </cfRule>
    <cfRule type="expression" dxfId="104" priority="3">
      <formula>CB42=1</formula>
    </cfRule>
    <cfRule type="expression" dxfId="103" priority="2">
      <formula>CB42=-1</formula>
    </cfRule>
  </conditionalFormatting>
  <conditionalFormatting sqref="BJ31:BJ35">
    <cfRule type="expression" dxfId="102" priority="33">
      <formula>CF31=1</formula>
    </cfRule>
    <cfRule type="expression" dxfId="101" priority="32">
      <formula>CF31=-1</formula>
    </cfRule>
    <cfRule type="expression" dxfId="100" priority="31">
      <formula>CF31=0</formula>
    </cfRule>
  </conditionalFormatting>
  <conditionalFormatting sqref="BJ42:BJ43">
    <cfRule type="expression" dxfId="99" priority="15">
      <formula>CF42=1</formula>
    </cfRule>
    <cfRule type="expression" dxfId="98" priority="13">
      <formula>CF42=0</formula>
    </cfRule>
    <cfRule type="expression" dxfId="97" priority="14">
      <formula>CF42=-1</formula>
    </cfRule>
  </conditionalFormatting>
  <conditionalFormatting sqref="BN31:BN35">
    <cfRule type="expression" dxfId="96" priority="27">
      <formula>CJ31=1</formula>
    </cfRule>
    <cfRule type="expression" dxfId="95" priority="26">
      <formula>CJ31=-1</formula>
    </cfRule>
    <cfRule type="expression" dxfId="94" priority="25">
      <formula>CJ31=0</formula>
    </cfRule>
  </conditionalFormatting>
  <conditionalFormatting sqref="BN42:BN43">
    <cfRule type="expression" dxfId="93" priority="6">
      <formula>CJ42=1</formula>
    </cfRule>
    <cfRule type="expression" dxfId="92" priority="5">
      <formula>CJ42=-1</formula>
    </cfRule>
    <cfRule type="expression" dxfId="91" priority="4">
      <formula>CJ42=0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7599-CD60-413E-A10B-C5536FB5DC22}">
  <sheetPr codeName="Planilha3"/>
  <dimension ref="B1:BS44"/>
  <sheetViews>
    <sheetView showGridLines="0" tabSelected="1" zoomScaleNormal="100" workbookViewId="0">
      <selection activeCell="J6" sqref="J6:M6"/>
    </sheetView>
  </sheetViews>
  <sheetFormatPr defaultRowHeight="14.4"/>
  <cols>
    <col min="1" max="5" width="2.33203125" customWidth="1"/>
    <col min="6" max="67" width="2.5546875" customWidth="1"/>
    <col min="68" max="101" width="2.33203125" customWidth="1"/>
  </cols>
  <sheetData>
    <row r="1" spans="2:71" ht="13.8" customHeight="1">
      <c r="B1" s="76" t="s">
        <v>90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5"/>
      <c r="AS1" s="75"/>
    </row>
    <row r="2" spans="2:71" ht="14.4" customHeight="1"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5"/>
      <c r="AS2" s="75"/>
    </row>
    <row r="3" spans="2:71" ht="13.8" customHeight="1">
      <c r="C3" s="69"/>
      <c r="D3" s="69"/>
      <c r="E3" s="70"/>
      <c r="F3" s="71"/>
      <c r="G3" s="71"/>
      <c r="H3" s="71"/>
      <c r="I3" s="71"/>
      <c r="J3" s="71"/>
      <c r="K3" s="71"/>
      <c r="L3" s="69"/>
      <c r="M3" s="69"/>
      <c r="N3" s="69"/>
    </row>
    <row r="4" spans="2:71">
      <c r="C4" s="67"/>
      <c r="D4" s="139" t="e">
        <f>_xll.SUBNM("CONS_VC_PRD:ALL.D.Version","sys.Report","RF","Descrição")</f>
        <v>#N/A</v>
      </c>
      <c r="E4" s="139"/>
      <c r="F4" s="139"/>
      <c r="G4" s="139"/>
      <c r="H4" s="67"/>
      <c r="I4" s="67"/>
      <c r="J4" s="139" t="e">
        <f>_xll.SUBNM("CONS_VC_PRD:ALL.D.Version","sys.Report","L300","Descrição")</f>
        <v>#N/A</v>
      </c>
      <c r="K4" s="139"/>
      <c r="L4" s="139"/>
      <c r="M4" s="139"/>
      <c r="N4" s="67"/>
    </row>
    <row r="5" spans="2:71"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</row>
    <row r="6" spans="2:71">
      <c r="C6" s="67"/>
      <c r="D6" s="139" t="e">
        <f>_xll.SUBNM("CONS_VC_PRD:ALL.D.Month","SYS.YTD","YTD 12","Desc")</f>
        <v>#N/A</v>
      </c>
      <c r="E6" s="139"/>
      <c r="F6" s="139"/>
      <c r="G6" s="139"/>
      <c r="H6" s="67"/>
      <c r="I6" s="67"/>
      <c r="J6" s="139" t="e">
        <f>_xll.SUBNM("CONS_VC_PRD:ALL.D.Year","SYS_PICKLIST","2025","id do membro")</f>
        <v>#N/A</v>
      </c>
      <c r="K6" s="139"/>
      <c r="L6" s="139"/>
      <c r="M6" s="139"/>
      <c r="N6" s="67"/>
    </row>
    <row r="7" spans="2:71" ht="0.6" customHeight="1">
      <c r="C7" s="67"/>
      <c r="D7" s="67"/>
      <c r="E7" s="67"/>
      <c r="F7" s="68"/>
      <c r="G7" s="68"/>
      <c r="H7" s="68"/>
      <c r="I7" s="68"/>
      <c r="J7" s="68"/>
      <c r="K7" s="68"/>
      <c r="L7" s="68"/>
      <c r="M7" s="68"/>
      <c r="N7" s="6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</row>
    <row r="8" spans="2:71" ht="12.6" customHeight="1" thickBot="1">
      <c r="C8" s="72"/>
      <c r="D8" s="72"/>
      <c r="E8" s="72"/>
      <c r="F8" s="73"/>
      <c r="G8" s="73"/>
      <c r="H8" s="73"/>
      <c r="I8" s="73"/>
      <c r="J8" s="73"/>
      <c r="K8" s="73"/>
      <c r="L8" s="73"/>
      <c r="M8" s="73"/>
      <c r="N8" s="73"/>
      <c r="O8" s="22"/>
      <c r="P8" s="22"/>
      <c r="Q8" s="81" t="s">
        <v>76</v>
      </c>
      <c r="R8" s="82"/>
      <c r="S8" s="82"/>
      <c r="T8" s="82"/>
      <c r="U8" s="82"/>
      <c r="V8" s="82"/>
      <c r="W8" s="82"/>
      <c r="X8" s="83"/>
      <c r="Y8" s="22"/>
      <c r="Z8" s="22"/>
      <c r="AA8" s="22"/>
      <c r="AB8" s="81" t="s">
        <v>75</v>
      </c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3"/>
      <c r="AP8" s="22"/>
      <c r="AQ8" s="22"/>
      <c r="AR8" s="22"/>
      <c r="AS8" s="81" t="s">
        <v>74</v>
      </c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2"/>
      <c r="BF8" s="83"/>
      <c r="BG8" s="22"/>
      <c r="BH8" s="22"/>
      <c r="BI8" s="22"/>
      <c r="BJ8" s="22"/>
      <c r="BK8" s="22"/>
      <c r="BL8" s="22"/>
      <c r="BM8" s="22"/>
      <c r="BN8" s="22"/>
      <c r="BO8" s="22"/>
      <c r="BP8" s="5"/>
      <c r="BQ8" s="5"/>
      <c r="BR8" s="5"/>
      <c r="BS8" s="5"/>
    </row>
    <row r="9" spans="2:71">
      <c r="O9" s="22"/>
      <c r="P9" s="22"/>
      <c r="Q9" s="84"/>
      <c r="R9" s="79" t="e">
        <f>'Value Tree - Fx'!R8</f>
        <v>#VALUE!</v>
      </c>
      <c r="S9" s="79"/>
      <c r="T9" s="79"/>
      <c r="U9" s="86"/>
      <c r="V9" s="79" t="e">
        <f>'Value Tree - Fx'!V8</f>
        <v>#VALUE!</v>
      </c>
      <c r="W9" s="79"/>
      <c r="X9" s="80"/>
      <c r="Y9" s="22"/>
      <c r="Z9" s="22"/>
      <c r="AA9" s="22"/>
      <c r="AB9" s="84"/>
      <c r="AC9" s="79" t="e">
        <f>'Value Tree - Fx'!AC8</f>
        <v>#VALUE!</v>
      </c>
      <c r="AD9" s="79"/>
      <c r="AE9" s="80"/>
      <c r="AF9" s="88" t="e">
        <f>'Value Tree - Fx'!AF8</f>
        <v>#VALUE!</v>
      </c>
      <c r="AG9" s="89"/>
      <c r="AH9" s="89"/>
      <c r="AI9" s="86"/>
      <c r="AJ9" s="79" t="e">
        <f>'Value Tree - Fx'!AJ8</f>
        <v>#VALUE!</v>
      </c>
      <c r="AK9" s="79"/>
      <c r="AL9" s="80"/>
      <c r="AM9" s="88" t="e">
        <f>'Value Tree - Fx'!AM8</f>
        <v>#VALUE!</v>
      </c>
      <c r="AN9" s="89"/>
      <c r="AO9" s="90"/>
      <c r="AP9" s="22"/>
      <c r="AQ9" s="22"/>
      <c r="AR9" s="40"/>
      <c r="AS9" s="106" t="s">
        <v>52</v>
      </c>
      <c r="AT9" s="107"/>
      <c r="AU9" s="107"/>
      <c r="AV9" s="107"/>
      <c r="AW9" s="107"/>
      <c r="AX9" s="107"/>
      <c r="AY9" s="62"/>
      <c r="AZ9" s="79" t="e">
        <f>'Value Tree - Fx'!BB8</f>
        <v>#VALUE!</v>
      </c>
      <c r="BA9" s="79"/>
      <c r="BB9" s="79"/>
      <c r="BC9" s="62"/>
      <c r="BD9" s="79" t="e">
        <f>'Value Tree - Fx'!BF8</f>
        <v>#VALUE!</v>
      </c>
      <c r="BE9" s="79"/>
      <c r="BF9" s="80"/>
      <c r="BG9" s="39"/>
      <c r="BH9" s="39"/>
      <c r="BI9" s="39"/>
      <c r="BJ9" s="39"/>
      <c r="BK9" s="39"/>
      <c r="BL9" s="39"/>
      <c r="BM9" s="39"/>
      <c r="BN9" s="39"/>
      <c r="BO9" s="39"/>
      <c r="BP9" s="38"/>
      <c r="BQ9" s="37"/>
      <c r="BR9" s="5"/>
      <c r="BS9" s="5"/>
    </row>
    <row r="10" spans="2:71">
      <c r="F10" s="81" t="s">
        <v>72</v>
      </c>
      <c r="G10" s="82"/>
      <c r="H10" s="82"/>
      <c r="I10" s="82"/>
      <c r="J10" s="82"/>
      <c r="K10" s="82"/>
      <c r="L10" s="82"/>
      <c r="M10" s="83"/>
      <c r="N10" s="22"/>
      <c r="O10" s="22"/>
      <c r="P10" s="22"/>
      <c r="Q10" s="85"/>
      <c r="R10" s="77" t="e">
        <f>'Value Tree - Fx'!R9</f>
        <v>#VALUE!</v>
      </c>
      <c r="S10" s="77"/>
      <c r="T10" s="77"/>
      <c r="U10" s="87"/>
      <c r="V10" s="77" t="e">
        <f>'Value Tree - Fx'!V9</f>
        <v>#VALUE!</v>
      </c>
      <c r="W10" s="77"/>
      <c r="X10" s="78"/>
      <c r="Y10" s="22"/>
      <c r="Z10" s="28"/>
      <c r="AA10" s="28"/>
      <c r="AB10" s="85"/>
      <c r="AC10" s="77" t="e">
        <f>'Value Tree - Fx'!AC9</f>
        <v>#VALUE!</v>
      </c>
      <c r="AD10" s="77"/>
      <c r="AE10" s="78"/>
      <c r="AF10" s="97" t="e">
        <f>'Value Tree - Fx'!AF9</f>
        <v>#VALUE!</v>
      </c>
      <c r="AG10" s="92"/>
      <c r="AH10" s="92"/>
      <c r="AI10" s="87"/>
      <c r="AJ10" s="77" t="e">
        <f>'Value Tree - Fx'!AJ9</f>
        <v>#VALUE!</v>
      </c>
      <c r="AK10" s="77"/>
      <c r="AL10" s="78"/>
      <c r="AM10" s="91" t="e">
        <f>'Value Tree - Fx'!AM9</f>
        <v>#VALUE!</v>
      </c>
      <c r="AN10" s="92"/>
      <c r="AO10" s="93"/>
      <c r="AP10" s="22"/>
      <c r="AQ10" s="22"/>
      <c r="AR10" s="26"/>
      <c r="AS10" s="102" t="s">
        <v>49</v>
      </c>
      <c r="AT10" s="103"/>
      <c r="AU10" s="103"/>
      <c r="AV10" s="103"/>
      <c r="AW10" s="103"/>
      <c r="AX10" s="103"/>
      <c r="AY10" s="59"/>
      <c r="AZ10" s="98" t="e">
        <f>'Value Tree - Fx'!BB9</f>
        <v>#VALUE!</v>
      </c>
      <c r="BA10" s="98"/>
      <c r="BB10" s="98"/>
      <c r="BC10" s="59"/>
      <c r="BD10" s="98" t="e">
        <f>'Value Tree - Fx'!BF9</f>
        <v>#VALUE!</v>
      </c>
      <c r="BE10" s="98"/>
      <c r="BF10" s="99"/>
      <c r="BG10" s="25"/>
      <c r="BH10" s="25"/>
      <c r="BI10" s="25"/>
      <c r="BJ10" s="25"/>
      <c r="BK10" s="25"/>
      <c r="BL10" s="25"/>
      <c r="BM10" s="25"/>
      <c r="BN10" s="25"/>
      <c r="BO10" s="25"/>
      <c r="BP10" s="24"/>
      <c r="BQ10" s="23"/>
      <c r="BR10" s="5"/>
      <c r="BS10" s="5"/>
    </row>
    <row r="11" spans="2:71">
      <c r="F11" s="84"/>
      <c r="G11" s="135" t="e">
        <f>'Value Tree - Fx'!G11</f>
        <v>#VALUE!</v>
      </c>
      <c r="H11" s="135"/>
      <c r="I11" s="135"/>
      <c r="J11" s="86"/>
      <c r="K11" s="135" t="e">
        <f>'Value Tree - Fx'!K11</f>
        <v>#VALUE!</v>
      </c>
      <c r="L11" s="135"/>
      <c r="M11" s="136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31"/>
      <c r="Z11" s="22"/>
      <c r="AA11" s="36"/>
      <c r="AB11" s="94" t="s">
        <v>71</v>
      </c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6"/>
      <c r="AP11" s="33"/>
      <c r="AQ11" s="32"/>
      <c r="AR11" s="61"/>
      <c r="AS11" s="104" t="s">
        <v>45</v>
      </c>
      <c r="AT11" s="105"/>
      <c r="AU11" s="105"/>
      <c r="AV11" s="105"/>
      <c r="AW11" s="105"/>
      <c r="AX11" s="105"/>
      <c r="AY11" s="59"/>
      <c r="AZ11" s="100" t="e">
        <f>'Value Tree - Fx'!BB11</f>
        <v>#VALUE!</v>
      </c>
      <c r="BA11" s="100"/>
      <c r="BB11" s="100"/>
      <c r="BC11" s="59"/>
      <c r="BD11" s="100" t="e">
        <f>'Value Tree - Fx'!BF11</f>
        <v>#VALUE!</v>
      </c>
      <c r="BE11" s="100"/>
      <c r="BF11" s="101"/>
      <c r="BG11" s="25"/>
      <c r="BH11" s="25"/>
      <c r="BI11" s="25"/>
      <c r="BJ11" s="25"/>
      <c r="BK11" s="25"/>
      <c r="BL11" s="25"/>
      <c r="BM11" s="25"/>
      <c r="BN11" s="25"/>
      <c r="BO11" s="25"/>
      <c r="BP11" s="24"/>
      <c r="BQ11" s="23"/>
      <c r="BR11" s="5"/>
      <c r="BS11" s="5"/>
    </row>
    <row r="12" spans="2:71">
      <c r="F12" s="85"/>
      <c r="G12" s="137" t="e">
        <f>'Value Tree - Fx'!G12</f>
        <v>#VALUE!</v>
      </c>
      <c r="H12" s="137"/>
      <c r="I12" s="137"/>
      <c r="J12" s="87"/>
      <c r="K12" s="137" t="e">
        <f>'Value Tree - Fx'!K12</f>
        <v>#VALUE!</v>
      </c>
      <c r="L12" s="137"/>
      <c r="M12" s="138"/>
      <c r="N12" s="29"/>
      <c r="O12" s="28"/>
      <c r="P12" s="30"/>
      <c r="Q12" s="81" t="s">
        <v>70</v>
      </c>
      <c r="R12" s="82"/>
      <c r="S12" s="82"/>
      <c r="T12" s="82"/>
      <c r="U12" s="82"/>
      <c r="V12" s="82"/>
      <c r="W12" s="82"/>
      <c r="X12" s="83"/>
      <c r="Y12" s="31"/>
      <c r="Z12" s="22"/>
      <c r="AA12" s="22"/>
      <c r="AB12" s="84"/>
      <c r="AC12" s="79" t="e">
        <f>'Value Tree - Fx'!AC12</f>
        <v>#VALUE!</v>
      </c>
      <c r="AD12" s="79"/>
      <c r="AE12" s="80"/>
      <c r="AF12" s="88" t="e">
        <f>'Value Tree - Fx'!AF12</f>
        <v>#VALUE!</v>
      </c>
      <c r="AG12" s="89"/>
      <c r="AH12" s="89"/>
      <c r="AI12" s="86"/>
      <c r="AJ12" s="79" t="e">
        <f>'Value Tree - Fx'!AJ12</f>
        <v>#VALUE!</v>
      </c>
      <c r="AK12" s="79"/>
      <c r="AL12" s="80"/>
      <c r="AM12" s="88" t="e">
        <f>'Value Tree - Fx'!AM12</f>
        <v>#VALUE!</v>
      </c>
      <c r="AN12" s="89"/>
      <c r="AO12" s="90"/>
      <c r="AP12" s="22"/>
      <c r="AQ12" s="22"/>
      <c r="AR12" s="26"/>
      <c r="AS12" s="102" t="s">
        <v>69</v>
      </c>
      <c r="AT12" s="103"/>
      <c r="AU12" s="103"/>
      <c r="AV12" s="103"/>
      <c r="AW12" s="103"/>
      <c r="AX12" s="103"/>
      <c r="AY12" s="59"/>
      <c r="AZ12" s="98" t="e">
        <f>'Value Tree - Fx'!BB12</f>
        <v>#VALUE!</v>
      </c>
      <c r="BA12" s="98"/>
      <c r="BB12" s="98"/>
      <c r="BC12" s="59"/>
      <c r="BD12" s="98" t="e">
        <f>'Value Tree - Fx'!BF12</f>
        <v>#VALUE!</v>
      </c>
      <c r="BE12" s="98"/>
      <c r="BF12" s="99"/>
      <c r="BG12" s="25"/>
      <c r="BH12" s="25"/>
      <c r="BI12" s="25"/>
      <c r="BJ12" s="25"/>
      <c r="BK12" s="25"/>
      <c r="BL12" s="25"/>
      <c r="BM12" s="25"/>
      <c r="BN12" s="25"/>
      <c r="BO12" s="25"/>
      <c r="BP12" s="24"/>
      <c r="BQ12" s="23"/>
      <c r="BR12" s="5"/>
      <c r="BS12" s="5"/>
    </row>
    <row r="13" spans="2:71"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84"/>
      <c r="R13" s="79" t="e">
        <f>'Value Tree - Fx'!R14</f>
        <v>#VALUE!</v>
      </c>
      <c r="S13" s="79"/>
      <c r="T13" s="79"/>
      <c r="U13" s="86"/>
      <c r="V13" s="79" t="e">
        <f>'Value Tree - Fx'!V14</f>
        <v>#VALUE!</v>
      </c>
      <c r="W13" s="79"/>
      <c r="X13" s="80"/>
      <c r="Y13" s="31"/>
      <c r="Z13" s="22"/>
      <c r="AA13" s="22"/>
      <c r="AB13" s="85"/>
      <c r="AC13" s="77" t="e">
        <f>'Value Tree - Fx'!AC14</f>
        <v>#VALUE!</v>
      </c>
      <c r="AD13" s="77"/>
      <c r="AE13" s="78"/>
      <c r="AF13" s="97" t="e">
        <f>'Value Tree - Fx'!AF14</f>
        <v>#VALUE!</v>
      </c>
      <c r="AG13" s="92"/>
      <c r="AH13" s="92"/>
      <c r="AI13" s="87"/>
      <c r="AJ13" s="77" t="e">
        <f>'Value Tree - Fx'!AJ14</f>
        <v>#VALUE!</v>
      </c>
      <c r="AK13" s="77"/>
      <c r="AL13" s="78"/>
      <c r="AM13" s="91" t="e">
        <f>'Value Tree - Fx'!AM14</f>
        <v>#VALUE!</v>
      </c>
      <c r="AN13" s="92"/>
      <c r="AO13" s="93"/>
      <c r="AP13" s="22"/>
      <c r="AQ13" s="22"/>
      <c r="AR13" s="26"/>
      <c r="AS13" s="104" t="s">
        <v>66</v>
      </c>
      <c r="AT13" s="105"/>
      <c r="AU13" s="105"/>
      <c r="AV13" s="105"/>
      <c r="AW13" s="105"/>
      <c r="AX13" s="105"/>
      <c r="AY13" s="59"/>
      <c r="AZ13" s="100" t="e">
        <f>'Value Tree - Fx'!BB14</f>
        <v>#VALUE!</v>
      </c>
      <c r="BA13" s="100"/>
      <c r="BB13" s="100"/>
      <c r="BC13" s="59"/>
      <c r="BD13" s="100" t="e">
        <f>'Value Tree - Fx'!BF14</f>
        <v>#VALUE!</v>
      </c>
      <c r="BE13" s="100"/>
      <c r="BF13" s="101"/>
      <c r="BG13" s="25"/>
      <c r="BH13" s="25"/>
      <c r="BI13" s="25"/>
      <c r="BJ13" s="25"/>
      <c r="BK13" s="25"/>
      <c r="BL13" s="25"/>
      <c r="BM13" s="25"/>
      <c r="BN13" s="25"/>
      <c r="BO13" s="25"/>
      <c r="BP13" s="24"/>
      <c r="BQ13" s="23"/>
      <c r="BR13" s="5"/>
      <c r="BS13" s="5"/>
    </row>
    <row r="14" spans="2:71">
      <c r="F14" s="81" t="s">
        <v>64</v>
      </c>
      <c r="G14" s="82"/>
      <c r="H14" s="82"/>
      <c r="I14" s="82"/>
      <c r="J14" s="82"/>
      <c r="K14" s="82"/>
      <c r="L14" s="82"/>
      <c r="M14" s="83"/>
      <c r="N14" s="22"/>
      <c r="O14" s="22"/>
      <c r="P14" s="28"/>
      <c r="Q14" s="85"/>
      <c r="R14" s="77" t="e">
        <f>'Value Tree - Fx'!R15</f>
        <v>#VALUE!</v>
      </c>
      <c r="S14" s="77"/>
      <c r="T14" s="77"/>
      <c r="U14" s="87"/>
      <c r="V14" s="77" t="e">
        <f>'Value Tree - Fx'!V15</f>
        <v>#VALUE!</v>
      </c>
      <c r="W14" s="77"/>
      <c r="X14" s="78"/>
      <c r="Y14" s="35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6"/>
      <c r="AS14" s="102" t="s">
        <v>63</v>
      </c>
      <c r="AT14" s="103"/>
      <c r="AU14" s="103"/>
      <c r="AV14" s="103"/>
      <c r="AW14" s="103"/>
      <c r="AX14" s="103"/>
      <c r="AY14" s="59"/>
      <c r="AZ14" s="98" t="e">
        <f>'Value Tree - Fx'!BB15</f>
        <v>#VALUE!</v>
      </c>
      <c r="BA14" s="98"/>
      <c r="BB14" s="98"/>
      <c r="BC14" s="59"/>
      <c r="BD14" s="98" t="e">
        <f>'Value Tree - Fx'!BF15</f>
        <v>#VALUE!</v>
      </c>
      <c r="BE14" s="98"/>
      <c r="BF14" s="99"/>
      <c r="BG14" s="25"/>
      <c r="BH14" s="25"/>
      <c r="BI14" s="25"/>
      <c r="BJ14" s="25"/>
      <c r="BK14" s="25"/>
      <c r="BL14" s="25"/>
      <c r="BM14" s="25"/>
      <c r="BN14" s="25"/>
      <c r="BO14" s="25"/>
      <c r="BP14" s="24"/>
      <c r="BQ14" s="23"/>
      <c r="BR14" s="5"/>
      <c r="BS14" s="5"/>
    </row>
    <row r="15" spans="2:71">
      <c r="F15" s="84"/>
      <c r="G15" s="79" t="e">
        <f>'Value Tree - Fx'!G17</f>
        <v>#VALUE!</v>
      </c>
      <c r="H15" s="79"/>
      <c r="I15" s="79"/>
      <c r="J15" s="86"/>
      <c r="K15" s="79" t="e">
        <f>'Value Tree - Fx'!K17</f>
        <v>#VALUE!</v>
      </c>
      <c r="L15" s="79"/>
      <c r="M15" s="80"/>
      <c r="N15" s="22"/>
      <c r="O15" s="31"/>
      <c r="P15" s="22"/>
      <c r="Q15" s="22"/>
      <c r="R15" s="22"/>
      <c r="S15" s="22"/>
      <c r="T15" s="22"/>
      <c r="U15" s="22"/>
      <c r="V15" s="22"/>
      <c r="W15" s="22"/>
      <c r="X15" s="22"/>
      <c r="Y15" s="31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6"/>
      <c r="AS15" s="108" t="s">
        <v>61</v>
      </c>
      <c r="AT15" s="109"/>
      <c r="AU15" s="109"/>
      <c r="AV15" s="109"/>
      <c r="AW15" s="109"/>
      <c r="AX15" s="109"/>
      <c r="AY15" s="63"/>
      <c r="AZ15" s="110" t="e">
        <f>'Value Tree - Fx'!BB17</f>
        <v>#VALUE!</v>
      </c>
      <c r="BA15" s="110"/>
      <c r="BB15" s="110"/>
      <c r="BC15" s="63"/>
      <c r="BD15" s="110" t="e">
        <f>'Value Tree - Fx'!BF17</f>
        <v>#VALUE!</v>
      </c>
      <c r="BE15" s="110"/>
      <c r="BF15" s="111"/>
      <c r="BG15" s="25"/>
      <c r="BH15" s="25"/>
      <c r="BI15" s="25"/>
      <c r="BJ15" s="25"/>
      <c r="BK15" s="25"/>
      <c r="BL15" s="25"/>
      <c r="BM15" s="25"/>
      <c r="BN15" s="25"/>
      <c r="BO15" s="25"/>
      <c r="BP15" s="24"/>
      <c r="BQ15" s="23"/>
      <c r="BR15" s="5"/>
      <c r="BS15" s="5"/>
    </row>
    <row r="16" spans="2:71">
      <c r="F16" s="85"/>
      <c r="G16" s="77" t="e">
        <f>'Value Tree - Fx'!G18</f>
        <v>#VALUE!</v>
      </c>
      <c r="H16" s="77"/>
      <c r="I16" s="77"/>
      <c r="J16" s="87"/>
      <c r="K16" s="77" t="e">
        <f>'Value Tree - Fx'!K18</f>
        <v>#VALUE!</v>
      </c>
      <c r="L16" s="77"/>
      <c r="M16" s="78"/>
      <c r="N16" s="22"/>
      <c r="O16" s="31"/>
      <c r="P16" s="22"/>
      <c r="Q16" s="81" t="s">
        <v>57</v>
      </c>
      <c r="R16" s="82"/>
      <c r="S16" s="82"/>
      <c r="T16" s="82"/>
      <c r="U16" s="82"/>
      <c r="V16" s="82"/>
      <c r="W16" s="82"/>
      <c r="X16" s="83"/>
      <c r="Y16" s="31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6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4"/>
      <c r="BQ16" s="23"/>
      <c r="BR16" s="5"/>
      <c r="BS16" s="5"/>
    </row>
    <row r="17" spans="6:71">
      <c r="F17" s="22"/>
      <c r="G17" s="22"/>
      <c r="H17" s="22"/>
      <c r="I17" s="22"/>
      <c r="J17" s="22"/>
      <c r="K17" s="22"/>
      <c r="L17" s="22"/>
      <c r="M17" s="22"/>
      <c r="N17" s="22"/>
      <c r="O17" s="31"/>
      <c r="P17" s="22"/>
      <c r="Q17" s="84"/>
      <c r="R17" s="79" t="e">
        <f>'Value Tree - Fx'!R19</f>
        <v>#VALUE!</v>
      </c>
      <c r="S17" s="79"/>
      <c r="T17" s="79"/>
      <c r="U17" s="86"/>
      <c r="V17" s="79" t="e">
        <f>'Value Tree - Fx'!V19</f>
        <v>#VALUE!</v>
      </c>
      <c r="W17" s="79"/>
      <c r="X17" s="80"/>
      <c r="Y17" s="31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6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4"/>
      <c r="BQ17" s="23"/>
      <c r="BR17" s="5"/>
      <c r="BS17" s="5"/>
    </row>
    <row r="18" spans="6:71">
      <c r="F18" s="22"/>
      <c r="G18" s="22"/>
      <c r="H18" s="22"/>
      <c r="I18" s="22"/>
      <c r="J18" s="22"/>
      <c r="K18" s="22"/>
      <c r="L18" s="22"/>
      <c r="M18" s="22"/>
      <c r="N18" s="22"/>
      <c r="O18" s="31"/>
      <c r="P18" s="22"/>
      <c r="Q18" s="85"/>
      <c r="R18" s="77" t="e">
        <f>'Value Tree - Fx'!R20</f>
        <v>#VALUE!</v>
      </c>
      <c r="S18" s="77"/>
      <c r="T18" s="77"/>
      <c r="U18" s="87"/>
      <c r="V18" s="77" t="e">
        <f>'Value Tree - Fx'!V20</f>
        <v>#VALUE!</v>
      </c>
      <c r="W18" s="77"/>
      <c r="X18" s="78"/>
      <c r="Y18" s="31"/>
      <c r="Z18" s="22"/>
      <c r="AA18" s="22"/>
      <c r="AB18" s="81" t="s">
        <v>54</v>
      </c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3"/>
      <c r="AP18" s="22"/>
      <c r="AQ18" s="22"/>
      <c r="AR18" s="26"/>
      <c r="AS18" s="112" t="s">
        <v>53</v>
      </c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4"/>
      <c r="BG18" s="25"/>
      <c r="BH18" s="25"/>
      <c r="BI18" s="25"/>
      <c r="BJ18" s="25"/>
      <c r="BK18" s="25"/>
      <c r="BL18" s="25"/>
      <c r="BM18" s="25"/>
      <c r="BN18" s="25"/>
      <c r="BO18" s="25"/>
      <c r="BP18" s="24"/>
      <c r="BQ18" s="23"/>
      <c r="BR18" s="5"/>
      <c r="BS18" s="5"/>
    </row>
    <row r="19" spans="6:71">
      <c r="F19" s="22"/>
      <c r="G19" s="22"/>
      <c r="H19" s="22"/>
      <c r="I19" s="22"/>
      <c r="J19" s="22"/>
      <c r="K19" s="22"/>
      <c r="L19" s="22"/>
      <c r="M19" s="22"/>
      <c r="N19" s="22"/>
      <c r="O19" s="31"/>
      <c r="P19" s="22"/>
      <c r="Q19" s="22"/>
      <c r="R19" s="22"/>
      <c r="S19" s="22"/>
      <c r="T19" s="22"/>
      <c r="U19" s="22"/>
      <c r="V19" s="22"/>
      <c r="W19" s="22"/>
      <c r="X19" s="22"/>
      <c r="Y19" s="31"/>
      <c r="Z19" s="28"/>
      <c r="AA19" s="28"/>
      <c r="AB19" s="84"/>
      <c r="AC19" s="79" t="e">
        <f>'Value Tree - Fx'!AC21</f>
        <v>#VALUE!</v>
      </c>
      <c r="AD19" s="79"/>
      <c r="AE19" s="80"/>
      <c r="AF19" s="88" t="e">
        <f>'Value Tree - Fx'!AF21</f>
        <v>#VALUE!</v>
      </c>
      <c r="AG19" s="89"/>
      <c r="AH19" s="89"/>
      <c r="AI19" s="86"/>
      <c r="AJ19" s="79" t="e">
        <f>'Value Tree - Fx'!AJ21</f>
        <v>#VALUE!</v>
      </c>
      <c r="AK19" s="79"/>
      <c r="AL19" s="80"/>
      <c r="AM19" s="88" t="e">
        <f>'Value Tree - Fx'!AM21</f>
        <v>#VALUE!</v>
      </c>
      <c r="AN19" s="89"/>
      <c r="AO19" s="90"/>
      <c r="AP19" s="22"/>
      <c r="AQ19" s="22"/>
      <c r="AR19" s="26"/>
      <c r="AS19" s="106" t="s">
        <v>52</v>
      </c>
      <c r="AT19" s="107"/>
      <c r="AU19" s="107"/>
      <c r="AV19" s="107"/>
      <c r="AW19" s="107"/>
      <c r="AX19" s="107"/>
      <c r="AY19" s="62"/>
      <c r="AZ19" s="79" t="e">
        <f>'Value Tree - Fx'!BB21</f>
        <v>#VALUE!</v>
      </c>
      <c r="BA19" s="79"/>
      <c r="BB19" s="79"/>
      <c r="BC19" s="62"/>
      <c r="BD19" s="79" t="e">
        <f>'Value Tree - Fx'!BF21</f>
        <v>#VALUE!</v>
      </c>
      <c r="BE19" s="79"/>
      <c r="BF19" s="80"/>
      <c r="BG19" s="25"/>
      <c r="BH19" s="25"/>
      <c r="BI19" s="25"/>
      <c r="BJ19" s="25"/>
      <c r="BK19" s="25"/>
      <c r="BL19" s="25"/>
      <c r="BM19" s="25"/>
      <c r="BN19" s="25"/>
      <c r="BO19" s="25"/>
      <c r="BP19" s="24"/>
      <c r="BQ19" s="23"/>
      <c r="BR19" s="5"/>
      <c r="BS19" s="5"/>
    </row>
    <row r="20" spans="6:71">
      <c r="F20" s="22"/>
      <c r="G20" s="22"/>
      <c r="H20" s="22"/>
      <c r="I20" s="22"/>
      <c r="J20" s="22"/>
      <c r="K20" s="22"/>
      <c r="L20" s="22"/>
      <c r="M20" s="22"/>
      <c r="N20" s="22"/>
      <c r="O20" s="31"/>
      <c r="P20" s="22"/>
      <c r="Q20" s="22"/>
      <c r="R20" s="22"/>
      <c r="S20" s="22"/>
      <c r="T20" s="22"/>
      <c r="U20" s="22"/>
      <c r="V20" s="22"/>
      <c r="W20" s="22"/>
      <c r="X20" s="22"/>
      <c r="Y20" s="31"/>
      <c r="Z20" s="22"/>
      <c r="AA20" s="22"/>
      <c r="AB20" s="85"/>
      <c r="AC20" s="77" t="e">
        <f>'Value Tree - Fx'!AC22</f>
        <v>#VALUE!</v>
      </c>
      <c r="AD20" s="77"/>
      <c r="AE20" s="78"/>
      <c r="AF20" s="97" t="e">
        <f>'Value Tree - Fx'!AF22</f>
        <v>#VALUE!</v>
      </c>
      <c r="AG20" s="92"/>
      <c r="AH20" s="92"/>
      <c r="AI20" s="87"/>
      <c r="AJ20" s="77" t="e">
        <f>'Value Tree - Fx'!AJ22</f>
        <v>#VALUE!</v>
      </c>
      <c r="AK20" s="77"/>
      <c r="AL20" s="78"/>
      <c r="AM20" s="91" t="e">
        <f>'Value Tree - Fx'!AM22</f>
        <v>#VALUE!</v>
      </c>
      <c r="AN20" s="92"/>
      <c r="AO20" s="93"/>
      <c r="AP20" s="33"/>
      <c r="AQ20" s="32"/>
      <c r="AR20" s="61"/>
      <c r="AS20" s="102" t="s">
        <v>49</v>
      </c>
      <c r="AT20" s="103"/>
      <c r="AU20" s="103"/>
      <c r="AV20" s="103"/>
      <c r="AW20" s="103"/>
      <c r="AX20" s="103"/>
      <c r="AY20" s="59"/>
      <c r="AZ20" s="98" t="e">
        <f>'Value Tree - Fx'!BB22</f>
        <v>#VALUE!</v>
      </c>
      <c r="BA20" s="98"/>
      <c r="BB20" s="98"/>
      <c r="BC20" s="59"/>
      <c r="BD20" s="98" t="e">
        <f>'Value Tree - Fx'!BF22</f>
        <v>#VALUE!</v>
      </c>
      <c r="BE20" s="98"/>
      <c r="BF20" s="99"/>
      <c r="BG20" s="25"/>
      <c r="BH20" s="25"/>
      <c r="BI20" s="25"/>
      <c r="BJ20" s="25"/>
      <c r="BK20" s="25"/>
      <c r="BL20" s="25"/>
      <c r="BM20" s="25"/>
      <c r="BN20" s="25"/>
      <c r="BO20" s="25"/>
      <c r="BP20" s="24"/>
      <c r="BQ20" s="23"/>
      <c r="BR20" s="5"/>
      <c r="BS20" s="5"/>
    </row>
    <row r="21" spans="6:71">
      <c r="F21" s="22"/>
      <c r="G21" s="22"/>
      <c r="H21" s="22"/>
      <c r="I21" s="22"/>
      <c r="J21" s="22"/>
      <c r="K21" s="22"/>
      <c r="L21" s="22"/>
      <c r="M21" s="22"/>
      <c r="N21" s="22"/>
      <c r="O21" s="31"/>
      <c r="P21" s="22"/>
      <c r="Q21" s="81" t="s">
        <v>47</v>
      </c>
      <c r="R21" s="82"/>
      <c r="S21" s="82"/>
      <c r="T21" s="82"/>
      <c r="U21" s="82"/>
      <c r="V21" s="82"/>
      <c r="W21" s="82"/>
      <c r="X21" s="83"/>
      <c r="Y21" s="31"/>
      <c r="Z21" s="22"/>
      <c r="AA21" s="22"/>
      <c r="AB21" s="94" t="s">
        <v>46</v>
      </c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6"/>
      <c r="AP21" s="22"/>
      <c r="AQ21" s="22"/>
      <c r="AR21" s="26"/>
      <c r="AS21" s="104" t="s">
        <v>45</v>
      </c>
      <c r="AT21" s="105"/>
      <c r="AU21" s="105"/>
      <c r="AV21" s="105"/>
      <c r="AW21" s="105"/>
      <c r="AX21" s="105"/>
      <c r="AY21" s="59"/>
      <c r="AZ21" s="100" t="e">
        <f>'Value Tree - Fx'!BB24</f>
        <v>#VALUE!</v>
      </c>
      <c r="BA21" s="100"/>
      <c r="BB21" s="100"/>
      <c r="BC21" s="59"/>
      <c r="BD21" s="100" t="e">
        <f>'Value Tree - Fx'!BF24</f>
        <v>#VALUE!</v>
      </c>
      <c r="BE21" s="100"/>
      <c r="BF21" s="101"/>
      <c r="BG21" s="25"/>
      <c r="BH21" s="25"/>
      <c r="BI21" s="25"/>
      <c r="BJ21" s="25"/>
      <c r="BK21" s="25"/>
      <c r="BL21" s="25"/>
      <c r="BM21" s="25"/>
      <c r="BN21" s="25"/>
      <c r="BO21" s="25"/>
      <c r="BP21" s="24"/>
      <c r="BQ21" s="23"/>
      <c r="BR21" s="5"/>
      <c r="BS21" s="5"/>
    </row>
    <row r="22" spans="6:71">
      <c r="F22" s="22"/>
      <c r="G22" s="22"/>
      <c r="H22" s="22"/>
      <c r="I22" s="22"/>
      <c r="J22" s="22"/>
      <c r="K22" s="22"/>
      <c r="L22" s="22"/>
      <c r="M22" s="22"/>
      <c r="N22" s="22"/>
      <c r="O22" s="31"/>
      <c r="P22" s="28"/>
      <c r="Q22" s="84"/>
      <c r="R22" s="79" t="e">
        <f>'Value Tree - Fx'!R25</f>
        <v>#VALUE!</v>
      </c>
      <c r="S22" s="79"/>
      <c r="T22" s="79"/>
      <c r="U22" s="86"/>
      <c r="V22" s="79" t="e">
        <f>'Value Tree - Fx'!V25</f>
        <v>#VALUE!</v>
      </c>
      <c r="W22" s="79"/>
      <c r="X22" s="80"/>
      <c r="Y22" s="31"/>
      <c r="Z22" s="22"/>
      <c r="AA22" s="22"/>
      <c r="AB22" s="84"/>
      <c r="AC22" s="79" t="e">
        <f>'Value Tree - Fx'!AC25</f>
        <v>#VALUE!</v>
      </c>
      <c r="AD22" s="79"/>
      <c r="AE22" s="80"/>
      <c r="AF22" s="88" t="e">
        <f>'Value Tree - Fx'!AF25</f>
        <v>#VALUE!</v>
      </c>
      <c r="AG22" s="89"/>
      <c r="AH22" s="89"/>
      <c r="AI22" s="86"/>
      <c r="AJ22" s="79" t="e">
        <f>'Value Tree - Fx'!AJ25</f>
        <v>#VALUE!</v>
      </c>
      <c r="AK22" s="79"/>
      <c r="AL22" s="80"/>
      <c r="AM22" s="88" t="e">
        <f>'Value Tree - Fx'!AM25</f>
        <v>#VALUE!</v>
      </c>
      <c r="AN22" s="89"/>
      <c r="AO22" s="90"/>
      <c r="AP22" s="22"/>
      <c r="AQ22" s="22"/>
      <c r="AR22" s="26"/>
      <c r="AS22" s="94" t="s">
        <v>27</v>
      </c>
      <c r="AT22" s="95"/>
      <c r="AU22" s="95"/>
      <c r="AV22" s="95"/>
      <c r="AW22" s="95"/>
      <c r="AX22" s="95"/>
      <c r="AY22" s="63"/>
      <c r="AZ22" s="77" t="e">
        <f>'Value Tree - Fx'!BB25</f>
        <v>#VALUE!</v>
      </c>
      <c r="BA22" s="77"/>
      <c r="BB22" s="77"/>
      <c r="BC22" s="63"/>
      <c r="BD22" s="77" t="e">
        <f>'Value Tree - Fx'!BF25</f>
        <v>#VALUE!</v>
      </c>
      <c r="BE22" s="77"/>
      <c r="BF22" s="78"/>
      <c r="BG22" s="25"/>
      <c r="BH22" s="25"/>
      <c r="BI22" s="25"/>
      <c r="BJ22" s="25"/>
      <c r="BK22" s="25"/>
      <c r="BL22" s="25"/>
      <c r="BM22" s="25"/>
      <c r="BN22" s="25"/>
      <c r="BO22" s="25"/>
      <c r="BP22" s="24"/>
      <c r="BQ22" s="23"/>
      <c r="BR22" s="5"/>
      <c r="BS22" s="5"/>
    </row>
    <row r="23" spans="6:71">
      <c r="F23" s="22"/>
      <c r="G23" s="22"/>
      <c r="H23" s="22"/>
      <c r="I23" s="22"/>
      <c r="J23" s="22"/>
      <c r="K23" s="22"/>
      <c r="L23" s="22"/>
      <c r="M23" s="22"/>
      <c r="N23" s="22"/>
      <c r="O23" s="31"/>
      <c r="P23" s="22"/>
      <c r="Q23" s="85"/>
      <c r="R23" s="77" t="e">
        <f>'Value Tree - Fx'!R26</f>
        <v>#VALUE!</v>
      </c>
      <c r="S23" s="77"/>
      <c r="T23" s="77"/>
      <c r="U23" s="87"/>
      <c r="V23" s="77" t="e">
        <f>'Value Tree - Fx'!V26</f>
        <v>#VALUE!</v>
      </c>
      <c r="W23" s="77"/>
      <c r="X23" s="78"/>
      <c r="Y23" s="31"/>
      <c r="Z23" s="22"/>
      <c r="AA23" s="22"/>
      <c r="AB23" s="85"/>
      <c r="AC23" s="77" t="e">
        <f>'Value Tree - Fx'!AC26</f>
        <v>#VALUE!</v>
      </c>
      <c r="AD23" s="77"/>
      <c r="AE23" s="78"/>
      <c r="AF23" s="97" t="e">
        <f>'Value Tree - Fx'!AF26</f>
        <v>#VALUE!</v>
      </c>
      <c r="AG23" s="92"/>
      <c r="AH23" s="92"/>
      <c r="AI23" s="87"/>
      <c r="AJ23" s="77" t="e">
        <f>'Value Tree - Fx'!AJ26</f>
        <v>#VALUE!</v>
      </c>
      <c r="AK23" s="77"/>
      <c r="AL23" s="78"/>
      <c r="AM23" s="91" t="e">
        <f>'Value Tree - Fx'!AM26</f>
        <v>#VALUE!</v>
      </c>
      <c r="AN23" s="92"/>
      <c r="AO23" s="93"/>
      <c r="AP23" s="22"/>
      <c r="AQ23" s="22"/>
      <c r="AR23" s="26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4"/>
      <c r="BQ23" s="23"/>
      <c r="BR23" s="5"/>
      <c r="BS23" s="5"/>
    </row>
    <row r="24" spans="6:71">
      <c r="F24" s="22"/>
      <c r="G24" s="22"/>
      <c r="H24" s="22"/>
      <c r="I24" s="22"/>
      <c r="J24" s="22"/>
      <c r="K24" s="22"/>
      <c r="L24" s="22"/>
      <c r="M24" s="22"/>
      <c r="N24" s="22"/>
      <c r="O24" s="31"/>
      <c r="P24" s="22"/>
      <c r="Q24" s="22"/>
      <c r="R24" s="22"/>
      <c r="S24" s="22"/>
      <c r="T24" s="22"/>
      <c r="U24" s="22"/>
      <c r="V24" s="22"/>
      <c r="W24" s="22"/>
      <c r="X24" s="22"/>
      <c r="Y24" s="31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6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4"/>
      <c r="BQ24" s="23"/>
      <c r="BR24" s="5"/>
      <c r="BS24" s="5"/>
    </row>
    <row r="25" spans="6:71">
      <c r="F25" s="81" t="s">
        <v>40</v>
      </c>
      <c r="G25" s="82"/>
      <c r="H25" s="82"/>
      <c r="I25" s="82"/>
      <c r="J25" s="82"/>
      <c r="K25" s="82"/>
      <c r="L25" s="82"/>
      <c r="M25" s="83"/>
      <c r="N25" s="22"/>
      <c r="O25" s="31"/>
      <c r="P25" s="22"/>
      <c r="Q25" s="81" t="s">
        <v>39</v>
      </c>
      <c r="R25" s="82"/>
      <c r="S25" s="82"/>
      <c r="T25" s="82"/>
      <c r="U25" s="82"/>
      <c r="V25" s="82"/>
      <c r="W25" s="82"/>
      <c r="X25" s="83"/>
      <c r="Y25" s="31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6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4"/>
      <c r="BQ25" s="23"/>
      <c r="BR25" s="5"/>
      <c r="BS25" s="5"/>
    </row>
    <row r="26" spans="6:71">
      <c r="F26" s="84"/>
      <c r="G26" s="79" t="e">
        <f>'Value Tree - Fx'!G30</f>
        <v>#VALUE!</v>
      </c>
      <c r="H26" s="79"/>
      <c r="I26" s="79"/>
      <c r="J26" s="86"/>
      <c r="K26" s="79" t="e">
        <f>'Value Tree - Fx'!K30</f>
        <v>#VALUE!</v>
      </c>
      <c r="L26" s="79"/>
      <c r="M26" s="80"/>
      <c r="N26" s="22"/>
      <c r="O26" s="31"/>
      <c r="P26" s="22"/>
      <c r="Q26" s="84"/>
      <c r="R26" s="79" t="e">
        <f>'Value Tree - Fx'!R30</f>
        <v>#VALUE!</v>
      </c>
      <c r="S26" s="79"/>
      <c r="T26" s="79"/>
      <c r="U26" s="86"/>
      <c r="V26" s="79" t="e">
        <f>'Value Tree - Fx'!V30</f>
        <v>#VALUE!</v>
      </c>
      <c r="W26" s="79"/>
      <c r="X26" s="80"/>
      <c r="Y26" s="31"/>
      <c r="Z26" s="22"/>
      <c r="AA26" s="22"/>
      <c r="AB26" s="81" t="s">
        <v>37</v>
      </c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3"/>
      <c r="AP26" s="22"/>
      <c r="AQ26" s="22"/>
      <c r="AR26" s="26"/>
      <c r="AS26" s="112" t="s">
        <v>36</v>
      </c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4"/>
      <c r="BG26" s="25"/>
      <c r="BH26" s="115" t="s">
        <v>35</v>
      </c>
      <c r="BI26" s="116"/>
      <c r="BJ26" s="116"/>
      <c r="BK26" s="116"/>
      <c r="BL26" s="116"/>
      <c r="BM26" s="116"/>
      <c r="BN26" s="116"/>
      <c r="BO26" s="117"/>
      <c r="BP26" s="34"/>
      <c r="BQ26" s="23"/>
      <c r="BR26" s="5"/>
      <c r="BS26" s="5"/>
    </row>
    <row r="27" spans="6:71">
      <c r="F27" s="85"/>
      <c r="G27" s="77" t="e">
        <f>'Value Tree - Fx'!G31</f>
        <v>#VALUE!</v>
      </c>
      <c r="H27" s="77"/>
      <c r="I27" s="77"/>
      <c r="J27" s="87"/>
      <c r="K27" s="77" t="e">
        <f>'Value Tree - Fx'!K31</f>
        <v>#VALUE!</v>
      </c>
      <c r="L27" s="77"/>
      <c r="M27" s="78"/>
      <c r="N27" s="29"/>
      <c r="O27" s="30"/>
      <c r="P27" s="28"/>
      <c r="Q27" s="85"/>
      <c r="R27" s="77" t="e">
        <f>'Value Tree - Fx'!R31</f>
        <v>#VALUE!</v>
      </c>
      <c r="S27" s="77"/>
      <c r="T27" s="77"/>
      <c r="U27" s="87"/>
      <c r="V27" s="77" t="e">
        <f>'Value Tree - Fx'!V31</f>
        <v>#VALUE!</v>
      </c>
      <c r="W27" s="77"/>
      <c r="X27" s="78"/>
      <c r="Y27" s="31"/>
      <c r="Z27" s="28"/>
      <c r="AA27" s="28"/>
      <c r="AB27" s="84"/>
      <c r="AC27" s="79" t="e">
        <f>'Value Tree - Fx'!AC31</f>
        <v>#VALUE!</v>
      </c>
      <c r="AD27" s="79"/>
      <c r="AE27" s="80"/>
      <c r="AF27" s="88" t="e">
        <f>'Value Tree - Fx'!AF31</f>
        <v>#VALUE!</v>
      </c>
      <c r="AG27" s="89"/>
      <c r="AH27" s="89"/>
      <c r="AI27" s="86"/>
      <c r="AJ27" s="79" t="e">
        <f>'Value Tree - Fx'!AJ31</f>
        <v>#VALUE!</v>
      </c>
      <c r="AK27" s="79"/>
      <c r="AL27" s="80"/>
      <c r="AM27" s="88" t="e">
        <f>'Value Tree - Fx'!AM31</f>
        <v>#VALUE!</v>
      </c>
      <c r="AN27" s="89"/>
      <c r="AO27" s="90"/>
      <c r="AP27" s="22"/>
      <c r="AQ27" s="22"/>
      <c r="AR27" s="26"/>
      <c r="AS27" s="106" t="s">
        <v>34</v>
      </c>
      <c r="AT27" s="107"/>
      <c r="AU27" s="107"/>
      <c r="AV27" s="107"/>
      <c r="AW27" s="107"/>
      <c r="AX27" s="107"/>
      <c r="AY27" s="62"/>
      <c r="AZ27" s="79" t="e">
        <f>'Value Tree - Fx'!BB31</f>
        <v>#VALUE!</v>
      </c>
      <c r="BA27" s="79"/>
      <c r="BB27" s="79"/>
      <c r="BC27" s="62"/>
      <c r="BD27" s="79" t="e">
        <f>'Value Tree - Fx'!BF31</f>
        <v>#VALUE!</v>
      </c>
      <c r="BE27" s="79"/>
      <c r="BF27" s="80"/>
      <c r="BG27" s="25"/>
      <c r="BH27" s="64"/>
      <c r="BI27" s="79" t="e">
        <f>'Value Tree - Fx'!BK31</f>
        <v>#VALUE!</v>
      </c>
      <c r="BJ27" s="79"/>
      <c r="BK27" s="79"/>
      <c r="BL27" s="62"/>
      <c r="BM27" s="120" t="e">
        <f>'Value Tree - Fx'!BO31</f>
        <v>#VALUE!</v>
      </c>
      <c r="BN27" s="79"/>
      <c r="BO27" s="80"/>
      <c r="BP27" s="24"/>
      <c r="BQ27" s="23"/>
      <c r="BR27" s="5"/>
      <c r="BS27" s="5"/>
    </row>
    <row r="28" spans="6:71">
      <c r="F28" s="22"/>
      <c r="G28" s="22"/>
      <c r="H28" s="22"/>
      <c r="I28" s="22"/>
      <c r="J28" s="22"/>
      <c r="K28" s="22"/>
      <c r="L28" s="22"/>
      <c r="M28" s="22"/>
      <c r="N28" s="22"/>
      <c r="O28" s="31"/>
      <c r="P28" s="22"/>
      <c r="Q28" s="22"/>
      <c r="R28" s="22"/>
      <c r="S28" s="22"/>
      <c r="T28" s="22"/>
      <c r="U28" s="22"/>
      <c r="V28" s="22"/>
      <c r="W28" s="22"/>
      <c r="X28" s="22"/>
      <c r="Y28" s="31"/>
      <c r="Z28" s="22"/>
      <c r="AA28" s="22"/>
      <c r="AB28" s="85"/>
      <c r="AC28" s="77" t="e">
        <f>'Value Tree - Fx'!AC33</f>
        <v>#VALUE!</v>
      </c>
      <c r="AD28" s="77"/>
      <c r="AE28" s="78"/>
      <c r="AF28" s="97" t="e">
        <f>'Value Tree - Fx'!AF33</f>
        <v>#VALUE!</v>
      </c>
      <c r="AG28" s="92"/>
      <c r="AH28" s="92"/>
      <c r="AI28" s="87"/>
      <c r="AJ28" s="77" t="e">
        <f>'Value Tree - Fx'!AJ33</f>
        <v>#VALUE!</v>
      </c>
      <c r="AK28" s="77"/>
      <c r="AL28" s="78"/>
      <c r="AM28" s="91" t="e">
        <f>'Value Tree - Fx'!AM33</f>
        <v>#VALUE!</v>
      </c>
      <c r="AN28" s="92"/>
      <c r="AO28" s="93"/>
      <c r="AP28" s="33"/>
      <c r="AQ28" s="32"/>
      <c r="AR28" s="61"/>
      <c r="AS28" s="102" t="s">
        <v>33</v>
      </c>
      <c r="AT28" s="103"/>
      <c r="AU28" s="103"/>
      <c r="AV28" s="103"/>
      <c r="AW28" s="103"/>
      <c r="AX28" s="103"/>
      <c r="AY28" s="59"/>
      <c r="AZ28" s="98" t="e">
        <f>'Value Tree - Fx'!BB33</f>
        <v>#VALUE!</v>
      </c>
      <c r="BA28" s="98"/>
      <c r="BB28" s="98"/>
      <c r="BC28" s="59"/>
      <c r="BD28" s="98" t="e">
        <f>'Value Tree - Fx'!BF33</f>
        <v>#VALUE!</v>
      </c>
      <c r="BE28" s="98"/>
      <c r="BF28" s="99"/>
      <c r="BG28" s="60"/>
      <c r="BH28" s="66"/>
      <c r="BI28" s="118" t="e">
        <f>'Value Tree - Fx'!BK33</f>
        <v>#VALUE!</v>
      </c>
      <c r="BJ28" s="98"/>
      <c r="BK28" s="119"/>
      <c r="BL28" s="59"/>
      <c r="BM28" s="118" t="e">
        <f>'Value Tree - Fx'!BO33</f>
        <v>#VALUE!</v>
      </c>
      <c r="BN28" s="98"/>
      <c r="BO28" s="99"/>
      <c r="BP28" s="24"/>
      <c r="BQ28" s="23"/>
      <c r="BR28" s="5"/>
      <c r="BS28" s="5"/>
    </row>
    <row r="29" spans="6:71">
      <c r="F29" s="81" t="s">
        <v>30</v>
      </c>
      <c r="G29" s="82"/>
      <c r="H29" s="82"/>
      <c r="I29" s="82"/>
      <c r="J29" s="82"/>
      <c r="K29" s="82"/>
      <c r="L29" s="82"/>
      <c r="M29" s="83"/>
      <c r="N29" s="22"/>
      <c r="O29" s="31"/>
      <c r="P29" s="22"/>
      <c r="Q29" s="81" t="s">
        <v>29</v>
      </c>
      <c r="R29" s="82"/>
      <c r="S29" s="82"/>
      <c r="T29" s="82"/>
      <c r="U29" s="82"/>
      <c r="V29" s="82"/>
      <c r="W29" s="82"/>
      <c r="X29" s="83"/>
      <c r="Y29" s="31"/>
      <c r="Z29" s="22"/>
      <c r="AA29" s="22"/>
      <c r="AB29" s="94" t="s">
        <v>28</v>
      </c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6"/>
      <c r="AP29" s="22"/>
      <c r="AQ29" s="22"/>
      <c r="AR29" s="26"/>
      <c r="AS29" s="108" t="s">
        <v>27</v>
      </c>
      <c r="AT29" s="109"/>
      <c r="AU29" s="109"/>
      <c r="AV29" s="109"/>
      <c r="AW29" s="109"/>
      <c r="AX29" s="109"/>
      <c r="AY29" s="63"/>
      <c r="AZ29" s="110" t="e">
        <f>'Value Tree - Fx'!BB35</f>
        <v>#VALUE!</v>
      </c>
      <c r="BA29" s="110"/>
      <c r="BB29" s="110"/>
      <c r="BC29" s="63"/>
      <c r="BD29" s="110" t="e">
        <f>'Value Tree - Fx'!BF35</f>
        <v>#VALUE!</v>
      </c>
      <c r="BE29" s="110"/>
      <c r="BF29" s="111"/>
      <c r="BG29" s="25"/>
      <c r="BH29" s="65"/>
      <c r="BI29" s="110" t="e">
        <f>'Value Tree - Fx'!BK35</f>
        <v>#VALUE!</v>
      </c>
      <c r="BJ29" s="110"/>
      <c r="BK29" s="110"/>
      <c r="BL29" s="63"/>
      <c r="BM29" s="121" t="e">
        <f>'Value Tree - Fx'!BO35</f>
        <v>#VALUE!</v>
      </c>
      <c r="BN29" s="110"/>
      <c r="BO29" s="111"/>
      <c r="BP29" s="24"/>
      <c r="BQ29" s="23"/>
      <c r="BR29" s="5"/>
      <c r="BS29" s="5"/>
    </row>
    <row r="30" spans="6:71">
      <c r="F30" s="84"/>
      <c r="G30" s="132" t="e">
        <f>'Value Tree - Fx'!G36</f>
        <v>#VALUE!</v>
      </c>
      <c r="H30" s="133"/>
      <c r="I30" s="133"/>
      <c r="J30" s="86"/>
      <c r="K30" s="132" t="e">
        <f>'Value Tree - Fx'!K36</f>
        <v>#VALUE!</v>
      </c>
      <c r="L30" s="133"/>
      <c r="M30" s="134"/>
      <c r="N30" s="22"/>
      <c r="O30" s="31"/>
      <c r="P30" s="22"/>
      <c r="Q30" s="84"/>
      <c r="R30" s="79" t="e">
        <f>'Value Tree - Fx'!R36</f>
        <v>#VALUE!</v>
      </c>
      <c r="S30" s="79"/>
      <c r="T30" s="79"/>
      <c r="U30" s="86"/>
      <c r="V30" s="79" t="e">
        <f>'Value Tree - Fx'!V36</f>
        <v>#VALUE!</v>
      </c>
      <c r="W30" s="79"/>
      <c r="X30" s="80"/>
      <c r="Y30" s="31"/>
      <c r="Z30" s="22"/>
      <c r="AA30" s="22"/>
      <c r="AB30" s="84"/>
      <c r="AC30" s="79" t="e">
        <f>'Value Tree - Fx'!AC36</f>
        <v>#VALUE!</v>
      </c>
      <c r="AD30" s="79"/>
      <c r="AE30" s="80"/>
      <c r="AF30" s="88" t="e">
        <f>'Value Tree - Fx'!AF36</f>
        <v>#VALUE!</v>
      </c>
      <c r="AG30" s="89"/>
      <c r="AH30" s="89"/>
      <c r="AI30" s="86"/>
      <c r="AJ30" s="79" t="e">
        <f>'Value Tree - Fx'!AJ36</f>
        <v>#VALUE!</v>
      </c>
      <c r="AK30" s="79"/>
      <c r="AL30" s="80"/>
      <c r="AM30" s="88" t="e">
        <f>'Value Tree - Fx'!AM36</f>
        <v>#VALUE!</v>
      </c>
      <c r="AN30" s="89"/>
      <c r="AO30" s="90"/>
      <c r="AP30" s="22"/>
      <c r="AQ30" s="22"/>
      <c r="AR30" s="26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4"/>
      <c r="BQ30" s="23"/>
      <c r="BR30" s="5"/>
      <c r="BS30" s="5"/>
    </row>
    <row r="31" spans="6:71">
      <c r="F31" s="85"/>
      <c r="G31" s="129" t="e">
        <f>'Value Tree - Fx'!G37</f>
        <v>#VALUE!</v>
      </c>
      <c r="H31" s="130"/>
      <c r="I31" s="130"/>
      <c r="J31" s="87"/>
      <c r="K31" s="129" t="e">
        <f>'Value Tree - Fx'!K37</f>
        <v>#VALUE!</v>
      </c>
      <c r="L31" s="130"/>
      <c r="M31" s="131"/>
      <c r="N31" s="22"/>
      <c r="O31" s="31"/>
      <c r="P31" s="28"/>
      <c r="Q31" s="85"/>
      <c r="R31" s="77" t="e">
        <f>'Value Tree - Fx'!R37</f>
        <v>#VALUE!</v>
      </c>
      <c r="S31" s="77"/>
      <c r="T31" s="77"/>
      <c r="U31" s="87"/>
      <c r="V31" s="77" t="e">
        <f>'Value Tree - Fx'!V37</f>
        <v>#VALUE!</v>
      </c>
      <c r="W31" s="77"/>
      <c r="X31" s="78"/>
      <c r="Y31" s="31"/>
      <c r="Z31" s="22"/>
      <c r="AA31" s="22"/>
      <c r="AB31" s="85"/>
      <c r="AC31" s="77" t="e">
        <f>'Value Tree - Fx'!AC37</f>
        <v>#VALUE!</v>
      </c>
      <c r="AD31" s="77"/>
      <c r="AE31" s="78"/>
      <c r="AF31" s="97" t="e">
        <f>'Value Tree - Fx'!AF37</f>
        <v>#VALUE!</v>
      </c>
      <c r="AG31" s="92"/>
      <c r="AH31" s="92"/>
      <c r="AI31" s="87"/>
      <c r="AJ31" s="77" t="e">
        <f>'Value Tree - Fx'!AJ37</f>
        <v>#VALUE!</v>
      </c>
      <c r="AK31" s="77"/>
      <c r="AL31" s="78"/>
      <c r="AM31" s="91" t="e">
        <f>'Value Tree - Fx'!AM37</f>
        <v>#VALUE!</v>
      </c>
      <c r="AN31" s="92"/>
      <c r="AO31" s="93"/>
      <c r="AP31" s="22"/>
      <c r="AQ31" s="22"/>
      <c r="AR31" s="26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4"/>
      <c r="BQ31" s="23"/>
      <c r="BR31" s="5"/>
      <c r="BS31" s="5"/>
    </row>
    <row r="32" spans="6:71">
      <c r="F32" s="22"/>
      <c r="G32" s="22"/>
      <c r="H32" s="22"/>
      <c r="I32" s="22"/>
      <c r="J32" s="22"/>
      <c r="K32" s="22"/>
      <c r="L32" s="22"/>
      <c r="M32" s="22"/>
      <c r="N32" s="22"/>
      <c r="O32" s="31"/>
      <c r="P32" s="22"/>
      <c r="Q32" s="22"/>
      <c r="R32" s="22"/>
      <c r="S32" s="22"/>
      <c r="T32" s="22"/>
      <c r="U32" s="22"/>
      <c r="V32" s="22"/>
      <c r="W32" s="22"/>
      <c r="X32" s="22"/>
      <c r="Y32" s="31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6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4"/>
      <c r="BQ32" s="23"/>
      <c r="BR32" s="5"/>
      <c r="BS32" s="5"/>
    </row>
    <row r="33" spans="6:71">
      <c r="F33" s="22"/>
      <c r="G33" s="22"/>
      <c r="H33" s="22"/>
      <c r="I33" s="22"/>
      <c r="J33" s="22"/>
      <c r="K33" s="22"/>
      <c r="L33" s="22"/>
      <c r="M33" s="22"/>
      <c r="N33" s="22"/>
      <c r="O33" s="31"/>
      <c r="P33" s="22"/>
      <c r="Q33" s="81" t="s">
        <v>21</v>
      </c>
      <c r="R33" s="82"/>
      <c r="S33" s="82"/>
      <c r="T33" s="82"/>
      <c r="U33" s="82"/>
      <c r="V33" s="82"/>
      <c r="W33" s="82"/>
      <c r="X33" s="83"/>
      <c r="Y33" s="31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6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4"/>
      <c r="BQ33" s="23"/>
      <c r="BR33" s="5"/>
      <c r="BS33" s="5"/>
    </row>
    <row r="34" spans="6:71">
      <c r="F34" s="22"/>
      <c r="G34" s="22"/>
      <c r="H34" s="22"/>
      <c r="I34" s="22"/>
      <c r="J34" s="22"/>
      <c r="K34" s="22"/>
      <c r="L34" s="22"/>
      <c r="M34" s="22"/>
      <c r="N34" s="22"/>
      <c r="O34" s="31"/>
      <c r="P34" s="22"/>
      <c r="Q34" s="84"/>
      <c r="R34" s="79" t="e">
        <f>'Value Tree - Fx'!R41</f>
        <v>#VALUE!</v>
      </c>
      <c r="S34" s="79"/>
      <c r="T34" s="79"/>
      <c r="U34" s="86"/>
      <c r="V34" s="79" t="e">
        <f>'Value Tree - Fx'!V41</f>
        <v>#VALUE!</v>
      </c>
      <c r="W34" s="79"/>
      <c r="X34" s="80"/>
      <c r="Y34" s="31"/>
      <c r="Z34" s="22"/>
      <c r="AA34" s="22"/>
      <c r="AB34" s="81" t="s">
        <v>17</v>
      </c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3"/>
      <c r="AP34" s="22"/>
      <c r="AQ34" s="22"/>
      <c r="AR34" s="26"/>
      <c r="AS34" s="112" t="s">
        <v>16</v>
      </c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4"/>
      <c r="BG34" s="25"/>
      <c r="BH34" s="115" t="s">
        <v>15</v>
      </c>
      <c r="BI34" s="116"/>
      <c r="BJ34" s="116"/>
      <c r="BK34" s="116"/>
      <c r="BL34" s="116"/>
      <c r="BM34" s="116"/>
      <c r="BN34" s="116"/>
      <c r="BO34" s="117"/>
      <c r="BP34" s="24"/>
      <c r="BQ34" s="23"/>
      <c r="BR34" s="5"/>
      <c r="BS34" s="5"/>
    </row>
    <row r="35" spans="6:71">
      <c r="F35" s="22"/>
      <c r="G35" s="22"/>
      <c r="H35" s="22"/>
      <c r="I35" s="22"/>
      <c r="J35" s="22"/>
      <c r="K35" s="22"/>
      <c r="L35" s="22"/>
      <c r="M35" s="22"/>
      <c r="N35" s="22"/>
      <c r="O35" s="31"/>
      <c r="P35" s="28"/>
      <c r="Q35" s="85"/>
      <c r="R35" s="77" t="e">
        <f>'Value Tree - Fx'!R42</f>
        <v>#VALUE!</v>
      </c>
      <c r="S35" s="77"/>
      <c r="T35" s="77"/>
      <c r="U35" s="87"/>
      <c r="V35" s="77" t="e">
        <f>'Value Tree - Fx'!V42</f>
        <v>#VALUE!</v>
      </c>
      <c r="W35" s="77"/>
      <c r="X35" s="78"/>
      <c r="Y35" s="31"/>
      <c r="Z35" s="28"/>
      <c r="AA35" s="28"/>
      <c r="AB35" s="84"/>
      <c r="AC35" s="79" t="e">
        <f>'Value Tree - Fx'!AC42</f>
        <v>#VALUE!</v>
      </c>
      <c r="AD35" s="79"/>
      <c r="AE35" s="80"/>
      <c r="AF35" s="88" t="e">
        <f>'Value Tree - Fx'!AF42</f>
        <v>#VALUE!</v>
      </c>
      <c r="AG35" s="89"/>
      <c r="AH35" s="89"/>
      <c r="AI35" s="86"/>
      <c r="AJ35" s="79" t="e">
        <f>'Value Tree - Fx'!AJ42</f>
        <v>#VALUE!</v>
      </c>
      <c r="AK35" s="79"/>
      <c r="AL35" s="80"/>
      <c r="AM35" s="88" t="e">
        <f>'Value Tree - Fx'!AM42</f>
        <v>#VALUE!</v>
      </c>
      <c r="AN35" s="89"/>
      <c r="AO35" s="90"/>
      <c r="AP35" s="29"/>
      <c r="AQ35" s="28"/>
      <c r="AR35" s="27"/>
      <c r="AS35" s="106" t="s">
        <v>14</v>
      </c>
      <c r="AT35" s="107"/>
      <c r="AU35" s="107"/>
      <c r="AV35" s="107"/>
      <c r="AW35" s="107"/>
      <c r="AX35" s="107"/>
      <c r="AY35" s="62"/>
      <c r="AZ35" s="79" t="e">
        <f>'Value Tree - Fx'!BB42</f>
        <v>#VALUE!</v>
      </c>
      <c r="BA35" s="79"/>
      <c r="BB35" s="79"/>
      <c r="BC35" s="62"/>
      <c r="BD35" s="79" t="e">
        <f>'Value Tree - Fx'!BF42</f>
        <v>#VALUE!</v>
      </c>
      <c r="BE35" s="79"/>
      <c r="BF35" s="80"/>
      <c r="BG35" s="25"/>
      <c r="BH35" s="64"/>
      <c r="BI35" s="120" t="e">
        <f>'Value Tree - Fx'!BK42</f>
        <v>#VALUE!</v>
      </c>
      <c r="BJ35" s="79"/>
      <c r="BK35" s="79"/>
      <c r="BL35" s="62"/>
      <c r="BM35" s="120" t="e">
        <f>'Value Tree - Fx'!BO42</f>
        <v>#VALUE!</v>
      </c>
      <c r="BN35" s="79"/>
      <c r="BO35" s="80"/>
      <c r="BP35" s="24"/>
      <c r="BQ35" s="23"/>
      <c r="BR35" s="5"/>
      <c r="BS35" s="5"/>
    </row>
    <row r="36" spans="6:71"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85"/>
      <c r="AC36" s="77" t="e">
        <f>'Value Tree - Fx'!AC43</f>
        <v>#VALUE!</v>
      </c>
      <c r="AD36" s="77"/>
      <c r="AE36" s="78"/>
      <c r="AF36" s="97" t="e">
        <f>'Value Tree - Fx'!AF43</f>
        <v>#VALUE!</v>
      </c>
      <c r="AG36" s="92"/>
      <c r="AH36" s="92"/>
      <c r="AI36" s="87"/>
      <c r="AJ36" s="77" t="e">
        <f>'Value Tree - Fx'!AJ43</f>
        <v>#VALUE!</v>
      </c>
      <c r="AK36" s="77"/>
      <c r="AL36" s="78"/>
      <c r="AM36" s="91" t="e">
        <f>'Value Tree - Fx'!AM43</f>
        <v>#VALUE!</v>
      </c>
      <c r="AN36" s="92"/>
      <c r="AO36" s="93"/>
      <c r="AP36" s="22"/>
      <c r="AQ36" s="22"/>
      <c r="AR36" s="26"/>
      <c r="AS36" s="94" t="s">
        <v>10</v>
      </c>
      <c r="AT36" s="95"/>
      <c r="AU36" s="95"/>
      <c r="AV36" s="95"/>
      <c r="AW36" s="95"/>
      <c r="AX36" s="95"/>
      <c r="AY36" s="63"/>
      <c r="AZ36" s="77" t="e">
        <f>'Value Tree - Fx'!BB43</f>
        <v>#VALUE!</v>
      </c>
      <c r="BA36" s="77"/>
      <c r="BB36" s="77"/>
      <c r="BC36" s="63"/>
      <c r="BD36" s="77" t="e">
        <f>'Value Tree - Fx'!BF43</f>
        <v>#VALUE!</v>
      </c>
      <c r="BE36" s="77"/>
      <c r="BF36" s="78"/>
      <c r="BG36" s="60"/>
      <c r="BH36" s="65"/>
      <c r="BI36" s="122" t="e">
        <f>'Value Tree - Fx'!BK43</f>
        <v>#VALUE!</v>
      </c>
      <c r="BJ36" s="77"/>
      <c r="BK36" s="77"/>
      <c r="BL36" s="63"/>
      <c r="BM36" s="122" t="e">
        <f>'Value Tree - Fx'!BO43</f>
        <v>#VALUE!</v>
      </c>
      <c r="BN36" s="77"/>
      <c r="BO36" s="78"/>
      <c r="BP36" s="24"/>
      <c r="BQ36" s="23"/>
      <c r="BR36" s="5"/>
      <c r="BS36" s="5"/>
    </row>
    <row r="37" spans="6:71"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94" t="s">
        <v>6</v>
      </c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6"/>
      <c r="AP37" s="22"/>
      <c r="AQ37" s="22"/>
      <c r="AR37" s="26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4"/>
      <c r="BQ37" s="23"/>
      <c r="BR37" s="5"/>
      <c r="BS37" s="5"/>
    </row>
    <row r="38" spans="6:71"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123"/>
      <c r="AC38" s="100" t="e">
        <f>'Value Tree - Fx'!AC46</f>
        <v>#VALUE!</v>
      </c>
      <c r="AD38" s="100"/>
      <c r="AE38" s="101"/>
      <c r="AF38" s="125" t="e">
        <f>'Value Tree - Fx'!AF46</f>
        <v>#VALUE!</v>
      </c>
      <c r="AG38" s="126"/>
      <c r="AH38" s="126"/>
      <c r="AI38" s="123"/>
      <c r="AJ38" s="126" t="e">
        <f>'Value Tree - Fx'!AJ46</f>
        <v>#VALUE!</v>
      </c>
      <c r="AK38" s="127"/>
      <c r="AL38" s="128"/>
      <c r="AM38" s="125" t="e">
        <f>'Value Tree - Fx'!AM46</f>
        <v>#VALUE!</v>
      </c>
      <c r="AN38" s="127"/>
      <c r="AO38" s="128"/>
      <c r="AP38" s="22"/>
      <c r="AQ38" s="22"/>
      <c r="AR38" s="26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4"/>
      <c r="BQ38" s="23"/>
      <c r="BR38" s="5"/>
      <c r="BS38" s="5"/>
    </row>
    <row r="39" spans="6:71" ht="15" thickBot="1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124"/>
      <c r="AC39" s="77" t="e">
        <f>'Value Tree - Fx'!AC47</f>
        <v>#VALUE!</v>
      </c>
      <c r="AD39" s="77"/>
      <c r="AE39" s="78"/>
      <c r="AF39" s="97" t="e">
        <f>'Value Tree - Fx'!AF47</f>
        <v>#VALUE!</v>
      </c>
      <c r="AG39" s="92"/>
      <c r="AH39" s="92"/>
      <c r="AI39" s="124"/>
      <c r="AJ39" s="92" t="e">
        <f>'Value Tree - Fx'!AJ47</f>
        <v>#VALUE!</v>
      </c>
      <c r="AK39" s="92"/>
      <c r="AL39" s="93"/>
      <c r="AM39" s="91" t="e">
        <f>'Value Tree - Fx'!AM47</f>
        <v>#VALUE!</v>
      </c>
      <c r="AN39" s="92"/>
      <c r="AO39" s="93"/>
      <c r="AP39" s="22"/>
      <c r="AQ39" s="22"/>
      <c r="AR39" s="21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19"/>
      <c r="BQ39" s="18"/>
      <c r="BR39" s="5"/>
      <c r="BS39" s="5"/>
    </row>
    <row r="40" spans="6:71"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</row>
    <row r="41" spans="6:71"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</row>
    <row r="42" spans="6:71"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</row>
    <row r="43" spans="6:71"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</row>
    <row r="44" spans="6:71"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</row>
  </sheetData>
  <mergeCells count="234">
    <mergeCell ref="AS8:BF8"/>
    <mergeCell ref="AJ12:AL12"/>
    <mergeCell ref="AF13:AH13"/>
    <mergeCell ref="AJ13:AL13"/>
    <mergeCell ref="Q8:X8"/>
    <mergeCell ref="V22:X22"/>
    <mergeCell ref="J6:M6"/>
    <mergeCell ref="D6:G6"/>
    <mergeCell ref="AM23:AO23"/>
    <mergeCell ref="AM20:AO20"/>
    <mergeCell ref="AB21:AO21"/>
    <mergeCell ref="AJ19:AL19"/>
    <mergeCell ref="AM19:AO19"/>
    <mergeCell ref="AC20:AE20"/>
    <mergeCell ref="AM22:AO22"/>
    <mergeCell ref="AI9:AI10"/>
    <mergeCell ref="F10:M10"/>
    <mergeCell ref="G11:I11"/>
    <mergeCell ref="G12:I12"/>
    <mergeCell ref="AJ27:AL27"/>
    <mergeCell ref="AM27:AO27"/>
    <mergeCell ref="AJ23:AL23"/>
    <mergeCell ref="F11:F12"/>
    <mergeCell ref="AF19:AH19"/>
    <mergeCell ref="AF22:AH22"/>
    <mergeCell ref="Q21:X21"/>
    <mergeCell ref="AF20:AH20"/>
    <mergeCell ref="G15:I15"/>
    <mergeCell ref="K15:M15"/>
    <mergeCell ref="G16:I16"/>
    <mergeCell ref="K16:M16"/>
    <mergeCell ref="R22:T22"/>
    <mergeCell ref="J15:J16"/>
    <mergeCell ref="U17:U18"/>
    <mergeCell ref="Q17:Q18"/>
    <mergeCell ref="AB19:AB20"/>
    <mergeCell ref="AI19:AI20"/>
    <mergeCell ref="AI22:AI23"/>
    <mergeCell ref="AB22:AB23"/>
    <mergeCell ref="K11:M11"/>
    <mergeCell ref="K12:M12"/>
    <mergeCell ref="J11:J12"/>
    <mergeCell ref="F14:M14"/>
    <mergeCell ref="AM36:AO36"/>
    <mergeCell ref="AI35:AI36"/>
    <mergeCell ref="AF35:AH35"/>
    <mergeCell ref="AB35:AB36"/>
    <mergeCell ref="AB12:AB13"/>
    <mergeCell ref="AI12:AI13"/>
    <mergeCell ref="AF12:AH12"/>
    <mergeCell ref="AF27:AH27"/>
    <mergeCell ref="AB26:AO26"/>
    <mergeCell ref="AC27:AE27"/>
    <mergeCell ref="AC22:AE22"/>
    <mergeCell ref="AJ22:AL22"/>
    <mergeCell ref="AC23:AE23"/>
    <mergeCell ref="AF23:AH23"/>
    <mergeCell ref="AM30:AO30"/>
    <mergeCell ref="AC31:AE31"/>
    <mergeCell ref="AF31:AH31"/>
    <mergeCell ref="AJ31:AL31"/>
    <mergeCell ref="AM31:AO31"/>
    <mergeCell ref="AB27:AB28"/>
    <mergeCell ref="AI27:AI28"/>
    <mergeCell ref="AB30:AB31"/>
    <mergeCell ref="AI30:AI31"/>
    <mergeCell ref="AB29:AO29"/>
    <mergeCell ref="G31:I31"/>
    <mergeCell ref="K31:M31"/>
    <mergeCell ref="F29:M29"/>
    <mergeCell ref="G30:I30"/>
    <mergeCell ref="K30:M30"/>
    <mergeCell ref="J30:J31"/>
    <mergeCell ref="F30:F31"/>
    <mergeCell ref="AJ30:AL30"/>
    <mergeCell ref="F15:F16"/>
    <mergeCell ref="F25:M25"/>
    <mergeCell ref="G26:I26"/>
    <mergeCell ref="K26:M26"/>
    <mergeCell ref="G27:I27"/>
    <mergeCell ref="K27:M27"/>
    <mergeCell ref="U22:U23"/>
    <mergeCell ref="Q22:Q23"/>
    <mergeCell ref="J26:J27"/>
    <mergeCell ref="F26:F27"/>
    <mergeCell ref="Q26:Q27"/>
    <mergeCell ref="Q25:X25"/>
    <mergeCell ref="R26:T26"/>
    <mergeCell ref="V26:X26"/>
    <mergeCell ref="R23:T23"/>
    <mergeCell ref="V23:X23"/>
    <mergeCell ref="AZ36:BB36"/>
    <mergeCell ref="BD36:BF36"/>
    <mergeCell ref="BI36:BK36"/>
    <mergeCell ref="BM36:BO36"/>
    <mergeCell ref="AM39:AO39"/>
    <mergeCell ref="AI38:AI39"/>
    <mergeCell ref="AF38:AH38"/>
    <mergeCell ref="AB34:AO34"/>
    <mergeCell ref="AC35:AE35"/>
    <mergeCell ref="AJ35:AL35"/>
    <mergeCell ref="AM35:AO35"/>
    <mergeCell ref="AC36:AE36"/>
    <mergeCell ref="AF36:AH36"/>
    <mergeCell ref="AJ36:AL36"/>
    <mergeCell ref="AB38:AB39"/>
    <mergeCell ref="AB37:AO37"/>
    <mergeCell ref="AC38:AE38"/>
    <mergeCell ref="AJ38:AL38"/>
    <mergeCell ref="AM38:AO38"/>
    <mergeCell ref="AC39:AE39"/>
    <mergeCell ref="AF39:AH39"/>
    <mergeCell ref="AJ39:AL39"/>
    <mergeCell ref="AS36:AX36"/>
    <mergeCell ref="AS34:BF34"/>
    <mergeCell ref="BH34:BO34"/>
    <mergeCell ref="AS35:AX35"/>
    <mergeCell ref="AZ35:BB35"/>
    <mergeCell ref="BD35:BF35"/>
    <mergeCell ref="AS29:AX29"/>
    <mergeCell ref="AZ29:BB29"/>
    <mergeCell ref="BD29:BF29"/>
    <mergeCell ref="AS26:BF26"/>
    <mergeCell ref="AS27:AX27"/>
    <mergeCell ref="AZ27:BB27"/>
    <mergeCell ref="BD27:BF27"/>
    <mergeCell ref="AS28:AX28"/>
    <mergeCell ref="AZ28:BB28"/>
    <mergeCell ref="BD28:BF28"/>
    <mergeCell ref="BH26:BO26"/>
    <mergeCell ref="BI27:BK27"/>
    <mergeCell ref="BI28:BK28"/>
    <mergeCell ref="BI29:BK29"/>
    <mergeCell ref="BM27:BO27"/>
    <mergeCell ref="BM29:BO29"/>
    <mergeCell ref="BM28:BO28"/>
    <mergeCell ref="BI35:BK35"/>
    <mergeCell ref="BM35:BO35"/>
    <mergeCell ref="AZ20:BB20"/>
    <mergeCell ref="BD20:BF20"/>
    <mergeCell ref="AS21:AX21"/>
    <mergeCell ref="AZ21:BB21"/>
    <mergeCell ref="BD21:BF21"/>
    <mergeCell ref="AS22:AX22"/>
    <mergeCell ref="AZ22:BB22"/>
    <mergeCell ref="BD22:BF22"/>
    <mergeCell ref="BD11:BF11"/>
    <mergeCell ref="AZ14:BB14"/>
    <mergeCell ref="BD14:BF14"/>
    <mergeCell ref="AS15:AX15"/>
    <mergeCell ref="AZ15:BB15"/>
    <mergeCell ref="BD15:BF15"/>
    <mergeCell ref="AS18:BF18"/>
    <mergeCell ref="AS19:AX19"/>
    <mergeCell ref="AZ19:BB19"/>
    <mergeCell ref="BD19:BF19"/>
    <mergeCell ref="AS14:AX14"/>
    <mergeCell ref="AS20:AX20"/>
    <mergeCell ref="AZ9:BB9"/>
    <mergeCell ref="AZ10:BB10"/>
    <mergeCell ref="BD9:BF9"/>
    <mergeCell ref="BD10:BF10"/>
    <mergeCell ref="AM13:AO13"/>
    <mergeCell ref="BD13:BF13"/>
    <mergeCell ref="AS12:AX12"/>
    <mergeCell ref="AZ12:BB12"/>
    <mergeCell ref="BD12:BF12"/>
    <mergeCell ref="AS13:AX13"/>
    <mergeCell ref="AZ13:BB13"/>
    <mergeCell ref="AS9:AX9"/>
    <mergeCell ref="AS10:AX10"/>
    <mergeCell ref="AS11:AX11"/>
    <mergeCell ref="AZ11:BB11"/>
    <mergeCell ref="AM12:AO12"/>
    <mergeCell ref="AC28:AE28"/>
    <mergeCell ref="AF28:AH28"/>
    <mergeCell ref="AJ28:AL28"/>
    <mergeCell ref="AM28:AO28"/>
    <mergeCell ref="AC30:AE30"/>
    <mergeCell ref="AF30:AH30"/>
    <mergeCell ref="Q33:X33"/>
    <mergeCell ref="R34:T34"/>
    <mergeCell ref="V34:X34"/>
    <mergeCell ref="Q34:Q35"/>
    <mergeCell ref="U26:U27"/>
    <mergeCell ref="U30:U31"/>
    <mergeCell ref="Q30:Q31"/>
    <mergeCell ref="R35:T35"/>
    <mergeCell ref="V35:X35"/>
    <mergeCell ref="R27:T27"/>
    <mergeCell ref="V27:X27"/>
    <mergeCell ref="Q29:X29"/>
    <mergeCell ref="R30:T30"/>
    <mergeCell ref="V30:X30"/>
    <mergeCell ref="R31:T31"/>
    <mergeCell ref="V31:X31"/>
    <mergeCell ref="U34:U35"/>
    <mergeCell ref="AJ20:AL20"/>
    <mergeCell ref="AB18:AO18"/>
    <mergeCell ref="AC19:AE19"/>
    <mergeCell ref="AF9:AH9"/>
    <mergeCell ref="U13:U14"/>
    <mergeCell ref="AB8:AO8"/>
    <mergeCell ref="AJ9:AL9"/>
    <mergeCell ref="AM9:AO9"/>
    <mergeCell ref="AJ10:AL10"/>
    <mergeCell ref="AM10:AO10"/>
    <mergeCell ref="AB11:AO11"/>
    <mergeCell ref="AF10:AH10"/>
    <mergeCell ref="AC12:AE12"/>
    <mergeCell ref="B1:AQ2"/>
    <mergeCell ref="R18:T18"/>
    <mergeCell ref="V18:X18"/>
    <mergeCell ref="AC9:AE9"/>
    <mergeCell ref="AC10:AE10"/>
    <mergeCell ref="AC13:AE13"/>
    <mergeCell ref="R13:T13"/>
    <mergeCell ref="V13:X13"/>
    <mergeCell ref="R14:T14"/>
    <mergeCell ref="V14:X14"/>
    <mergeCell ref="Q16:X16"/>
    <mergeCell ref="AB9:AB10"/>
    <mergeCell ref="R17:T17"/>
    <mergeCell ref="V17:X17"/>
    <mergeCell ref="R9:T9"/>
    <mergeCell ref="V9:X9"/>
    <mergeCell ref="R10:T10"/>
    <mergeCell ref="V10:X10"/>
    <mergeCell ref="Q12:X12"/>
    <mergeCell ref="Q9:Q10"/>
    <mergeCell ref="U9:U10"/>
    <mergeCell ref="Q13:Q14"/>
    <mergeCell ref="D4:G4"/>
    <mergeCell ref="J4:M4"/>
  </mergeCells>
  <dataValidations count="1">
    <dataValidation type="list" errorStyle="information" allowBlank="1" showInputMessage="1" sqref="K6:M6" xr:uid="{2B3BE53B-91F9-45B6-A3EC-F19B8BA70C44}">
      <formula1>cafe_validation_temp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6" id="{0FA3B66C-2F02-49B8-878D-DDE34CB48424}">
            <xm:f>'Value Tree - Fx'!F13=-1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75" id="{BC4BFFC1-11C3-4EB6-B623-419F45B51163}">
            <xm:f>'Value Tree - Fx'!F13=0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277" id="{570A9F3C-74EF-45E0-8662-797C19DAD536}">
            <xm:f>'Value Tree - Fx'!F13=1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F11:F12 J11:J12</xm:sqref>
        </x14:conditionalFormatting>
        <x14:conditionalFormatting xmlns:xm="http://schemas.microsoft.com/office/excel/2006/main">
          <x14:cfRule type="expression" priority="272" id="{3E749CF7-C5FB-4A86-A87A-AF3A29E4BEB4}">
            <xm:f>'Value Tree - Fx'!F19=0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273" id="{75AAB417-0EA9-4F45-80E2-1D2A075E2952}">
            <xm:f>'Value Tree - Fx'!F19=-1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74" id="{BF0B8558-F699-4138-80A3-F8549881BBA0}">
            <xm:f>'Value Tree - Fx'!F19=1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F15:F16 J15:J16 Q17 U17 AB19 AI19</xm:sqref>
        </x14:conditionalFormatting>
        <x14:conditionalFormatting xmlns:xm="http://schemas.microsoft.com/office/excel/2006/main">
          <x14:cfRule type="expression" priority="239" id="{CA21A6CD-BD1C-4232-9D9D-F8FF2BFC7B6E}">
            <xm:f>'Value Tree - Fx'!Q10=0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240" id="{42EB0493-86FA-4775-A6E6-D301817F2241}">
            <xm:f>'Value Tree - Fx'!Q10=-1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41" id="{3CECA361-753C-48FF-B82E-4F67E3D6E92E}">
            <xm:f>'Value Tree - Fx'!Q10=1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Q9 U9 AB9 AI9</xm:sqref>
        </x14:conditionalFormatting>
        <x14:conditionalFormatting xmlns:xm="http://schemas.microsoft.com/office/excel/2006/main">
          <x14:cfRule type="expression" priority="217" id="{DD608D40-2F64-47B8-A3EF-AAF48117A39B}">
            <xm:f>'Value Tree - Fx'!Q27=1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14:cfRule type="expression" priority="216" id="{A0F372F5-848C-4B7D-B91A-AE5381C1A822}">
            <xm:f>'Value Tree - Fx'!Q27=-1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15" id="{20669DED-43D3-4163-8424-D41DEB2E060F}">
            <xm:f>'Value Tree - Fx'!Q27=0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Q22 U22 AB22 AI22</xm:sqref>
        </x14:conditionalFormatting>
        <x14:conditionalFormatting xmlns:xm="http://schemas.microsoft.com/office/excel/2006/main">
          <x14:cfRule type="expression" priority="263" id="{0B1D59D8-D48B-4A9C-88AA-F039920BBB86}">
            <xm:f>'Value Tree - Fx'!F32=0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264" id="{0BBF9469-5486-493C-831E-A63E78DDB0E6}">
            <xm:f>'Value Tree - Fx'!F32=-1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65" id="{32247D51-7E75-4A1D-BA78-DDE18D654C49}">
            <xm:f>'Value Tree - Fx'!F32=1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Q26 U26 F26:F27 J26:J27</xm:sqref>
        </x14:conditionalFormatting>
        <x14:conditionalFormatting xmlns:xm="http://schemas.microsoft.com/office/excel/2006/main">
          <x14:cfRule type="expression" priority="258" id="{F3AC2E2F-3D2D-4AF3-88FC-511D68918DED}">
            <xm:f>'Value Tree - Fx'!F38=-1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59" id="{4D5538AE-84F4-4DBA-A6B9-5D1D96758C22}">
            <xm:f>'Value Tree - Fx'!F38=1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14:cfRule type="expression" priority="257" id="{95756E43-2918-45E3-AA94-9630656C8F9B}">
            <xm:f>'Value Tree - Fx'!F38=0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Q30 U30 AB30 AI30 F30:F31 J30:J31</xm:sqref>
        </x14:conditionalFormatting>
        <x14:conditionalFormatting xmlns:xm="http://schemas.microsoft.com/office/excel/2006/main">
          <x14:cfRule type="expression" priority="198" id="{7C9B21D8-94BA-4861-8F9E-77A109B59A9D}">
            <xm:f>'Value Tree - Fx'!Q43=-1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199" id="{7127FD80-0741-4455-902B-985BE1A33297}">
            <xm:f>'Value Tree - Fx'!Q43=1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14:cfRule type="expression" priority="197" id="{ABC3DC07-58C1-4C63-A6A0-B7A0BEF08B63}">
            <xm:f>'Value Tree - Fx'!Q43=0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Q34 U34 AB35 AI35</xm:sqref>
        </x14:conditionalFormatting>
        <x14:conditionalFormatting xmlns:xm="http://schemas.microsoft.com/office/excel/2006/main">
          <x14:cfRule type="expression" priority="227" id="{A8FD576A-6167-4F25-B47A-F2F8A2605AC8}">
            <xm:f>'Value Tree - Fx'!Q15=0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228" id="{CA64BBD4-CA22-418F-91F5-5F1CD032704D}">
            <xm:f>'Value Tree - Fx'!Q15=-1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229" id="{AB5C22AB-9973-488A-930C-46C8D25BDE6F}">
            <xm:f>'Value Tree - Fx'!Q15=1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AB12 AI12 Q13 U13</xm:sqref>
        </x14:conditionalFormatting>
        <x14:conditionalFormatting xmlns:xm="http://schemas.microsoft.com/office/excel/2006/main">
          <x14:cfRule type="expression" priority="168" id="{279A9CB9-4E7C-455B-8A7C-115179031B9B}">
            <xm:f>'Value Tree - Fx'!AB34=-1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167" id="{4AF4FE66-F046-4820-9880-27362F5799A4}">
            <xm:f>'Value Tree - Fx'!AB34=0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169" id="{5FB1A174-68A2-4EBA-B1F7-37781B2A9B81}">
            <xm:f>'Value Tree - Fx'!AB34=1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AB27 AI27</xm:sqref>
        </x14:conditionalFormatting>
        <x14:conditionalFormatting xmlns:xm="http://schemas.microsoft.com/office/excel/2006/main">
          <x14:cfRule type="expression" priority="151" id="{160F768A-4579-4400-99C7-6066C1534FDA}">
            <xm:f>'Value Tree - Fx'!AB48=1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14:cfRule type="expression" priority="149" id="{2116FE2F-AA0B-4BB3-A638-8D4C13B161EE}">
            <xm:f>'Value Tree - Fx'!AB48=0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150" id="{659C280D-F75B-40A7-AD21-445DC83DC8B2}">
            <xm:f>'Value Tree - Fx'!AB48=-1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m:sqref>AB38 AI38</xm:sqref>
        </x14:conditionalFormatting>
        <x14:conditionalFormatting xmlns:xm="http://schemas.microsoft.com/office/excel/2006/main">
          <x14:cfRule type="expression" priority="145" id="{E5CE3087-2E5B-4927-BD5A-6BCE6A1AEEFA}">
            <xm:f>'Value Tree - Fx'!BX8=1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AY9 BC9</xm:sqref>
        </x14:conditionalFormatting>
        <x14:conditionalFormatting xmlns:xm="http://schemas.microsoft.com/office/excel/2006/main">
          <x14:cfRule type="expression" priority="37" id="{E3D69D79-883F-4D8D-A2F1-FBD198B42571}">
            <xm:f>'Value Tree - Fx'!BX8=-1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36" id="{08EDA84B-0140-4735-B314-2FDFB876B5AB}">
            <xm:f>'Value Tree - Fx'!BX8=0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AY9:AY10 BC9:BC10</xm:sqref>
        </x14:conditionalFormatting>
        <x14:conditionalFormatting xmlns:xm="http://schemas.microsoft.com/office/excel/2006/main">
          <x14:cfRule type="expression" priority="38" id="{330DE2A9-8697-4AFF-8862-B342D0105D25}">
            <xm:f>'Value Tree - Fx'!BX9=1</xm:f>
            <x14:dxf>
              <font>
                <strike val="0"/>
              </font>
              <fill>
                <patternFill>
                  <bgColor rgb="FF0000CC"/>
                </patternFill>
              </fill>
            </x14:dxf>
          </x14:cfRule>
          <xm:sqref>AY10 BC10</xm:sqref>
        </x14:conditionalFormatting>
        <x14:conditionalFormatting xmlns:xm="http://schemas.microsoft.com/office/excel/2006/main">
          <x14:cfRule type="expression" priority="31" id="{F74FB03B-CB9D-4E53-B0E8-117F0E49C9C2}">
            <xm:f>'Value Tree - Fx'!BX11=-1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30" id="{DACB4DC8-CF08-49F3-90AB-F62A56EBAF32}">
            <xm:f>'Value Tree - Fx'!BX11=0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32" id="{906145D7-8062-452E-8DC8-A01EA9625F8B}">
            <xm:f>'Value Tree - Fx'!BX11=1</xm:f>
            <x14:dxf>
              <font>
                <strike val="0"/>
              </font>
              <fill>
                <patternFill>
                  <bgColor rgb="FF0000CC"/>
                </patternFill>
              </fill>
            </x14:dxf>
          </x14:cfRule>
          <xm:sqref>AY11:AY12 BC11:BC12</xm:sqref>
        </x14:conditionalFormatting>
        <x14:conditionalFormatting xmlns:xm="http://schemas.microsoft.com/office/excel/2006/main">
          <x14:cfRule type="expression" priority="20" id="{6ACC76AF-1046-4E72-AF25-B84105E6BCC9}">
            <xm:f>'Value Tree - Fx'!BX14=1</xm:f>
            <x14:dxf>
              <font>
                <strike val="0"/>
              </font>
              <fill>
                <patternFill>
                  <bgColor rgb="FF0000CC"/>
                </patternFill>
              </fill>
            </x14:dxf>
          </x14:cfRule>
          <x14:cfRule type="expression" priority="19" id="{68B8C263-1D82-48D4-953F-637FDCD5C299}">
            <xm:f>'Value Tree - Fx'!BX14=-1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18" id="{31F819BE-068D-44D9-BF9E-AC6B87A47488}">
            <xm:f>'Value Tree - Fx'!BX14=0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AY13:AY14 BC13:BC14</xm:sqref>
        </x14:conditionalFormatting>
        <x14:conditionalFormatting xmlns:xm="http://schemas.microsoft.com/office/excel/2006/main">
          <x14:cfRule type="expression" priority="5" id="{CA00A707-5F82-4324-AF02-9334BF1CB670}">
            <xm:f>'Value Tree - Fx'!BX17=-1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6" id="{DC0F9F73-E39A-46ED-A5F8-D8FB1DBD841D}">
            <xm:f>'Value Tree - Fx'!BX17=1</xm:f>
            <x14:dxf>
              <font>
                <strike val="0"/>
              </font>
              <fill>
                <patternFill>
                  <bgColor rgb="FF0000CC"/>
                </patternFill>
              </fill>
            </x14:dxf>
          </x14:cfRule>
          <x14:cfRule type="expression" priority="4" id="{8EC6A8F1-F560-4513-89E2-7F0338DED050}">
            <xm:f>'Value Tree - Fx'!BX17=0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AY15 BC15</xm:sqref>
        </x14:conditionalFormatting>
        <x14:conditionalFormatting xmlns:xm="http://schemas.microsoft.com/office/excel/2006/main">
          <x14:cfRule type="expression" priority="44" id="{5880BF1A-627D-4490-82DC-8C9A9BCE862B}">
            <xm:f>'Value Tree - Fx'!BX21=1</xm:f>
            <x14:dxf>
              <font>
                <strike val="0"/>
              </font>
              <fill>
                <patternFill>
                  <bgColor rgb="FF141CC2"/>
                </patternFill>
              </fill>
            </x14:dxf>
          </x14:cfRule>
          <xm:sqref>AY19 BC19</xm:sqref>
        </x14:conditionalFormatting>
        <x14:conditionalFormatting xmlns:xm="http://schemas.microsoft.com/office/excel/2006/main">
          <x14:cfRule type="expression" priority="42" id="{CB5FE51D-DFD0-4ED2-9BA5-B5DB9A75F995}">
            <xm:f>'Value Tree - Fx'!BX21=0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43" id="{A90B4CBB-385F-4BF2-BC37-D0E17A221AB4}">
            <xm:f>'Value Tree - Fx'!BX21=-1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m:sqref>AY19:AY20 BC19:BC20</xm:sqref>
        </x14:conditionalFormatting>
        <x14:conditionalFormatting xmlns:xm="http://schemas.microsoft.com/office/excel/2006/main">
          <x14:cfRule type="expression" priority="50" id="{0D4B0AE4-5C4B-4953-81AD-0D599178D512}">
            <xm:f>'Value Tree - Fx'!BX22=1</xm:f>
            <x14:dxf>
              <font>
                <strike val="0"/>
              </font>
              <fill>
                <patternFill>
                  <bgColor rgb="FF2E0FC7"/>
                </patternFill>
              </fill>
            </x14:dxf>
          </x14:cfRule>
          <xm:sqref>AY20 BC20</xm:sqref>
        </x14:conditionalFormatting>
        <x14:conditionalFormatting xmlns:xm="http://schemas.microsoft.com/office/excel/2006/main">
          <x14:cfRule type="expression" priority="60" id="{8F08D9B3-27AE-486E-9C91-DA985EBDA0E0}">
            <xm:f>'Value Tree - Fx'!BX24=0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61" id="{B97E230B-E849-45EF-888D-54666515B3BE}">
            <xm:f>'Value Tree - Fx'!BX24=-1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62" id="{7919B371-F3EA-4DF4-9D08-F7D2E64E9B37}">
            <xm:f>'Value Tree - Fx'!BX24=1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AY21 BC21:BC22</xm:sqref>
        </x14:conditionalFormatting>
        <x14:conditionalFormatting xmlns:xm="http://schemas.microsoft.com/office/excel/2006/main">
          <x14:cfRule type="expression" priority="59" id="{3F70AE75-8061-4352-83DF-819BA4E0F0E1}">
            <xm:f>'Value Tree - Fx'!BX25=-1</xm:f>
            <x14:dxf>
              <fill>
                <patternFill>
                  <bgColor rgb="FF0711CF"/>
                </patternFill>
              </fill>
            </x14:dxf>
          </x14:cfRule>
          <x14:cfRule type="expression" priority="57" id="{12CB9907-C0D2-4DDF-A6A6-400980C6E0B8}">
            <xm:f>'Value Tree - Fx'!BX25=0</xm:f>
            <x14:dxf>
              <fill>
                <patternFill>
                  <bgColor theme="9"/>
                </patternFill>
              </fill>
            </x14:dxf>
          </x14:cfRule>
          <x14:cfRule type="expression" priority="58" id="{299A7229-3304-4314-A5B4-354028831B19}">
            <xm:f>'Value Tree - Fx'!BX25=-1</xm:f>
            <x14:dxf>
              <fill>
                <patternFill>
                  <bgColor rgb="FFC00000"/>
                </patternFill>
              </fill>
            </x14:dxf>
          </x14:cfRule>
          <xm:sqref>AY22</xm:sqref>
        </x14:conditionalFormatting>
        <x14:conditionalFormatting xmlns:xm="http://schemas.microsoft.com/office/excel/2006/main">
          <x14:cfRule type="expression" priority="128" id="{430B9B3D-A4ED-4E12-9682-77A706C24FC6}">
            <xm:f>'Value Tree - Fx'!BX31=0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129" id="{578C86CB-F778-4D0C-89FC-81C466E587DE}">
            <xm:f>'Value Tree - Fx'!BX31=-1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130" id="{FF3E0CFD-6AD3-4892-8915-087422C07058}">
            <xm:f>'Value Tree - Fx'!BX31=1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AY27 BC27 BH27</xm:sqref>
        </x14:conditionalFormatting>
        <x14:conditionalFormatting xmlns:xm="http://schemas.microsoft.com/office/excel/2006/main">
          <x14:cfRule type="expression" priority="115" id="{5C459784-E14F-4857-80C0-EFE0EE7BA958}">
            <xm:f>'Value Tree - Fx'!$BX$33=0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116" id="{3672503E-1D82-4A5A-A4CC-3721939222EA}">
            <xm:f>'Value Tree - Fx'!$BX$33=-1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117" id="{9FEEEB68-0FEE-46C7-9AD8-29B803F61859}">
            <xm:f>'Value Tree - Fx'!$BX$33=-1</xm:f>
            <x14:dxf>
              <font>
                <strike val="0"/>
              </font>
              <fill>
                <patternFill>
                  <fgColor rgb="FF0824CE"/>
                  <bgColor rgb="FF0D1FC9"/>
                </patternFill>
              </fill>
            </x14:dxf>
          </x14:cfRule>
          <xm:sqref>AY28</xm:sqref>
        </x14:conditionalFormatting>
        <x14:conditionalFormatting xmlns:xm="http://schemas.microsoft.com/office/excel/2006/main">
          <x14:cfRule type="expression" priority="95" id="{A0D46A52-4792-40EB-AE1B-D49FC2CC3ADB}">
            <xm:f>'Value Tree - Fx'!$BX$35=1</xm:f>
            <x14:dxf>
              <font>
                <strike val="0"/>
              </font>
              <fill>
                <patternFill>
                  <fgColor rgb="FF0824CE"/>
                  <bgColor rgb="FF0623D0"/>
                </patternFill>
              </fill>
            </x14:dxf>
          </x14:cfRule>
          <x14:cfRule type="expression" priority="94" id="{801FBB3E-CC32-412F-8591-BABE879000B8}">
            <xm:f>'Value Tree - Fx'!$BX$35=-1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93" id="{155E4EC7-5525-47C1-A3CC-03C02C280ED8}">
            <xm:f>'Value Tree - Fx'!$BX$35=0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AY29</xm:sqref>
        </x14:conditionalFormatting>
        <x14:conditionalFormatting xmlns:xm="http://schemas.microsoft.com/office/excel/2006/main">
          <x14:cfRule type="expression" priority="120" id="{516E8AE2-E244-46DB-A800-CE6DA651B5FA}">
            <xm:f>'Value Tree - Fx'!BX42=1</xm:f>
            <x14:dxf>
              <font>
                <strike val="0"/>
              </font>
              <fill>
                <patternFill>
                  <bgColor rgb="FF0824CE"/>
                </patternFill>
              </fill>
            </x14:dxf>
          </x14:cfRule>
          <xm:sqref>AY35 BC35</xm:sqref>
        </x14:conditionalFormatting>
        <x14:conditionalFormatting xmlns:xm="http://schemas.microsoft.com/office/excel/2006/main">
          <x14:cfRule type="expression" priority="118" id="{1E849B30-A26D-429C-BEC7-7EE7CF42A03F}">
            <xm:f>'Value Tree - Fx'!BX42=0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119" id="{6CD42E64-DCCC-4557-A013-1ADC9959A8A4}">
            <xm:f>'Value Tree - Fx'!BX42=-1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m:sqref>AY35:AY36 BC35:BC36 BH36</xm:sqref>
        </x14:conditionalFormatting>
        <x14:conditionalFormatting xmlns:xm="http://schemas.microsoft.com/office/excel/2006/main">
          <x14:cfRule type="expression" priority="124" id="{3661265F-2FC8-45F3-9DE3-FA9F6A25C9B7}">
            <xm:f>'Value Tree - Fx'!BX43=1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AY36 BC36 BH36</xm:sqref>
        </x14:conditionalFormatting>
        <x14:conditionalFormatting xmlns:xm="http://schemas.microsoft.com/office/excel/2006/main">
          <x14:cfRule type="expression" priority="83" id="{4F163E45-644A-401E-AFB6-81D4B0963E08}">
            <xm:f>'Value Tree - Fx'!$CB$33=-1</xm:f>
            <x14:dxf>
              <font>
                <strike val="0"/>
              </font>
              <fill>
                <patternFill>
                  <fgColor rgb="FF0824CE"/>
                  <bgColor rgb="FF0D1FC9"/>
                </patternFill>
              </fill>
            </x14:dxf>
          </x14:cfRule>
          <x14:cfRule type="expression" priority="82" id="{690AF288-967B-423B-9632-9BBAE9C6E4C0}">
            <xm:f>'Value Tree - Fx'!$CB$33=-1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81" id="{E77C0172-922D-4633-8B8E-6D1E422C0973}">
            <xm:f>'Value Tree - Fx'!$CB$33=0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BC28</xm:sqref>
        </x14:conditionalFormatting>
        <x14:conditionalFormatting xmlns:xm="http://schemas.microsoft.com/office/excel/2006/main">
          <x14:cfRule type="expression" priority="90" id="{0E36D9C3-3786-4996-A83C-EC9F26B0BCC3}">
            <xm:f>'Value Tree - Fx'!$CB$35=0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91" id="{D96CAFD3-F74E-4EBD-B104-9A16D9CDAC95}">
            <xm:f>'Value Tree - Fx'!$CB$35=-1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92" id="{4D57D344-3617-4920-BAD2-B4794627747C}">
            <xm:f>'Value Tree - Fx'!$CB$35=1</xm:f>
            <x14:dxf>
              <font>
                <strike val="0"/>
              </font>
              <fill>
                <patternFill>
                  <fgColor rgb="FF0824CE"/>
                  <bgColor rgb="FF0623D0"/>
                </patternFill>
              </fill>
            </x14:dxf>
          </x14:cfRule>
          <xm:sqref>BC29</xm:sqref>
        </x14:conditionalFormatting>
        <x14:conditionalFormatting xmlns:xm="http://schemas.microsoft.com/office/excel/2006/main">
          <x14:cfRule type="expression" priority="80" id="{4B90F7AA-836C-46BE-A114-99058A2D8085}">
            <xm:f>'Value Tree - Fx'!$CG$33=-1</xm:f>
            <x14:dxf>
              <font>
                <strike val="0"/>
              </font>
              <fill>
                <patternFill>
                  <fgColor rgb="FF0824CE"/>
                  <bgColor rgb="FF0D1FC9"/>
                </patternFill>
              </fill>
            </x14:dxf>
          </x14:cfRule>
          <x14:cfRule type="expression" priority="79" id="{81697A49-110A-474D-B292-A88420AED02D}">
            <xm:f>'Value Tree - Fx'!$CG$33=-1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78" id="{3F0310D6-3018-4943-A7E0-60FFE589A87C}">
            <xm:f>'Value Tree - Fx'!$CG$33=0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BH28</xm:sqref>
        </x14:conditionalFormatting>
        <x14:conditionalFormatting xmlns:xm="http://schemas.microsoft.com/office/excel/2006/main">
          <x14:cfRule type="expression" priority="88" id="{98FEB168-CF25-4470-BADA-2B4CDB84880E}">
            <xm:f>'Value Tree - Fx'!$CF$35=-1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87" id="{FBF0AEF8-ED62-41DF-865A-AE2F20F13712}">
            <xm:f>'Value Tree - Fx'!$CF$35=0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89" id="{8DD1A107-B856-4F38-BEC6-1FE2015F6F83}">
            <xm:f>'Value Tree - Fx'!$CF$35=1</xm:f>
            <x14:dxf>
              <font>
                <strike val="0"/>
              </font>
              <fill>
                <patternFill>
                  <fgColor rgb="FF0824CE"/>
                  <bgColor rgb="FF0623D0"/>
                </patternFill>
              </fill>
            </x14:dxf>
          </x14:cfRule>
          <xm:sqref>BH29</xm:sqref>
        </x14:conditionalFormatting>
        <x14:conditionalFormatting xmlns:xm="http://schemas.microsoft.com/office/excel/2006/main">
          <x14:cfRule type="expression" priority="111" id="{30D0EB56-D829-47D5-B4D7-B4ADC095D5C4}">
            <xm:f>'Value Tree - Fx'!CF42=1</xm:f>
            <x14:dxf>
              <font>
                <strike val="0"/>
              </font>
              <fill>
                <patternFill>
                  <bgColor rgb="FF0824CE"/>
                </patternFill>
              </fill>
            </x14:dxf>
          </x14:cfRule>
          <xm:sqref>BH35 BL35</xm:sqref>
        </x14:conditionalFormatting>
        <x14:conditionalFormatting xmlns:xm="http://schemas.microsoft.com/office/excel/2006/main">
          <x14:cfRule type="expression" priority="110" id="{C60F1431-56AC-410B-AEE6-DEB04A809521}">
            <xm:f>'Value Tree - Fx'!CF42=-1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m:sqref>BH35 BL35:BL36</xm:sqref>
        </x14:conditionalFormatting>
        <x14:conditionalFormatting xmlns:xm="http://schemas.microsoft.com/office/excel/2006/main">
          <x14:cfRule type="expression" priority="68" id="{0EF009DD-89A2-4BA8-9759-FF16396DA033}">
            <xm:f>'Value Tree - Fx'!CJ31=1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14:cfRule type="expression" priority="67" id="{7324F299-E83E-42DF-BC14-14213FC00C97}">
            <xm:f>'Value Tree - Fx'!CJ31=-1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66" id="{E22B9768-4477-4D34-91BA-256CC2326C1C}">
            <xm:f>'Value Tree - Fx'!CJ31=0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BL27</xm:sqref>
        </x14:conditionalFormatting>
        <x14:conditionalFormatting xmlns:xm="http://schemas.microsoft.com/office/excel/2006/main">
          <x14:cfRule type="expression" priority="77" id="{AC85FD70-EF7B-4759-B512-CE5BD4B696F0}">
            <xm:f>'Value Tree - Fx'!$CJ$33=-1</xm:f>
            <x14:dxf>
              <font>
                <strike val="0"/>
              </font>
              <fill>
                <patternFill>
                  <fgColor rgb="FF0824CE"/>
                  <bgColor rgb="FF0D1FC9"/>
                </patternFill>
              </fill>
            </x14:dxf>
          </x14:cfRule>
          <x14:cfRule type="expression" priority="75" id="{7D613E37-D5AD-4371-85EC-784926FEDBD0}">
            <xm:f>'Value Tree - Fx'!$CJ$33=0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14:cfRule type="expression" priority="76" id="{5679B358-EB0C-4F70-A290-1C3892621692}">
            <xm:f>'Value Tree - Fx'!$CJ$33=-1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m:sqref>BL28</xm:sqref>
        </x14:conditionalFormatting>
        <x14:conditionalFormatting xmlns:xm="http://schemas.microsoft.com/office/excel/2006/main">
          <x14:cfRule type="expression" priority="86" id="{3C6692B7-44C6-42EC-B6F7-0B333BC69236}">
            <xm:f>'Value Tree - Fx'!$CJ$35=1</xm:f>
            <x14:dxf>
              <font>
                <strike val="0"/>
              </font>
              <fill>
                <patternFill>
                  <fgColor rgb="FF0824CE"/>
                  <bgColor rgb="FF0623D0"/>
                </patternFill>
              </fill>
            </x14:dxf>
          </x14:cfRule>
          <x14:cfRule type="expression" priority="85" id="{C73ECED3-118F-4289-81B1-6DDDD7168942}">
            <xm:f>'Value Tree - Fx'!$CJ$35=-1</xm:f>
            <x14:dxf>
              <font>
                <strike val="0"/>
              </font>
              <fill>
                <patternFill>
                  <bgColor rgb="FFC00000"/>
                </patternFill>
              </fill>
            </x14:dxf>
          </x14:cfRule>
          <x14:cfRule type="expression" priority="84" id="{85C525DC-9F04-4D69-BA3B-9301D91A830E}">
            <xm:f>'Value Tree - Fx'!$CJ$35=0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BL29</xm:sqref>
        </x14:conditionalFormatting>
        <x14:conditionalFormatting xmlns:xm="http://schemas.microsoft.com/office/excel/2006/main">
          <x14:cfRule type="expression" priority="109" id="{05946A3A-86D7-439F-A0EF-DDDE28E43D89}">
            <xm:f>'Value Tree - Fx'!CF42=0</xm:f>
            <x14:dxf>
              <font>
                <strike val="0"/>
              </font>
              <fill>
                <patternFill>
                  <bgColor theme="9"/>
                </patternFill>
              </fill>
            </x14:dxf>
          </x14:cfRule>
          <xm:sqref>BL35:BL36 BH35</xm:sqref>
        </x14:conditionalFormatting>
        <x14:conditionalFormatting xmlns:xm="http://schemas.microsoft.com/office/excel/2006/main">
          <x14:cfRule type="expression" priority="99" id="{7FFDE4EA-9896-4CA9-A4A6-C4BB0945AC05}">
            <xm:f>'Value Tree - Fx'!CJ43=1</xm:f>
            <x14:dxf>
              <font>
                <strike val="0"/>
              </font>
              <fill>
                <patternFill>
                  <bgColor rgb="FF1108CE"/>
                </patternFill>
              </fill>
            </x14:dxf>
          </x14:cfRule>
          <xm:sqref>BL36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Value Tree - Fx</vt:lpstr>
      <vt:lpstr>Value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Athayde</dc:creator>
  <cp:lastModifiedBy>Enrico Athayde</cp:lastModifiedBy>
  <dcterms:created xsi:type="dcterms:W3CDTF">2026-04-13T18:16:18Z</dcterms:created>
  <dcterms:modified xsi:type="dcterms:W3CDTF">2026-04-27T18:35:17Z</dcterms:modified>
</cp:coreProperties>
</file>