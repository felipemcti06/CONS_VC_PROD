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cticonsultores-my.sharepoint.com/personal/eathayde_ctiglobal_com/Documents/Área de Trabalho/CTI projetos/Votorantim/"/>
    </mc:Choice>
  </mc:AlternateContent>
  <xr:revisionPtr revIDLastSave="0" documentId="8_{068583F3-05A1-4C61-AF2B-2EFECCBAA12E}" xr6:coauthVersionLast="47" xr6:coauthVersionMax="47" xr10:uidLastSave="{00000000-0000-0000-0000-000000000000}"/>
  <bookViews>
    <workbookView xWindow="-28908" yWindow="-1980" windowWidth="29016" windowHeight="15696" xr2:uid="{B6AB96D7-48F1-4460-AA2C-09D660387872}"/>
  </bookViews>
  <sheets>
    <sheet name="Income Satatement" sheetId="2" r:id="rId1"/>
    <sheet name="Cognos_Office_Connection_Cache" sheetId="4" state="veryHidden" r:id="rId2"/>
    <sheet name="Cash Flow" sheetId="3" r:id="rId3"/>
  </sheets>
  <definedNames>
    <definedName name="ID" localSheetId="2" hidden="1">"b0bb8124-7ea4-439e-a6e8-e824733bdbdd"</definedName>
    <definedName name="ID" localSheetId="1">"2b37ca09-c54a-4896-9f5a-60b4c230c94f"</definedName>
    <definedName name="ID" localSheetId="0" hidden="1">"16e95020-c610-49de-ad21-31f7f85ac619"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6" i="3" l="1"/>
  <c r="M6" i="2"/>
  <c r="M6" i="3"/>
  <c r="U6" i="2"/>
  <c r="Q6" i="2"/>
  <c r="Q6" i="3"/>
  <c r="E6" i="2"/>
  <c r="E6" i="3"/>
  <c r="T34" i="3"/>
  <c r="B11" i="2"/>
  <c r="U35" i="3"/>
  <c r="B9" i="2"/>
  <c r="U36" i="3"/>
  <c r="B9" i="3"/>
  <c r="T31" i="3"/>
  <c r="S15" i="3"/>
  <c r="T22" i="3"/>
  <c r="U29" i="3"/>
  <c r="S26" i="3"/>
  <c r="S24" i="3"/>
  <c r="S28" i="3"/>
  <c r="T13" i="2"/>
  <c r="T25" i="3"/>
  <c r="S13" i="3"/>
  <c r="T28" i="3"/>
  <c r="S23" i="3"/>
  <c r="T30" i="3"/>
  <c r="U16" i="3"/>
  <c r="U19" i="3"/>
  <c r="U13" i="2"/>
  <c r="T17" i="3"/>
  <c r="U17" i="3"/>
  <c r="U28" i="3"/>
  <c r="U27" i="3"/>
  <c r="T29" i="3"/>
  <c r="U15" i="3"/>
  <c r="U25" i="3"/>
  <c r="T16" i="3"/>
  <c r="U23" i="3"/>
  <c r="S18" i="3"/>
  <c r="T21" i="3"/>
  <c r="T13" i="3"/>
  <c r="U24" i="3"/>
  <c r="S17" i="3"/>
  <c r="T24" i="3"/>
  <c r="S19" i="3"/>
  <c r="T26" i="3"/>
  <c r="S30" i="3"/>
  <c r="S29" i="3"/>
  <c r="S14" i="3"/>
  <c r="U13" i="3"/>
  <c r="T15" i="3"/>
  <c r="U22" i="3"/>
  <c r="T19" i="3"/>
  <c r="U14" i="3"/>
  <c r="S25" i="3"/>
  <c r="S27" i="3"/>
  <c r="U18" i="3"/>
  <c r="U20" i="3"/>
  <c r="U26" i="3"/>
  <c r="T14" i="3"/>
  <c r="U21" i="3"/>
  <c r="U30" i="3"/>
  <c r="S16" i="3"/>
  <c r="T23" i="3"/>
  <c r="S20" i="3"/>
  <c r="T27" i="3"/>
  <c r="S13" i="2"/>
  <c r="T20" i="3"/>
  <c r="T18" i="3"/>
  <c r="S21" i="3"/>
  <c r="S22" i="3"/>
  <c r="S30" i="2"/>
  <c r="U15" i="2"/>
  <c r="T21" i="2"/>
  <c r="U14" i="2"/>
  <c r="T22" i="2"/>
  <c r="S20" i="2"/>
  <c r="S29" i="2"/>
  <c r="S15" i="2"/>
  <c r="T19" i="2"/>
  <c r="U26" i="2"/>
  <c r="T25" i="2"/>
  <c r="U27" i="2"/>
  <c r="S28" i="2"/>
  <c r="S16" i="2"/>
  <c r="T27" i="2"/>
  <c r="T23" i="2"/>
  <c r="U24" i="2"/>
  <c r="T29" i="2"/>
  <c r="S22" i="2"/>
  <c r="T28" i="2"/>
  <c r="T18" i="2"/>
  <c r="S25" i="2"/>
  <c r="U30" i="2"/>
  <c r="U21" i="2"/>
  <c r="U29" i="2"/>
  <c r="U22" i="2"/>
  <c r="S17" i="2"/>
  <c r="T15" i="2"/>
  <c r="T24" i="2"/>
  <c r="T30" i="2"/>
  <c r="U25" i="2"/>
  <c r="U16" i="2"/>
  <c r="S19" i="2"/>
  <c r="S18" i="2"/>
  <c r="U28" i="2"/>
  <c r="U20" i="2"/>
  <c r="U23" i="2"/>
  <c r="U17" i="2"/>
  <c r="U18" i="2"/>
  <c r="U19" i="2"/>
  <c r="S27" i="2"/>
  <c r="S21" i="2"/>
  <c r="S14" i="2"/>
  <c r="S23" i="2"/>
  <c r="T14" i="2"/>
  <c r="T17" i="2"/>
  <c r="S24" i="2"/>
  <c r="T20" i="2"/>
  <c r="T26" i="2"/>
  <c r="T16" i="2"/>
  <c r="S26" i="2"/>
  <c r="U34" i="3"/>
  <c r="S31" i="3"/>
  <c r="U31" i="3"/>
  <c r="S35" i="3"/>
  <c r="T35" i="3"/>
  <c r="T36" i="3"/>
  <c r="S34" i="3"/>
  <c r="S33" i="3"/>
  <c r="T33" i="3"/>
  <c r="S36" i="3"/>
  <c r="U33" i="3"/>
  <c r="W33" i="3" l="1"/>
  <c r="W31" i="3"/>
  <c r="W34" i="3"/>
  <c r="W19" i="2"/>
  <c r="W18" i="2"/>
  <c r="W17" i="2"/>
  <c r="W23" i="2"/>
  <c r="W20" i="2"/>
  <c r="W28" i="2"/>
  <c r="W16" i="2"/>
  <c r="W25" i="2"/>
  <c r="W22" i="2"/>
  <c r="W29" i="2"/>
  <c r="U31" i="2"/>
  <c r="W21" i="2"/>
  <c r="W30" i="2"/>
  <c r="T31" i="2"/>
  <c r="W24" i="2"/>
  <c r="W27" i="2"/>
  <c r="W26" i="2"/>
  <c r="S31" i="2"/>
  <c r="W14" i="2"/>
  <c r="W15" i="2"/>
  <c r="W30" i="3"/>
  <c r="W21" i="3"/>
  <c r="W26" i="3"/>
  <c r="W20" i="3"/>
  <c r="W18" i="3"/>
  <c r="W14" i="3"/>
  <c r="W22" i="3"/>
  <c r="W13" i="3"/>
  <c r="W24" i="3"/>
  <c r="W23" i="3"/>
  <c r="W25" i="3"/>
  <c r="W15" i="3"/>
  <c r="W27" i="3"/>
  <c r="W28" i="3"/>
  <c r="W17" i="3"/>
  <c r="W13" i="2"/>
  <c r="W19" i="3"/>
  <c r="W16" i="3"/>
  <c r="W29" i="3"/>
  <c r="M9" i="3"/>
  <c r="N9" i="3"/>
  <c r="O9" i="3"/>
  <c r="W36" i="3"/>
  <c r="N9" i="2"/>
  <c r="M9" i="2"/>
  <c r="O9" i="2"/>
  <c r="W35" i="3"/>
  <c r="E9" i="2"/>
  <c r="F9" i="2"/>
  <c r="G9" i="2"/>
  <c r="G9" i="3"/>
  <c r="E9" i="3"/>
  <c r="F9" i="3"/>
  <c r="O28" i="2"/>
  <c r="O17" i="2"/>
  <c r="O19" i="2"/>
  <c r="O30" i="2"/>
  <c r="O21" i="2"/>
  <c r="O18" i="2"/>
  <c r="O25" i="2"/>
  <c r="O20" i="2"/>
  <c r="O29" i="2"/>
  <c r="O23" i="2"/>
  <c r="O27" i="2"/>
  <c r="O13" i="2"/>
  <c r="O15" i="2"/>
  <c r="O14" i="2"/>
  <c r="O22" i="2"/>
  <c r="O26" i="2"/>
  <c r="O24" i="2"/>
  <c r="O16" i="2"/>
  <c r="M36" i="3"/>
  <c r="M24" i="3"/>
  <c r="M17" i="3"/>
  <c r="M22" i="3"/>
  <c r="M20" i="3"/>
  <c r="M31" i="3"/>
  <c r="M14" i="3"/>
  <c r="M16" i="3"/>
  <c r="M35" i="3"/>
  <c r="M13" i="3"/>
  <c r="M25" i="3"/>
  <c r="M21" i="3"/>
  <c r="M34" i="3"/>
  <c r="M29" i="3"/>
  <c r="M27" i="3"/>
  <c r="M26" i="3"/>
  <c r="M18" i="3"/>
  <c r="M19" i="3"/>
  <c r="M33" i="3"/>
  <c r="M15" i="3"/>
  <c r="M23" i="3"/>
  <c r="M30" i="3"/>
  <c r="M28" i="3"/>
  <c r="N25" i="2"/>
  <c r="N28" i="2"/>
  <c r="N30" i="2"/>
  <c r="N15" i="2"/>
  <c r="N29" i="2"/>
  <c r="N17" i="2"/>
  <c r="N22" i="2"/>
  <c r="N24" i="2"/>
  <c r="N26" i="2"/>
  <c r="N19" i="2"/>
  <c r="N20" i="2"/>
  <c r="N16" i="2"/>
  <c r="N18" i="2"/>
  <c r="N14" i="2"/>
  <c r="N23" i="2"/>
  <c r="N13" i="2"/>
  <c r="N21" i="2"/>
  <c r="N27" i="2"/>
  <c r="E18" i="2"/>
  <c r="E25" i="2"/>
  <c r="E15" i="2"/>
  <c r="E22" i="2"/>
  <c r="E19" i="2"/>
  <c r="E16" i="2"/>
  <c r="E17" i="2"/>
  <c r="E20" i="2"/>
  <c r="E30" i="2"/>
  <c r="E24" i="2"/>
  <c r="E21" i="2"/>
  <c r="E28" i="2"/>
  <c r="E13" i="2"/>
  <c r="E23" i="2"/>
  <c r="E14" i="2"/>
  <c r="E26" i="2"/>
  <c r="E27" i="2"/>
  <c r="E29" i="2"/>
  <c r="G36" i="3"/>
  <c r="G25" i="3"/>
  <c r="G26" i="3"/>
  <c r="G15" i="3"/>
  <c r="G22" i="3"/>
  <c r="G13" i="3"/>
  <c r="G17" i="3"/>
  <c r="G14" i="3"/>
  <c r="G33" i="3"/>
  <c r="G27" i="3"/>
  <c r="G35" i="3"/>
  <c r="G34" i="3"/>
  <c r="G19" i="3"/>
  <c r="G20" i="3"/>
  <c r="G24" i="3"/>
  <c r="G28" i="3"/>
  <c r="G16" i="3"/>
  <c r="G31" i="3"/>
  <c r="G29" i="3"/>
  <c r="G30" i="3"/>
  <c r="G18" i="3"/>
  <c r="G23" i="3"/>
  <c r="G21" i="3"/>
  <c r="N36" i="3"/>
  <c r="N31" i="3"/>
  <c r="N29" i="3"/>
  <c r="N27" i="3"/>
  <c r="N35" i="3"/>
  <c r="N16" i="3"/>
  <c r="N23" i="3"/>
  <c r="N13" i="3"/>
  <c r="N20" i="3"/>
  <c r="N28" i="3"/>
  <c r="N21" i="3"/>
  <c r="N19" i="3"/>
  <c r="N24" i="3"/>
  <c r="N15" i="3"/>
  <c r="N26" i="3"/>
  <c r="N25" i="3"/>
  <c r="N30" i="3"/>
  <c r="N17" i="3"/>
  <c r="N33" i="3"/>
  <c r="N22" i="3"/>
  <c r="N18" i="3"/>
  <c r="N34" i="3"/>
  <c r="N14" i="3"/>
  <c r="F25" i="2"/>
  <c r="F20" i="2"/>
  <c r="F30" i="2"/>
  <c r="F18" i="2"/>
  <c r="F14" i="2"/>
  <c r="F24" i="2"/>
  <c r="F17" i="2"/>
  <c r="F26" i="2"/>
  <c r="F22" i="2"/>
  <c r="F27" i="2"/>
  <c r="F19" i="2"/>
  <c r="F13" i="2"/>
  <c r="F29" i="2"/>
  <c r="F21" i="2"/>
  <c r="F23" i="2"/>
  <c r="F15" i="2"/>
  <c r="F16" i="2"/>
  <c r="F28" i="2"/>
  <c r="E36" i="3"/>
  <c r="E25" i="3"/>
  <c r="E29" i="3"/>
  <c r="E30" i="3"/>
  <c r="E21" i="3"/>
  <c r="E26" i="3"/>
  <c r="E22" i="3"/>
  <c r="E13" i="3"/>
  <c r="E18" i="3"/>
  <c r="E14" i="3"/>
  <c r="E31" i="3"/>
  <c r="E33" i="3"/>
  <c r="E34" i="3"/>
  <c r="E23" i="3"/>
  <c r="E35" i="3"/>
  <c r="E27" i="3"/>
  <c r="E28" i="3"/>
  <c r="E17" i="3"/>
  <c r="E24" i="3"/>
  <c r="E15" i="3"/>
  <c r="E20" i="3"/>
  <c r="E19" i="3"/>
  <c r="E16" i="3"/>
  <c r="O36" i="3"/>
  <c r="O31" i="3"/>
  <c r="O13" i="3"/>
  <c r="O30" i="3"/>
  <c r="O20" i="3"/>
  <c r="O18" i="3"/>
  <c r="O28" i="3"/>
  <c r="O26" i="3"/>
  <c r="O15" i="3"/>
  <c r="O22" i="3"/>
  <c r="O23" i="3"/>
  <c r="O19" i="3"/>
  <c r="O14" i="3"/>
  <c r="O27" i="3"/>
  <c r="O35" i="3"/>
  <c r="O24" i="3"/>
  <c r="O34" i="3"/>
  <c r="O29" i="3"/>
  <c r="O25" i="3"/>
  <c r="O16" i="3"/>
  <c r="O33" i="3"/>
  <c r="O21" i="3"/>
  <c r="O17" i="3"/>
  <c r="G16" i="2"/>
  <c r="G20" i="2"/>
  <c r="G25" i="2"/>
  <c r="G27" i="2"/>
  <c r="G28" i="2"/>
  <c r="G19" i="2"/>
  <c r="G18" i="2"/>
  <c r="G23" i="2"/>
  <c r="G24" i="2"/>
  <c r="G26" i="2"/>
  <c r="G30" i="2"/>
  <c r="G15" i="2"/>
  <c r="G22" i="2"/>
  <c r="G14" i="2"/>
  <c r="G21" i="2"/>
  <c r="G13" i="2"/>
  <c r="G29" i="2"/>
  <c r="G17" i="2"/>
  <c r="M14" i="2"/>
  <c r="M18" i="2"/>
  <c r="M29" i="2"/>
  <c r="M30" i="2"/>
  <c r="M13" i="2"/>
  <c r="M22" i="2"/>
  <c r="M21" i="2"/>
  <c r="M15" i="2"/>
  <c r="M17" i="2"/>
  <c r="M24" i="2"/>
  <c r="M23" i="2"/>
  <c r="M27" i="2"/>
  <c r="M16" i="2"/>
  <c r="M28" i="2"/>
  <c r="M19" i="2"/>
  <c r="M26" i="2"/>
  <c r="M20" i="2"/>
  <c r="M25" i="2"/>
  <c r="F18" i="3"/>
  <c r="F15" i="3"/>
  <c r="F33" i="3"/>
  <c r="F28" i="3"/>
  <c r="F29" i="3"/>
  <c r="F20" i="3"/>
  <c r="F31" i="3"/>
  <c r="F25" i="3"/>
  <c r="F21" i="3"/>
  <c r="F17" i="3"/>
  <c r="F34" i="3"/>
  <c r="F13" i="3"/>
  <c r="F35" i="3"/>
  <c r="F30" i="3"/>
  <c r="F19" i="3"/>
  <c r="F24" i="3"/>
  <c r="F22" i="3"/>
  <c r="F26" i="3"/>
  <c r="F27" i="3"/>
  <c r="F16" i="3"/>
  <c r="F23" i="3"/>
  <c r="F14" i="3"/>
  <c r="F36" i="3"/>
  <c r="M31" i="2" l="1"/>
  <c r="I17" i="2"/>
  <c r="G31" i="2"/>
  <c r="I29" i="2"/>
  <c r="I13" i="2"/>
  <c r="I21" i="2"/>
  <c r="I14" i="2"/>
  <c r="I22" i="2"/>
  <c r="I15" i="2"/>
  <c r="I30" i="2"/>
  <c r="I26" i="2"/>
  <c r="I24" i="2"/>
  <c r="I23" i="2"/>
  <c r="I18" i="2"/>
  <c r="I19" i="2"/>
  <c r="I28" i="2"/>
  <c r="I27" i="2"/>
  <c r="I25" i="2"/>
  <c r="I20" i="2"/>
  <c r="I16" i="2"/>
  <c r="Q17" i="3"/>
  <c r="Q21" i="3"/>
  <c r="Q33" i="3"/>
  <c r="Q16" i="3"/>
  <c r="Q25" i="3"/>
  <c r="Q29" i="3"/>
  <c r="Q34" i="3"/>
  <c r="Q24" i="3"/>
  <c r="Q35" i="3"/>
  <c r="Q27" i="3"/>
  <c r="Q14" i="3"/>
  <c r="Q19" i="3"/>
  <c r="Q23" i="3"/>
  <c r="Q22" i="3"/>
  <c r="Q15" i="3"/>
  <c r="Q26" i="3"/>
  <c r="Q28" i="3"/>
  <c r="Q18" i="3"/>
  <c r="Q20" i="3"/>
  <c r="Q30" i="3"/>
  <c r="Q13" i="3"/>
  <c r="Q31" i="3"/>
  <c r="Q36" i="3"/>
  <c r="F31" i="2"/>
  <c r="I21" i="3"/>
  <c r="I23" i="3"/>
  <c r="I18" i="3"/>
  <c r="I30" i="3"/>
  <c r="I29" i="3"/>
  <c r="I31" i="3"/>
  <c r="I16" i="3"/>
  <c r="I28" i="3"/>
  <c r="I24" i="3"/>
  <c r="I20" i="3"/>
  <c r="I19" i="3"/>
  <c r="I34" i="3"/>
  <c r="I35" i="3"/>
  <c r="I27" i="3"/>
  <c r="I33" i="3"/>
  <c r="I14" i="3"/>
  <c r="I17" i="3"/>
  <c r="I13" i="3"/>
  <c r="I22" i="3"/>
  <c r="I15" i="3"/>
  <c r="I26" i="3"/>
  <c r="I25" i="3"/>
  <c r="I36" i="3"/>
  <c r="E31" i="2"/>
  <c r="N31" i="2"/>
  <c r="Q16" i="2"/>
  <c r="Q24" i="2"/>
  <c r="Q26" i="2"/>
  <c r="Q22" i="2"/>
  <c r="Q14" i="2"/>
  <c r="Q15" i="2"/>
  <c r="Q13" i="2"/>
  <c r="Q27" i="2"/>
  <c r="Q23" i="2"/>
  <c r="Q29" i="2"/>
  <c r="O31" i="2"/>
  <c r="Q20" i="2"/>
  <c r="Q25" i="2"/>
  <c r="Q18" i="2"/>
  <c r="Q21" i="2"/>
  <c r="Q30" i="2"/>
  <c r="Q19" i="2"/>
  <c r="Q17" i="2"/>
  <c r="Q28" i="2"/>
</calcChain>
</file>

<file path=xl/sharedStrings.xml><?xml version="1.0" encoding="utf-8"?>
<sst xmlns="http://schemas.openxmlformats.org/spreadsheetml/2006/main" count="148" uniqueCount="75">
  <si>
    <t xml:space="preserve"> Net profit attributed to controlling</t>
  </si>
  <si>
    <t>Minority interest</t>
  </si>
  <si>
    <t>Minority Interests</t>
  </si>
  <si>
    <t>Net profit</t>
  </si>
  <si>
    <t>Income tax</t>
  </si>
  <si>
    <t>Equity pick-up</t>
  </si>
  <si>
    <t>Equity Pickup</t>
  </si>
  <si>
    <t>Other non-operational</t>
  </si>
  <si>
    <t>Other Non Op. Results</t>
  </si>
  <si>
    <t>Financial results</t>
  </si>
  <si>
    <t>EBIT</t>
  </si>
  <si>
    <t>Operating Profit</t>
  </si>
  <si>
    <t>Depreciation</t>
  </si>
  <si>
    <t>EBITDA (%)</t>
  </si>
  <si>
    <t>EBITDA/Net Revenue (%)</t>
  </si>
  <si>
    <t>EBITDA</t>
  </si>
  <si>
    <t>Others</t>
  </si>
  <si>
    <t>SG&amp;A</t>
  </si>
  <si>
    <t>Operational Expenses</t>
  </si>
  <si>
    <t>Fixed costs</t>
  </si>
  <si>
    <t>Contrib. Margin (%)</t>
  </si>
  <si>
    <t>Contribution Margin (%)</t>
  </si>
  <si>
    <t>Contrib. Margin</t>
  </si>
  <si>
    <t>Contribution Margin</t>
  </si>
  <si>
    <t>Variable costs</t>
  </si>
  <si>
    <t>Total Value</t>
  </si>
  <si>
    <t>Variable selling expenses</t>
  </si>
  <si>
    <t>Net revenues</t>
  </si>
  <si>
    <t>Net revenue</t>
  </si>
  <si>
    <t>∆ M300</t>
  </si>
  <si>
    <t>RF</t>
  </si>
  <si>
    <t>L300</t>
  </si>
  <si>
    <t>FYF</t>
  </si>
  <si>
    <t>YTD</t>
  </si>
  <si>
    <t>Income statement</t>
  </si>
  <si>
    <t>Month</t>
  </si>
  <si>
    <t>Actual</t>
  </si>
  <si>
    <t>Year</t>
  </si>
  <si>
    <t>Income Statement - Report</t>
  </si>
  <si>
    <t>Net debt/ Adjusted EBITDA</t>
  </si>
  <si>
    <t>Final Net Debt</t>
  </si>
  <si>
    <t>Adj EBITDA LTM</t>
  </si>
  <si>
    <t>MTM Balance</t>
  </si>
  <si>
    <t>MTM</t>
  </si>
  <si>
    <t>Final Cash Position</t>
  </si>
  <si>
    <t>Change in cash</t>
  </si>
  <si>
    <t>Funding</t>
  </si>
  <si>
    <t>Amortization</t>
  </si>
  <si>
    <t>Capital Increase</t>
  </si>
  <si>
    <t>Invested Cash</t>
  </si>
  <si>
    <t>(=) Cash Gen. Before Financing</t>
  </si>
  <si>
    <t>Cash generation before financing</t>
  </si>
  <si>
    <t>FX/Others</t>
  </si>
  <si>
    <t>Inv/Div in Subs. and Aff.</t>
  </si>
  <si>
    <t>Inv/Div in Subsidiaries and Affiliates</t>
  </si>
  <si>
    <t>Expansion Capex</t>
  </si>
  <si>
    <t>Sustainable Cash Flow</t>
  </si>
  <si>
    <t>Dividends to Minority</t>
  </si>
  <si>
    <t>Payment of dividends to Minority</t>
  </si>
  <si>
    <t>Dividends to Controlling</t>
  </si>
  <si>
    <t>Payment of dividends to Controlling</t>
  </si>
  <si>
    <t>Sust. Cash Flow Before Divid.</t>
  </si>
  <si>
    <t>Other Variations</t>
  </si>
  <si>
    <t>Other</t>
  </si>
  <si>
    <t>Financial Results</t>
  </si>
  <si>
    <t>Other Financial Expenses</t>
  </si>
  <si>
    <t>Dividends Received</t>
  </si>
  <si>
    <t>Non Expansion Capex</t>
  </si>
  <si>
    <t>Working Capital</t>
  </si>
  <si>
    <t>Income Tax</t>
  </si>
  <si>
    <t>Income Tax on transactions</t>
  </si>
  <si>
    <t>Cash Flow</t>
  </si>
  <si>
    <t>Cash Flow - Report</t>
  </si>
  <si>
    <t>CONS_VC_PRD:DFS.100.Profit_and_Loss</t>
  </si>
  <si>
    <t>CONS_VC_PRD:DFS.140.Indirect_Cash_Flow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</si>
</sst>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"/>
    <numFmt numFmtId="165" formatCode="#,##0;\(#,##0\);&quot;-&quot;"/>
    <numFmt numFmtId="166" formatCode="_(* #,##0_);_(* \(#,##0\);_(* &quot;-&quot;??_);_(@_)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99"/>
      <name val="Aptos Narrow"/>
      <family val="2"/>
      <scheme val="minor"/>
    </font>
    <font>
      <sz val="11"/>
      <color rgb="FF000099"/>
      <name val="Aptos Narrow"/>
      <family val="2"/>
      <scheme val="minor"/>
    </font>
    <font>
      <sz val="10"/>
      <color rgb="FF000099"/>
      <name val="Arial"/>
      <family val="2"/>
    </font>
    <font>
      <b/>
      <sz val="10"/>
      <color rgb="FF000099"/>
      <name val="Arial"/>
      <family val="2"/>
    </font>
    <font>
      <b/>
      <sz val="10"/>
      <color theme="0"/>
      <name val="Arial"/>
      <family val="2"/>
    </font>
    <font>
      <b/>
      <u/>
      <sz val="12"/>
      <color theme="1"/>
      <name val="Votorantim sans"/>
    </font>
    <font>
      <sz val="14"/>
      <color theme="1"/>
      <name val="Wingdings"/>
      <charset val="2"/>
    </font>
    <font>
      <b/>
      <sz val="11"/>
      <color theme="1" tint="0.34998626667073579"/>
      <name val="Votorantim SAns"/>
    </font>
    <font>
      <b/>
      <sz val="14"/>
      <color theme="1" tint="0.34998626667073579"/>
      <name val="Votorantim SAns"/>
    </font>
    <font>
      <b/>
      <u/>
      <sz val="14"/>
      <color theme="1"/>
      <name val="Votorantim SAns"/>
    </font>
    <font>
      <b/>
      <sz val="18"/>
      <color rgb="FF0000BF"/>
      <name val="Votorantim Sans"/>
    </font>
    <font>
      <sz val="18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rgb="FFD9F5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n">
        <color rgb="FF808080"/>
      </bottom>
      <diagonal/>
    </border>
    <border>
      <left/>
      <right/>
      <top style="double">
        <color theme="1" tint="0.499984740745262"/>
      </top>
      <bottom style="thin">
        <color rgb="FF808080"/>
      </bottom>
      <diagonal/>
    </border>
    <border>
      <left/>
      <right/>
      <top/>
      <bottom style="double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6" fontId="5" fillId="0" borderId="0" xfId="0" applyNumberFormat="1" applyFont="1"/>
    <xf numFmtId="166" fontId="6" fillId="2" borderId="1" xfId="0" applyNumberFormat="1" applyFont="1" applyFill="1" applyBorder="1"/>
    <xf numFmtId="3" fontId="3" fillId="2" borderId="2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/>
    <xf numFmtId="166" fontId="5" fillId="2" borderId="1" xfId="0" applyNumberFormat="1" applyFont="1" applyFill="1" applyBorder="1"/>
    <xf numFmtId="166" fontId="6" fillId="2" borderId="0" xfId="0" applyNumberFormat="1" applyFont="1" applyFill="1"/>
    <xf numFmtId="3" fontId="3" fillId="2" borderId="3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6" fontId="6" fillId="3" borderId="0" xfId="0" applyNumberFormat="1" applyFont="1" applyFill="1"/>
    <xf numFmtId="17" fontId="3" fillId="2" borderId="4" xfId="0" applyNumberFormat="1" applyFont="1" applyFill="1" applyBorder="1" applyAlignment="1">
      <alignment horizontal="center" vertical="center" wrapText="1"/>
    </xf>
    <xf numFmtId="17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" fontId="3" fillId="2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37" fontId="8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6" fontId="3" fillId="2" borderId="0" xfId="0" applyNumberFormat="1" applyFont="1" applyFill="1"/>
    <xf numFmtId="3" fontId="4" fillId="6" borderId="6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/>
    <xf numFmtId="166" fontId="4" fillId="0" borderId="0" xfId="0" applyNumberFormat="1" applyFont="1"/>
    <xf numFmtId="0" fontId="0" fillId="5" borderId="8" xfId="0" applyFill="1" applyBorder="1"/>
    <xf numFmtId="0" fontId="0" fillId="5" borderId="9" xfId="0" applyFill="1" applyBorder="1"/>
    <xf numFmtId="164" fontId="3" fillId="2" borderId="0" xfId="0" applyNumberFormat="1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165" fontId="3" fillId="6" borderId="6" xfId="0" applyNumberFormat="1" applyFont="1" applyFill="1" applyBorder="1" applyAlignment="1">
      <alignment horizontal="center"/>
    </xf>
    <xf numFmtId="0" fontId="2" fillId="0" borderId="0" xfId="0" applyFont="1"/>
    <xf numFmtId="3" fontId="3" fillId="6" borderId="6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/>
    </xf>
    <xf numFmtId="3" fontId="3" fillId="6" borderId="0" xfId="0" applyNumberFormat="1" applyFont="1" applyFill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5" borderId="0" xfId="0" applyFill="1"/>
    <xf numFmtId="0" fontId="13" fillId="0" borderId="0" xfId="0" applyFont="1" applyAlignment="1">
      <alignment horizontal="left" vertical="center"/>
    </xf>
    <xf numFmtId="17" fontId="3" fillId="2" borderId="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662940</xdr:colOff>
      <xdr:row>0</xdr:row>
      <xdr:rowOff>83820</xdr:rowOff>
    </xdr:from>
    <xdr:ext cx="2425941" cy="550333"/>
    <xdr:pic>
      <xdr:nvPicPr>
        <xdr:cNvPr id="2" name="Gráfico 13">
          <a:extLst>
            <a:ext uri="{FF2B5EF4-FFF2-40B4-BE49-F238E27FC236}">
              <a16:creationId xmlns:a16="http://schemas.microsoft.com/office/drawing/2014/main" id="{82EA0642-EC03-4903-A262-DBD02660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020800" y="83820"/>
          <a:ext cx="2425941" cy="5503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662940</xdr:colOff>
      <xdr:row>0</xdr:row>
      <xdr:rowOff>83820</xdr:rowOff>
    </xdr:from>
    <xdr:ext cx="2425941" cy="550333"/>
    <xdr:pic>
      <xdr:nvPicPr>
        <xdr:cNvPr id="2" name="Gráfico 13">
          <a:extLst>
            <a:ext uri="{FF2B5EF4-FFF2-40B4-BE49-F238E27FC236}">
              <a16:creationId xmlns:a16="http://schemas.microsoft.com/office/drawing/2014/main" id="{AB6500C9-E46B-490C-A1B0-E207A7CD0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020800" y="83820"/>
          <a:ext cx="2425941" cy="5503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24C6-8D54-48A4-8901-526B4C315B9B}">
  <sheetPr codeName="Planilha1"/>
  <dimension ref="A1:AA31"/>
  <sheetViews>
    <sheetView showGridLines="0" tabSelected="1" topLeftCell="C1" workbookViewId="0">
      <selection activeCell="C9" sqref="A9:XFD10"/>
    </sheetView>
  </sheetViews>
  <sheetFormatPr defaultRowHeight="14.4"/>
  <cols>
    <col min="1" max="1" width="8.44140625" hidden="1" customWidth="1"/>
    <col min="2" max="2" width="5.6640625" hidden="1" customWidth="1"/>
    <col min="3" max="3" width="6" customWidth="1"/>
    <col min="4" max="4" width="7.77734375" customWidth="1"/>
    <col min="5" max="7" width="10.21875" customWidth="1"/>
    <col min="8" max="8" width="1.77734375" customWidth="1"/>
    <col min="9" max="9" width="10.21875" customWidth="1"/>
    <col min="10" max="10" width="1.77734375" customWidth="1"/>
    <col min="11" max="11" width="38.5546875" customWidth="1"/>
    <col min="12" max="12" width="1.6640625" customWidth="1"/>
    <col min="13" max="15" width="10.44140625" customWidth="1"/>
    <col min="16" max="16" width="1.6640625" customWidth="1"/>
    <col min="17" max="17" width="10.109375" customWidth="1"/>
    <col min="18" max="18" width="1.6640625" customWidth="1"/>
    <col min="19" max="21" width="10.44140625" customWidth="1"/>
    <col min="22" max="22" width="1.88671875" customWidth="1"/>
    <col min="23" max="23" width="10.33203125" customWidth="1"/>
  </cols>
  <sheetData>
    <row r="1" spans="1:27" ht="14.4" customHeight="1">
      <c r="A1" t="s">
        <v>73</v>
      </c>
      <c r="C1" s="21"/>
      <c r="D1" s="37" t="s">
        <v>38</v>
      </c>
      <c r="E1" s="37"/>
      <c r="F1" s="37"/>
      <c r="G1" s="37"/>
      <c r="H1" s="37"/>
      <c r="I1" s="37"/>
    </row>
    <row r="2" spans="1:27" ht="17.399999999999999" customHeight="1">
      <c r="C2" s="21"/>
      <c r="D2" s="37"/>
      <c r="E2" s="37"/>
      <c r="F2" s="37"/>
      <c r="G2" s="37"/>
      <c r="H2" s="37"/>
      <c r="I2" s="37"/>
    </row>
    <row r="3" spans="1:27" ht="17.399999999999999" customHeight="1">
      <c r="C3" s="18"/>
      <c r="D3" s="18"/>
      <c r="F3" s="20"/>
      <c r="G3" s="20"/>
    </row>
    <row r="4" spans="1:27" ht="6.6" customHeight="1">
      <c r="C4" s="18"/>
      <c r="D4" s="18"/>
      <c r="F4" s="19"/>
      <c r="G4" s="19"/>
    </row>
    <row r="5" spans="1:27" ht="17.399999999999999" customHeight="1">
      <c r="C5" s="18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21" customHeight="1">
      <c r="C6" s="18"/>
      <c r="D6" s="36"/>
      <c r="E6" s="41" t="str">
        <f>_xll.SUBNM("CONS_VC_PRD:ALL.D.Region","DEFAuLT","Global")</f>
        <v>Global</v>
      </c>
      <c r="F6" s="41"/>
      <c r="G6" s="36"/>
      <c r="H6" s="36"/>
      <c r="I6" s="36"/>
      <c r="J6" s="36"/>
      <c r="K6" s="36"/>
      <c r="L6" s="36"/>
      <c r="M6" s="35" t="str">
        <f>_xll.SUBNM("CONS_VC_PRD:ALL.D.Currency","","BRL")</f>
        <v>BRL</v>
      </c>
      <c r="N6" s="36"/>
      <c r="O6" s="36"/>
      <c r="P6" s="36"/>
      <c r="Q6" s="35" t="str">
        <f>_xll.SUBNM("CONS_VC_PRD:ALL.D.Year","","2025")</f>
        <v>2025</v>
      </c>
      <c r="R6" s="36"/>
      <c r="S6" s="36"/>
      <c r="T6" s="36"/>
      <c r="U6" s="35" t="str">
        <f>_xll.SUBNM("CONS_VC_PRD:ALL.D.Month","SYS_Picklist","Jan","Desc")</f>
        <v>Jan</v>
      </c>
      <c r="V6" s="36"/>
      <c r="W6" s="36"/>
      <c r="X6" s="36"/>
      <c r="Y6" s="36"/>
      <c r="Z6" s="36"/>
      <c r="AA6" s="36"/>
    </row>
    <row r="7" spans="1:27" ht="16.2" customHeight="1">
      <c r="C7" s="18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9" spans="1:27" ht="12.6" hidden="1" customHeight="1">
      <c r="B9" t="str">
        <f>_xll.SUBNM("CONS_VC_PRD:ALL.D.Month","SYS_YTD",U6,"ID do membro")</f>
        <v>01</v>
      </c>
      <c r="E9" t="str">
        <f>$U$6</f>
        <v>Jan</v>
      </c>
      <c r="F9" t="str">
        <f>$U$6</f>
        <v>Jan</v>
      </c>
      <c r="G9" t="str">
        <f>$U$6</f>
        <v>Jan</v>
      </c>
      <c r="M9" t="str">
        <f>"YTD "&amp;$B$9</f>
        <v>YTD 01</v>
      </c>
      <c r="N9" t="str">
        <f>"YTD "&amp;$B$9</f>
        <v>YTD 01</v>
      </c>
      <c r="O9" t="str">
        <f>"YTD "&amp;$B$9</f>
        <v>YTD 01</v>
      </c>
      <c r="S9" t="s">
        <v>37</v>
      </c>
      <c r="T9" t="s">
        <v>37</v>
      </c>
      <c r="U9" t="s">
        <v>37</v>
      </c>
      <c r="W9" t="s">
        <v>37</v>
      </c>
    </row>
    <row r="10" spans="1:27" ht="14.4" hidden="1" customHeight="1">
      <c r="E10" t="s">
        <v>36</v>
      </c>
      <c r="F10" t="s">
        <v>31</v>
      </c>
      <c r="G10" t="s">
        <v>30</v>
      </c>
      <c r="M10" t="s">
        <v>36</v>
      </c>
      <c r="N10" t="s">
        <v>31</v>
      </c>
      <c r="O10" t="s">
        <v>30</v>
      </c>
      <c r="S10" t="s">
        <v>36</v>
      </c>
      <c r="T10" t="s">
        <v>31</v>
      </c>
      <c r="U10" t="s">
        <v>30</v>
      </c>
    </row>
    <row r="11" spans="1:27">
      <c r="B11" t="str">
        <f>_xll.SUBNM("CONS_VC_PRD:ALL.D.Products","Código e Descrição","Total Products","Default")</f>
        <v>Total Products</v>
      </c>
      <c r="E11" s="38" t="s">
        <v>35</v>
      </c>
      <c r="F11" s="38"/>
      <c r="G11" s="38"/>
      <c r="I11" s="17" t="s">
        <v>32</v>
      </c>
      <c r="K11" s="39" t="s">
        <v>34</v>
      </c>
      <c r="M11" s="38" t="s">
        <v>33</v>
      </c>
      <c r="N11" s="38"/>
      <c r="O11" s="38"/>
      <c r="Q11" s="17" t="s">
        <v>32</v>
      </c>
      <c r="S11" s="38" t="s">
        <v>32</v>
      </c>
      <c r="T11" s="38"/>
      <c r="U11" s="38"/>
      <c r="W11" s="17" t="s">
        <v>32</v>
      </c>
    </row>
    <row r="12" spans="1:27" ht="15" thickBot="1">
      <c r="B12" t="s">
        <v>25</v>
      </c>
      <c r="E12" s="16">
        <v>2024</v>
      </c>
      <c r="F12" s="15" t="s">
        <v>31</v>
      </c>
      <c r="G12" s="15" t="s">
        <v>30</v>
      </c>
      <c r="I12" s="14" t="s">
        <v>29</v>
      </c>
      <c r="K12" s="40"/>
      <c r="M12" s="16">
        <v>2024</v>
      </c>
      <c r="N12" s="15" t="s">
        <v>31</v>
      </c>
      <c r="O12" s="15" t="s">
        <v>30</v>
      </c>
      <c r="Q12" s="14" t="s">
        <v>29</v>
      </c>
      <c r="S12" s="16">
        <v>2024</v>
      </c>
      <c r="T12" s="15" t="s">
        <v>31</v>
      </c>
      <c r="U12" s="15" t="s">
        <v>30</v>
      </c>
      <c r="W12" s="14" t="s">
        <v>29</v>
      </c>
    </row>
    <row r="13" spans="1:27" ht="15" thickTop="1">
      <c r="B13" t="s">
        <v>28</v>
      </c>
      <c r="E13" s="1">
        <f>_xll.DBRW($A$1,$Q$6,E$9,E$10,$M$6,$E$6,$B$11,$B13,$B$12)</f>
        <v>0</v>
      </c>
      <c r="F13" s="1">
        <f>_xll.DBRW($A$1,$Q$6,F$9,F$10,$M$6,$E$6,$B$11,$B13,$B$12)</f>
        <v>0</v>
      </c>
      <c r="G13" s="1">
        <f>_xll.DBRW($A$1,$Q$6,G$9,G$10,$M$6,$E$6,$B$11,$B13,$B$12)</f>
        <v>0</v>
      </c>
      <c r="I13" s="11">
        <f t="shared" ref="I13:I30" si="0">G13-F13</f>
        <v>0</v>
      </c>
      <c r="K13" s="13" t="s">
        <v>27</v>
      </c>
      <c r="M13" s="1">
        <f>_xll.DBRW($A$1,$Q$6,M$9,M$10,$M$6,$E$6,$B$11,$B13,$B$12)</f>
        <v>0</v>
      </c>
      <c r="N13" s="1">
        <f>_xll.DBRW($A$1,$Q$6,N$9,N$10,$M$6,$E$6,$B$11,$B13,$B$12)</f>
        <v>0</v>
      </c>
      <c r="O13" s="1">
        <f>_xll.DBRW($A$1,$Q$6,O$9,O$10,$M$6,$E$6,$B$11,$B13,$B$12)</f>
        <v>0</v>
      </c>
      <c r="Q13" s="11">
        <f t="shared" ref="Q13:Q30" si="1">O13-N13</f>
        <v>0</v>
      </c>
      <c r="S13" s="1">
        <f>_xll.DBRW($A$1,$Q$6,S$9,S$10,$M$6,$E$6,$B$11,$B13,$B$12)</f>
        <v>0</v>
      </c>
      <c r="T13" s="1">
        <f>_xll.DBRW($A$1,$Q$6,T$9,T$10,$M$6,$E$6,$B$11,$B13,$B$12)</f>
        <v>0</v>
      </c>
      <c r="U13" s="12">
        <f>_xll.DBRW($A$1,$Q$6,U$9,U$10,$M$6,$E$6,$B$11,$B13,$B$12)</f>
        <v>0</v>
      </c>
      <c r="W13" s="11">
        <f t="shared" ref="W13:W30" si="2">U13-T13</f>
        <v>0</v>
      </c>
    </row>
    <row r="14" spans="1:27">
      <c r="B14" t="s">
        <v>26</v>
      </c>
      <c r="E14" s="4">
        <f>_xll.DBRW($A$1,$Q$6,E$9,E$10,$M$6,$E$6,$B$11,$B14,$B$12)</f>
        <v>0</v>
      </c>
      <c r="F14" s="4">
        <f>_xll.DBRW($A$1,$Q$6,F$9,F$10,$M$6,$E$6,$B$11,$B14,$B$12)</f>
        <v>0</v>
      </c>
      <c r="G14" s="4">
        <f>_xll.DBRW($A$1,$Q$6,G$9,G$10,$M$6,$E$6,$B$11,$B14,$B$12)</f>
        <v>0</v>
      </c>
      <c r="I14" s="3">
        <f t="shared" si="0"/>
        <v>0</v>
      </c>
      <c r="K14" s="5" t="s">
        <v>26</v>
      </c>
      <c r="M14" s="4">
        <f>_xll.DBRW($A$1,$Q$6,M$9,M$10,$M$6,$E$6,$B$11,$B14,$B$12)</f>
        <v>0</v>
      </c>
      <c r="N14" s="4">
        <f>_xll.DBRW($A$1,$Q$6,N$9,N$10,$M$6,$E$6,$B$11,$B14,$B$12)</f>
        <v>0</v>
      </c>
      <c r="O14" s="4">
        <f>_xll.DBRW($A$1,$Q$6,O$9,O$10,$M$6,$E$6,$B$11,$B14,$B$12)</f>
        <v>0</v>
      </c>
      <c r="Q14" s="3">
        <f t="shared" si="1"/>
        <v>0</v>
      </c>
      <c r="S14" s="4">
        <f>_xll.DBRW($A$1,$Q$6,S$9,S$10,$M$6,$E$6,$B$11,$B14,$B$12)</f>
        <v>0</v>
      </c>
      <c r="T14" s="4">
        <f>_xll.DBRW($A$1,$Q$6,T$9,T$10,$M$6,$E$6,$B$11,$B14,$B$12)</f>
        <v>0</v>
      </c>
      <c r="U14" s="4">
        <f>_xll.DBRW($A$1,$Q$6,U$9,U$10,$M$6,$E$6,$B$11,$B14,$B$12)</f>
        <v>0</v>
      </c>
      <c r="W14" s="3">
        <f t="shared" si="2"/>
        <v>0</v>
      </c>
    </row>
    <row r="15" spans="1:27" ht="13.8" customHeight="1">
      <c r="B15" t="s">
        <v>24</v>
      </c>
      <c r="E15" s="4">
        <f>_xll.DBRW($A$1,$Q$6,E$9,E$10,$M$6,$E$6,$B$11,$B15,$B$12)</f>
        <v>0</v>
      </c>
      <c r="F15" s="4">
        <f>_xll.DBRW($A$1,$Q$6,F$9,F$10,$M$6,$E$6,$B$11,$B15,$B$12)</f>
        <v>0</v>
      </c>
      <c r="G15" s="4">
        <f>_xll.DBRW($A$1,$Q$6,G$9,G$10,$M$6,$E$6,$B$11,$B15,$B$12)</f>
        <v>0</v>
      </c>
      <c r="I15" s="3">
        <f t="shared" si="0"/>
        <v>0</v>
      </c>
      <c r="K15" s="5" t="s">
        <v>24</v>
      </c>
      <c r="M15" s="4">
        <f>_xll.DBRW($A$1,$Q$6,M$9,M$10,$M$6,$E$6,$B$11,$B15,$B$12)</f>
        <v>0</v>
      </c>
      <c r="N15" s="4">
        <f>_xll.DBRW($A$1,$Q$6,N$9,N$10,$M$6,$E$6,$B$11,$B15,$B$12)</f>
        <v>0</v>
      </c>
      <c r="O15" s="4">
        <f>_xll.DBRW($A$1,$Q$6,O$9,O$10,$M$6,$E$6,$B$11,$B15,$B$12)</f>
        <v>0</v>
      </c>
      <c r="Q15" s="3">
        <f t="shared" si="1"/>
        <v>0</v>
      </c>
      <c r="S15" s="4">
        <f>_xll.DBRW($A$1,$Q$6,S$9,S$10,$M$6,$E$6,$B$11,$B15,$B$12)</f>
        <v>0</v>
      </c>
      <c r="T15" s="4">
        <f>_xll.DBRW($A$1,$Q$6,T$9,T$10,$M$6,$E$6,$B$11,$B15,$B$12)</f>
        <v>0</v>
      </c>
      <c r="U15" s="4">
        <f>_xll.DBRW($A$1,$Q$6,U$9,U$10,$M$6,$E$6,$B$11,$B15,$B$12)</f>
        <v>0</v>
      </c>
      <c r="W15" s="3">
        <f t="shared" si="2"/>
        <v>0</v>
      </c>
    </row>
    <row r="16" spans="1:27">
      <c r="B16" t="s">
        <v>23</v>
      </c>
      <c r="E16" s="4">
        <f>_xll.DBRW($A$1,$Q$6,E$9,E$10,$M$6,$E$6,$B$11,$B16,$B$12)</f>
        <v>0</v>
      </c>
      <c r="F16" s="4">
        <f>_xll.DBRW($A$1,$Q$6,F$9,F$10,$M$6,$E$6,$B$11,$B16,$B$12)</f>
        <v>0</v>
      </c>
      <c r="G16" s="4">
        <f>_xll.DBRW($A$1,$Q$6,G$9,G$10,$M$6,$E$6,$B$11,$B16,$B$12)</f>
        <v>0</v>
      </c>
      <c r="I16" s="3">
        <f t="shared" si="0"/>
        <v>0</v>
      </c>
      <c r="K16" s="10" t="s">
        <v>22</v>
      </c>
      <c r="M16" s="4">
        <f>_xll.DBRW($A$1,$Q$6,M$9,M$10,$M$6,$E$6,$B$11,$B16,$B$12)</f>
        <v>0</v>
      </c>
      <c r="N16" s="4">
        <f>_xll.DBRW($A$1,$Q$6,N$9,N$10,$M$6,$E$6,$B$11,$B16,$B$12)</f>
        <v>0</v>
      </c>
      <c r="O16" s="4">
        <f>_xll.DBRW($A$1,$Q$6,O$9,O$10,$M$6,$E$6,$B$11,$B16,$B$12)</f>
        <v>0</v>
      </c>
      <c r="Q16" s="3">
        <f t="shared" si="1"/>
        <v>0</v>
      </c>
      <c r="S16" s="4">
        <f>_xll.DBRW($A$1,$Q$6,S$9,S$10,$M$6,$E$6,$B$11,$B16,$B$12)</f>
        <v>0</v>
      </c>
      <c r="T16" s="4">
        <f>_xll.DBRW($A$1,$Q$6,T$9,T$10,$M$6,$E$6,$B$11,$B16,$B$12)</f>
        <v>0</v>
      </c>
      <c r="U16" s="4">
        <f>_xll.DBRW($A$1,$Q$6,U$9,U$10,$M$6,$E$6,$B$11,$B16,$B$12)</f>
        <v>0</v>
      </c>
      <c r="W16" s="3">
        <f t="shared" si="2"/>
        <v>0</v>
      </c>
    </row>
    <row r="17" spans="2:23">
      <c r="B17" t="s">
        <v>21</v>
      </c>
      <c r="E17" s="4">
        <f>_xll.DBRW($A$1,$Q$6,E$9,E$10,$M$6,$E$6,$B$11,$B17,$B$12)</f>
        <v>0</v>
      </c>
      <c r="F17" s="4">
        <f>_xll.DBRW($A$1,$Q$6,F$9,F$10,$M$6,$E$6,$B$11,$B17,$B$12)</f>
        <v>0</v>
      </c>
      <c r="G17" s="4">
        <f>_xll.DBRW($A$1,$Q$6,G$9,G$10,$M$6,$E$6,$B$11,$B17,$B$12)</f>
        <v>0</v>
      </c>
      <c r="I17" s="3">
        <f t="shared" si="0"/>
        <v>0</v>
      </c>
      <c r="K17" s="9" t="s">
        <v>20</v>
      </c>
      <c r="M17" s="4">
        <f>_xll.DBRW($A$1,$Q$6,M$9,M$10,$M$6,$E$6,$B$11,$B17,$B$12)</f>
        <v>0</v>
      </c>
      <c r="N17" s="4">
        <f>_xll.DBRW($A$1,$Q$6,N$9,N$10,$M$6,$E$6,$B$11,$B17,$B$12)</f>
        <v>0</v>
      </c>
      <c r="O17" s="4">
        <f>_xll.DBRW($A$1,$Q$6,O$9,O$10,$M$6,$E$6,$B$11,$B17,$B$12)</f>
        <v>0</v>
      </c>
      <c r="Q17" s="3">
        <f t="shared" si="1"/>
        <v>0</v>
      </c>
      <c r="S17" s="4">
        <f>_xll.DBRW($A$1,$Q$6,S$9,S$10,$M$6,$E$6,$B$11,$B17,$B$12)</f>
        <v>0</v>
      </c>
      <c r="T17" s="4">
        <f>_xll.DBRW($A$1,$Q$6,T$9,T$10,$M$6,$E$6,$B$11,$B17,$B$12)</f>
        <v>0</v>
      </c>
      <c r="U17" s="4">
        <f>_xll.DBRW($A$1,$Q$6,U$9,U$10,$M$6,$E$6,$B$11,$B17,$B$12)</f>
        <v>0</v>
      </c>
      <c r="W17" s="3">
        <f t="shared" si="2"/>
        <v>0</v>
      </c>
    </row>
    <row r="18" spans="2:23">
      <c r="B18" t="s">
        <v>19</v>
      </c>
      <c r="E18" s="4">
        <f>_xll.DBRW($A$1,$Q$6,E$9,E$10,$M$6,$E$6,$B$11,$B18,$B$12)</f>
        <v>0</v>
      </c>
      <c r="F18" s="4">
        <f>_xll.DBRW($A$1,$Q$6,F$9,F$10,$M$6,$E$6,$B$11,$B18,$B$12)</f>
        <v>0</v>
      </c>
      <c r="G18" s="4">
        <f>_xll.DBRW($A$1,$Q$6,G$9,G$10,$M$6,$E$6,$B$11,$B18,$B$12)</f>
        <v>0</v>
      </c>
      <c r="I18" s="3">
        <f t="shared" si="0"/>
        <v>0</v>
      </c>
      <c r="K18" s="5" t="s">
        <v>19</v>
      </c>
      <c r="M18" s="4">
        <f>_xll.DBRW($A$1,$Q$6,M$9,M$10,$M$6,$E$6,$B$11,$B18,$B$12)</f>
        <v>0</v>
      </c>
      <c r="N18" s="4">
        <f>_xll.DBRW($A$1,$Q$6,N$9,N$10,$M$6,$E$6,$B$11,$B18,$B$12)</f>
        <v>0</v>
      </c>
      <c r="O18" s="4">
        <f>_xll.DBRW($A$1,$Q$6,O$9,O$10,$M$6,$E$6,$B$11,$B18,$B$12)</f>
        <v>0</v>
      </c>
      <c r="Q18" s="3">
        <f t="shared" si="1"/>
        <v>0</v>
      </c>
      <c r="S18" s="4">
        <f>_xll.DBRW($A$1,$Q$6,S$9,S$10,$M$6,$E$6,$B$11,$B18,$B$12)</f>
        <v>0</v>
      </c>
      <c r="T18" s="4">
        <f>_xll.DBRW($A$1,$Q$6,T$9,T$10,$M$6,$E$6,$B$11,$B18,$B$12)</f>
        <v>0</v>
      </c>
      <c r="U18" s="4">
        <f>_xll.DBRW($A$1,$Q$6,U$9,U$10,$M$6,$E$6,$B$11,$B18,$B$12)</f>
        <v>0</v>
      </c>
      <c r="W18" s="3">
        <f t="shared" si="2"/>
        <v>0</v>
      </c>
    </row>
    <row r="19" spans="2:23">
      <c r="B19" t="s">
        <v>18</v>
      </c>
      <c r="E19" s="4">
        <f>_xll.DBRW($A$1,$Q$6,E$9,E$10,$M$6,$E$6,$B$11,$B19,$B$12)</f>
        <v>0</v>
      </c>
      <c r="F19" s="4">
        <f>_xll.DBRW($A$1,$Q$6,F$9,F$10,$M$6,$E$6,$B$11,$B19,$B$12)</f>
        <v>0</v>
      </c>
      <c r="G19" s="4">
        <f>_xll.DBRW($A$1,$Q$6,G$9,G$10,$M$6,$E$6,$B$11,$B19,$B$12)</f>
        <v>0</v>
      </c>
      <c r="I19" s="3">
        <f t="shared" si="0"/>
        <v>0</v>
      </c>
      <c r="K19" s="5" t="s">
        <v>17</v>
      </c>
      <c r="M19" s="4">
        <f>_xll.DBRW($A$1,$Q$6,M$9,M$10,$M$6,$E$6,$B$11,$B19,$B$12)</f>
        <v>0</v>
      </c>
      <c r="N19" s="4">
        <f>_xll.DBRW($A$1,$Q$6,N$9,N$10,$M$6,$E$6,$B$11,$B19,$B$12)</f>
        <v>0</v>
      </c>
      <c r="O19" s="4">
        <f>_xll.DBRW($A$1,$Q$6,O$9,O$10,$M$6,$E$6,$B$11,$B19,$B$12)</f>
        <v>0</v>
      </c>
      <c r="Q19" s="3">
        <f t="shared" si="1"/>
        <v>0</v>
      </c>
      <c r="S19" s="4">
        <f>_xll.DBRW($A$1,$Q$6,S$9,S$10,$M$6,$E$6,$B$11,$B19,$B$12)</f>
        <v>0</v>
      </c>
      <c r="T19" s="4">
        <f>_xll.DBRW($A$1,$Q$6,T$9,T$10,$M$6,$E$6,$B$11,$B19,$B$12)</f>
        <v>0</v>
      </c>
      <c r="U19" s="4">
        <f>_xll.DBRW($A$1,$Q$6,U$9,U$10,$M$6,$E$6,$B$11,$B19,$B$12)</f>
        <v>0</v>
      </c>
      <c r="W19" s="3">
        <f t="shared" si="2"/>
        <v>0</v>
      </c>
    </row>
    <row r="20" spans="2:23">
      <c r="B20" t="s">
        <v>16</v>
      </c>
      <c r="E20" s="1">
        <f>_xll.DBRW($A$1,$Q$6,E$9,E$10,$M$6,$E$6,$B$11,$B20,$B$12)</f>
        <v>0</v>
      </c>
      <c r="F20" s="1">
        <f>_xll.DBRW($A$1,$Q$6,F$9,F$10,$M$6,$E$6,$B$11,$B20,$B$12)</f>
        <v>0</v>
      </c>
      <c r="G20" s="1">
        <f>_xll.DBRW($A$1,$Q$6,G$9,G$10,$M$6,$E$6,$B$11,$B20,$B$12)</f>
        <v>0</v>
      </c>
      <c r="I20" s="7">
        <f t="shared" si="0"/>
        <v>0</v>
      </c>
      <c r="K20" s="5" t="s">
        <v>16</v>
      </c>
      <c r="M20" s="1">
        <f>_xll.DBRW($A$1,$Q$6,M$9,M$10,$M$6,$E$6,$B$11,$B20,$B$12)</f>
        <v>0</v>
      </c>
      <c r="N20" s="1">
        <f>_xll.DBRW($A$1,$Q$6,N$9,N$10,$M$6,$E$6,$B$11,$B20,$B$12)</f>
        <v>0</v>
      </c>
      <c r="O20" s="1">
        <f>_xll.DBRW($A$1,$Q$6,O$9,O$10,$M$6,$E$6,$B$11,$B20,$B$12)</f>
        <v>0</v>
      </c>
      <c r="Q20" s="7">
        <f t="shared" si="1"/>
        <v>0</v>
      </c>
      <c r="S20" s="1">
        <f>_xll.DBRW($A$1,$Q$6,S$9,S$10,$M$6,$E$6,$B$11,$B20,$B$12)</f>
        <v>0</v>
      </c>
      <c r="T20" s="1">
        <f>_xll.DBRW($A$1,$Q$6,T$9,T$10,$M$6,$E$6,$B$11,$B20,$B$12)</f>
        <v>0</v>
      </c>
      <c r="U20" s="1">
        <f>_xll.DBRW($A$1,$Q$6,U$9,U$10,$M$6,$E$6,$B$11,$B20,$B$12)</f>
        <v>0</v>
      </c>
      <c r="W20" s="7">
        <f t="shared" si="2"/>
        <v>0</v>
      </c>
    </row>
    <row r="21" spans="2:23">
      <c r="B21" t="s">
        <v>15</v>
      </c>
      <c r="E21" s="4">
        <f>_xll.DBRW($A$1,$Q$6,E$9,E$10,$M$6,$E$6,$B$11,$B21,$B$12)</f>
        <v>0</v>
      </c>
      <c r="F21" s="4">
        <f>_xll.DBRW($A$1,$Q$6,F$9,F$10,$M$6,$E$6,$B$11,$B21,$B$12)</f>
        <v>0</v>
      </c>
      <c r="G21" s="4">
        <f>_xll.DBRW($A$1,$Q$6,G$9,G$10,$M$6,$E$6,$B$11,$B21,$B$12)</f>
        <v>0</v>
      </c>
      <c r="I21" s="4">
        <f t="shared" si="0"/>
        <v>0</v>
      </c>
      <c r="K21" s="10" t="s">
        <v>15</v>
      </c>
      <c r="M21" s="4">
        <f>_xll.DBRW($A$1,$Q$6,M$9,M$10,$M$6,$E$6,$B$11,$B21,$B$12)</f>
        <v>0</v>
      </c>
      <c r="N21" s="4">
        <f>_xll.DBRW($A$1,$Q$6,N$9,N$10,$M$6,$E$6,$B$11,$B21,$B$12)</f>
        <v>0</v>
      </c>
      <c r="O21" s="4">
        <f>_xll.DBRW($A$1,$Q$6,O$9,O$10,$M$6,$E$6,$B$11,$B21,$B$12)</f>
        <v>0</v>
      </c>
      <c r="Q21" s="4">
        <f t="shared" si="1"/>
        <v>0</v>
      </c>
      <c r="S21" s="4">
        <f>_xll.DBRW($A$1,$Q$6,S$9,S$10,$M$6,$E$6,$B$11,$B21,$B$12)</f>
        <v>0</v>
      </c>
      <c r="T21" s="4">
        <f>_xll.DBRW($A$1,$Q$6,T$9,T$10,$M$6,$E$6,$B$11,$B21,$B$12)</f>
        <v>0</v>
      </c>
      <c r="U21" s="4">
        <f>_xll.DBRW($A$1,$Q$6,U$9,U$10,$M$6,$E$6,$B$11,$B21,$B$12)</f>
        <v>0</v>
      </c>
      <c r="W21" s="4">
        <f t="shared" si="2"/>
        <v>0</v>
      </c>
    </row>
    <row r="22" spans="2:23">
      <c r="B22" t="s">
        <v>14</v>
      </c>
      <c r="E22" s="4">
        <f>_xll.DBRW($A$1,$Q$6,E$9,E$10,$M$6,$E$6,$B$11,$B22,$B$12)</f>
        <v>0</v>
      </c>
      <c r="F22" s="4">
        <f>_xll.DBRW($A$1,$Q$6,F$9,F$10,$M$6,$E$6,$B$11,$B22,$B$12)</f>
        <v>0</v>
      </c>
      <c r="G22" s="4">
        <f>_xll.DBRW($A$1,$Q$6,G$9,G$10,$M$6,$E$6,$B$11,$B22,$B$12)</f>
        <v>0</v>
      </c>
      <c r="I22" s="4">
        <f t="shared" si="0"/>
        <v>0</v>
      </c>
      <c r="K22" s="9" t="s">
        <v>13</v>
      </c>
      <c r="M22" s="4">
        <f>_xll.DBRW($A$1,$Q$6,M$9,M$10,$M$6,$E$6,$B$11,$B22,$B$12)</f>
        <v>0</v>
      </c>
      <c r="N22" s="4">
        <f>_xll.DBRW($A$1,$Q$6,N$9,N$10,$M$6,$E$6,$B$11,$B22,$B$12)</f>
        <v>0</v>
      </c>
      <c r="O22" s="4">
        <f>_xll.DBRW($A$1,$Q$6,O$9,O$10,$M$6,$E$6,$B$11,$B22,$B$12)</f>
        <v>0</v>
      </c>
      <c r="Q22" s="4">
        <f t="shared" si="1"/>
        <v>0</v>
      </c>
      <c r="S22" s="4">
        <f>_xll.DBRW($A$1,$Q$6,S$9,S$10,$M$6,$E$6,$B$11,$B22,$B$12)</f>
        <v>0</v>
      </c>
      <c r="T22" s="4">
        <f>_xll.DBRW($A$1,$Q$6,T$9,T$10,$M$6,$E$6,$B$11,$B22,$B$12)</f>
        <v>0</v>
      </c>
      <c r="U22" s="4">
        <f>_xll.DBRW($A$1,$Q$6,U$9,U$10,$M$6,$E$6,$B$11,$B22,$B$12)</f>
        <v>0</v>
      </c>
      <c r="W22" s="4">
        <f t="shared" si="2"/>
        <v>0</v>
      </c>
    </row>
    <row r="23" spans="2:23">
      <c r="B23" t="s">
        <v>12</v>
      </c>
      <c r="E23" s="1">
        <f>_xll.DBRW($A$1,$Q$6,E$9,E$10,$M$6,$E$6,$B$11,$B23,$B$12)</f>
        <v>0</v>
      </c>
      <c r="F23" s="1">
        <f>_xll.DBRW($A$1,$Q$6,F$9,F$10,$M$6,$E$6,$B$11,$B23,$B$12)</f>
        <v>0</v>
      </c>
      <c r="G23" s="1">
        <f>_xll.DBRW($A$1,$Q$6,G$9,G$10,$M$6,$E$6,$B$11,$B23,$B$12)</f>
        <v>0</v>
      </c>
      <c r="I23" s="7">
        <f t="shared" si="0"/>
        <v>0</v>
      </c>
      <c r="K23" s="5" t="s">
        <v>12</v>
      </c>
      <c r="M23" s="1">
        <f>_xll.DBRW($A$1,$Q$6,M$9,M$10,$M$6,$E$6,$B$11,$B23,$B$12)</f>
        <v>0</v>
      </c>
      <c r="N23" s="1">
        <f>_xll.DBRW($A$1,$Q$6,N$9,N$10,$M$6,$E$6,$B$11,$B23,$B$12)</f>
        <v>0</v>
      </c>
      <c r="O23" s="1">
        <f>_xll.DBRW($A$1,$Q$6,O$9,O$10,$M$6,$E$6,$B$11,$B23,$B$12)</f>
        <v>0</v>
      </c>
      <c r="Q23" s="7">
        <f t="shared" si="1"/>
        <v>0</v>
      </c>
      <c r="S23" s="1">
        <f>_xll.DBRW($A$1,$Q$6,S$9,S$10,$M$6,$E$6,$B$11,$B23,$B$12)</f>
        <v>0</v>
      </c>
      <c r="T23" s="1">
        <f>_xll.DBRW($A$1,$Q$6,T$9,T$10,$M$6,$E$6,$B$11,$B23,$B$12)</f>
        <v>0</v>
      </c>
      <c r="U23" s="1">
        <f>_xll.DBRW($A$1,$Q$6,U$9,U$10,$M$6,$E$6,$B$11,$B23,$B$12)</f>
        <v>0</v>
      </c>
      <c r="W23" s="7">
        <f t="shared" si="2"/>
        <v>0</v>
      </c>
    </row>
    <row r="24" spans="2:23">
      <c r="B24" t="s">
        <v>11</v>
      </c>
      <c r="E24" s="4">
        <f>_xll.DBRW($A$1,$Q$6,E$9,E$10,$M$6,$E$6,$B$11,$B24,$B$12)</f>
        <v>0</v>
      </c>
      <c r="F24" s="4">
        <f>_xll.DBRW($A$1,$Q$6,F$9,F$10,$M$6,$E$6,$B$11,$B24,$B$12)</f>
        <v>0</v>
      </c>
      <c r="G24" s="4">
        <f>_xll.DBRW($A$1,$Q$6,G$9,G$10,$M$6,$E$6,$B$11,$B24,$B$12)</f>
        <v>0</v>
      </c>
      <c r="I24" s="3">
        <f t="shared" si="0"/>
        <v>0</v>
      </c>
      <c r="K24" s="8" t="s">
        <v>10</v>
      </c>
      <c r="M24" s="4">
        <f>_xll.DBRW($A$1,$Q$6,M$9,M$10,$M$6,$E$6,$B$11,$B24,$B$12)</f>
        <v>0</v>
      </c>
      <c r="N24" s="4">
        <f>_xll.DBRW($A$1,$Q$6,N$9,N$10,$M$6,$E$6,$B$11,$B24,$B$12)</f>
        <v>0</v>
      </c>
      <c r="O24" s="4">
        <f>_xll.DBRW($A$1,$Q$6,O$9,O$10,$M$6,$E$6,$B$11,$B24,$B$12)</f>
        <v>0</v>
      </c>
      <c r="Q24" s="3">
        <f t="shared" si="1"/>
        <v>0</v>
      </c>
      <c r="S24" s="4">
        <f>_xll.DBRW($A$1,$Q$6,S$9,S$10,$M$6,$E$6,$B$11,$B24,$B$12)</f>
        <v>0</v>
      </c>
      <c r="T24" s="4">
        <f>_xll.DBRW($A$1,$Q$6,T$9,T$10,$M$6,$E$6,$B$11,$B24,$B$12)</f>
        <v>0</v>
      </c>
      <c r="U24" s="4">
        <f>_xll.DBRW($A$1,$Q$6,U$9,U$10,$M$6,$E$6,$B$11,$B24,$B$12)</f>
        <v>0</v>
      </c>
      <c r="W24" s="3">
        <f t="shared" si="2"/>
        <v>0</v>
      </c>
    </row>
    <row r="25" spans="2:23">
      <c r="B25" t="s">
        <v>9</v>
      </c>
      <c r="E25" s="4">
        <f>_xll.DBRW($A$1,$Q$6,E$9,E$10,$M$6,$E$6,$B$11,$B25,$B$12)</f>
        <v>0</v>
      </c>
      <c r="F25" s="4">
        <f>_xll.DBRW($A$1,$Q$6,F$9,F$10,$M$6,$E$6,$B$11,$B25,$B$12)</f>
        <v>0</v>
      </c>
      <c r="G25" s="4">
        <f>_xll.DBRW($A$1,$Q$6,G$9,G$10,$M$6,$E$6,$B$11,$B25,$B$12)</f>
        <v>0</v>
      </c>
      <c r="I25" s="3">
        <f t="shared" si="0"/>
        <v>0</v>
      </c>
      <c r="K25" s="5" t="s">
        <v>9</v>
      </c>
      <c r="M25" s="4">
        <f>_xll.DBRW($A$1,$Q$6,M$9,M$10,$M$6,$E$6,$B$11,$B25,$B$12)</f>
        <v>0</v>
      </c>
      <c r="N25" s="4">
        <f>_xll.DBRW($A$1,$Q$6,N$9,N$10,$M$6,$E$6,$B$11,$B25,$B$12)</f>
        <v>0</v>
      </c>
      <c r="O25" s="4">
        <f>_xll.DBRW($A$1,$Q$6,O$9,O$10,$M$6,$E$6,$B$11,$B25,$B$12)</f>
        <v>0</v>
      </c>
      <c r="Q25" s="3">
        <f t="shared" si="1"/>
        <v>0</v>
      </c>
      <c r="S25" s="4">
        <f>_xll.DBRW($A$1,$Q$6,S$9,S$10,$M$6,$E$6,$B$11,$B25,$B$12)</f>
        <v>0</v>
      </c>
      <c r="T25" s="4">
        <f>_xll.DBRW($A$1,$Q$6,T$9,T$10,$M$6,$E$6,$B$11,$B25,$B$12)</f>
        <v>0</v>
      </c>
      <c r="U25" s="4">
        <f>_xll.DBRW($A$1,$Q$6,U$9,U$10,$M$6,$E$6,$B$11,$B25,$B$12)</f>
        <v>0</v>
      </c>
      <c r="W25" s="3">
        <f t="shared" si="2"/>
        <v>0</v>
      </c>
    </row>
    <row r="26" spans="2:23">
      <c r="B26" t="s">
        <v>8</v>
      </c>
      <c r="E26" s="4">
        <f>_xll.DBRW($A$1,$Q$6,E$9,E$10,$M$6,$E$6,$B$11,$B26,$B$12)</f>
        <v>0</v>
      </c>
      <c r="F26" s="4">
        <f>_xll.DBRW($A$1,$Q$6,F$9,F$10,$M$6,$E$6,$B$11,$B26,$B$12)</f>
        <v>0</v>
      </c>
      <c r="G26" s="4">
        <f>_xll.DBRW($A$1,$Q$6,G$9,G$10,$M$6,$E$6,$B$11,$B26,$B$12)</f>
        <v>0</v>
      </c>
      <c r="I26" s="3">
        <f t="shared" si="0"/>
        <v>0</v>
      </c>
      <c r="K26" s="5" t="s">
        <v>7</v>
      </c>
      <c r="M26" s="4">
        <f>_xll.DBRW($A$1,$Q$6,M$9,M$10,$M$6,$E$6,$B$11,$B26,$B$12)</f>
        <v>0</v>
      </c>
      <c r="N26" s="4">
        <f>_xll.DBRW($A$1,$Q$6,N$9,N$10,$M$6,$E$6,$B$11,$B26,$B$12)</f>
        <v>0</v>
      </c>
      <c r="O26" s="4">
        <f>_xll.DBRW($A$1,$Q$6,O$9,O$10,$M$6,$E$6,$B$11,$B26,$B$12)</f>
        <v>0</v>
      </c>
      <c r="Q26" s="3">
        <f t="shared" si="1"/>
        <v>0</v>
      </c>
      <c r="S26" s="4">
        <f>_xll.DBRW($A$1,$Q$6,S$9,S$10,$M$6,$E$6,$B$11,$B26,$B$12)</f>
        <v>0</v>
      </c>
      <c r="T26" s="4">
        <f>_xll.DBRW($A$1,$Q$6,T$9,T$10,$M$6,$E$6,$B$11,$B26,$B$12)</f>
        <v>0</v>
      </c>
      <c r="U26" s="4">
        <f>_xll.DBRW($A$1,$Q$6,U$9,U$10,$M$6,$E$6,$B$11,$B26,$B$12)</f>
        <v>0</v>
      </c>
      <c r="W26" s="3">
        <f t="shared" si="2"/>
        <v>0</v>
      </c>
    </row>
    <row r="27" spans="2:23">
      <c r="B27" t="s">
        <v>6</v>
      </c>
      <c r="E27" s="1">
        <f>_xll.DBRW($A$1,$Q$6,E$9,E$10,$M$6,$E$6,$B$11,$B27,$B$12)</f>
        <v>0</v>
      </c>
      <c r="F27" s="1">
        <f>_xll.DBRW($A$1,$Q$6,F$9,F$10,$M$6,$E$6,$B$11,$B27,$B$12)</f>
        <v>0</v>
      </c>
      <c r="G27" s="1">
        <f>_xll.DBRW($A$1,$Q$6,G$9,G$10,$M$6,$E$6,$B$11,$B27,$B$12)</f>
        <v>0</v>
      </c>
      <c r="I27" s="7">
        <f t="shared" si="0"/>
        <v>0</v>
      </c>
      <c r="K27" s="5" t="s">
        <v>5</v>
      </c>
      <c r="M27" s="1">
        <f>_xll.DBRW($A$1,$Q$6,M$9,M$10,$M$6,$E$6,$B$11,$B27,$B$12)</f>
        <v>0</v>
      </c>
      <c r="N27" s="1">
        <f>_xll.DBRW($A$1,$Q$6,N$9,N$10,$M$6,$E$6,$B$11,$B27,$B$12)</f>
        <v>0</v>
      </c>
      <c r="O27" s="1">
        <f>_xll.DBRW($A$1,$Q$6,O$9,O$10,$M$6,$E$6,$B$11,$B27,$B$12)</f>
        <v>0</v>
      </c>
      <c r="Q27" s="7">
        <f t="shared" si="1"/>
        <v>0</v>
      </c>
      <c r="S27" s="1">
        <f>_xll.DBRW($A$1,$Q$6,S$9,S$10,$M$6,$E$6,$B$11,$B27,$B$12)</f>
        <v>0</v>
      </c>
      <c r="T27" s="1">
        <f>_xll.DBRW($A$1,$Q$6,T$9,T$10,$M$6,$E$6,$B$11,$B27,$B$12)</f>
        <v>0</v>
      </c>
      <c r="U27" s="1">
        <f>_xll.DBRW($A$1,$Q$6,U$9,U$10,$M$6,$E$6,$B$11,$B27,$B$12)</f>
        <v>0</v>
      </c>
      <c r="W27" s="7">
        <f t="shared" si="2"/>
        <v>0</v>
      </c>
    </row>
    <row r="28" spans="2:23">
      <c r="B28" t="s">
        <v>4</v>
      </c>
      <c r="E28" s="4">
        <f>_xll.DBRW($A$1,$Q$6,E$9,E$10,$M$6,$E$6,$B$11,$B28,$B$12)</f>
        <v>0</v>
      </c>
      <c r="F28" s="4">
        <f>_xll.DBRW($A$1,$Q$6,F$9,F$10,$M$6,$E$6,$B$11,$B28,$B$12)</f>
        <v>0</v>
      </c>
      <c r="G28" s="4">
        <f>_xll.DBRW($A$1,$Q$6,G$9,G$10,$M$6,$E$6,$B$11,$B28,$B$12)</f>
        <v>0</v>
      </c>
      <c r="I28" s="3">
        <f t="shared" si="0"/>
        <v>0</v>
      </c>
      <c r="K28" s="5" t="s">
        <v>4</v>
      </c>
      <c r="M28" s="4">
        <f>_xll.DBRW($A$1,$Q$6,M$9,M$10,$M$6,$E$6,$B$11,$B28,$B$12)</f>
        <v>0</v>
      </c>
      <c r="N28" s="4">
        <f>_xll.DBRW($A$1,$Q$6,N$9,N$10,$M$6,$E$6,$B$11,$B28,$B$12)</f>
        <v>0</v>
      </c>
      <c r="O28" s="4">
        <f>_xll.DBRW($A$1,$Q$6,O$9,O$10,$M$6,$E$6,$B$11,$B28,$B$12)</f>
        <v>0</v>
      </c>
      <c r="Q28" s="3">
        <f t="shared" si="1"/>
        <v>0</v>
      </c>
      <c r="S28" s="4">
        <f>_xll.DBRW($A$1,$Q$6,S$9,S$10,$M$6,$E$6,$B$11,$B28,$B$12)</f>
        <v>0</v>
      </c>
      <c r="T28" s="4">
        <f>_xll.DBRW($A$1,$Q$6,T$9,T$10,$M$6,$E$6,$B$11,$B28,$B$12)</f>
        <v>0</v>
      </c>
      <c r="U28" s="4">
        <f>_xll.DBRW($A$1,$Q$6,U$9,U$10,$M$6,$E$6,$B$11,$B28,$B$12)</f>
        <v>0</v>
      </c>
      <c r="W28" s="3">
        <f t="shared" si="2"/>
        <v>0</v>
      </c>
    </row>
    <row r="29" spans="2:23">
      <c r="B29" t="s">
        <v>3</v>
      </c>
      <c r="E29" s="4">
        <f>_xll.DBRW($A$1,$Q$6,E$9,E$10,$M$6,$E$6,$B$11,$B29,$B$12)</f>
        <v>0</v>
      </c>
      <c r="F29" s="4">
        <f>_xll.DBRW($A$1,$Q$6,F$9,F$10,$M$6,$E$6,$B$11,$B29,$B$12)</f>
        <v>0</v>
      </c>
      <c r="G29" s="4">
        <f>_xll.DBRW($A$1,$Q$6,G$9,G$10,$M$6,$E$6,$B$11,$B29,$B$12)</f>
        <v>0</v>
      </c>
      <c r="I29" s="3">
        <f t="shared" si="0"/>
        <v>0</v>
      </c>
      <c r="K29" s="6" t="s">
        <v>3</v>
      </c>
      <c r="M29" s="4">
        <f>_xll.DBRW($A$1,$Q$6,M$9,M$10,$M$6,$E$6,$B$11,$B29,$B$12)</f>
        <v>0</v>
      </c>
      <c r="N29" s="4">
        <f>_xll.DBRW($A$1,$Q$6,N$9,N$10,$M$6,$E$6,$B$11,$B29,$B$12)</f>
        <v>0</v>
      </c>
      <c r="O29" s="4">
        <f>_xll.DBRW($A$1,$Q$6,O$9,O$10,$M$6,$E$6,$B$11,$B29,$B$12)</f>
        <v>0</v>
      </c>
      <c r="Q29" s="3">
        <f t="shared" si="1"/>
        <v>0</v>
      </c>
      <c r="S29" s="4">
        <f>_xll.DBRW($A$1,$Q$6,S$9,S$10,$M$6,$E$6,$B$11,$B29,$B$12)</f>
        <v>0</v>
      </c>
      <c r="T29" s="4">
        <f>_xll.DBRW($A$1,$Q$6,T$9,T$10,$M$6,$E$6,$B$11,$B29,$B$12)</f>
        <v>0</v>
      </c>
      <c r="U29" s="4">
        <f>_xll.DBRW($A$1,$Q$6,U$9,U$10,$M$6,$E$6,$B$11,$B29,$B$12)</f>
        <v>0</v>
      </c>
      <c r="W29" s="3">
        <f t="shared" si="2"/>
        <v>0</v>
      </c>
    </row>
    <row r="30" spans="2:23">
      <c r="B30" t="s">
        <v>2</v>
      </c>
      <c r="E30" s="4">
        <f>_xll.DBRW($A$1,$Q$6,E$9,E$10,$M$6,$E$6,$B$11,$B30,$B$12)</f>
        <v>0</v>
      </c>
      <c r="F30" s="4">
        <f>_xll.DBRW($A$1,$Q$6,F$9,F$10,$M$6,$E$6,$B$11,$B30,$B$12)</f>
        <v>0</v>
      </c>
      <c r="G30" s="4">
        <f>_xll.DBRW($A$1,$Q$6,G$9,G$10,$M$6,$E$6,$B$11,$B30,$B$12)</f>
        <v>0</v>
      </c>
      <c r="I30" s="3">
        <f t="shared" si="0"/>
        <v>0</v>
      </c>
      <c r="K30" s="5" t="s">
        <v>1</v>
      </c>
      <c r="M30" s="4">
        <f>_xll.DBRW($A$1,$Q$6,M$9,M$10,$M$6,$E$6,$B$11,$B30,$B$12)</f>
        <v>0</v>
      </c>
      <c r="N30" s="4">
        <f>_xll.DBRW($A$1,$Q$6,N$9,N$10,$M$6,$E$6,$B$11,$B30,$B$12)</f>
        <v>0</v>
      </c>
      <c r="O30" s="4">
        <f>_xll.DBRW($A$1,$Q$6,O$9,O$10,$M$6,$E$6,$B$11,$B30,$B$12)</f>
        <v>0</v>
      </c>
      <c r="Q30" s="3">
        <f t="shared" si="1"/>
        <v>0</v>
      </c>
      <c r="S30" s="4">
        <f>_xll.DBRW($A$1,$Q$6,S$9,S$10,$M$6,$E$6,$B$11,$B30,$B$12)</f>
        <v>0</v>
      </c>
      <c r="T30" s="4">
        <f>_xll.DBRW($A$1,$Q$6,T$9,T$10,$M$6,$E$6,$B$11,$B30,$B$12)</f>
        <v>0</v>
      </c>
      <c r="U30" s="4">
        <f>_xll.DBRW($A$1,$Q$6,U$9,U$10,$M$6,$E$6,$B$11,$B30,$B$12)</f>
        <v>0</v>
      </c>
      <c r="W30" s="3">
        <f t="shared" si="2"/>
        <v>0</v>
      </c>
    </row>
    <row r="31" spans="2:23">
      <c r="E31" s="1">
        <f>E29-E30</f>
        <v>0</v>
      </c>
      <c r="F31" s="1">
        <f>F29-F30</f>
        <v>0</v>
      </c>
      <c r="G31" s="1">
        <f>G29-G30</f>
        <v>0</v>
      </c>
      <c r="I31" s="1"/>
      <c r="K31" s="2" t="s">
        <v>0</v>
      </c>
      <c r="M31" s="1">
        <f>M29-M30</f>
        <v>0</v>
      </c>
      <c r="N31" s="1">
        <f>N29-N30</f>
        <v>0</v>
      </c>
      <c r="O31" s="1">
        <f>O29-O30</f>
        <v>0</v>
      </c>
      <c r="Q31" s="1"/>
      <c r="S31" s="1">
        <f>S29-S30</f>
        <v>0</v>
      </c>
      <c r="T31" s="1">
        <f>T29-T30</f>
        <v>0</v>
      </c>
      <c r="U31" s="1">
        <f>U29-U30</f>
        <v>0</v>
      </c>
      <c r="W31" s="1"/>
    </row>
  </sheetData>
  <mergeCells count="6">
    <mergeCell ref="D1:I2"/>
    <mergeCell ref="E11:G11"/>
    <mergeCell ref="K11:K12"/>
    <mergeCell ref="M11:O11"/>
    <mergeCell ref="S11:U11"/>
    <mergeCell ref="E6:F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F5223F25-6649-43D9-ACA7-EC262F963E6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4" id="{44145FF3-D04C-46B3-95C9-9F28648FFB7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I13 Q13</xm:sqref>
        </x14:conditionalFormatting>
        <x14:conditionalFormatting xmlns:xm="http://schemas.microsoft.com/office/excel/2006/main">
          <x14:cfRule type="iconSet" priority="7" id="{52E81F69-94FC-428B-82A7-E0B6B044B44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8" id="{045354EA-3386-457C-8FBE-4FA26F7467C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I14:I19 Q14:Q19</xm:sqref>
        </x14:conditionalFormatting>
        <x14:conditionalFormatting xmlns:xm="http://schemas.microsoft.com/office/excel/2006/main">
          <x14:cfRule type="iconSet" priority="5" id="{628C142F-D24B-4552-901E-196E8CCB93B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6" id="{F6D48273-302B-483C-AA75-F601E4AD2E4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I20 Q20</xm:sqref>
        </x14:conditionalFormatting>
        <x14:conditionalFormatting xmlns:xm="http://schemas.microsoft.com/office/excel/2006/main">
          <x14:cfRule type="iconSet" priority="3" id="{5452EBC0-E3FF-4EFA-8BA5-90F28114BC5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4" id="{678E0491-D42A-40DC-8DF2-81FB73E7128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I23 Q23</xm:sqref>
        </x14:conditionalFormatting>
        <x14:conditionalFormatting xmlns:xm="http://schemas.microsoft.com/office/excel/2006/main">
          <x14:cfRule type="iconSet" priority="11" id="{8C9A5364-9F6C-413D-A44B-20A934562A8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2" id="{B898BE93-7135-4F8C-8382-D153DD30785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I24:I26 Q24:Q26</xm:sqref>
        </x14:conditionalFormatting>
        <x14:conditionalFormatting xmlns:xm="http://schemas.microsoft.com/office/excel/2006/main">
          <x14:cfRule type="iconSet" priority="1" id="{A5293316-9F6C-424D-9AD4-76684D4C13E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" id="{AA8A1514-D3D6-4AA0-83AB-5DEDE87D769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I27 Q27</xm:sqref>
        </x14:conditionalFormatting>
        <x14:conditionalFormatting xmlns:xm="http://schemas.microsoft.com/office/excel/2006/main">
          <x14:cfRule type="iconSet" priority="9" id="{3F3553B5-1DF6-4567-AB13-AB5035C9666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0" id="{804EF64E-4BDF-4F85-95D6-FB35799449D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I28:I30 Q28:Q30</xm:sqref>
        </x14:conditionalFormatting>
        <x14:conditionalFormatting xmlns:xm="http://schemas.microsoft.com/office/excel/2006/main">
          <x14:cfRule type="iconSet" priority="27" id="{02A7BE5B-3C54-4F6F-95F4-727BA5F4238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8" id="{C116D433-9FE0-4255-A53E-218AC5E42EA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W13</xm:sqref>
        </x14:conditionalFormatting>
        <x14:conditionalFormatting xmlns:xm="http://schemas.microsoft.com/office/excel/2006/main">
          <x14:cfRule type="iconSet" priority="21" id="{AB8AEC91-E357-447E-A86E-543A3795B48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2" id="{BF8266BE-7115-485F-8520-847ACC334E8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W14:W19</xm:sqref>
        </x14:conditionalFormatting>
        <x14:conditionalFormatting xmlns:xm="http://schemas.microsoft.com/office/excel/2006/main">
          <x14:cfRule type="iconSet" priority="19" id="{BA03452B-FCE0-4ED7-BBBC-9ED9597B8D5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0" id="{53903CE1-2C1A-4E38-9F9A-EA3F0BBF051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W20</xm:sqref>
        </x14:conditionalFormatting>
        <x14:conditionalFormatting xmlns:xm="http://schemas.microsoft.com/office/excel/2006/main">
          <x14:cfRule type="iconSet" priority="17" id="{EAF3DCFC-0001-447D-AF8F-BA29EAEB4FF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8" id="{4861C4E4-4EF6-4E0A-A318-1EED8E05FC0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W23</xm:sqref>
        </x14:conditionalFormatting>
        <x14:conditionalFormatting xmlns:xm="http://schemas.microsoft.com/office/excel/2006/main">
          <x14:cfRule type="iconSet" priority="25" id="{DAD8E2C5-5204-4148-972B-647814E1B18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6" id="{5507F608-A256-48BD-B54C-07847A1DC8C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W24:W26</xm:sqref>
        </x14:conditionalFormatting>
        <x14:conditionalFormatting xmlns:xm="http://schemas.microsoft.com/office/excel/2006/main">
          <x14:cfRule type="iconSet" priority="15" id="{2EAC71E9-FF1E-4D7F-A8E9-2FBEC6BEB31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6" id="{965E9174-EF27-46BF-8339-7AC6177E4C5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W27</xm:sqref>
        </x14:conditionalFormatting>
        <x14:conditionalFormatting xmlns:xm="http://schemas.microsoft.com/office/excel/2006/main">
          <x14:cfRule type="iconSet" priority="23" id="{FB534FD6-3424-4578-93B9-7D6E3CB1398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4" id="{B73CA605-A9EF-4483-93F5-567B50095A8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W28:W30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9788-60B1-4F69-9C91-2577492CEC40}">
  <sheetPr codeName="Planilha2"/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customProperties>
    <customPr name="CafeStyleVersion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5C5F-F107-4E16-89B7-A3840841FCA9}">
  <sheetPr codeName="Planilha3"/>
  <dimension ref="A1:AA36"/>
  <sheetViews>
    <sheetView showGridLines="0" topLeftCell="C1" zoomScale="107" zoomScaleNormal="107" workbookViewId="0">
      <selection activeCell="C21" sqref="C21"/>
    </sheetView>
  </sheetViews>
  <sheetFormatPr defaultRowHeight="14.4"/>
  <cols>
    <col min="1" max="1" width="11.21875" hidden="1" customWidth="1"/>
    <col min="2" max="2" width="8.77734375" hidden="1" customWidth="1"/>
    <col min="3" max="3" width="6" customWidth="1"/>
    <col min="4" max="4" width="7.77734375" customWidth="1"/>
    <col min="5" max="7" width="10.21875" customWidth="1"/>
    <col min="8" max="8" width="1.77734375" customWidth="1"/>
    <col min="9" max="9" width="10.21875" customWidth="1"/>
    <col min="10" max="10" width="1.77734375" customWidth="1"/>
    <col min="11" max="11" width="38.5546875" customWidth="1"/>
    <col min="12" max="12" width="1.6640625" customWidth="1"/>
    <col min="13" max="15" width="10.44140625" customWidth="1"/>
    <col min="16" max="16" width="1.6640625" customWidth="1"/>
    <col min="17" max="17" width="10.109375" customWidth="1"/>
    <col min="18" max="18" width="1.6640625" customWidth="1"/>
    <col min="19" max="21" width="10.44140625" customWidth="1"/>
    <col min="22" max="22" width="1.88671875" customWidth="1"/>
    <col min="23" max="23" width="10.33203125" customWidth="1"/>
  </cols>
  <sheetData>
    <row r="1" spans="1:27" ht="14.4" customHeight="1">
      <c r="A1" t="s">
        <v>74</v>
      </c>
      <c r="C1" s="21"/>
      <c r="D1" s="37" t="s">
        <v>72</v>
      </c>
      <c r="E1" s="37"/>
      <c r="F1" s="37"/>
      <c r="G1" s="37"/>
      <c r="H1" s="37"/>
      <c r="I1" s="37"/>
    </row>
    <row r="2" spans="1:27" ht="17.399999999999999" customHeight="1">
      <c r="D2" s="37"/>
      <c r="E2" s="37"/>
      <c r="F2" s="37"/>
      <c r="G2" s="37"/>
      <c r="H2" s="37"/>
      <c r="I2" s="37"/>
    </row>
    <row r="3" spans="1:27" ht="17.399999999999999" customHeight="1">
      <c r="D3" s="18"/>
      <c r="F3" s="20"/>
      <c r="G3" s="20"/>
    </row>
    <row r="4" spans="1:27" ht="6.6" customHeight="1">
      <c r="D4" s="18"/>
      <c r="F4" s="19"/>
      <c r="G4" s="19"/>
    </row>
    <row r="5" spans="1:27" ht="17.399999999999999" customHeight="1"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21" customHeight="1">
      <c r="D6" s="36"/>
      <c r="E6" s="41" t="str">
        <f>_xll.SUBNM("CONS_VC_PRD:ALL.D.Region","DEFAuLT","Global")</f>
        <v>Global</v>
      </c>
      <c r="F6" s="41"/>
      <c r="G6" s="36"/>
      <c r="H6" s="36"/>
      <c r="I6" s="36"/>
      <c r="J6" s="36"/>
      <c r="K6" s="36"/>
      <c r="L6" s="36"/>
      <c r="M6" s="35" t="str">
        <f>_xll.SUBNM("CONS_VC_PRD:ALL.D.Currency","","BRL")</f>
        <v>BRL</v>
      </c>
      <c r="N6" s="36"/>
      <c r="O6" s="36"/>
      <c r="P6" s="36"/>
      <c r="Q6" s="35" t="str">
        <f>_xll.SUBNM("CONS_VC_PRD:ALL.D.Year","","2025")</f>
        <v>2025</v>
      </c>
      <c r="R6" s="36"/>
      <c r="S6" s="36"/>
      <c r="T6" s="36"/>
      <c r="U6" s="35" t="str">
        <f>_xll.SUBNM("CONS_VC_PRD:ALL.D.Month","SYS_Picklist","Jan","Desc")</f>
        <v>Jan</v>
      </c>
      <c r="V6" s="36"/>
      <c r="W6" s="36"/>
      <c r="X6" s="36"/>
      <c r="Y6" s="36"/>
      <c r="Z6" s="36"/>
      <c r="AA6" s="36"/>
    </row>
    <row r="7" spans="1:27" ht="16.2" customHeight="1"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9" spans="1:27" ht="12.6" hidden="1" customHeight="1">
      <c r="B9" t="str">
        <f>_xll.SUBNM("CONS_VC_PRD:ALL.D.Month","SYS_YTD",U6,"ID do membro")</f>
        <v>01</v>
      </c>
      <c r="E9" t="str">
        <f>$U$6</f>
        <v>Jan</v>
      </c>
      <c r="F9" t="str">
        <f>$U$6</f>
        <v>Jan</v>
      </c>
      <c r="G9" t="str">
        <f>$U$6</f>
        <v>Jan</v>
      </c>
      <c r="M9" t="str">
        <f>"YTD "&amp;$B$9</f>
        <v>YTD 01</v>
      </c>
      <c r="N9" t="str">
        <f>"YTD "&amp;$B$9</f>
        <v>YTD 01</v>
      </c>
      <c r="O9" t="str">
        <f>"YTD "&amp;$B$9</f>
        <v>YTD 01</v>
      </c>
      <c r="S9" t="s">
        <v>37</v>
      </c>
      <c r="T9" t="s">
        <v>37</v>
      </c>
      <c r="U9" t="s">
        <v>37</v>
      </c>
      <c r="W9" t="s">
        <v>37</v>
      </c>
    </row>
    <row r="10" spans="1:27" ht="14.4" hidden="1" customHeight="1">
      <c r="B10" t="s">
        <v>25</v>
      </c>
      <c r="E10" t="s">
        <v>36</v>
      </c>
      <c r="F10" t="s">
        <v>31</v>
      </c>
      <c r="G10" t="s">
        <v>30</v>
      </c>
      <c r="M10" t="s">
        <v>36</v>
      </c>
      <c r="N10" t="s">
        <v>31</v>
      </c>
      <c r="O10" t="s">
        <v>30</v>
      </c>
      <c r="S10" t="s">
        <v>36</v>
      </c>
      <c r="T10" t="s">
        <v>31</v>
      </c>
      <c r="U10" t="s">
        <v>30</v>
      </c>
    </row>
    <row r="11" spans="1:27">
      <c r="E11" s="38" t="s">
        <v>35</v>
      </c>
      <c r="F11" s="38"/>
      <c r="G11" s="38"/>
      <c r="I11" s="17" t="s">
        <v>32</v>
      </c>
      <c r="K11" s="42" t="s">
        <v>71</v>
      </c>
      <c r="M11" s="38" t="s">
        <v>33</v>
      </c>
      <c r="N11" s="38"/>
      <c r="O11" s="38"/>
      <c r="Q11" s="17" t="s">
        <v>32</v>
      </c>
      <c r="S11" s="38" t="s">
        <v>32</v>
      </c>
      <c r="T11" s="38"/>
      <c r="U11" s="38"/>
      <c r="W11" s="17" t="s">
        <v>32</v>
      </c>
    </row>
    <row r="12" spans="1:27" ht="15" thickBot="1">
      <c r="E12" s="16">
        <v>2024</v>
      </c>
      <c r="F12" s="15" t="s">
        <v>31</v>
      </c>
      <c r="G12" s="15" t="s">
        <v>30</v>
      </c>
      <c r="I12" s="14" t="s">
        <v>29</v>
      </c>
      <c r="K12" s="43"/>
      <c r="M12" s="16">
        <v>2024</v>
      </c>
      <c r="N12" s="15" t="s">
        <v>31</v>
      </c>
      <c r="O12" s="15" t="s">
        <v>30</v>
      </c>
      <c r="Q12" s="14" t="s">
        <v>29</v>
      </c>
      <c r="S12" s="16">
        <v>2024</v>
      </c>
      <c r="T12" s="15" t="s">
        <v>31</v>
      </c>
      <c r="U12" s="15" t="s">
        <v>30</v>
      </c>
      <c r="W12" s="14" t="s">
        <v>29</v>
      </c>
    </row>
    <row r="13" spans="1:27" ht="15" thickTop="1">
      <c r="B13" t="s">
        <v>15</v>
      </c>
      <c r="E13" s="1">
        <f>_xll.DBRW($A$1,$Q$6,E$9,E$10,$M$6,$E$6,$B13,$B$10)</f>
        <v>0</v>
      </c>
      <c r="F13" s="1">
        <f>_xll.DBRW($A$1,$Q$6,F$9,F$10,$M$6,$E$6,$B13,$B$10)</f>
        <v>0</v>
      </c>
      <c r="G13" s="1">
        <f>_xll.DBRW($A$1,$Q$6,G$9,G$10,$M$6,$E$6,$B13,$B$10)</f>
        <v>0</v>
      </c>
      <c r="I13" s="11">
        <f t="shared" ref="I13:I31" si="0">G13-F13</f>
        <v>0</v>
      </c>
      <c r="K13" s="24" t="s">
        <v>15</v>
      </c>
      <c r="M13" s="1">
        <f>_xll.DBRW($A$1,$Q$6,M$9,M$10,$M$6,$E$6,$B13,$B$10)</f>
        <v>0</v>
      </c>
      <c r="N13" s="1">
        <f>_xll.DBRW($A$1,$Q$6,N$9,N$10,$M$6,$E$6,$B13,$B$10)</f>
        <v>0</v>
      </c>
      <c r="O13" s="1">
        <f>_xll.DBRW($A$1,$Q$6,O$9,O$10,$M$6,$E$6,$B13,$B$10)</f>
        <v>0</v>
      </c>
      <c r="Q13" s="11">
        <f t="shared" ref="Q13:Q30" si="1">O13-N13</f>
        <v>0</v>
      </c>
      <c r="S13" s="1">
        <f>_xll.DBRW($A$1,$Q$6,S$9,S$10,$M$6,$E$6,$B13,$B$10)</f>
        <v>0</v>
      </c>
      <c r="T13" s="1">
        <f>_xll.DBRW($A$1,$Q$6,T$9,T$10,$M$6,$E$6,$B13,$B$10)</f>
        <v>0</v>
      </c>
      <c r="U13" s="12">
        <f>_xll.DBRW($A$1,$Q$6,U$9,U$10,$M$6,$E$6,$B13,$B$10)</f>
        <v>0</v>
      </c>
      <c r="W13" s="11">
        <f t="shared" ref="W13:W30" si="2">U13-T13</f>
        <v>0</v>
      </c>
    </row>
    <row r="14" spans="1:27">
      <c r="B14" t="s">
        <v>70</v>
      </c>
      <c r="E14" s="4">
        <f>_xll.DBRW($A$1,$Q$6,E$9,E$10,$M$6,$E$6,$B14,$B$10)</f>
        <v>0</v>
      </c>
      <c r="F14" s="4">
        <f>_xll.DBRW($A$1,$Q$6,F$9,F$10,$M$6,$E$6,$B14,$B$10)</f>
        <v>0</v>
      </c>
      <c r="G14" s="4">
        <f>_xll.DBRW($A$1,$Q$6,G$9,G$10,$M$6,$E$6,$B14,$B$10)</f>
        <v>0</v>
      </c>
      <c r="I14" s="3">
        <f t="shared" si="0"/>
        <v>0</v>
      </c>
      <c r="K14" s="25" t="s">
        <v>69</v>
      </c>
      <c r="M14" s="4">
        <f>_xll.DBRW($A$1,$Q$6,M$9,M$10,$M$6,$E$6,$B14,$B$10)</f>
        <v>0</v>
      </c>
      <c r="N14" s="4">
        <f>_xll.DBRW($A$1,$Q$6,N$9,N$10,$M$6,$E$6,$B14,$B$10)</f>
        <v>0</v>
      </c>
      <c r="O14" s="4">
        <f>_xll.DBRW($A$1,$Q$6,O$9,O$10,$M$6,$E$6,$B14,$B$10)</f>
        <v>0</v>
      </c>
      <c r="Q14" s="3">
        <f t="shared" si="1"/>
        <v>0</v>
      </c>
      <c r="S14" s="4">
        <f>_xll.DBRW($A$1,$Q$6,S$9,S$10,$M$6,$E$6,$B14,$B$10)</f>
        <v>0</v>
      </c>
      <c r="T14" s="4">
        <f>_xll.DBRW($A$1,$Q$6,T$9,T$10,$M$6,$E$6,$B14,$B$10)</f>
        <v>0</v>
      </c>
      <c r="U14" s="4">
        <f>_xll.DBRW($A$1,$Q$6,U$9,U$10,$M$6,$E$6,$B14,$B$10)</f>
        <v>0</v>
      </c>
      <c r="W14" s="3">
        <f t="shared" si="2"/>
        <v>0</v>
      </c>
    </row>
    <row r="15" spans="1:27">
      <c r="B15" t="s">
        <v>68</v>
      </c>
      <c r="E15" s="4">
        <f>_xll.DBRW($A$1,$Q$6,E$9,E$10,$M$6,$E$6,$B15,$B$10)</f>
        <v>0</v>
      </c>
      <c r="F15" s="4">
        <f>_xll.DBRW($A$1,$Q$6,F$9,F$10,$M$6,$E$6,$B15,$B$10)</f>
        <v>0</v>
      </c>
      <c r="G15" s="4">
        <f>_xll.DBRW($A$1,$Q$6,G$9,G$10,$M$6,$E$6,$B15,$B$10)</f>
        <v>0</v>
      </c>
      <c r="I15" s="3">
        <f t="shared" si="0"/>
        <v>0</v>
      </c>
      <c r="K15" s="25" t="s">
        <v>68</v>
      </c>
      <c r="M15" s="4">
        <f>_xll.DBRW($A$1,$Q$6,M$9,M$10,$M$6,$E$6,$B15,$B$10)</f>
        <v>0</v>
      </c>
      <c r="N15" s="4">
        <f>_xll.DBRW($A$1,$Q$6,N$9,N$10,$M$6,$E$6,$B15,$B$10)</f>
        <v>0</v>
      </c>
      <c r="O15" s="4">
        <f>_xll.DBRW($A$1,$Q$6,O$9,O$10,$M$6,$E$6,$B15,$B$10)</f>
        <v>0</v>
      </c>
      <c r="Q15" s="3">
        <f t="shared" si="1"/>
        <v>0</v>
      </c>
      <c r="S15" s="4">
        <f>_xll.DBRW($A$1,$Q$6,S$9,S$10,$M$6,$E$6,$B15,$B$10)</f>
        <v>0</v>
      </c>
      <c r="T15" s="4">
        <f>_xll.DBRW($A$1,$Q$6,T$9,T$10,$M$6,$E$6,$B15,$B$10)</f>
        <v>0</v>
      </c>
      <c r="U15" s="4">
        <f>_xll.DBRW($A$1,$Q$6,U$9,U$10,$M$6,$E$6,$B15,$B$10)</f>
        <v>0</v>
      </c>
      <c r="W15" s="3">
        <f t="shared" si="2"/>
        <v>0</v>
      </c>
    </row>
    <row r="16" spans="1:27">
      <c r="B16" t="s">
        <v>67</v>
      </c>
      <c r="E16" s="4">
        <f>_xll.DBRW($A$1,$Q$6,E$9,E$10,$M$6,$E$6,$B16,$B$10)</f>
        <v>0</v>
      </c>
      <c r="F16" s="4">
        <f>_xll.DBRW($A$1,$Q$6,F$9,F$10,$M$6,$E$6,$B16,$B$10)</f>
        <v>0</v>
      </c>
      <c r="G16" s="4">
        <f>_xll.DBRW($A$1,$Q$6,G$9,G$10,$M$6,$E$6,$B16,$B$10)</f>
        <v>0</v>
      </c>
      <c r="I16" s="3">
        <f t="shared" si="0"/>
        <v>0</v>
      </c>
      <c r="K16" s="25" t="s">
        <v>67</v>
      </c>
      <c r="M16" s="4">
        <f>_xll.DBRW($A$1,$Q$6,M$9,M$10,$M$6,$E$6,$B16,$B$10)</f>
        <v>0</v>
      </c>
      <c r="N16" s="4">
        <f>_xll.DBRW($A$1,$Q$6,N$9,N$10,$M$6,$E$6,$B16,$B$10)</f>
        <v>0</v>
      </c>
      <c r="O16" s="4">
        <f>_xll.DBRW($A$1,$Q$6,O$9,O$10,$M$6,$E$6,$B16,$B$10)</f>
        <v>0</v>
      </c>
      <c r="Q16" s="3">
        <f t="shared" si="1"/>
        <v>0</v>
      </c>
      <c r="S16" s="4">
        <f>_xll.DBRW($A$1,$Q$6,S$9,S$10,$M$6,$E$6,$B16,$B$10)</f>
        <v>0</v>
      </c>
      <c r="T16" s="4">
        <f>_xll.DBRW($A$1,$Q$6,T$9,T$10,$M$6,$E$6,$B16,$B$10)</f>
        <v>0</v>
      </c>
      <c r="U16" s="4">
        <f>_xll.DBRW($A$1,$Q$6,U$9,U$10,$M$6,$E$6,$B16,$B$10)</f>
        <v>0</v>
      </c>
      <c r="W16" s="3">
        <f t="shared" si="2"/>
        <v>0</v>
      </c>
    </row>
    <row r="17" spans="2:23">
      <c r="B17" t="s">
        <v>66</v>
      </c>
      <c r="E17" s="4">
        <f>_xll.DBRW($A$1,$Q$6,E$9,E$10,$M$6,$E$6,$B17,$B$10)</f>
        <v>0</v>
      </c>
      <c r="F17" s="4">
        <f>_xll.DBRW($A$1,$Q$6,F$9,F$10,$M$6,$E$6,$B17,$B$10)</f>
        <v>0</v>
      </c>
      <c r="G17" s="4">
        <f>_xll.DBRW($A$1,$Q$6,G$9,G$10,$M$6,$E$6,$B17,$B$10)</f>
        <v>0</v>
      </c>
      <c r="I17" s="3">
        <f t="shared" si="0"/>
        <v>0</v>
      </c>
      <c r="K17" s="25" t="s">
        <v>66</v>
      </c>
      <c r="M17" s="4">
        <f>_xll.DBRW($A$1,$Q$6,M$9,M$10,$M$6,$E$6,$B17,$B$10)</f>
        <v>0</v>
      </c>
      <c r="N17" s="4">
        <f>_xll.DBRW($A$1,$Q$6,N$9,N$10,$M$6,$E$6,$B17,$B$10)</f>
        <v>0</v>
      </c>
      <c r="O17" s="4">
        <f>_xll.DBRW($A$1,$Q$6,O$9,O$10,$M$6,$E$6,$B17,$B$10)</f>
        <v>0</v>
      </c>
      <c r="Q17" s="3">
        <f t="shared" si="1"/>
        <v>0</v>
      </c>
      <c r="S17" s="4">
        <f>_xll.DBRW($A$1,$Q$6,S$9,S$10,$M$6,$E$6,$B17,$B$10)</f>
        <v>0</v>
      </c>
      <c r="T17" s="4">
        <f>_xll.DBRW($A$1,$Q$6,T$9,T$10,$M$6,$E$6,$B17,$B$10)</f>
        <v>0</v>
      </c>
      <c r="U17" s="4">
        <f>_xll.DBRW($A$1,$Q$6,U$9,U$10,$M$6,$E$6,$B17,$B$10)</f>
        <v>0</v>
      </c>
      <c r="W17" s="3">
        <f t="shared" si="2"/>
        <v>0</v>
      </c>
    </row>
    <row r="18" spans="2:23">
      <c r="B18" t="s">
        <v>65</v>
      </c>
      <c r="E18" s="4">
        <f>_xll.DBRW($A$1,$Q$6,E$9,E$10,$M$6,$E$6,$B18,$B$10)</f>
        <v>0</v>
      </c>
      <c r="F18" s="4">
        <f>_xll.DBRW($A$1,$Q$6,F$9,F$10,$M$6,$E$6,$B18,$B$10)</f>
        <v>0</v>
      </c>
      <c r="G18" s="4">
        <f>_xll.DBRW($A$1,$Q$6,G$9,G$10,$M$6,$E$6,$B18,$B$10)</f>
        <v>0</v>
      </c>
      <c r="I18" s="3">
        <f t="shared" si="0"/>
        <v>0</v>
      </c>
      <c r="K18" s="25" t="s">
        <v>64</v>
      </c>
      <c r="M18" s="4">
        <f>_xll.DBRW($A$1,$Q$6,M$9,M$10,$M$6,$E$6,$B18,$B$10)</f>
        <v>0</v>
      </c>
      <c r="N18" s="4">
        <f>_xll.DBRW($A$1,$Q$6,N$9,N$10,$M$6,$E$6,$B18,$B$10)</f>
        <v>0</v>
      </c>
      <c r="O18" s="4">
        <f>_xll.DBRW($A$1,$Q$6,O$9,O$10,$M$6,$E$6,$B18,$B$10)</f>
        <v>0</v>
      </c>
      <c r="Q18" s="3">
        <f t="shared" si="1"/>
        <v>0</v>
      </c>
      <c r="S18" s="4">
        <f>_xll.DBRW($A$1,$Q$6,S$9,S$10,$M$6,$E$6,$B18,$B$10)</f>
        <v>0</v>
      </c>
      <c r="T18" s="4">
        <f>_xll.DBRW($A$1,$Q$6,T$9,T$10,$M$6,$E$6,$B18,$B$10)</f>
        <v>0</v>
      </c>
      <c r="U18" s="4">
        <f>_xll.DBRW($A$1,$Q$6,U$9,U$10,$M$6,$E$6,$B18,$B$10)</f>
        <v>0</v>
      </c>
      <c r="W18" s="3">
        <f t="shared" si="2"/>
        <v>0</v>
      </c>
    </row>
    <row r="19" spans="2:23">
      <c r="B19" t="s">
        <v>63</v>
      </c>
      <c r="E19" s="4">
        <f>_xll.DBRW($A$1,$Q$6,E$9,E$10,$M$6,$E$6,$B19,$B$10)</f>
        <v>0</v>
      </c>
      <c r="F19" s="4">
        <f>_xll.DBRW($A$1,$Q$6,F$9,F$10,$M$6,$E$6,$B19,$B$10)</f>
        <v>0</v>
      </c>
      <c r="G19" s="4">
        <f>_xll.DBRW($A$1,$Q$6,G$9,G$10,$M$6,$E$6,$B19,$B$10)</f>
        <v>0</v>
      </c>
      <c r="I19" s="3">
        <f t="shared" si="0"/>
        <v>0</v>
      </c>
      <c r="K19" s="25" t="s">
        <v>62</v>
      </c>
      <c r="M19" s="4">
        <f>_xll.DBRW($A$1,$Q$6,M$9,M$10,$M$6,$E$6,$B19,$B$10)</f>
        <v>0</v>
      </c>
      <c r="N19" s="4">
        <f>_xll.DBRW($A$1,$Q$6,N$9,N$10,$M$6,$E$6,$B19,$B$10)</f>
        <v>0</v>
      </c>
      <c r="O19" s="4">
        <f>_xll.DBRW($A$1,$Q$6,O$9,O$10,$M$6,$E$6,$B19,$B$10)</f>
        <v>0</v>
      </c>
      <c r="Q19" s="3">
        <f t="shared" si="1"/>
        <v>0</v>
      </c>
      <c r="S19" s="4">
        <f>_xll.DBRW($A$1,$Q$6,S$9,S$10,$M$6,$E$6,$B19,$B$10)</f>
        <v>0</v>
      </c>
      <c r="T19" s="4">
        <f>_xll.DBRW($A$1,$Q$6,T$9,T$10,$M$6,$E$6,$B19,$B$10)</f>
        <v>0</v>
      </c>
      <c r="U19" s="4">
        <f>_xll.DBRW($A$1,$Q$6,U$9,U$10,$M$6,$E$6,$B19,$B$10)</f>
        <v>0</v>
      </c>
      <c r="W19" s="3">
        <f t="shared" si="2"/>
        <v>0</v>
      </c>
    </row>
    <row r="20" spans="2:23">
      <c r="B20" t="s">
        <v>56</v>
      </c>
      <c r="E20" s="1">
        <f>_xll.DBRW($A$1,$Q$6,E$9,E$10,$M$6,$E$6,$B20,$B$10)</f>
        <v>0</v>
      </c>
      <c r="F20" s="1">
        <f>_xll.DBRW($A$1,$Q$6,F$9,F$10,$M$6,$E$6,$B20,$B$10)</f>
        <v>0</v>
      </c>
      <c r="G20" s="1">
        <f>_xll.DBRW($A$1,$Q$6,G$9,G$10,$M$6,$E$6,$B20,$B$10)</f>
        <v>0</v>
      </c>
      <c r="I20" s="7">
        <f t="shared" si="0"/>
        <v>0</v>
      </c>
      <c r="K20" s="24" t="s">
        <v>61</v>
      </c>
      <c r="M20" s="1">
        <f>_xll.DBRW($A$1,$Q$6,M$9,M$10,$M$6,$E$6,$B20,$B$10)</f>
        <v>0</v>
      </c>
      <c r="N20" s="1">
        <f>_xll.DBRW($A$1,$Q$6,N$9,N$10,$M$6,$E$6,$B20,$B$10)</f>
        <v>0</v>
      </c>
      <c r="O20" s="1">
        <f>_xll.DBRW($A$1,$Q$6,O$9,O$10,$M$6,$E$6,$B20,$B$10)</f>
        <v>0</v>
      </c>
      <c r="Q20" s="7">
        <f t="shared" si="1"/>
        <v>0</v>
      </c>
      <c r="S20" s="1">
        <f>_xll.DBRW($A$1,$Q$6,S$9,S$10,$M$6,$E$6,$B20,$B$10)</f>
        <v>0</v>
      </c>
      <c r="T20" s="1">
        <f>_xll.DBRW($A$1,$Q$6,T$9,T$10,$M$6,$E$6,$B20,$B$10)</f>
        <v>0</v>
      </c>
      <c r="U20" s="1">
        <f>_xll.DBRW($A$1,$Q$6,U$9,U$10,$M$6,$E$6,$B20,$B$10)</f>
        <v>0</v>
      </c>
      <c r="W20" s="7">
        <f t="shared" si="2"/>
        <v>0</v>
      </c>
    </row>
    <row r="21" spans="2:23">
      <c r="B21" t="s">
        <v>60</v>
      </c>
      <c r="E21" s="4">
        <f>_xll.DBRW($A$1,$Q$6,E$9,E$10,$M$6,$E$6,$B21,$B$10)</f>
        <v>0</v>
      </c>
      <c r="F21" s="4">
        <f>_xll.DBRW($A$1,$Q$6,F$9,F$10,$M$6,$E$6,$B21,$B$10)</f>
        <v>0</v>
      </c>
      <c r="G21" s="4">
        <f>_xll.DBRW($A$1,$Q$6,G$9,G$10,$M$6,$E$6,$B21,$B$10)</f>
        <v>0</v>
      </c>
      <c r="I21" s="4">
        <f t="shared" si="0"/>
        <v>0</v>
      </c>
      <c r="K21" s="25" t="s">
        <v>59</v>
      </c>
      <c r="M21" s="4">
        <f>_xll.DBRW($A$1,$Q$6,M$9,M$10,$M$6,$E$6,$B21,$B$10)</f>
        <v>0</v>
      </c>
      <c r="N21" s="4">
        <f>_xll.DBRW($A$1,$Q$6,N$9,N$10,$M$6,$E$6,$B21,$B$10)</f>
        <v>0</v>
      </c>
      <c r="O21" s="4">
        <f>_xll.DBRW($A$1,$Q$6,O$9,O$10,$M$6,$E$6,$B21,$B$10)</f>
        <v>0</v>
      </c>
      <c r="Q21" s="4">
        <f t="shared" si="1"/>
        <v>0</v>
      </c>
      <c r="S21" s="4">
        <f>_xll.DBRW($A$1,$Q$6,S$9,S$10,$M$6,$E$6,$B21,$B$10)</f>
        <v>0</v>
      </c>
      <c r="T21" s="4">
        <f>_xll.DBRW($A$1,$Q$6,T$9,T$10,$M$6,$E$6,$B21,$B$10)</f>
        <v>0</v>
      </c>
      <c r="U21" s="4">
        <f>_xll.DBRW($A$1,$Q$6,U$9,U$10,$M$6,$E$6,$B21,$B$10)</f>
        <v>0</v>
      </c>
      <c r="W21" s="4">
        <f t="shared" si="2"/>
        <v>0</v>
      </c>
    </row>
    <row r="22" spans="2:23">
      <c r="B22" t="s">
        <v>58</v>
      </c>
      <c r="E22" s="4">
        <f>_xll.DBRW($A$1,$Q$6,E$9,E$10,$M$6,$E$6,$B22,$B$10)</f>
        <v>0</v>
      </c>
      <c r="F22" s="4">
        <f>_xll.DBRW($A$1,$Q$6,F$9,F$10,$M$6,$E$6,$B22,$B$10)</f>
        <v>0</v>
      </c>
      <c r="G22" s="4">
        <f>_xll.DBRW($A$1,$Q$6,G$9,G$10,$M$6,$E$6,$B22,$B$10)</f>
        <v>0</v>
      </c>
      <c r="I22" s="4">
        <f t="shared" si="0"/>
        <v>0</v>
      </c>
      <c r="K22" s="25" t="s">
        <v>57</v>
      </c>
      <c r="M22" s="4">
        <f>_xll.DBRW($A$1,$Q$6,M$9,M$10,$M$6,$E$6,$B22,$B$10)</f>
        <v>0</v>
      </c>
      <c r="N22" s="4">
        <f>_xll.DBRW($A$1,$Q$6,N$9,N$10,$M$6,$E$6,$B22,$B$10)</f>
        <v>0</v>
      </c>
      <c r="O22" s="4">
        <f>_xll.DBRW($A$1,$Q$6,O$9,O$10,$M$6,$E$6,$B22,$B$10)</f>
        <v>0</v>
      </c>
      <c r="Q22" s="4">
        <f t="shared" si="1"/>
        <v>0</v>
      </c>
      <c r="S22" s="4">
        <f>_xll.DBRW($A$1,$Q$6,S$9,S$10,$M$6,$E$6,$B22,$B$10)</f>
        <v>0</v>
      </c>
      <c r="T22" s="4">
        <f>_xll.DBRW($A$1,$Q$6,T$9,T$10,$M$6,$E$6,$B22,$B$10)</f>
        <v>0</v>
      </c>
      <c r="U22" s="4">
        <f>_xll.DBRW($A$1,$Q$6,U$9,U$10,$M$6,$E$6,$B22,$B$10)</f>
        <v>0</v>
      </c>
      <c r="W22" s="4">
        <f t="shared" si="2"/>
        <v>0</v>
      </c>
    </row>
    <row r="23" spans="2:23">
      <c r="B23" t="s">
        <v>56</v>
      </c>
      <c r="E23" s="1">
        <f>_xll.DBRW($A$1,$Q$6,E$9,E$10,$M$6,$E$6,$B23,$B$10)</f>
        <v>0</v>
      </c>
      <c r="F23" s="1">
        <f>_xll.DBRW($A$1,$Q$6,F$9,F$10,$M$6,$E$6,$B23,$B$10)</f>
        <v>0</v>
      </c>
      <c r="G23" s="1">
        <f>_xll.DBRW($A$1,$Q$6,G$9,G$10,$M$6,$E$6,$B23,$B$10)</f>
        <v>0</v>
      </c>
      <c r="I23" s="7">
        <f t="shared" si="0"/>
        <v>0</v>
      </c>
      <c r="K23" s="24" t="s">
        <v>56</v>
      </c>
      <c r="M23" s="1">
        <f>_xll.DBRW($A$1,$Q$6,M$9,M$10,$M$6,$E$6,$B23,$B$10)</f>
        <v>0</v>
      </c>
      <c r="N23" s="1">
        <f>_xll.DBRW($A$1,$Q$6,N$9,N$10,$M$6,$E$6,$B23,$B$10)</f>
        <v>0</v>
      </c>
      <c r="O23" s="1">
        <f>_xll.DBRW($A$1,$Q$6,O$9,O$10,$M$6,$E$6,$B23,$B$10)</f>
        <v>0</v>
      </c>
      <c r="Q23" s="7">
        <f t="shared" si="1"/>
        <v>0</v>
      </c>
      <c r="S23" s="1">
        <f>_xll.DBRW($A$1,$Q$6,S$9,S$10,$M$6,$E$6,$B23,$B$10)</f>
        <v>0</v>
      </c>
      <c r="T23" s="1">
        <f>_xll.DBRW($A$1,$Q$6,T$9,T$10,$M$6,$E$6,$B23,$B$10)</f>
        <v>0</v>
      </c>
      <c r="U23" s="1">
        <f>_xll.DBRW($A$1,$Q$6,U$9,U$10,$M$6,$E$6,$B23,$B$10)</f>
        <v>0</v>
      </c>
      <c r="W23" s="7">
        <f t="shared" si="2"/>
        <v>0</v>
      </c>
    </row>
    <row r="24" spans="2:23">
      <c r="B24" t="s">
        <v>55</v>
      </c>
      <c r="E24" s="4">
        <f>_xll.DBRW($A$1,$Q$6,E$9,E$10,$M$6,$E$6,$B24,$B$10)</f>
        <v>0</v>
      </c>
      <c r="F24" s="4">
        <f>_xll.DBRW($A$1,$Q$6,F$9,F$10,$M$6,$E$6,$B24,$B$10)</f>
        <v>0</v>
      </c>
      <c r="G24" s="4">
        <f>_xll.DBRW($A$1,$Q$6,G$9,G$10,$M$6,$E$6,$B24,$B$10)</f>
        <v>0</v>
      </c>
      <c r="I24" s="3">
        <f t="shared" si="0"/>
        <v>0</v>
      </c>
      <c r="K24" s="25" t="s">
        <v>55</v>
      </c>
      <c r="M24" s="4">
        <f>_xll.DBRW($A$1,$Q$6,M$9,M$10,$M$6,$E$6,$B24,$B$10)</f>
        <v>0</v>
      </c>
      <c r="N24" s="4">
        <f>_xll.DBRW($A$1,$Q$6,N$9,N$10,$M$6,$E$6,$B24,$B$10)</f>
        <v>0</v>
      </c>
      <c r="O24" s="4">
        <f>_xll.DBRW($A$1,$Q$6,O$9,O$10,$M$6,$E$6,$B24,$B$10)</f>
        <v>0</v>
      </c>
      <c r="Q24" s="3">
        <f t="shared" si="1"/>
        <v>0</v>
      </c>
      <c r="S24" s="4">
        <f>_xll.DBRW($A$1,$Q$6,S$9,S$10,$M$6,$E$6,$B24,$B$10)</f>
        <v>0</v>
      </c>
      <c r="T24" s="4">
        <f>_xll.DBRW($A$1,$Q$6,T$9,T$10,$M$6,$E$6,$B24,$B$10)</f>
        <v>0</v>
      </c>
      <c r="U24" s="4">
        <f>_xll.DBRW($A$1,$Q$6,U$9,U$10,$M$6,$E$6,$B24,$B$10)</f>
        <v>0</v>
      </c>
      <c r="W24" s="3">
        <f t="shared" si="2"/>
        <v>0</v>
      </c>
    </row>
    <row r="25" spans="2:23">
      <c r="B25" t="s">
        <v>54</v>
      </c>
      <c r="E25" s="4">
        <f>_xll.DBRW($A$1,$Q$6,E$9,E$10,$M$6,$E$6,$B25,$B$10)</f>
        <v>0</v>
      </c>
      <c r="F25" s="4">
        <f>_xll.DBRW($A$1,$Q$6,F$9,F$10,$M$6,$E$6,$B25,$B$10)</f>
        <v>0</v>
      </c>
      <c r="G25" s="4">
        <f>_xll.DBRW($A$1,$Q$6,G$9,G$10,$M$6,$E$6,$B25,$B$10)</f>
        <v>0</v>
      </c>
      <c r="I25" s="3">
        <f t="shared" si="0"/>
        <v>0</v>
      </c>
      <c r="K25" s="25" t="s">
        <v>53</v>
      </c>
      <c r="M25" s="4">
        <f>_xll.DBRW($A$1,$Q$6,M$9,M$10,$M$6,$E$6,$B25,$B$10)</f>
        <v>0</v>
      </c>
      <c r="N25" s="4">
        <f>_xll.DBRW($A$1,$Q$6,N$9,N$10,$M$6,$E$6,$B25,$B$10)</f>
        <v>0</v>
      </c>
      <c r="O25" s="4">
        <f>_xll.DBRW($A$1,$Q$6,O$9,O$10,$M$6,$E$6,$B25,$B$10)</f>
        <v>0</v>
      </c>
      <c r="Q25" s="3">
        <f t="shared" si="1"/>
        <v>0</v>
      </c>
      <c r="S25" s="4">
        <f>_xll.DBRW($A$1,$Q$6,S$9,S$10,$M$6,$E$6,$B25,$B$10)</f>
        <v>0</v>
      </c>
      <c r="T25" s="4">
        <f>_xll.DBRW($A$1,$Q$6,T$9,T$10,$M$6,$E$6,$B25,$B$10)</f>
        <v>0</v>
      </c>
      <c r="U25" s="4">
        <f>_xll.DBRW($A$1,$Q$6,U$9,U$10,$M$6,$E$6,$B25,$B$10)</f>
        <v>0</v>
      </c>
      <c r="W25" s="3">
        <f t="shared" si="2"/>
        <v>0</v>
      </c>
    </row>
    <row r="26" spans="2:23">
      <c r="B26" t="s">
        <v>52</v>
      </c>
      <c r="E26" s="4">
        <f>_xll.DBRW($A$1,$Q$6,E$9,E$10,$M$6,$E$6,$B26,$B$10)</f>
        <v>0</v>
      </c>
      <c r="F26" s="4">
        <f>_xll.DBRW($A$1,$Q$6,F$9,F$10,$M$6,$E$6,$B26,$B$10)</f>
        <v>0</v>
      </c>
      <c r="G26" s="4">
        <f>_xll.DBRW($A$1,$Q$6,G$9,G$10,$M$6,$E$6,$B26,$B$10)</f>
        <v>0</v>
      </c>
      <c r="I26" s="3">
        <f t="shared" si="0"/>
        <v>0</v>
      </c>
      <c r="K26" s="25" t="s">
        <v>52</v>
      </c>
      <c r="M26" s="4">
        <f>_xll.DBRW($A$1,$Q$6,M$9,M$10,$M$6,$E$6,$B26,$B$10)</f>
        <v>0</v>
      </c>
      <c r="N26" s="4">
        <f>_xll.DBRW($A$1,$Q$6,N$9,N$10,$M$6,$E$6,$B26,$B$10)</f>
        <v>0</v>
      </c>
      <c r="O26" s="4">
        <f>_xll.DBRW($A$1,$Q$6,O$9,O$10,$M$6,$E$6,$B26,$B$10)</f>
        <v>0</v>
      </c>
      <c r="Q26" s="3">
        <f t="shared" si="1"/>
        <v>0</v>
      </c>
      <c r="S26" s="4">
        <f>_xll.DBRW($A$1,$Q$6,S$9,S$10,$M$6,$E$6,$B26,$B$10)</f>
        <v>0</v>
      </c>
      <c r="T26" s="4">
        <f>_xll.DBRW($A$1,$Q$6,T$9,T$10,$M$6,$E$6,$B26,$B$10)</f>
        <v>0</v>
      </c>
      <c r="U26" s="4">
        <f>_xll.DBRW($A$1,$Q$6,U$9,U$10,$M$6,$E$6,$B26,$B$10)</f>
        <v>0</v>
      </c>
      <c r="W26" s="3">
        <f t="shared" si="2"/>
        <v>0</v>
      </c>
    </row>
    <row r="27" spans="2:23">
      <c r="B27" t="s">
        <v>51</v>
      </c>
      <c r="E27" s="1">
        <f>_xll.DBRW($A$1,$Q$6,E$9,E$10,$M$6,$E$6,$B27,$B$10)</f>
        <v>0</v>
      </c>
      <c r="F27" s="1">
        <f>_xll.DBRW($A$1,$Q$6,F$9,F$10,$M$6,$E$6,$B27,$B$10)</f>
        <v>0</v>
      </c>
      <c r="G27" s="1">
        <f>_xll.DBRW($A$1,$Q$6,G$9,G$10,$M$6,$E$6,$B27,$B$10)</f>
        <v>0</v>
      </c>
      <c r="I27" s="7">
        <f t="shared" si="0"/>
        <v>0</v>
      </c>
      <c r="K27" s="24" t="s">
        <v>50</v>
      </c>
      <c r="M27" s="1">
        <f>_xll.DBRW($A$1,$Q$6,M$9,M$10,$M$6,$E$6,$B27,$B$10)</f>
        <v>0</v>
      </c>
      <c r="N27" s="1">
        <f>_xll.DBRW($A$1,$Q$6,N$9,N$10,$M$6,$E$6,$B27,$B$10)</f>
        <v>0</v>
      </c>
      <c r="O27" s="1">
        <f>_xll.DBRW($A$1,$Q$6,O$9,O$10,$M$6,$E$6,$B27,$B$10)</f>
        <v>0</v>
      </c>
      <c r="Q27" s="7">
        <f t="shared" si="1"/>
        <v>0</v>
      </c>
      <c r="S27" s="1">
        <f>_xll.DBRW($A$1,$Q$6,S$9,S$10,$M$6,$E$6,$B27,$B$10)</f>
        <v>0</v>
      </c>
      <c r="T27" s="1">
        <f>_xll.DBRW($A$1,$Q$6,T$9,T$10,$M$6,$E$6,$B27,$B$10)</f>
        <v>0</v>
      </c>
      <c r="U27" s="1">
        <f>_xll.DBRW($A$1,$Q$6,U$9,U$10,$M$6,$E$6,$B27,$B$10)</f>
        <v>0</v>
      </c>
      <c r="W27" s="7">
        <f t="shared" si="2"/>
        <v>0</v>
      </c>
    </row>
    <row r="28" spans="2:23">
      <c r="B28" t="s">
        <v>49</v>
      </c>
      <c r="E28" s="4">
        <f>_xll.DBRW($A$1,$Q$6,E$9,E$10,$M$6,$E$6,$B28,$B$10)</f>
        <v>0</v>
      </c>
      <c r="F28" s="4">
        <f>_xll.DBRW($A$1,$Q$6,F$9,F$10,$M$6,$E$6,$B28,$B$10)</f>
        <v>0</v>
      </c>
      <c r="G28" s="4">
        <f>_xll.DBRW($A$1,$Q$6,G$9,G$10,$M$6,$E$6,$B28,$B$10)</f>
        <v>0</v>
      </c>
      <c r="I28" s="3">
        <f t="shared" si="0"/>
        <v>0</v>
      </c>
      <c r="K28" s="25" t="s">
        <v>48</v>
      </c>
      <c r="M28" s="4">
        <f>_xll.DBRW($A$1,$Q$6,M$9,M$10,$M$6,$E$6,$B28,$B$10)</f>
        <v>0</v>
      </c>
      <c r="N28" s="4">
        <f>_xll.DBRW($A$1,$Q$6,N$9,N$10,$M$6,$E$6,$B28,$B$10)</f>
        <v>0</v>
      </c>
      <c r="O28" s="4">
        <f>_xll.DBRW($A$1,$Q$6,O$9,O$10,$M$6,$E$6,$B28,$B$10)</f>
        <v>0</v>
      </c>
      <c r="Q28" s="3">
        <f t="shared" si="1"/>
        <v>0</v>
      </c>
      <c r="S28" s="4">
        <f>_xll.DBRW($A$1,$Q$6,S$9,S$10,$M$6,$E$6,$B28,$B$10)</f>
        <v>0</v>
      </c>
      <c r="T28" s="4">
        <f>_xll.DBRW($A$1,$Q$6,T$9,T$10,$M$6,$E$6,$B28,$B$10)</f>
        <v>0</v>
      </c>
      <c r="U28" s="4">
        <f>_xll.DBRW($A$1,$Q$6,U$9,U$10,$M$6,$E$6,$B28,$B$10)</f>
        <v>0</v>
      </c>
      <c r="W28" s="3">
        <f t="shared" si="2"/>
        <v>0</v>
      </c>
    </row>
    <row r="29" spans="2:23">
      <c r="B29" t="s">
        <v>47</v>
      </c>
      <c r="E29" s="4">
        <f>_xll.DBRW($A$1,$Q$6,E$9,E$10,$M$6,$E$6,$B29,$B$10)</f>
        <v>0</v>
      </c>
      <c r="F29" s="4">
        <f>_xll.DBRW($A$1,$Q$6,F$9,F$10,$M$6,$E$6,$B29,$B$10)</f>
        <v>0</v>
      </c>
      <c r="G29" s="4">
        <f>_xll.DBRW($A$1,$Q$6,G$9,G$10,$M$6,$E$6,$B29,$B$10)</f>
        <v>0</v>
      </c>
      <c r="I29" s="3">
        <f t="shared" si="0"/>
        <v>0</v>
      </c>
      <c r="K29" s="25" t="s">
        <v>47</v>
      </c>
      <c r="M29" s="4">
        <f>_xll.DBRW($A$1,$Q$6,M$9,M$10,$M$6,$E$6,$B29,$B$10)</f>
        <v>0</v>
      </c>
      <c r="N29" s="4">
        <f>_xll.DBRW($A$1,$Q$6,N$9,N$10,$M$6,$E$6,$B29,$B$10)</f>
        <v>0</v>
      </c>
      <c r="O29" s="4">
        <f>_xll.DBRW($A$1,$Q$6,O$9,O$10,$M$6,$E$6,$B29,$B$10)</f>
        <v>0</v>
      </c>
      <c r="Q29" s="3">
        <f t="shared" si="1"/>
        <v>0</v>
      </c>
      <c r="S29" s="4">
        <f>_xll.DBRW($A$1,$Q$6,S$9,S$10,$M$6,$E$6,$B29,$B$10)</f>
        <v>0</v>
      </c>
      <c r="T29" s="4">
        <f>_xll.DBRW($A$1,$Q$6,T$9,T$10,$M$6,$E$6,$B29,$B$10)</f>
        <v>0</v>
      </c>
      <c r="U29" s="4">
        <f>_xll.DBRW($A$1,$Q$6,U$9,U$10,$M$6,$E$6,$B29,$B$10)</f>
        <v>0</v>
      </c>
      <c r="W29" s="3">
        <f t="shared" si="2"/>
        <v>0</v>
      </c>
    </row>
    <row r="30" spans="2:23">
      <c r="B30" t="s">
        <v>46</v>
      </c>
      <c r="E30" s="4">
        <f>_xll.DBRW($A$1,$Q$6,E$9,E$10,$M$6,$E$6,$B30,$B$10)</f>
        <v>0</v>
      </c>
      <c r="F30" s="4">
        <f>_xll.DBRW($A$1,$Q$6,F$9,F$10,$M$6,$E$6,$B30,$B$10)</f>
        <v>0</v>
      </c>
      <c r="G30" s="4">
        <f>_xll.DBRW($A$1,$Q$6,G$9,G$10,$M$6,$E$6,$B30,$B$10)</f>
        <v>0</v>
      </c>
      <c r="I30" s="3">
        <f t="shared" si="0"/>
        <v>0</v>
      </c>
      <c r="K30" s="25" t="s">
        <v>46</v>
      </c>
      <c r="M30" s="4">
        <f>_xll.DBRW($A$1,$Q$6,M$9,M$10,$M$6,$E$6,$B30,$B$10)</f>
        <v>0</v>
      </c>
      <c r="N30" s="4">
        <f>_xll.DBRW($A$1,$Q$6,N$9,N$10,$M$6,$E$6,$B30,$B$10)</f>
        <v>0</v>
      </c>
      <c r="O30" s="4">
        <f>_xll.DBRW($A$1,$Q$6,O$9,O$10,$M$6,$E$6,$B30,$B$10)</f>
        <v>0</v>
      </c>
      <c r="Q30" s="3">
        <f t="shared" si="1"/>
        <v>0</v>
      </c>
      <c r="S30" s="4">
        <f>_xll.DBRW($A$1,$Q$6,S$9,S$10,$M$6,$E$6,$B30,$B$10)</f>
        <v>0</v>
      </c>
      <c r="T30" s="4">
        <f>_xll.DBRW($A$1,$Q$6,T$9,T$10,$M$6,$E$6,$B30,$B$10)</f>
        <v>0</v>
      </c>
      <c r="U30" s="4">
        <f>_xll.DBRW($A$1,$Q$6,U$9,U$10,$M$6,$E$6,$B30,$B$10)</f>
        <v>0</v>
      </c>
      <c r="W30" s="3">
        <f t="shared" si="2"/>
        <v>0</v>
      </c>
    </row>
    <row r="31" spans="2:23">
      <c r="B31" t="s">
        <v>45</v>
      </c>
      <c r="E31" s="1">
        <f>_xll.DBRW($A$1,$Q$6,E$9,E$10,$M$6,$E$6,$B31,$B$10)</f>
        <v>0</v>
      </c>
      <c r="F31" s="1">
        <f>_xll.DBRW($A$1,$Q$6,F$9,F$10,$M$6,$E$6,$B31,$B$10)</f>
        <v>0</v>
      </c>
      <c r="G31" s="1">
        <f>_xll.DBRW($A$1,$Q$6,G$9,G$10,$M$6,$E$6,$B31,$B$10)</f>
        <v>0</v>
      </c>
      <c r="I31" s="23">
        <f t="shared" si="0"/>
        <v>0</v>
      </c>
      <c r="K31" s="24" t="s">
        <v>45</v>
      </c>
      <c r="M31" s="30">
        <f>_xll.DBRW($A$1,$Q$6,M$9,M$10,$M$6,$E$6,$B31,$B$10)</f>
        <v>0</v>
      </c>
      <c r="N31" s="30">
        <f>_xll.DBRW($A$1,$Q$6,N$9,N$10,$M$6,$E$6,$B31,$B$10)</f>
        <v>0</v>
      </c>
      <c r="O31" s="30">
        <f>_xll.DBRW($A$1,$Q$6,O$9,O$10,$M$6,$E$6,$B31,$B$10)</f>
        <v>0</v>
      </c>
      <c r="P31" s="31"/>
      <c r="Q31" s="32">
        <f t="shared" ref="Q31:Q36" si="3">O31-N31</f>
        <v>0</v>
      </c>
      <c r="R31" s="31"/>
      <c r="S31" s="30">
        <f>_xll.DBRW($A$1,$Q$6,S$9,S$10,$M$6,$E$6,$B31,$B$10)</f>
        <v>0</v>
      </c>
      <c r="T31" s="30">
        <f>_xll.DBRW($A$1,$Q$6,T$9,T$10,$M$6,$E$6,$B31,$B$10)</f>
        <v>0</v>
      </c>
      <c r="U31" s="30">
        <f>_xll.DBRW($A$1,$Q$6,U$9,U$10,$M$6,$E$6,$B31,$B$10)</f>
        <v>0</v>
      </c>
      <c r="W31" s="32">
        <f t="shared" ref="W31:W36" si="4">U31-T31</f>
        <v>0</v>
      </c>
    </row>
    <row r="33" spans="1:23">
      <c r="B33" t="s">
        <v>44</v>
      </c>
      <c r="E33" s="28">
        <f>_xll.DBRW($A$1,$Q$6,E$9,E$10,$M$6,$E$6,$B33,$B$10)</f>
        <v>0</v>
      </c>
      <c r="F33" s="28">
        <f>_xll.DBRW($A$1,$Q$6,F$9,F$10,$M$6,$E$6,$B33,$B$10)</f>
        <v>0</v>
      </c>
      <c r="G33" s="28">
        <f>_xll.DBRW($A$1,$Q$6,G$9,G$10,$M$6,$E$6,$B33,$B$10)</f>
        <v>0</v>
      </c>
      <c r="I33" s="29">
        <f>G33-F33</f>
        <v>0</v>
      </c>
      <c r="K33" s="22" t="s">
        <v>44</v>
      </c>
      <c r="M33" s="33">
        <f>_xll.DBRW($A$1,$Q$6,M$9,M$10,$M$6,$E$6,$B33,$B$10)</f>
        <v>0</v>
      </c>
      <c r="N33" s="33">
        <f>_xll.DBRW($A$1,$Q$6,N$9,N$10,$M$6,$E$6,$B33,$B$10)</f>
        <v>0</v>
      </c>
      <c r="O33" s="33">
        <f>_xll.DBRW($A$1,$Q$6,O$9,O$10,$M$6,$E$6,$B33,$B$10)</f>
        <v>0</v>
      </c>
      <c r="P33" s="31"/>
      <c r="Q33" s="34">
        <f t="shared" si="3"/>
        <v>0</v>
      </c>
      <c r="R33" s="31"/>
      <c r="S33" s="33">
        <f>_xll.DBRW($A$1,$Q$6,S$9,S$10,$M$6,$E$6,$B33,$B$10)</f>
        <v>0</v>
      </c>
      <c r="T33" s="33">
        <f>_xll.DBRW($A$1,$Q$6,T$9,T$10,$M$6,$E$6,$B33,$B$10)</f>
        <v>0</v>
      </c>
      <c r="U33" s="33">
        <f>_xll.DBRW($A$1,$Q$6,U$9,U$10,$M$6,$E$6,$B33,$B$10)</f>
        <v>0</v>
      </c>
      <c r="W33" s="34">
        <f t="shared" si="4"/>
        <v>0</v>
      </c>
    </row>
    <row r="34" spans="1:23">
      <c r="B34" t="s">
        <v>43</v>
      </c>
      <c r="E34" s="28">
        <f>_xll.DBRW($A$1,$Q$6,E$9,E$10,$M$6,$E$6,$B34,$B$10)</f>
        <v>0</v>
      </c>
      <c r="F34" s="28">
        <f>_xll.DBRW($A$1,$Q$6,F$9,F$10,$M$6,$E$6,$B34,$B$10)</f>
        <v>0</v>
      </c>
      <c r="G34" s="28">
        <f>_xll.DBRW($A$1,$Q$6,G$9,G$10,$M$6,$E$6,$B34,$B$10)</f>
        <v>0</v>
      </c>
      <c r="I34" s="29">
        <f>G34-F34</f>
        <v>0</v>
      </c>
      <c r="K34" s="22" t="s">
        <v>42</v>
      </c>
      <c r="M34" s="33">
        <f>_xll.DBRW($A$1,$Q$6,M$9,M$10,$M$6,$E$6,$B34,$B$10)</f>
        <v>0</v>
      </c>
      <c r="N34" s="33">
        <f>_xll.DBRW($A$1,$Q$6,N$9,N$10,$M$6,$E$6,$B34,$B$10)</f>
        <v>0</v>
      </c>
      <c r="O34" s="33">
        <f>_xll.DBRW($A$1,$Q$6,O$9,O$10,$M$6,$E$6,$B34,$B$10)</f>
        <v>0</v>
      </c>
      <c r="P34" s="31"/>
      <c r="Q34" s="34">
        <f t="shared" si="3"/>
        <v>0</v>
      </c>
      <c r="R34" s="31"/>
      <c r="S34" s="33">
        <f>_xll.DBRW($A$1,$Q$6,S$9,S$10,$M$6,$E$6,$B34,$B$10)</f>
        <v>0</v>
      </c>
      <c r="T34" s="33">
        <f>_xll.DBRW($A$1,$Q$6,T$9,T$10,$M$6,$E$6,$B34,$B$10)</f>
        <v>0</v>
      </c>
      <c r="U34" s="33">
        <f>_xll.DBRW($A$1,$Q$6,U$9,U$10,$M$6,$E$6,$B34,$B$10)</f>
        <v>0</v>
      </c>
      <c r="W34" s="34">
        <f t="shared" si="4"/>
        <v>0</v>
      </c>
    </row>
    <row r="35" spans="1:23">
      <c r="B35" t="s">
        <v>40</v>
      </c>
      <c r="E35" s="28">
        <f>_xll.DBRW($A$1,$Q$6,E$9,E$10,$M$6,$E$6,$B35,$B$10)</f>
        <v>0</v>
      </c>
      <c r="F35" s="28">
        <f>_xll.DBRW($A$1,$Q$6,F$9,F$10,$M$6,$E$6,$B35,$B$10)</f>
        <v>0</v>
      </c>
      <c r="G35" s="28">
        <f>_xll.DBRW($A$1,$Q$6,G$9,G$10,$M$6,$E$6,$B35,$B$10)</f>
        <v>0</v>
      </c>
      <c r="I35" s="29">
        <f>G35-F35</f>
        <v>0</v>
      </c>
      <c r="K35" s="22" t="s">
        <v>40</v>
      </c>
      <c r="M35" s="33">
        <f>_xll.DBRW($A$1,$Q$6,M$9,M$10,$M$6,$E$6,$B35,$B$10)</f>
        <v>0</v>
      </c>
      <c r="N35" s="33">
        <f>_xll.DBRW($A$1,$Q$6,N$9,N$10,$M$6,$E$6,$B35,$B$10)</f>
        <v>0</v>
      </c>
      <c r="O35" s="33">
        <f>_xll.DBRW($A$1,$Q$6,O$9,O$10,$M$6,$E$6,$B35,$B$10)</f>
        <v>0</v>
      </c>
      <c r="P35" s="31"/>
      <c r="Q35" s="34">
        <f t="shared" si="3"/>
        <v>0</v>
      </c>
      <c r="R35" s="31"/>
      <c r="S35" s="33">
        <f>_xll.DBRW($A$1,$Q$6,S$9,S$10,$M$6,$E$6,$B35,$B$10)</f>
        <v>0</v>
      </c>
      <c r="T35" s="33">
        <f>_xll.DBRW($A$1,$Q$6,T$9,T$10,$M$6,$E$6,$B35,$B$10)</f>
        <v>0</v>
      </c>
      <c r="U35" s="33">
        <f>_xll.DBRW($A$1,$Q$6,U$9,U$10,$M$6,$E$6,$B35,$B$10)</f>
        <v>0</v>
      </c>
      <c r="W35" s="34">
        <f t="shared" si="4"/>
        <v>0</v>
      </c>
    </row>
    <row r="36" spans="1:23">
      <c r="A36" t="s">
        <v>41</v>
      </c>
      <c r="B36" t="s">
        <v>40</v>
      </c>
      <c r="E36" s="28" t="e">
        <f>_xll.DBRW($A$1,$Q$6,E$9,E$10,$M$6,$E$6,$B36,$B$10)/_xll.DBRW($A$1,$Q$6,E$9,E$10,$M$6,$E$6,$A36,$B$10)</f>
        <v>#DIV/0!</v>
      </c>
      <c r="F36" s="28" t="e">
        <f>_xll.DBRW($A$1,$Q$6,F$9,F$10,$M$6,$E$6,$B36,$B$10)/_xll.DBRW($A$1,$Q$6,F$9,F$10,$M$6,$E$6,$A36,$B$10)</f>
        <v>#DIV/0!</v>
      </c>
      <c r="G36" s="28" t="e">
        <f>_xll.DBRW($A$1,$Q$6,G$9,G$10,$M$6,$E$6,$B36,$B$10)/_xll.DBRW($A$1,$Q$6,G$9,G$10,$M$6,$E$6,$A36,$B$10)</f>
        <v>#DIV/0!</v>
      </c>
      <c r="I36" s="29" t="e">
        <f>G36-F36</f>
        <v>#DIV/0!</v>
      </c>
      <c r="K36" s="22" t="s">
        <v>39</v>
      </c>
      <c r="M36" s="28" t="e">
        <f>_xll.DBRW($A$1,$Q$6,M$9,M$10,$M$6,$E$6,$B36,$B$10)/_xll.DBRW($A$1,$Q$6,M$9,M$10,$M$6,$E$6,$A36,$B$10)</f>
        <v>#DIV/0!</v>
      </c>
      <c r="N36" s="28" t="e">
        <f>_xll.DBRW($A$1,$Q$6,N$9,N$10,$M$6,$E$6,$B36,$B$10)/_xll.DBRW($A$1,$Q$6,N$9,N$10,$M$6,$E$6,$A36,$B$10)</f>
        <v>#DIV/0!</v>
      </c>
      <c r="O36" s="28" t="e">
        <f>_xll.DBRW($A$1,$Q$6,O$9,O$10,$M$6,$E$6,$B36,$B$10)/_xll.DBRW($A$1,$Q$6,O$9,O$10,$M$6,$E$6,$A36,$B$10)</f>
        <v>#DIV/0!</v>
      </c>
      <c r="P36" s="31"/>
      <c r="Q36" s="34" t="e">
        <f t="shared" si="3"/>
        <v>#DIV/0!</v>
      </c>
      <c r="R36" s="31"/>
      <c r="S36" s="28" t="e">
        <f>_xll.DBRW($A$1,$Q$6,S$9,S$10,$M$6,$E$6,$B36,$B$10)/_xll.DBRW($A$1,$Q$6,S$9,S$10,$M$6,$E$6,$A36,$B$10)</f>
        <v>#DIV/0!</v>
      </c>
      <c r="T36" s="28" t="e">
        <f>_xll.DBRW($A$1,$Q$6,T$9,T$10,$M$6,$E$6,$B36,$B$10)/_xll.DBRW($A$1,$Q$6,T$9,T$10,$M$6,$E$6,$A36,$B$10)</f>
        <v>#DIV/0!</v>
      </c>
      <c r="U36" s="28" t="e">
        <f>_xll.DBRW($A$1,$Q$6,U$9,U$10,$M$6,$E$6,$B36,$B$10)/_xll.DBRW($A$1,$Q$6,U$9,U$10,$M$6,$E$6,$A36,$B$10)</f>
        <v>#DIV/0!</v>
      </c>
      <c r="W36" s="34" t="e">
        <f t="shared" si="4"/>
        <v>#DIV/0!</v>
      </c>
    </row>
  </sheetData>
  <mergeCells count="6">
    <mergeCell ref="E11:G11"/>
    <mergeCell ref="K11:K12"/>
    <mergeCell ref="M11:O11"/>
    <mergeCell ref="S11:U11"/>
    <mergeCell ref="D1:I2"/>
    <mergeCell ref="E6:F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3F730012-89B8-4DFC-B484-A6F2B471B6F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2" id="{5C3BEE8C-1C97-421E-8300-436A0F64AFA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I13 Q13</xm:sqref>
        </x14:conditionalFormatting>
        <x14:conditionalFormatting xmlns:xm="http://schemas.microsoft.com/office/excel/2006/main">
          <x14:cfRule type="iconSet" priority="7" id="{5A379715-5C1D-4D87-A238-117BD9853A7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8" id="{7BC1EFEE-E10C-4497-8246-20233DD0970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I14:I19 Q14:Q19</xm:sqref>
        </x14:conditionalFormatting>
        <x14:conditionalFormatting xmlns:xm="http://schemas.microsoft.com/office/excel/2006/main">
          <x14:cfRule type="iconSet" priority="5" id="{1C38FD23-A14F-42A5-AC8E-3A958CA0E17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6" id="{670AFD96-6F12-4F4C-9F20-CA7FF0CEBFA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I20 Q20</xm:sqref>
        </x14:conditionalFormatting>
        <x14:conditionalFormatting xmlns:xm="http://schemas.microsoft.com/office/excel/2006/main">
          <x14:cfRule type="iconSet" priority="3" id="{90363D7B-4B7B-40AE-ACFF-EE71C6ECAED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4" id="{08F8A14A-A0C0-4D0C-86E9-7EF44D5D5B5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I23 Q23</xm:sqref>
        </x14:conditionalFormatting>
        <x14:conditionalFormatting xmlns:xm="http://schemas.microsoft.com/office/excel/2006/main">
          <x14:cfRule type="iconSet" priority="9" id="{2CDE0E9F-4BF4-4FEA-9E52-053F6C5BD53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0" id="{33FABA50-0858-4250-87BC-53E110BD976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I24:I26 Q24:Q26</xm:sqref>
        </x14:conditionalFormatting>
        <x14:conditionalFormatting xmlns:xm="http://schemas.microsoft.com/office/excel/2006/main">
          <x14:cfRule type="iconSet" priority="1" id="{FD193960-952D-435C-B429-A8E99059ACE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" id="{DDE7EF27-64D7-451A-A9B6-92035619A0C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I27 Q27</xm:sqref>
        </x14:conditionalFormatting>
        <x14:conditionalFormatting xmlns:xm="http://schemas.microsoft.com/office/excel/2006/main">
          <x14:cfRule type="iconSet" priority="27" id="{CD7E9722-D1BF-46F7-AA00-329D7DD3711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8" id="{4BE5D51D-28EA-4746-9E94-510971ED7A1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I28:I31 Q28:Q31 Q33:Q36 I33:I36</xm:sqref>
        </x14:conditionalFormatting>
        <x14:conditionalFormatting xmlns:xm="http://schemas.microsoft.com/office/excel/2006/main">
          <x14:cfRule type="iconSet" priority="25" id="{F5F79327-0335-43F7-B03D-4FF53992487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6" id="{720EA5F5-8BBF-4F20-80A9-03FEF16DE80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W13</xm:sqref>
        </x14:conditionalFormatting>
        <x14:conditionalFormatting xmlns:xm="http://schemas.microsoft.com/office/excel/2006/main">
          <x14:cfRule type="iconSet" priority="19" id="{FDBCB7BD-9C42-4824-9F92-36A0B9B0132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0" id="{6E33575D-9B22-4437-899D-4F11C040F34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W14:W19</xm:sqref>
        </x14:conditionalFormatting>
        <x14:conditionalFormatting xmlns:xm="http://schemas.microsoft.com/office/excel/2006/main">
          <x14:cfRule type="iconSet" priority="17" id="{865E30D1-B7EA-4862-99F6-ABFF057A8D7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8" id="{7DEC210A-3FAF-47F1-BA3E-89D0A527F83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W20</xm:sqref>
        </x14:conditionalFormatting>
        <x14:conditionalFormatting xmlns:xm="http://schemas.microsoft.com/office/excel/2006/main">
          <x14:cfRule type="iconSet" priority="15" id="{826C5B1D-5C93-41F2-8F11-5E0CCA6E34F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6" id="{5AABDF01-7042-422B-A434-851C66DD6C7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W23</xm:sqref>
        </x14:conditionalFormatting>
        <x14:conditionalFormatting xmlns:xm="http://schemas.microsoft.com/office/excel/2006/main">
          <x14:cfRule type="iconSet" priority="23" id="{4E0AA5CC-B62C-44EE-9255-DDCE0C6973E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4" id="{41F52B5E-BEE9-4BDA-A62E-E4539933A2E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W24:W26</xm:sqref>
        </x14:conditionalFormatting>
        <x14:conditionalFormatting xmlns:xm="http://schemas.microsoft.com/office/excel/2006/main">
          <x14:cfRule type="iconSet" priority="13" id="{7DF0D9AA-D35B-4EB6-9367-29323F814DD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4" id="{7A17D154-EB0D-4014-A2C3-DB3DC99B913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W27</xm:sqref>
        </x14:conditionalFormatting>
        <x14:conditionalFormatting xmlns:xm="http://schemas.microsoft.com/office/excel/2006/main">
          <x14:cfRule type="iconSet" priority="21" id="{5E4C2560-2F4D-44B1-9F00-936B8A3F426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2" id="{7725170D-7EBA-4C33-8085-736A8DEC595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W28:W31 W33:W36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Income Satatement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Athayde</dc:creator>
  <cp:lastModifiedBy>Enrico Athayde</cp:lastModifiedBy>
  <dcterms:created xsi:type="dcterms:W3CDTF">2026-04-14T19:20:55Z</dcterms:created>
  <dcterms:modified xsi:type="dcterms:W3CDTF">2026-04-27T18:35:58Z</dcterms:modified>
</cp:coreProperties>
</file>