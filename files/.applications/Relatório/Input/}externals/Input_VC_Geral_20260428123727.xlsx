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9395BB95-60F0-42DE-B86D-3475EDB64BAC}" xr6:coauthVersionLast="47" xr6:coauthVersionMax="47" xr10:uidLastSave="{00000000-0000-0000-0000-000000000000}"/>
  <bookViews>
    <workbookView xWindow="-28908" yWindow="-1980" windowWidth="29016" windowHeight="15696" xr2:uid="{CDA19FDD-75B2-41E7-A310-50001757EE51}"/>
  </bookViews>
  <sheets>
    <sheet name="Cons_Region" sheetId="11" r:id="rId1"/>
    <sheet name="Opening" sheetId="10" r:id="rId2"/>
    <sheet name="Input_Prod_01" sheetId="4" r:id="rId3"/>
    <sheet name="Input_Prod_02" sheetId="12" r:id="rId4"/>
    <sheet name="Input_Prod_03" sheetId="13" r:id="rId5"/>
    <sheet name="Input_Prod_04" sheetId="14" r:id="rId6"/>
    <sheet name="Input_Prod_05" sheetId="15" r:id="rId7"/>
    <sheet name="Cognos_Office_Connection_Cache" sheetId="5" state="veryHidden" r:id="rId8"/>
  </sheets>
  <definedNames>
    <definedName name="cafe_validation_temp" hidden="1">Cognos_Office_Connection_Cache!$B$2:$B$23</definedName>
    <definedName name="ID" localSheetId="7">"8cf5af60-f32c-4d17-a048-978f4aaf10e7"</definedName>
    <definedName name="ID" localSheetId="0" hidden="1">"5e17a746-0843-4e06-b6fd-8a3ba7b6b8ae"</definedName>
    <definedName name="ID" localSheetId="2" hidden="1">"89707efb-c8b5-4d46-8263-983fe3f46f70"</definedName>
    <definedName name="ID" localSheetId="3" hidden="1">"afa1c104-b733-4a31-82cc-7e44f170a2bc"</definedName>
    <definedName name="ID" localSheetId="4" hidden="1">"125f81c2-9785-4323-8a57-f91d13868123"</definedName>
    <definedName name="ID" localSheetId="5" hidden="1">"3ade1f26-3b8b-4eaf-83f9-d78986454195"</definedName>
    <definedName name="ID" localSheetId="6" hidden="1">"ec29e1c0-611a-4f27-b142-12ab0c6f4f59"</definedName>
    <definedName name="ID" localSheetId="1" hidden="1">"2d03ec92-2857-45ae-b691-bee3f01ef50c"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5" l="1"/>
  <c r="K79" i="15"/>
  <c r="J79" i="15"/>
  <c r="D79" i="15"/>
  <c r="C79" i="15"/>
  <c r="S78" i="15"/>
  <c r="K52" i="15"/>
  <c r="J52" i="15"/>
  <c r="I52" i="15"/>
  <c r="C52" i="15"/>
  <c r="S51" i="15"/>
  <c r="R51" i="15"/>
  <c r="N36" i="15"/>
  <c r="M36" i="15"/>
  <c r="L36" i="15"/>
  <c r="K36" i="15"/>
  <c r="H36" i="15"/>
  <c r="F36" i="15"/>
  <c r="E36" i="15"/>
  <c r="D36" i="15"/>
  <c r="C36" i="15"/>
  <c r="Q35" i="15"/>
  <c r="O35" i="15"/>
  <c r="N15" i="15"/>
  <c r="M15" i="15"/>
  <c r="L15" i="15"/>
  <c r="I15" i="15"/>
  <c r="H15" i="15"/>
  <c r="G15" i="15"/>
  <c r="F15" i="15"/>
  <c r="E15" i="15"/>
  <c r="D15" i="15"/>
  <c r="R13" i="15"/>
  <c r="Q13" i="15"/>
  <c r="P13" i="15"/>
  <c r="O13" i="15"/>
  <c r="I11" i="15"/>
  <c r="G11" i="15"/>
  <c r="I79" i="15" s="1"/>
  <c r="C11" i="15"/>
  <c r="D4" i="15"/>
  <c r="C4" i="15"/>
  <c r="B4" i="15"/>
  <c r="D3" i="15"/>
  <c r="C3" i="15"/>
  <c r="B3" i="15"/>
  <c r="D2" i="15"/>
  <c r="C2" i="15"/>
  <c r="B2" i="15"/>
  <c r="M1" i="15"/>
  <c r="D1" i="15"/>
  <c r="C1" i="15"/>
  <c r="B1" i="15"/>
  <c r="L79" i="14"/>
  <c r="K79" i="14"/>
  <c r="J79" i="14"/>
  <c r="D79" i="14"/>
  <c r="C79" i="14"/>
  <c r="S78" i="14"/>
  <c r="K52" i="14"/>
  <c r="J52" i="14"/>
  <c r="I52" i="14"/>
  <c r="C52" i="14"/>
  <c r="S51" i="14"/>
  <c r="R51" i="14"/>
  <c r="N36" i="14"/>
  <c r="M36" i="14"/>
  <c r="L36" i="14"/>
  <c r="F36" i="14"/>
  <c r="E36" i="14"/>
  <c r="D36" i="14"/>
  <c r="O35" i="14"/>
  <c r="N15" i="14"/>
  <c r="M15" i="14"/>
  <c r="J15" i="14"/>
  <c r="I15" i="14"/>
  <c r="G15" i="14"/>
  <c r="F15" i="14"/>
  <c r="E15" i="14"/>
  <c r="S13" i="14"/>
  <c r="R13" i="14"/>
  <c r="P13" i="14"/>
  <c r="O13" i="14"/>
  <c r="I11" i="14"/>
  <c r="G11" i="14"/>
  <c r="I79" i="14" s="1"/>
  <c r="C11" i="14"/>
  <c r="D4" i="14"/>
  <c r="C4" i="14"/>
  <c r="B4" i="14"/>
  <c r="D3" i="14"/>
  <c r="C3" i="14"/>
  <c r="B3" i="14"/>
  <c r="D2" i="14"/>
  <c r="C2" i="14"/>
  <c r="B2" i="14"/>
  <c r="M1" i="14"/>
  <c r="D1" i="14"/>
  <c r="C1" i="14"/>
  <c r="B1" i="14"/>
  <c r="J79" i="13"/>
  <c r="S78" i="13"/>
  <c r="J52" i="13"/>
  <c r="I52" i="13"/>
  <c r="S51" i="13"/>
  <c r="R51" i="13"/>
  <c r="M36" i="13"/>
  <c r="L36" i="13"/>
  <c r="E36" i="13"/>
  <c r="D36" i="13"/>
  <c r="N15" i="13"/>
  <c r="M15" i="13"/>
  <c r="L15" i="13"/>
  <c r="I15" i="13"/>
  <c r="G15" i="13"/>
  <c r="F15" i="13"/>
  <c r="E15" i="13"/>
  <c r="D15" i="13"/>
  <c r="R13" i="13"/>
  <c r="P13" i="13"/>
  <c r="O13" i="13"/>
  <c r="I11" i="13"/>
  <c r="G11" i="13"/>
  <c r="I79" i="13" s="1"/>
  <c r="C11" i="13"/>
  <c r="D4" i="13"/>
  <c r="C4" i="13"/>
  <c r="B4" i="13"/>
  <c r="D3" i="13"/>
  <c r="C3" i="13"/>
  <c r="B3" i="13"/>
  <c r="D2" i="13"/>
  <c r="C2" i="13"/>
  <c r="B2" i="13"/>
  <c r="M1" i="13"/>
  <c r="D1" i="13"/>
  <c r="C1" i="13"/>
  <c r="B1" i="13"/>
  <c r="J79" i="12"/>
  <c r="S78" i="12"/>
  <c r="I52" i="12"/>
  <c r="R51" i="12"/>
  <c r="M36" i="12"/>
  <c r="L36" i="12"/>
  <c r="H36" i="12"/>
  <c r="E36" i="12"/>
  <c r="D36" i="12"/>
  <c r="Q35" i="12"/>
  <c r="N15" i="12"/>
  <c r="M15" i="12"/>
  <c r="L15" i="12"/>
  <c r="J15" i="12"/>
  <c r="I15" i="12"/>
  <c r="F15" i="12"/>
  <c r="E15" i="12"/>
  <c r="D15" i="12"/>
  <c r="S13" i="12"/>
  <c r="R13" i="12"/>
  <c r="O13" i="12"/>
  <c r="I11" i="12"/>
  <c r="G11" i="12"/>
  <c r="I79" i="12" s="1"/>
  <c r="C11" i="12"/>
  <c r="D4" i="12"/>
  <c r="C4" i="12"/>
  <c r="B4" i="12"/>
  <c r="D3" i="12"/>
  <c r="C3" i="12"/>
  <c r="B3" i="12"/>
  <c r="D2" i="12"/>
  <c r="C2" i="12"/>
  <c r="B2" i="12"/>
  <c r="M1" i="12"/>
  <c r="D1" i="12"/>
  <c r="C1" i="12"/>
  <c r="B1" i="12"/>
  <c r="D4" i="4"/>
  <c r="C4" i="4"/>
  <c r="B4" i="4"/>
  <c r="D3" i="4"/>
  <c r="C3" i="4"/>
  <c r="B3" i="4"/>
  <c r="D2" i="4"/>
  <c r="C2" i="4"/>
  <c r="B2" i="4"/>
  <c r="D1" i="4"/>
  <c r="C1" i="4"/>
  <c r="E4" i="10"/>
  <c r="C4" i="10"/>
  <c r="F3" i="10"/>
  <c r="E3" i="10"/>
  <c r="C3" i="10"/>
  <c r="F2" i="10"/>
  <c r="E2" i="10"/>
  <c r="C2" i="10"/>
  <c r="F1" i="10"/>
  <c r="E1" i="10"/>
  <c r="C4" i="11"/>
  <c r="B4" i="11"/>
  <c r="D3" i="11"/>
  <c r="C3" i="11"/>
  <c r="B3" i="11"/>
  <c r="D2" i="11"/>
  <c r="C2" i="11"/>
  <c r="B2" i="11"/>
  <c r="D1" i="11"/>
  <c r="C1" i="11"/>
  <c r="E33" i="15"/>
  <c r="E33" i="14"/>
  <c r="E33" i="13"/>
  <c r="E33" i="12"/>
  <c r="R30" i="15"/>
  <c r="J30" i="15"/>
  <c r="K29" i="15"/>
  <c r="C29" i="15"/>
  <c r="L28" i="15"/>
  <c r="D28" i="15"/>
  <c r="M27" i="15"/>
  <c r="E27" i="15"/>
  <c r="N26" i="15"/>
  <c r="F26" i="15"/>
  <c r="O25" i="15"/>
  <c r="G25" i="15"/>
  <c r="P24" i="15"/>
  <c r="H24" i="15"/>
  <c r="Q23" i="15"/>
  <c r="I23" i="15"/>
  <c r="R22" i="15"/>
  <c r="J22" i="15"/>
  <c r="K21" i="15"/>
  <c r="C21" i="15"/>
  <c r="L20" i="15"/>
  <c r="D20" i="15"/>
  <c r="M19" i="15"/>
  <c r="E19" i="15"/>
  <c r="N18" i="15"/>
  <c r="F18" i="15"/>
  <c r="O17" i="15"/>
  <c r="G17" i="15"/>
  <c r="P16" i="15"/>
  <c r="H16" i="15"/>
  <c r="I5" i="15"/>
  <c r="Q30" i="15"/>
  <c r="I30" i="15"/>
  <c r="R29" i="15"/>
  <c r="J29" i="15"/>
  <c r="K28" i="15"/>
  <c r="C28" i="15"/>
  <c r="L27" i="15"/>
  <c r="D27" i="15"/>
  <c r="M26" i="15"/>
  <c r="E26" i="15"/>
  <c r="N25" i="15"/>
  <c r="F25" i="15"/>
  <c r="O24" i="15"/>
  <c r="G24" i="15"/>
  <c r="P23" i="15"/>
  <c r="H23" i="15"/>
  <c r="Q22" i="15"/>
  <c r="I22" i="15"/>
  <c r="R21" i="15"/>
  <c r="J21" i="15"/>
  <c r="K20" i="15"/>
  <c r="C20" i="15"/>
  <c r="L19" i="15"/>
  <c r="D19" i="15"/>
  <c r="M18" i="15"/>
  <c r="E18" i="15"/>
  <c r="N17" i="15"/>
  <c r="F17" i="15"/>
  <c r="O16" i="15"/>
  <c r="G16" i="15"/>
  <c r="H5" i="15"/>
  <c r="P30" i="15"/>
  <c r="H30" i="15"/>
  <c r="Q29" i="15"/>
  <c r="I29" i="15"/>
  <c r="R28" i="15"/>
  <c r="J28" i="15"/>
  <c r="K27" i="15"/>
  <c r="C27" i="15"/>
  <c r="L26" i="15"/>
  <c r="D26" i="15"/>
  <c r="M25" i="15"/>
  <c r="E25" i="15"/>
  <c r="N24" i="15"/>
  <c r="F24" i="15"/>
  <c r="O23" i="15"/>
  <c r="G23" i="15"/>
  <c r="P22" i="15"/>
  <c r="H22" i="15"/>
  <c r="Q21" i="15"/>
  <c r="I21" i="15"/>
  <c r="R20" i="15"/>
  <c r="J20" i="15"/>
  <c r="K19" i="15"/>
  <c r="C19" i="15"/>
  <c r="L18" i="15"/>
  <c r="D18" i="15"/>
  <c r="M17" i="15"/>
  <c r="E17" i="15"/>
  <c r="N16" i="15"/>
  <c r="F16" i="15"/>
  <c r="G5" i="15"/>
  <c r="O30" i="15"/>
  <c r="G30" i="15"/>
  <c r="P29" i="15"/>
  <c r="H29" i="15"/>
  <c r="Q28" i="15"/>
  <c r="I28" i="15"/>
  <c r="R27" i="15"/>
  <c r="J27" i="15"/>
  <c r="K26" i="15"/>
  <c r="C26" i="15"/>
  <c r="L25" i="15"/>
  <c r="D25" i="15"/>
  <c r="M24" i="15"/>
  <c r="E24" i="15"/>
  <c r="N23" i="15"/>
  <c r="F23" i="15"/>
  <c r="O22" i="15"/>
  <c r="G22" i="15"/>
  <c r="P21" i="15"/>
  <c r="H21" i="15"/>
  <c r="Q20" i="15"/>
  <c r="I20" i="15"/>
  <c r="R19" i="15"/>
  <c r="J19" i="15"/>
  <c r="K18" i="15"/>
  <c r="C18" i="15"/>
  <c r="L17" i="15"/>
  <c r="D17" i="15"/>
  <c r="M16" i="15"/>
  <c r="E16" i="15"/>
  <c r="N5" i="15"/>
  <c r="F5" i="15"/>
  <c r="B37" i="15"/>
  <c r="N30" i="15"/>
  <c r="F30" i="15"/>
  <c r="O29" i="15"/>
  <c r="G29" i="15"/>
  <c r="P28" i="15"/>
  <c r="H28" i="15"/>
  <c r="Q27" i="15"/>
  <c r="I27" i="15"/>
  <c r="R26" i="15"/>
  <c r="J26" i="15"/>
  <c r="K25" i="15"/>
  <c r="C25" i="15"/>
  <c r="L24" i="15"/>
  <c r="D24" i="15"/>
  <c r="M23" i="15"/>
  <c r="E23" i="15"/>
  <c r="N22" i="15"/>
  <c r="F22" i="15"/>
  <c r="O21" i="15"/>
  <c r="G21" i="15"/>
  <c r="P20" i="15"/>
  <c r="H20" i="15"/>
  <c r="Q19" i="15"/>
  <c r="I19" i="15"/>
  <c r="R18" i="15"/>
  <c r="J18" i="15"/>
  <c r="K17" i="15"/>
  <c r="C17" i="15"/>
  <c r="L16" i="15"/>
  <c r="D16" i="15"/>
  <c r="M5" i="15"/>
  <c r="E5" i="15"/>
  <c r="C30" i="15"/>
  <c r="N28" i="15"/>
  <c r="H27" i="15"/>
  <c r="G26" i="15"/>
  <c r="R24" i="15"/>
  <c r="L23" i="15"/>
  <c r="K22" i="15"/>
  <c r="E21" i="15"/>
  <c r="P19" i="15"/>
  <c r="O18" i="15"/>
  <c r="I17" i="15"/>
  <c r="C16" i="15"/>
  <c r="Q24" i="15"/>
  <c r="O19" i="15"/>
  <c r="I18" i="15"/>
  <c r="G28" i="15"/>
  <c r="Q25" i="15"/>
  <c r="J23" i="15"/>
  <c r="O20" i="15"/>
  <c r="H18" i="15"/>
  <c r="L5" i="15"/>
  <c r="D30" i="15"/>
  <c r="H26" i="15"/>
  <c r="R23" i="15"/>
  <c r="P18" i="15"/>
  <c r="I16" i="15"/>
  <c r="N29" i="15"/>
  <c r="M28" i="15"/>
  <c r="G27" i="15"/>
  <c r="R25" i="15"/>
  <c r="K23" i="15"/>
  <c r="E22" i="15"/>
  <c r="D21" i="15"/>
  <c r="H17" i="15"/>
  <c r="D71" i="15"/>
  <c r="O67" i="15"/>
  <c r="F61" i="15"/>
  <c r="P58" i="15"/>
  <c r="D56" i="15"/>
  <c r="N53" i="15"/>
  <c r="G45" i="15"/>
  <c r="L42" i="15"/>
  <c r="E40" i="15"/>
  <c r="O37" i="15"/>
  <c r="M29" i="15"/>
  <c r="F27" i="15"/>
  <c r="K24" i="15"/>
  <c r="D22" i="15"/>
  <c r="N19" i="15"/>
  <c r="E81" i="15"/>
  <c r="D70" i="15"/>
  <c r="P66" i="15"/>
  <c r="D64" i="15"/>
  <c r="N61" i="15"/>
  <c r="G59" i="15"/>
  <c r="L56" i="15"/>
  <c r="E54" i="15"/>
  <c r="I44" i="15"/>
  <c r="M40" i="15"/>
  <c r="N27" i="15"/>
  <c r="L22" i="15"/>
  <c r="F21" i="15"/>
  <c r="E82" i="15"/>
  <c r="G80" i="15"/>
  <c r="D82" i="15"/>
  <c r="F80" i="15"/>
  <c r="P74" i="15"/>
  <c r="R72" i="15"/>
  <c r="C71" i="15"/>
  <c r="E69" i="15"/>
  <c r="H67" i="15"/>
  <c r="R64" i="15"/>
  <c r="L63" i="15"/>
  <c r="F62" i="15"/>
  <c r="E61" i="15"/>
  <c r="P59" i="15"/>
  <c r="J58" i="15"/>
  <c r="I57" i="15"/>
  <c r="C56" i="15"/>
  <c r="N54" i="15"/>
  <c r="M53" i="15"/>
  <c r="R44" i="15"/>
  <c r="Q43" i="15"/>
  <c r="K42" i="15"/>
  <c r="E41" i="15"/>
  <c r="D40" i="15"/>
  <c r="O38" i="15"/>
  <c r="I37" i="15"/>
  <c r="M30" i="15"/>
  <c r="L29" i="15"/>
  <c r="F28" i="15"/>
  <c r="Q26" i="15"/>
  <c r="P25" i="15"/>
  <c r="J24" i="15"/>
  <c r="D23" i="15"/>
  <c r="C22" i="15"/>
  <c r="N20" i="15"/>
  <c r="H19" i="15"/>
  <c r="G18" i="15"/>
  <c r="R16" i="15"/>
  <c r="K5" i="15"/>
  <c r="O39" i="15"/>
  <c r="N38" i="15"/>
  <c r="H37" i="15"/>
  <c r="L30" i="15"/>
  <c r="F29" i="15"/>
  <c r="E28" i="15"/>
  <c r="P26" i="15"/>
  <c r="J25" i="15"/>
  <c r="I24" i="15"/>
  <c r="C23" i="15"/>
  <c r="N21" i="15"/>
  <c r="M20" i="15"/>
  <c r="G19" i="15"/>
  <c r="R17" i="15"/>
  <c r="Q16" i="15"/>
  <c r="J5" i="15"/>
  <c r="L21" i="15"/>
  <c r="Q18" i="15"/>
  <c r="J16" i="15"/>
  <c r="L11" i="15"/>
  <c r="C5" i="15"/>
  <c r="J17" i="15"/>
  <c r="N81" i="15"/>
  <c r="I74" i="15"/>
  <c r="K72" i="15"/>
  <c r="M70" i="15"/>
  <c r="P68" i="15"/>
  <c r="G67" i="15"/>
  <c r="R65" i="15"/>
  <c r="L64" i="15"/>
  <c r="K63" i="15"/>
  <c r="E62" i="15"/>
  <c r="P60" i="15"/>
  <c r="O59" i="15"/>
  <c r="I58" i="15"/>
  <c r="C57" i="15"/>
  <c r="M54" i="15"/>
  <c r="G53" i="15"/>
  <c r="Q44" i="15"/>
  <c r="K43" i="15"/>
  <c r="J42" i="15"/>
  <c r="D41" i="15"/>
  <c r="M81" i="15"/>
  <c r="H74" i="15"/>
  <c r="J72" i="15"/>
  <c r="L70" i="15"/>
  <c r="O68" i="15"/>
  <c r="R66" i="15"/>
  <c r="Q65" i="15"/>
  <c r="K64" i="15"/>
  <c r="E63" i="15"/>
  <c r="D62" i="15"/>
  <c r="O60" i="15"/>
  <c r="I59" i="15"/>
  <c r="H58" i="15"/>
  <c r="M55" i="15"/>
  <c r="L54" i="15"/>
  <c r="F53" i="15"/>
  <c r="Q45" i="15"/>
  <c r="P44" i="15"/>
  <c r="J43" i="15"/>
  <c r="D42" i="15"/>
  <c r="C41" i="15"/>
  <c r="N39" i="15"/>
  <c r="H38" i="15"/>
  <c r="G37" i="15"/>
  <c r="K30" i="15"/>
  <c r="E29" i="15"/>
  <c r="P27" i="15"/>
  <c r="O26" i="15"/>
  <c r="I25" i="15"/>
  <c r="C24" i="15"/>
  <c r="M21" i="15"/>
  <c r="G20" i="15"/>
  <c r="F19" i="15"/>
  <c r="Q17" i="15"/>
  <c r="K16" i="15"/>
  <c r="D5" i="15"/>
  <c r="F81" i="15"/>
  <c r="R73" i="15"/>
  <c r="C72" i="15"/>
  <c r="E70" i="15"/>
  <c r="N68" i="15"/>
  <c r="Q66" i="15"/>
  <c r="K65" i="15"/>
  <c r="J64" i="15"/>
  <c r="D63" i="15"/>
  <c r="O61" i="15"/>
  <c r="N60" i="15"/>
  <c r="H59" i="15"/>
  <c r="R56" i="15"/>
  <c r="L55" i="15"/>
  <c r="F54" i="15"/>
  <c r="E53" i="15"/>
  <c r="P45" i="15"/>
  <c r="J44" i="15"/>
  <c r="I43" i="15"/>
  <c r="C42" i="15"/>
  <c r="N40" i="15"/>
  <c r="M39" i="15"/>
  <c r="G38" i="15"/>
  <c r="E30" i="15"/>
  <c r="D29" i="15"/>
  <c r="O27" i="15"/>
  <c r="I26" i="15"/>
  <c r="H25" i="15"/>
  <c r="M22" i="15"/>
  <c r="F20" i="15"/>
  <c r="P17" i="15"/>
  <c r="C43" i="15"/>
  <c r="F38" i="15"/>
  <c r="O28" i="15"/>
  <c r="E20" i="15"/>
  <c r="R30" i="14"/>
  <c r="J30" i="14"/>
  <c r="S29" i="14"/>
  <c r="K29" i="14"/>
  <c r="C29" i="14"/>
  <c r="L28" i="14"/>
  <c r="D28" i="14"/>
  <c r="M27" i="14"/>
  <c r="E27" i="14"/>
  <c r="N26" i="14"/>
  <c r="F26" i="14"/>
  <c r="O25" i="14"/>
  <c r="G25" i="14"/>
  <c r="P24" i="14"/>
  <c r="H24" i="14"/>
  <c r="I23" i="14"/>
  <c r="R22" i="14"/>
  <c r="J22" i="14"/>
  <c r="S21" i="14"/>
  <c r="K21" i="14"/>
  <c r="C21" i="14"/>
  <c r="L20" i="14"/>
  <c r="D20" i="14"/>
  <c r="M19" i="14"/>
  <c r="E19" i="14"/>
  <c r="N18" i="14"/>
  <c r="F18" i="14"/>
  <c r="O17" i="14"/>
  <c r="G17" i="14"/>
  <c r="P16" i="14"/>
  <c r="H16" i="14"/>
  <c r="I5" i="14"/>
  <c r="I30" i="14"/>
  <c r="R29" i="14"/>
  <c r="J29" i="14"/>
  <c r="S28" i="14"/>
  <c r="K28" i="14"/>
  <c r="C28" i="14"/>
  <c r="L27" i="14"/>
  <c r="D27" i="14"/>
  <c r="M26" i="14"/>
  <c r="E26" i="14"/>
  <c r="N25" i="14"/>
  <c r="F25" i="14"/>
  <c r="O24" i="14"/>
  <c r="G24" i="14"/>
  <c r="P23" i="14"/>
  <c r="H23" i="14"/>
  <c r="I22" i="14"/>
  <c r="R21" i="14"/>
  <c r="J21" i="14"/>
  <c r="S20" i="14"/>
  <c r="K20" i="14"/>
  <c r="C20" i="14"/>
  <c r="L19" i="14"/>
  <c r="D19" i="14"/>
  <c r="M18" i="14"/>
  <c r="E18" i="14"/>
  <c r="N17" i="14"/>
  <c r="F17" i="14"/>
  <c r="O16" i="14"/>
  <c r="G16" i="14"/>
  <c r="H5" i="14"/>
  <c r="P30" i="14"/>
  <c r="H30" i="14"/>
  <c r="I29" i="14"/>
  <c r="R28" i="14"/>
  <c r="J28" i="14"/>
  <c r="S27" i="14"/>
  <c r="K27" i="14"/>
  <c r="C27" i="14"/>
  <c r="L26" i="14"/>
  <c r="D26" i="14"/>
  <c r="M25" i="14"/>
  <c r="E25" i="14"/>
  <c r="N24" i="14"/>
  <c r="F24" i="14"/>
  <c r="O23" i="14"/>
  <c r="G23" i="14"/>
  <c r="P22" i="14"/>
  <c r="H22" i="14"/>
  <c r="I21" i="14"/>
  <c r="R20" i="14"/>
  <c r="J20" i="14"/>
  <c r="S19" i="14"/>
  <c r="K19" i="14"/>
  <c r="C19" i="14"/>
  <c r="L18" i="14"/>
  <c r="D18" i="14"/>
  <c r="M17" i="14"/>
  <c r="E17" i="14"/>
  <c r="N16" i="14"/>
  <c r="F16" i="14"/>
  <c r="G5" i="14"/>
  <c r="O30" i="14"/>
  <c r="G30" i="14"/>
  <c r="P29" i="14"/>
  <c r="H29" i="14"/>
  <c r="I28" i="14"/>
  <c r="R27" i="14"/>
  <c r="J27" i="14"/>
  <c r="S26" i="14"/>
  <c r="K26" i="14"/>
  <c r="C26" i="14"/>
  <c r="L25" i="14"/>
  <c r="D25" i="14"/>
  <c r="M24" i="14"/>
  <c r="E24" i="14"/>
  <c r="N23" i="14"/>
  <c r="F23" i="14"/>
  <c r="O22" i="14"/>
  <c r="G22" i="14"/>
  <c r="P21" i="14"/>
  <c r="H21" i="14"/>
  <c r="I20" i="14"/>
  <c r="R19" i="14"/>
  <c r="J19" i="14"/>
  <c r="S18" i="14"/>
  <c r="K18" i="14"/>
  <c r="C18" i="14"/>
  <c r="L17" i="14"/>
  <c r="D17" i="14"/>
  <c r="M16" i="14"/>
  <c r="E16" i="14"/>
  <c r="N5" i="14"/>
  <c r="F5" i="14"/>
  <c r="B37" i="14"/>
  <c r="N30" i="14"/>
  <c r="F30" i="14"/>
  <c r="O29" i="14"/>
  <c r="G29" i="14"/>
  <c r="P28" i="14"/>
  <c r="H28" i="14"/>
  <c r="I27" i="14"/>
  <c r="R26" i="14"/>
  <c r="J26" i="14"/>
  <c r="S25" i="14"/>
  <c r="K25" i="14"/>
  <c r="C25" i="14"/>
  <c r="L24" i="14"/>
  <c r="D24" i="14"/>
  <c r="M23" i="14"/>
  <c r="E23" i="14"/>
  <c r="N22" i="14"/>
  <c r="F22" i="14"/>
  <c r="O21" i="14"/>
  <c r="G21" i="14"/>
  <c r="P20" i="14"/>
  <c r="H20" i="14"/>
  <c r="I19" i="14"/>
  <c r="R18" i="14"/>
  <c r="J18" i="14"/>
  <c r="S17" i="14"/>
  <c r="K17" i="14"/>
  <c r="C17" i="14"/>
  <c r="L16" i="14"/>
  <c r="D16" i="14"/>
  <c r="M5" i="14"/>
  <c r="E5" i="14"/>
  <c r="E30" i="14"/>
  <c r="D29" i="14"/>
  <c r="O27" i="14"/>
  <c r="I26" i="14"/>
  <c r="H25" i="14"/>
  <c r="S23" i="14"/>
  <c r="M22" i="14"/>
  <c r="L21" i="14"/>
  <c r="F20" i="14"/>
  <c r="P17" i="14"/>
  <c r="J16" i="14"/>
  <c r="O19" i="14"/>
  <c r="K5" i="14"/>
  <c r="N20" i="14"/>
  <c r="F29" i="14"/>
  <c r="C23" i="14"/>
  <c r="D30" i="14"/>
  <c r="O28" i="14"/>
  <c r="N27" i="14"/>
  <c r="H26" i="14"/>
  <c r="S24" i="14"/>
  <c r="R23" i="14"/>
  <c r="L22" i="14"/>
  <c r="F21" i="14"/>
  <c r="E20" i="14"/>
  <c r="P18" i="14"/>
  <c r="J17" i="14"/>
  <c r="I16" i="14"/>
  <c r="M28" i="14"/>
  <c r="K23" i="14"/>
  <c r="I18" i="14"/>
  <c r="M30" i="14"/>
  <c r="J24" i="14"/>
  <c r="H19" i="14"/>
  <c r="P26" i="14"/>
  <c r="N21" i="14"/>
  <c r="R17" i="14"/>
  <c r="L11" i="14"/>
  <c r="E29" i="14"/>
  <c r="C30" i="14"/>
  <c r="N28" i="14"/>
  <c r="H27" i="14"/>
  <c r="G26" i="14"/>
  <c r="R24" i="14"/>
  <c r="L23" i="14"/>
  <c r="K22" i="14"/>
  <c r="E21" i="14"/>
  <c r="P19" i="14"/>
  <c r="O18" i="14"/>
  <c r="I17" i="14"/>
  <c r="C16" i="14"/>
  <c r="L5" i="14"/>
  <c r="N29" i="14"/>
  <c r="G27" i="14"/>
  <c r="E22" i="14"/>
  <c r="H17" i="14"/>
  <c r="F28" i="14"/>
  <c r="C22" i="14"/>
  <c r="G18" i="14"/>
  <c r="R25" i="14"/>
  <c r="D21" i="14"/>
  <c r="P66" i="14"/>
  <c r="R57" i="14"/>
  <c r="E54" i="14"/>
  <c r="S41" i="14"/>
  <c r="P25" i="14"/>
  <c r="R16" i="14"/>
  <c r="D70" i="14"/>
  <c r="G60" i="14"/>
  <c r="D54" i="14"/>
  <c r="H44" i="14"/>
  <c r="F39" i="14"/>
  <c r="L30" i="14"/>
  <c r="J25" i="14"/>
  <c r="G19" i="14"/>
  <c r="D55" i="14"/>
  <c r="H45" i="14"/>
  <c r="L41" i="14"/>
  <c r="P37" i="14"/>
  <c r="P27" i="14"/>
  <c r="I25" i="14"/>
  <c r="S22" i="14"/>
  <c r="G20" i="14"/>
  <c r="N80" i="14"/>
  <c r="P74" i="14"/>
  <c r="C71" i="14"/>
  <c r="G67" i="14"/>
  <c r="K63" i="14"/>
  <c r="N60" i="14"/>
  <c r="H59" i="14"/>
  <c r="S57" i="14"/>
  <c r="R56" i="14"/>
  <c r="L55" i="14"/>
  <c r="F54" i="14"/>
  <c r="E53" i="14"/>
  <c r="P45" i="14"/>
  <c r="J44" i="14"/>
  <c r="I43" i="14"/>
  <c r="C42" i="14"/>
  <c r="N40" i="14"/>
  <c r="M39" i="14"/>
  <c r="G38" i="14"/>
  <c r="S30" i="14"/>
  <c r="M29" i="14"/>
  <c r="G28" i="14"/>
  <c r="F27" i="14"/>
  <c r="K24" i="14"/>
  <c r="J23" i="14"/>
  <c r="D22" i="14"/>
  <c r="O20" i="14"/>
  <c r="N19" i="14"/>
  <c r="H18" i="14"/>
  <c r="S16" i="14"/>
  <c r="J5" i="14"/>
  <c r="F80" i="14"/>
  <c r="H60" i="14"/>
  <c r="K55" i="14"/>
  <c r="O45" i="14"/>
  <c r="M40" i="14"/>
  <c r="L29" i="14"/>
  <c r="D23" i="14"/>
  <c r="D5" i="14"/>
  <c r="L62" i="14"/>
  <c r="K56" i="14"/>
  <c r="I45" i="14"/>
  <c r="L40" i="14"/>
  <c r="E28" i="14"/>
  <c r="I24" i="14"/>
  <c r="M20" i="14"/>
  <c r="C5" i="14"/>
  <c r="I73" i="14"/>
  <c r="D62" i="14"/>
  <c r="K57" i="14"/>
  <c r="O53" i="14"/>
  <c r="R42" i="14"/>
  <c r="E39" i="14"/>
  <c r="K30" i="14"/>
  <c r="O26" i="14"/>
  <c r="C24" i="14"/>
  <c r="M21" i="14"/>
  <c r="F19" i="14"/>
  <c r="K16" i="14"/>
  <c r="R30" i="13"/>
  <c r="J30" i="13"/>
  <c r="K29" i="13"/>
  <c r="C29" i="13"/>
  <c r="L28" i="13"/>
  <c r="D28" i="13"/>
  <c r="M27" i="13"/>
  <c r="E27" i="13"/>
  <c r="N26" i="13"/>
  <c r="F26" i="13"/>
  <c r="O25" i="13"/>
  <c r="G25" i="13"/>
  <c r="P24" i="13"/>
  <c r="H24" i="13"/>
  <c r="I23" i="13"/>
  <c r="R22" i="13"/>
  <c r="J22" i="13"/>
  <c r="K21" i="13"/>
  <c r="C21" i="13"/>
  <c r="L20" i="13"/>
  <c r="D20" i="13"/>
  <c r="M19" i="13"/>
  <c r="E19" i="13"/>
  <c r="N18" i="13"/>
  <c r="F18" i="13"/>
  <c r="O17" i="13"/>
  <c r="G17" i="13"/>
  <c r="P16" i="13"/>
  <c r="H16" i="13"/>
  <c r="I5" i="13"/>
  <c r="I30" i="13"/>
  <c r="R29" i="13"/>
  <c r="J29" i="13"/>
  <c r="K28" i="13"/>
  <c r="C28" i="13"/>
  <c r="L27" i="13"/>
  <c r="D27" i="13"/>
  <c r="M26" i="13"/>
  <c r="E26" i="13"/>
  <c r="N25" i="13"/>
  <c r="F25" i="13"/>
  <c r="O24" i="13"/>
  <c r="G24" i="13"/>
  <c r="P23" i="13"/>
  <c r="H23" i="13"/>
  <c r="I22" i="13"/>
  <c r="R21" i="13"/>
  <c r="J21" i="13"/>
  <c r="K20" i="13"/>
  <c r="C20" i="13"/>
  <c r="L19" i="13"/>
  <c r="D19" i="13"/>
  <c r="M18" i="13"/>
  <c r="E18" i="13"/>
  <c r="N17" i="13"/>
  <c r="F17" i="13"/>
  <c r="O16" i="13"/>
  <c r="G16" i="13"/>
  <c r="H5" i="13"/>
  <c r="P30" i="13"/>
  <c r="H30" i="13"/>
  <c r="I29" i="13"/>
  <c r="R28" i="13"/>
  <c r="J28" i="13"/>
  <c r="K27" i="13"/>
  <c r="C27" i="13"/>
  <c r="L26" i="13"/>
  <c r="D26" i="13"/>
  <c r="M25" i="13"/>
  <c r="E25" i="13"/>
  <c r="N24" i="13"/>
  <c r="F24" i="13"/>
  <c r="O23" i="13"/>
  <c r="G23" i="13"/>
  <c r="P22" i="13"/>
  <c r="H22" i="13"/>
  <c r="I21" i="13"/>
  <c r="R20" i="13"/>
  <c r="J20" i="13"/>
  <c r="K19" i="13"/>
  <c r="C19" i="13"/>
  <c r="L18" i="13"/>
  <c r="D18" i="13"/>
  <c r="M17" i="13"/>
  <c r="E17" i="13"/>
  <c r="N16" i="13"/>
  <c r="F16" i="13"/>
  <c r="G5" i="13"/>
  <c r="O30" i="13"/>
  <c r="G30" i="13"/>
  <c r="P29" i="13"/>
  <c r="H29" i="13"/>
  <c r="I28" i="13"/>
  <c r="R27" i="13"/>
  <c r="J27" i="13"/>
  <c r="K26" i="13"/>
  <c r="C26" i="13"/>
  <c r="L25" i="13"/>
  <c r="D25" i="13"/>
  <c r="M24" i="13"/>
  <c r="E24" i="13"/>
  <c r="N23" i="13"/>
  <c r="F23" i="13"/>
  <c r="O22" i="13"/>
  <c r="G22" i="13"/>
  <c r="P21" i="13"/>
  <c r="H21" i="13"/>
  <c r="I20" i="13"/>
  <c r="R19" i="13"/>
  <c r="J19" i="13"/>
  <c r="K18" i="13"/>
  <c r="C18" i="13"/>
  <c r="L17" i="13"/>
  <c r="D17" i="13"/>
  <c r="M16" i="13"/>
  <c r="E16" i="13"/>
  <c r="N5" i="13"/>
  <c r="F5" i="13"/>
  <c r="B37" i="13"/>
  <c r="N30" i="13"/>
  <c r="F30" i="13"/>
  <c r="O29" i="13"/>
  <c r="G29" i="13"/>
  <c r="P28" i="13"/>
  <c r="H28" i="13"/>
  <c r="I27" i="13"/>
  <c r="R26" i="13"/>
  <c r="J26" i="13"/>
  <c r="K25" i="13"/>
  <c r="C25" i="13"/>
  <c r="L24" i="13"/>
  <c r="D24" i="13"/>
  <c r="M23" i="13"/>
  <c r="E23" i="13"/>
  <c r="N22" i="13"/>
  <c r="F22" i="13"/>
  <c r="O21" i="13"/>
  <c r="G21" i="13"/>
  <c r="P20" i="13"/>
  <c r="H20" i="13"/>
  <c r="I19" i="13"/>
  <c r="R18" i="13"/>
  <c r="J18" i="13"/>
  <c r="K17" i="13"/>
  <c r="C17" i="13"/>
  <c r="L16" i="13"/>
  <c r="D16" i="13"/>
  <c r="M5" i="13"/>
  <c r="E5" i="13"/>
  <c r="M29" i="13"/>
  <c r="N28" i="13"/>
  <c r="N82" i="13"/>
  <c r="F82" i="13"/>
  <c r="O81" i="13"/>
  <c r="G81" i="13"/>
  <c r="P80" i="13"/>
  <c r="H80" i="13"/>
  <c r="R74" i="13"/>
  <c r="J74" i="13"/>
  <c r="K73" i="13"/>
  <c r="C73" i="13"/>
  <c r="L72" i="13"/>
  <c r="D72" i="13"/>
  <c r="M71" i="13"/>
  <c r="E71" i="13"/>
  <c r="N70" i="13"/>
  <c r="F70" i="13"/>
  <c r="O69" i="13"/>
  <c r="G69" i="13"/>
  <c r="P68" i="13"/>
  <c r="H68" i="13"/>
  <c r="I67" i="13"/>
  <c r="R66" i="13"/>
  <c r="J66" i="13"/>
  <c r="K65" i="13"/>
  <c r="C65" i="13"/>
  <c r="L64" i="13"/>
  <c r="D64" i="13"/>
  <c r="M63" i="13"/>
  <c r="E63" i="13"/>
  <c r="N62" i="13"/>
  <c r="F62" i="13"/>
  <c r="O61" i="13"/>
  <c r="G61" i="13"/>
  <c r="P60" i="13"/>
  <c r="H60" i="13"/>
  <c r="I59" i="13"/>
  <c r="R58" i="13"/>
  <c r="J58" i="13"/>
  <c r="K57" i="13"/>
  <c r="C57" i="13"/>
  <c r="L56" i="13"/>
  <c r="D56" i="13"/>
  <c r="M55" i="13"/>
  <c r="E55" i="13"/>
  <c r="N54" i="13"/>
  <c r="F54" i="13"/>
  <c r="O53" i="13"/>
  <c r="G53" i="13"/>
  <c r="I45" i="13"/>
  <c r="R44" i="13"/>
  <c r="J44" i="13"/>
  <c r="K43" i="13"/>
  <c r="C43" i="13"/>
  <c r="L42" i="13"/>
  <c r="D42" i="13"/>
  <c r="M41" i="13"/>
  <c r="E41" i="13"/>
  <c r="N40" i="13"/>
  <c r="F40" i="13"/>
  <c r="O39" i="13"/>
  <c r="G39" i="13"/>
  <c r="P38" i="13"/>
  <c r="H38" i="13"/>
  <c r="I37" i="13"/>
  <c r="M30" i="13"/>
  <c r="E30" i="13"/>
  <c r="N29" i="13"/>
  <c r="F29" i="13"/>
  <c r="O28" i="13"/>
  <c r="G28" i="13"/>
  <c r="P27" i="13"/>
  <c r="H27" i="13"/>
  <c r="I26" i="13"/>
  <c r="R25" i="13"/>
  <c r="J25" i="13"/>
  <c r="K24" i="13"/>
  <c r="C24" i="13"/>
  <c r="L23" i="13"/>
  <c r="D23" i="13"/>
  <c r="M22" i="13"/>
  <c r="E22" i="13"/>
  <c r="N21" i="13"/>
  <c r="F21" i="13"/>
  <c r="O20" i="13"/>
  <c r="G20" i="13"/>
  <c r="P19" i="13"/>
  <c r="H19" i="13"/>
  <c r="I18" i="13"/>
  <c r="R17" i="13"/>
  <c r="J17" i="13"/>
  <c r="K16" i="13"/>
  <c r="C16" i="13"/>
  <c r="L5" i="13"/>
  <c r="D5" i="13"/>
  <c r="M82" i="13"/>
  <c r="E82" i="13"/>
  <c r="N81" i="13"/>
  <c r="F81" i="13"/>
  <c r="O80" i="13"/>
  <c r="G80" i="13"/>
  <c r="I74" i="13"/>
  <c r="R73" i="13"/>
  <c r="J73" i="13"/>
  <c r="K72" i="13"/>
  <c r="C72" i="13"/>
  <c r="L71" i="13"/>
  <c r="D71" i="13"/>
  <c r="M70" i="13"/>
  <c r="E70" i="13"/>
  <c r="N69" i="13"/>
  <c r="F69" i="13"/>
  <c r="O68" i="13"/>
  <c r="G68" i="13"/>
  <c r="P67" i="13"/>
  <c r="H67" i="13"/>
  <c r="I66" i="13"/>
  <c r="R65" i="13"/>
  <c r="J65" i="13"/>
  <c r="K64" i="13"/>
  <c r="C64" i="13"/>
  <c r="L63" i="13"/>
  <c r="D63" i="13"/>
  <c r="M62" i="13"/>
  <c r="E62" i="13"/>
  <c r="N61" i="13"/>
  <c r="F61" i="13"/>
  <c r="O60" i="13"/>
  <c r="G60" i="13"/>
  <c r="P59" i="13"/>
  <c r="H59" i="13"/>
  <c r="I58" i="13"/>
  <c r="R57" i="13"/>
  <c r="J57" i="13"/>
  <c r="K56" i="13"/>
  <c r="C56" i="13"/>
  <c r="L55" i="13"/>
  <c r="D55" i="13"/>
  <c r="M54" i="13"/>
  <c r="E54" i="13"/>
  <c r="N53" i="13"/>
  <c r="F53" i="13"/>
  <c r="P45" i="13"/>
  <c r="H45" i="13"/>
  <c r="I44" i="13"/>
  <c r="R43" i="13"/>
  <c r="J43" i="13"/>
  <c r="C42" i="13"/>
  <c r="L41" i="13"/>
  <c r="D41" i="13"/>
  <c r="M40" i="13"/>
  <c r="N39" i="13"/>
  <c r="O38" i="13"/>
  <c r="P37" i="13"/>
  <c r="L30" i="13"/>
  <c r="D30" i="13"/>
  <c r="E29" i="13"/>
  <c r="F28" i="13"/>
  <c r="L82" i="13"/>
  <c r="P74" i="13"/>
  <c r="C71" i="13"/>
  <c r="G67" i="13"/>
  <c r="K63" i="13"/>
  <c r="O59" i="13"/>
  <c r="I43" i="13"/>
  <c r="M39" i="13"/>
  <c r="E28" i="13"/>
  <c r="G26" i="13"/>
  <c r="I24" i="13"/>
  <c r="K22" i="13"/>
  <c r="M20" i="13"/>
  <c r="O18" i="13"/>
  <c r="J64" i="13"/>
  <c r="L40" i="13"/>
  <c r="F19" i="13"/>
  <c r="M28" i="13"/>
  <c r="L22" i="13"/>
  <c r="P18" i="13"/>
  <c r="D82" i="13"/>
  <c r="H74" i="13"/>
  <c r="L70" i="13"/>
  <c r="P66" i="13"/>
  <c r="C63" i="13"/>
  <c r="G59" i="13"/>
  <c r="K55" i="13"/>
  <c r="R42" i="13"/>
  <c r="E39" i="13"/>
  <c r="O27" i="13"/>
  <c r="D22" i="13"/>
  <c r="F20" i="13"/>
  <c r="H18" i="13"/>
  <c r="J16" i="13"/>
  <c r="F68" i="13"/>
  <c r="N60" i="13"/>
  <c r="E53" i="13"/>
  <c r="D29" i="13"/>
  <c r="L11" i="13"/>
  <c r="K71" i="13"/>
  <c r="O67" i="13"/>
  <c r="J56" i="13"/>
  <c r="D40" i="13"/>
  <c r="H26" i="13"/>
  <c r="N20" i="13"/>
  <c r="M81" i="13"/>
  <c r="D70" i="13"/>
  <c r="H66" i="13"/>
  <c r="L62" i="13"/>
  <c r="P58" i="13"/>
  <c r="C55" i="13"/>
  <c r="J42" i="13"/>
  <c r="N38" i="13"/>
  <c r="N27" i="13"/>
  <c r="P25" i="13"/>
  <c r="R23" i="13"/>
  <c r="C22" i="13"/>
  <c r="E20" i="13"/>
  <c r="G18" i="13"/>
  <c r="I16" i="13"/>
  <c r="K5" i="13"/>
  <c r="E81" i="13"/>
  <c r="I73" i="13"/>
  <c r="M69" i="13"/>
  <c r="D62" i="13"/>
  <c r="H58" i="13"/>
  <c r="L54" i="13"/>
  <c r="O45" i="13"/>
  <c r="F38" i="13"/>
  <c r="K30" i="13"/>
  <c r="G27" i="13"/>
  <c r="I25" i="13"/>
  <c r="K23" i="13"/>
  <c r="M21" i="13"/>
  <c r="O19" i="13"/>
  <c r="J5" i="13"/>
  <c r="N80" i="13"/>
  <c r="R72" i="13"/>
  <c r="E69" i="13"/>
  <c r="I65" i="13"/>
  <c r="M61" i="13"/>
  <c r="D54" i="13"/>
  <c r="G45" i="13"/>
  <c r="K41" i="13"/>
  <c r="O37" i="13"/>
  <c r="C30" i="13"/>
  <c r="F27" i="13"/>
  <c r="H25" i="13"/>
  <c r="J23" i="13"/>
  <c r="L21" i="13"/>
  <c r="N19" i="13"/>
  <c r="P17" i="13"/>
  <c r="C5" i="13"/>
  <c r="F80" i="13"/>
  <c r="J72" i="13"/>
  <c r="N68" i="13"/>
  <c r="R64" i="13"/>
  <c r="E61" i="13"/>
  <c r="I57" i="13"/>
  <c r="M53" i="13"/>
  <c r="P44" i="13"/>
  <c r="C41" i="13"/>
  <c r="G37" i="13"/>
  <c r="L29" i="13"/>
  <c r="P26" i="13"/>
  <c r="R24" i="13"/>
  <c r="C23" i="13"/>
  <c r="E21" i="13"/>
  <c r="G19" i="13"/>
  <c r="I17" i="13"/>
  <c r="R56" i="13"/>
  <c r="H44" i="13"/>
  <c r="O26" i="13"/>
  <c r="D21" i="13"/>
  <c r="H17" i="13"/>
  <c r="F60" i="13"/>
  <c r="J24" i="13"/>
  <c r="R16" i="13"/>
  <c r="R30" i="12"/>
  <c r="J30" i="12"/>
  <c r="S29" i="12"/>
  <c r="K29" i="12"/>
  <c r="C29" i="12"/>
  <c r="L28" i="12"/>
  <c r="D28" i="12"/>
  <c r="M27" i="12"/>
  <c r="E27" i="12"/>
  <c r="N26" i="12"/>
  <c r="F26" i="12"/>
  <c r="O25" i="12"/>
  <c r="G25" i="12"/>
  <c r="H24" i="12"/>
  <c r="I23" i="12"/>
  <c r="R22" i="12"/>
  <c r="J22" i="12"/>
  <c r="S21" i="12"/>
  <c r="K21" i="12"/>
  <c r="C21" i="12"/>
  <c r="L20" i="12"/>
  <c r="D20" i="12"/>
  <c r="M19" i="12"/>
  <c r="E19" i="12"/>
  <c r="N18" i="12"/>
  <c r="F18" i="12"/>
  <c r="O17" i="12"/>
  <c r="G17" i="12"/>
  <c r="H16" i="12"/>
  <c r="I5" i="12"/>
  <c r="I30" i="12"/>
  <c r="R29" i="12"/>
  <c r="J29" i="12"/>
  <c r="S28" i="12"/>
  <c r="K28" i="12"/>
  <c r="C28" i="12"/>
  <c r="L27" i="12"/>
  <c r="D27" i="12"/>
  <c r="M26" i="12"/>
  <c r="E26" i="12"/>
  <c r="N25" i="12"/>
  <c r="F25" i="12"/>
  <c r="O24" i="12"/>
  <c r="G24" i="12"/>
  <c r="H23" i="12"/>
  <c r="I22" i="12"/>
  <c r="R21" i="12"/>
  <c r="J21" i="12"/>
  <c r="S20" i="12"/>
  <c r="K20" i="12"/>
  <c r="C20" i="12"/>
  <c r="L19" i="12"/>
  <c r="D19" i="12"/>
  <c r="M18" i="12"/>
  <c r="E18" i="12"/>
  <c r="N17" i="12"/>
  <c r="F17" i="12"/>
  <c r="O16" i="12"/>
  <c r="G16" i="12"/>
  <c r="H5" i="12"/>
  <c r="H30" i="12"/>
  <c r="I29" i="12"/>
  <c r="R28" i="12"/>
  <c r="J28" i="12"/>
  <c r="S27" i="12"/>
  <c r="K27" i="12"/>
  <c r="C27" i="12"/>
  <c r="L26" i="12"/>
  <c r="D26" i="12"/>
  <c r="M25" i="12"/>
  <c r="E25" i="12"/>
  <c r="N24" i="12"/>
  <c r="F24" i="12"/>
  <c r="O23" i="12"/>
  <c r="G23" i="12"/>
  <c r="H22" i="12"/>
  <c r="I21" i="12"/>
  <c r="R20" i="12"/>
  <c r="J20" i="12"/>
  <c r="S19" i="12"/>
  <c r="K19" i="12"/>
  <c r="C19" i="12"/>
  <c r="L18" i="12"/>
  <c r="D18" i="12"/>
  <c r="M17" i="12"/>
  <c r="E17" i="12"/>
  <c r="N16" i="12"/>
  <c r="F16" i="12"/>
  <c r="G5" i="12"/>
  <c r="O30" i="12"/>
  <c r="G30" i="12"/>
  <c r="H29" i="12"/>
  <c r="I28" i="12"/>
  <c r="R27" i="12"/>
  <c r="J27" i="12"/>
  <c r="S26" i="12"/>
  <c r="K26" i="12"/>
  <c r="C26" i="12"/>
  <c r="L25" i="12"/>
  <c r="D25" i="12"/>
  <c r="M24" i="12"/>
  <c r="E24" i="12"/>
  <c r="N23" i="12"/>
  <c r="F23" i="12"/>
  <c r="O22" i="12"/>
  <c r="G22" i="12"/>
  <c r="H21" i="12"/>
  <c r="I20" i="12"/>
  <c r="R19" i="12"/>
  <c r="J19" i="12"/>
  <c r="S18" i="12"/>
  <c r="K18" i="12"/>
  <c r="C18" i="12"/>
  <c r="L17" i="12"/>
  <c r="D17" i="12"/>
  <c r="M16" i="12"/>
  <c r="E16" i="12"/>
  <c r="N5" i="12"/>
  <c r="F5" i="12"/>
  <c r="B37" i="12"/>
  <c r="N30" i="12"/>
  <c r="F30" i="12"/>
  <c r="O29" i="12"/>
  <c r="G29" i="12"/>
  <c r="H28" i="12"/>
  <c r="I27" i="12"/>
  <c r="R26" i="12"/>
  <c r="J26" i="12"/>
  <c r="S25" i="12"/>
  <c r="K25" i="12"/>
  <c r="C25" i="12"/>
  <c r="L24" i="12"/>
  <c r="D24" i="12"/>
  <c r="M23" i="12"/>
  <c r="E23" i="12"/>
  <c r="N22" i="12"/>
  <c r="F22" i="12"/>
  <c r="O21" i="12"/>
  <c r="G21" i="12"/>
  <c r="H20" i="12"/>
  <c r="I19" i="12"/>
  <c r="R18" i="12"/>
  <c r="J18" i="12"/>
  <c r="S17" i="12"/>
  <c r="K17" i="12"/>
  <c r="C17" i="12"/>
  <c r="L16" i="12"/>
  <c r="D16" i="12"/>
  <c r="M5" i="12"/>
  <c r="E5" i="12"/>
  <c r="M30" i="12"/>
  <c r="E30" i="12"/>
  <c r="N29" i="12"/>
  <c r="F29" i="12"/>
  <c r="O28" i="12"/>
  <c r="G28" i="12"/>
  <c r="H27" i="12"/>
  <c r="I26" i="12"/>
  <c r="R25" i="12"/>
  <c r="J25" i="12"/>
  <c r="S24" i="12"/>
  <c r="K24" i="12"/>
  <c r="C24" i="12"/>
  <c r="L23" i="12"/>
  <c r="D23" i="12"/>
  <c r="M22" i="12"/>
  <c r="E22" i="12"/>
  <c r="N21" i="12"/>
  <c r="F21" i="12"/>
  <c r="O20" i="12"/>
  <c r="G20" i="12"/>
  <c r="H19" i="12"/>
  <c r="I18" i="12"/>
  <c r="R17" i="12"/>
  <c r="J17" i="12"/>
  <c r="S16" i="12"/>
  <c r="K16" i="12"/>
  <c r="C16" i="12"/>
  <c r="L5" i="12"/>
  <c r="D5" i="12"/>
  <c r="L30" i="12"/>
  <c r="D30" i="12"/>
  <c r="M29" i="12"/>
  <c r="E29" i="12"/>
  <c r="N28" i="12"/>
  <c r="F28" i="12"/>
  <c r="O27" i="12"/>
  <c r="G27" i="12"/>
  <c r="H26" i="12"/>
  <c r="I25" i="12"/>
  <c r="R24" i="12"/>
  <c r="J24" i="12"/>
  <c r="S23" i="12"/>
  <c r="K23" i="12"/>
  <c r="C23" i="12"/>
  <c r="L22" i="12"/>
  <c r="D22" i="12"/>
  <c r="M21" i="12"/>
  <c r="E21" i="12"/>
  <c r="N20" i="12"/>
  <c r="F20" i="12"/>
  <c r="O19" i="12"/>
  <c r="G19" i="12"/>
  <c r="H18" i="12"/>
  <c r="I17" i="12"/>
  <c r="R16" i="12"/>
  <c r="J16" i="12"/>
  <c r="K5" i="12"/>
  <c r="C5" i="12"/>
  <c r="M81" i="12"/>
  <c r="F80" i="12"/>
  <c r="H74" i="12"/>
  <c r="N68" i="12"/>
  <c r="D62" i="12"/>
  <c r="H58" i="12"/>
  <c r="L54" i="12"/>
  <c r="C41" i="12"/>
  <c r="G37" i="12"/>
  <c r="K30" i="12"/>
  <c r="O26" i="12"/>
  <c r="S22" i="12"/>
  <c r="F19" i="12"/>
  <c r="N60" i="12"/>
  <c r="E53" i="12"/>
  <c r="D29" i="12"/>
  <c r="L21" i="12"/>
  <c r="K55" i="12"/>
  <c r="F38" i="12"/>
  <c r="M61" i="12"/>
  <c r="D54" i="12"/>
  <c r="H44" i="12"/>
  <c r="L40" i="12"/>
  <c r="C30" i="12"/>
  <c r="G26" i="12"/>
  <c r="K22" i="12"/>
  <c r="O18" i="12"/>
  <c r="J64" i="12"/>
  <c r="I43" i="12"/>
  <c r="H25" i="12"/>
  <c r="I24" i="12"/>
  <c r="C63" i="12"/>
  <c r="R64" i="12"/>
  <c r="E61" i="12"/>
  <c r="I57" i="12"/>
  <c r="M53" i="12"/>
  <c r="D40" i="12"/>
  <c r="L29" i="12"/>
  <c r="C22" i="12"/>
  <c r="G18" i="12"/>
  <c r="L11" i="12"/>
  <c r="R56" i="12"/>
  <c r="M39" i="12"/>
  <c r="G59" i="12"/>
  <c r="N27" i="12"/>
  <c r="E20" i="12"/>
  <c r="L62" i="12"/>
  <c r="K41" i="12"/>
  <c r="J23" i="12"/>
  <c r="S63" i="12"/>
  <c r="F60" i="12"/>
  <c r="J56" i="12"/>
  <c r="R42" i="12"/>
  <c r="E39" i="12"/>
  <c r="M28" i="12"/>
  <c r="D21" i="12"/>
  <c r="H17" i="12"/>
  <c r="J42" i="12"/>
  <c r="N38" i="12"/>
  <c r="E28" i="12"/>
  <c r="M20" i="12"/>
  <c r="O45" i="12"/>
  <c r="R23" i="12"/>
  <c r="J5" i="12"/>
  <c r="C55" i="12"/>
  <c r="O37" i="12"/>
  <c r="F27" i="12"/>
  <c r="N19" i="12"/>
  <c r="K63" i="12"/>
  <c r="O59" i="12"/>
  <c r="S55" i="12"/>
  <c r="S41" i="12"/>
  <c r="I16" i="12"/>
  <c r="G45" i="12"/>
  <c r="S30" i="12"/>
  <c r="I13" i="10"/>
  <c r="E33" i="4"/>
  <c r="G201" i="11"/>
  <c r="M1" i="11"/>
  <c r="H12" i="11"/>
  <c r="G13" i="10"/>
  <c r="C12" i="11"/>
  <c r="G159" i="11"/>
  <c r="G187" i="11"/>
  <c r="O1" i="10"/>
  <c r="E5" i="10"/>
  <c r="D13" i="10"/>
  <c r="G144" i="11"/>
  <c r="F12" i="11"/>
  <c r="I70" i="11"/>
  <c r="M239" i="11"/>
  <c r="N5" i="11"/>
  <c r="J131" i="11"/>
  <c r="M132" i="11"/>
  <c r="C130" i="11"/>
  <c r="F350" i="11"/>
  <c r="L314" i="11"/>
  <c r="C293" i="11"/>
  <c r="K336" i="11"/>
  <c r="F5" i="10"/>
  <c r="L153" i="11"/>
  <c r="F170" i="11"/>
  <c r="I295" i="11"/>
  <c r="I122" i="11"/>
  <c r="E212" i="11"/>
  <c r="G299" i="11"/>
  <c r="H60" i="11"/>
  <c r="F285" i="11"/>
  <c r="C315" i="11"/>
  <c r="I352" i="11"/>
  <c r="J239" i="11"/>
  <c r="K353" i="11"/>
  <c r="K141" i="11"/>
  <c r="E292" i="11"/>
  <c r="G350" i="11"/>
  <c r="H293" i="11"/>
  <c r="M282" i="11"/>
  <c r="J314" i="11"/>
  <c r="D354" i="11"/>
  <c r="J285" i="11"/>
  <c r="N335" i="11"/>
  <c r="D293" i="11"/>
  <c r="G353" i="11"/>
  <c r="C286" i="11"/>
  <c r="L346" i="11"/>
  <c r="D334" i="11"/>
  <c r="F352" i="11"/>
  <c r="H357" i="11"/>
  <c r="J315" i="11"/>
  <c r="G156" i="11"/>
  <c r="I121" i="11"/>
  <c r="G70" i="11"/>
  <c r="F31" i="11"/>
  <c r="D294" i="11"/>
  <c r="N141" i="11"/>
  <c r="E155" i="11"/>
  <c r="I69" i="11"/>
  <c r="K21" i="11"/>
  <c r="G39" i="11"/>
  <c r="G284" i="11"/>
  <c r="N170" i="11"/>
  <c r="H154" i="11"/>
  <c r="N79" i="11"/>
  <c r="M60" i="11"/>
  <c r="I30" i="11"/>
  <c r="C295" i="11"/>
  <c r="I5" i="11"/>
  <c r="J116" i="11"/>
  <c r="D114" i="11"/>
  <c r="G130" i="11"/>
  <c r="K61" i="11"/>
  <c r="L70" i="11"/>
  <c r="G20" i="11"/>
  <c r="H30" i="11"/>
  <c r="K20" i="11"/>
  <c r="G27" i="11"/>
  <c r="N30" i="11"/>
  <c r="C26" i="11"/>
  <c r="D223" i="11"/>
  <c r="M157" i="11"/>
  <c r="I131" i="11"/>
  <c r="J151" i="11"/>
  <c r="F157" i="11"/>
  <c r="E184" i="11"/>
  <c r="E121" i="11"/>
  <c r="D79" i="11"/>
  <c r="N53" i="11"/>
  <c r="H38" i="11"/>
  <c r="F17" i="11"/>
  <c r="C40" i="11"/>
  <c r="F128" i="11"/>
  <c r="F114" i="11"/>
  <c r="K115" i="11"/>
  <c r="L39" i="11"/>
  <c r="M22" i="11"/>
  <c r="E295" i="11"/>
  <c r="J26" i="11"/>
  <c r="H343" i="11"/>
  <c r="F150" i="11"/>
  <c r="H292" i="11"/>
  <c r="I128" i="11"/>
  <c r="J149" i="11"/>
  <c r="G148" i="11"/>
  <c r="F70" i="11"/>
  <c r="H69" i="11"/>
  <c r="K39" i="11"/>
  <c r="H21" i="11"/>
  <c r="M40" i="11"/>
  <c r="L28" i="11"/>
  <c r="D116" i="11"/>
  <c r="C79" i="11"/>
  <c r="N87" i="11"/>
  <c r="F23" i="11"/>
  <c r="G24" i="11"/>
  <c r="D29" i="11"/>
  <c r="C38" i="11"/>
  <c r="D121" i="11"/>
  <c r="D221" i="11"/>
  <c r="M293" i="11"/>
  <c r="J322" i="11"/>
  <c r="H5" i="10"/>
  <c r="M114" i="11"/>
  <c r="I222" i="11"/>
  <c r="I129" i="11"/>
  <c r="H28" i="11"/>
  <c r="M28" i="11"/>
  <c r="M139" i="11"/>
  <c r="E122" i="11"/>
  <c r="M38" i="11"/>
  <c r="J5" i="11"/>
  <c r="E286" i="11"/>
  <c r="K119" i="11"/>
  <c r="D122" i="11"/>
  <c r="I294" i="11"/>
  <c r="H24" i="11"/>
  <c r="M86" i="11"/>
  <c r="M356" i="11"/>
  <c r="N31" i="11"/>
  <c r="E19" i="11"/>
  <c r="I155" i="11"/>
  <c r="G173" i="11"/>
  <c r="N26" i="11"/>
  <c r="L128" i="11"/>
  <c r="H316" i="11"/>
  <c r="D284" i="11"/>
  <c r="C116" i="11"/>
  <c r="G337" i="11"/>
  <c r="H352" i="11"/>
  <c r="C25" i="11"/>
  <c r="G293" i="11"/>
  <c r="G334" i="11"/>
  <c r="M222" i="11"/>
  <c r="E345" i="11"/>
  <c r="L350" i="11"/>
  <c r="K337" i="11"/>
  <c r="D239" i="11"/>
  <c r="J328" i="11"/>
  <c r="K12" i="11"/>
  <c r="E354" i="11"/>
  <c r="D316" i="11"/>
  <c r="J219" i="11"/>
  <c r="M299" i="11"/>
  <c r="F284" i="11"/>
  <c r="H350" i="11"/>
  <c r="D301" i="11"/>
  <c r="H335" i="11"/>
  <c r="L5" i="10"/>
  <c r="N355" i="11"/>
  <c r="I221" i="11"/>
  <c r="H120" i="11"/>
  <c r="K79" i="11"/>
  <c r="G29" i="11"/>
  <c r="G21" i="11"/>
  <c r="J157" i="11"/>
  <c r="J184" i="11"/>
  <c r="G86" i="11"/>
  <c r="G25" i="11"/>
  <c r="C29" i="11"/>
  <c r="G286" i="11"/>
  <c r="I223" i="11"/>
  <c r="E170" i="11"/>
  <c r="M121" i="11"/>
  <c r="I61" i="11"/>
  <c r="H29" i="11"/>
  <c r="J31" i="11"/>
  <c r="G31" i="11"/>
  <c r="I114" i="11"/>
  <c r="G79" i="11"/>
  <c r="K116" i="11"/>
  <c r="L60" i="11"/>
  <c r="D61" i="11"/>
  <c r="K38" i="11"/>
  <c r="D38" i="11"/>
  <c r="D40" i="11"/>
  <c r="E23" i="11"/>
  <c r="L356" i="11"/>
  <c r="H221" i="11"/>
  <c r="K25" i="11"/>
  <c r="N118" i="11"/>
  <c r="G30" i="11"/>
  <c r="F61" i="11"/>
  <c r="D131" i="11"/>
  <c r="K297" i="11"/>
  <c r="M284" i="11"/>
  <c r="K151" i="11"/>
  <c r="L239" i="11"/>
  <c r="M354" i="11"/>
  <c r="L119" i="11"/>
  <c r="H346" i="11"/>
  <c r="L335" i="11"/>
  <c r="C239" i="11"/>
  <c r="H351" i="11"/>
  <c r="I343" i="11"/>
  <c r="N354" i="11"/>
  <c r="K315" i="11"/>
  <c r="G351" i="11"/>
  <c r="L86" i="11"/>
  <c r="E220" i="11"/>
  <c r="F86" i="11"/>
  <c r="E299" i="11"/>
  <c r="C323" i="11"/>
  <c r="D219" i="11"/>
  <c r="D328" i="11"/>
  <c r="G38" i="11"/>
  <c r="N323" i="11"/>
  <c r="M5" i="10"/>
  <c r="L298" i="11"/>
  <c r="J129" i="11"/>
  <c r="K128" i="11"/>
  <c r="N61" i="11"/>
  <c r="D30" i="11"/>
  <c r="F20" i="11"/>
  <c r="I117" i="11"/>
  <c r="D139" i="11"/>
  <c r="K87" i="11"/>
  <c r="I23" i="11"/>
  <c r="E29" i="11"/>
  <c r="C335" i="11"/>
  <c r="J152" i="11"/>
  <c r="D129" i="11"/>
  <c r="F148" i="11"/>
  <c r="E70" i="11"/>
  <c r="G294" i="11"/>
  <c r="M301" i="11"/>
  <c r="J17" i="11"/>
  <c r="K149" i="11"/>
  <c r="L157" i="11"/>
  <c r="L87" i="11"/>
  <c r="N86" i="11"/>
  <c r="F29" i="11"/>
  <c r="J30" i="11"/>
  <c r="K356" i="11"/>
  <c r="K53" i="11"/>
  <c r="E39" i="11"/>
  <c r="H294" i="11"/>
  <c r="C346" i="11"/>
  <c r="I314" i="11"/>
  <c r="K139" i="11"/>
  <c r="I293" i="11"/>
  <c r="H119" i="11"/>
  <c r="K131" i="11"/>
  <c r="E130" i="11"/>
  <c r="N184" i="11"/>
  <c r="J86" i="11"/>
  <c r="N39" i="11"/>
  <c r="H356" i="11"/>
  <c r="C53" i="11"/>
  <c r="C5" i="11"/>
  <c r="K114" i="11"/>
  <c r="L117" i="11"/>
  <c r="K118" i="11"/>
  <c r="H31" i="11"/>
  <c r="L40" i="11"/>
  <c r="L301" i="11"/>
  <c r="J294" i="11"/>
  <c r="M337" i="11"/>
  <c r="K357" i="11"/>
  <c r="C219" i="11"/>
  <c r="F357" i="11"/>
  <c r="M119" i="11"/>
  <c r="G19" i="11"/>
  <c r="H116" i="11"/>
  <c r="D77" i="11"/>
  <c r="N27" i="11"/>
  <c r="N292" i="11"/>
  <c r="L118" i="11"/>
  <c r="J87" i="11"/>
  <c r="C61" i="11"/>
  <c r="M24" i="11"/>
  <c r="E27" i="11"/>
  <c r="E298" i="11"/>
  <c r="M155" i="11"/>
  <c r="N152" i="11"/>
  <c r="H86" i="11"/>
  <c r="D19" i="11"/>
  <c r="H79" i="11"/>
  <c r="I28" i="11"/>
  <c r="D120" i="11"/>
  <c r="F28" i="11"/>
  <c r="K150" i="11"/>
  <c r="J20" i="11"/>
  <c r="K70" i="11"/>
  <c r="J118" i="11"/>
  <c r="C334" i="11"/>
  <c r="I353" i="11"/>
  <c r="N157" i="11"/>
  <c r="I298" i="11"/>
  <c r="G328" i="11"/>
  <c r="L198" i="11"/>
  <c r="M298" i="11"/>
  <c r="H354" i="11"/>
  <c r="F314" i="11"/>
  <c r="J352" i="11"/>
  <c r="M348" i="11"/>
  <c r="N156" i="11"/>
  <c r="N117" i="11"/>
  <c r="G40" i="11"/>
  <c r="I322" i="11"/>
  <c r="L299" i="11"/>
  <c r="H156" i="11"/>
  <c r="K29" i="11"/>
  <c r="H121" i="11"/>
  <c r="M152" i="11"/>
  <c r="G5" i="11"/>
  <c r="H138" i="11"/>
  <c r="N295" i="11"/>
  <c r="D295" i="11"/>
  <c r="G128" i="11"/>
  <c r="D198" i="11"/>
  <c r="G28" i="11"/>
  <c r="I79" i="11"/>
  <c r="L26" i="11"/>
  <c r="E151" i="11"/>
  <c r="F115" i="11"/>
  <c r="N138" i="11"/>
  <c r="L17" i="11"/>
  <c r="J69" i="11"/>
  <c r="K120" i="11"/>
  <c r="N348" i="11"/>
  <c r="E346" i="11"/>
  <c r="L129" i="11"/>
  <c r="M350" i="11"/>
  <c r="E353" i="11"/>
  <c r="C218" i="11"/>
  <c r="G315" i="11"/>
  <c r="E336" i="11"/>
  <c r="F258" i="11"/>
  <c r="G282" i="11"/>
  <c r="F138" i="11"/>
  <c r="K60" i="11"/>
  <c r="J297" i="11"/>
  <c r="J354" i="11"/>
  <c r="J115" i="11"/>
  <c r="I282" i="11"/>
  <c r="K138" i="11"/>
  <c r="K286" i="11"/>
  <c r="I132" i="11"/>
  <c r="N285" i="11"/>
  <c r="L345" i="11"/>
  <c r="J284" i="11"/>
  <c r="L295" i="11"/>
  <c r="N223" i="11"/>
  <c r="N286" i="11"/>
  <c r="J122" i="11"/>
  <c r="L138" i="11"/>
  <c r="C60" i="11"/>
  <c r="M5" i="11"/>
  <c r="K17" i="11"/>
  <c r="L154" i="11"/>
  <c r="N114" i="11"/>
  <c r="G85" i="11"/>
  <c r="D21" i="11"/>
  <c r="M347" i="11"/>
  <c r="J220" i="11"/>
  <c r="M138" i="11"/>
  <c r="G118" i="11"/>
  <c r="C122" i="11"/>
  <c r="L61" i="11"/>
  <c r="L18" i="11"/>
  <c r="H20" i="11"/>
  <c r="H122" i="11"/>
  <c r="J156" i="11"/>
  <c r="F118" i="11"/>
  <c r="K153" i="11"/>
  <c r="J60" i="11"/>
  <c r="I22" i="11"/>
  <c r="N25" i="11"/>
  <c r="K26" i="11"/>
  <c r="N29" i="11"/>
  <c r="E53" i="11"/>
  <c r="E26" i="11"/>
  <c r="N239" i="11"/>
  <c r="F219" i="11"/>
  <c r="N198" i="11"/>
  <c r="E152" i="11"/>
  <c r="I150" i="11"/>
  <c r="C150" i="11"/>
  <c r="G122" i="11"/>
  <c r="M129" i="11"/>
  <c r="G61" i="11"/>
  <c r="I21" i="11"/>
  <c r="H85" i="11"/>
  <c r="E30" i="11"/>
  <c r="K24" i="11"/>
  <c r="F153" i="11"/>
  <c r="L79" i="11"/>
  <c r="C39" i="11"/>
  <c r="L19" i="11"/>
  <c r="C30" i="11"/>
  <c r="N40" i="11"/>
  <c r="G17" i="11"/>
  <c r="D115" i="11"/>
  <c r="N212" i="11"/>
  <c r="H114" i="11"/>
  <c r="E17" i="11"/>
  <c r="M21" i="11"/>
  <c r="C170" i="11"/>
  <c r="N70" i="11"/>
  <c r="G295" i="11"/>
  <c r="I26" i="11"/>
  <c r="L53" i="11"/>
  <c r="C314" i="11"/>
  <c r="J77" i="11"/>
  <c r="K132" i="11"/>
  <c r="E38" i="11"/>
  <c r="D184" i="11"/>
  <c r="G239" i="11"/>
  <c r="E28" i="11"/>
  <c r="I53" i="11"/>
  <c r="K299" i="11"/>
  <c r="H328" i="11"/>
  <c r="H345" i="11"/>
  <c r="H152" i="11"/>
  <c r="F334" i="11"/>
  <c r="F30" i="11"/>
  <c r="L219" i="11"/>
  <c r="H299" i="11"/>
  <c r="E282" i="11"/>
  <c r="M118" i="11"/>
  <c r="N314" i="11"/>
  <c r="L322" i="11"/>
  <c r="L212" i="11"/>
  <c r="J292" i="11"/>
  <c r="I212" i="11"/>
  <c r="M322" i="11"/>
  <c r="C86" i="11"/>
  <c r="I285" i="11"/>
  <c r="E343" i="11"/>
  <c r="H322" i="11"/>
  <c r="J337" i="11"/>
  <c r="I337" i="11"/>
  <c r="J198" i="11"/>
  <c r="F139" i="11"/>
  <c r="M153" i="11"/>
  <c r="E31" i="11"/>
  <c r="J39" i="11"/>
  <c r="E148" i="11"/>
  <c r="M130" i="11"/>
  <c r="I119" i="11"/>
  <c r="N301" i="11"/>
  <c r="L22" i="11"/>
  <c r="E284" i="11"/>
  <c r="D258" i="11"/>
  <c r="H148" i="11"/>
  <c r="F156" i="11"/>
  <c r="J139" i="11"/>
  <c r="E21" i="11"/>
  <c r="N21" i="11"/>
  <c r="E24" i="11"/>
  <c r="J150" i="11"/>
  <c r="M156" i="11"/>
  <c r="I116" i="11"/>
  <c r="M128" i="11"/>
  <c r="G60" i="11"/>
  <c r="J22" i="11"/>
  <c r="D5" i="11"/>
  <c r="K31" i="11"/>
  <c r="G18" i="11"/>
  <c r="F301" i="11"/>
  <c r="G356" i="11"/>
  <c r="G221" i="11"/>
  <c r="M218" i="11"/>
  <c r="F198" i="11"/>
  <c r="G139" i="11"/>
  <c r="L152" i="11"/>
  <c r="N131" i="11"/>
  <c r="M148" i="11"/>
  <c r="F117" i="11"/>
  <c r="H77" i="11"/>
  <c r="J295" i="11"/>
  <c r="I29" i="11"/>
  <c r="F24" i="11"/>
  <c r="L20" i="11"/>
  <c r="I153" i="11"/>
  <c r="K86" i="11"/>
  <c r="J301" i="11"/>
  <c r="H22" i="11"/>
  <c r="J85" i="11"/>
  <c r="N85" i="11"/>
  <c r="L29" i="11"/>
  <c r="E115" i="11"/>
  <c r="L130" i="11"/>
  <c r="K40" i="11"/>
  <c r="D149" i="11"/>
  <c r="L149" i="11"/>
  <c r="C118" i="11"/>
  <c r="F355" i="11"/>
  <c r="M219" i="11"/>
  <c r="I346" i="11"/>
  <c r="D352" i="11"/>
  <c r="F299" i="11"/>
  <c r="K352" i="11"/>
  <c r="E116" i="11"/>
  <c r="N293" i="11"/>
  <c r="G354" i="11"/>
  <c r="C198" i="11"/>
  <c r="F223" i="11"/>
  <c r="G357" i="11"/>
  <c r="L352" i="11"/>
  <c r="I218" i="11"/>
  <c r="L354" i="11"/>
  <c r="K154" i="11"/>
  <c r="D355" i="11"/>
  <c r="J128" i="11"/>
  <c r="L315" i="11"/>
  <c r="E314" i="11"/>
  <c r="E348" i="11"/>
  <c r="F354" i="11"/>
  <c r="L222" i="11"/>
  <c r="L132" i="11"/>
  <c r="M122" i="11"/>
  <c r="N116" i="11"/>
  <c r="D17" i="11"/>
  <c r="H25" i="11"/>
  <c r="K117" i="11"/>
  <c r="M79" i="11"/>
  <c r="I19" i="11"/>
  <c r="J40" i="11"/>
  <c r="N222" i="11"/>
  <c r="M131" i="11"/>
  <c r="H117" i="11"/>
  <c r="D39" i="11"/>
  <c r="H155" i="11"/>
  <c r="D128" i="11"/>
  <c r="H115" i="11"/>
  <c r="M53" i="11"/>
  <c r="C85" i="11"/>
  <c r="J21" i="11"/>
  <c r="G212" i="11"/>
  <c r="G223" i="11"/>
  <c r="C336" i="11"/>
  <c r="G348" i="11"/>
  <c r="M150" i="11"/>
  <c r="I115" i="11"/>
  <c r="I86" i="11"/>
  <c r="F286" i="11"/>
  <c r="G155" i="11"/>
  <c r="C21" i="11"/>
  <c r="L115" i="11"/>
  <c r="J25" i="11"/>
  <c r="J70" i="11"/>
  <c r="D117" i="11"/>
  <c r="K323" i="11"/>
  <c r="F295" i="11"/>
  <c r="M154" i="11"/>
  <c r="K22" i="11"/>
  <c r="N22" i="11"/>
  <c r="I323" i="11"/>
  <c r="L85" i="11"/>
  <c r="K170" i="11"/>
  <c r="J120" i="11"/>
  <c r="E20" i="11"/>
  <c r="J153" i="11"/>
  <c r="N347" i="11"/>
  <c r="H282" i="11"/>
  <c r="G323" i="11"/>
  <c r="C69" i="11"/>
  <c r="K77" i="11"/>
  <c r="F69" i="11"/>
  <c r="M220" i="11"/>
  <c r="J130" i="11"/>
  <c r="E18" i="11"/>
  <c r="L24" i="11"/>
  <c r="C297" i="11"/>
  <c r="E114" i="11"/>
  <c r="F26" i="11"/>
  <c r="H87" i="11"/>
  <c r="H19" i="11"/>
  <c r="J221" i="11"/>
  <c r="G170" i="11"/>
  <c r="E22" i="11"/>
  <c r="F40" i="11"/>
  <c r="I60" i="11"/>
  <c r="C27" i="11"/>
  <c r="L38" i="11"/>
  <c r="K5" i="11"/>
  <c r="N153" i="11"/>
  <c r="F27" i="11"/>
  <c r="C117" i="11"/>
  <c r="M295" i="11"/>
  <c r="K355" i="11"/>
  <c r="J19" i="11"/>
  <c r="C301" i="11"/>
  <c r="G120" i="11"/>
  <c r="M30" i="11"/>
  <c r="M85" i="11"/>
  <c r="I348" i="11"/>
  <c r="F347" i="11"/>
  <c r="J132" i="11"/>
  <c r="F356" i="11"/>
  <c r="I356" i="11"/>
  <c r="K18" i="11"/>
  <c r="N128" i="11"/>
  <c r="E77" i="11"/>
  <c r="H5" i="11"/>
  <c r="G301" i="11"/>
  <c r="C284" i="11"/>
  <c r="J155" i="11"/>
  <c r="H118" i="11"/>
  <c r="H315" i="11"/>
  <c r="H129" i="11"/>
  <c r="M27" i="11"/>
  <c r="N121" i="11"/>
  <c r="E79" i="11"/>
  <c r="G22" i="11"/>
  <c r="M19" i="11"/>
  <c r="J343" i="11"/>
  <c r="J154" i="11"/>
  <c r="G23" i="11"/>
  <c r="N132" i="11"/>
  <c r="I334" i="11"/>
  <c r="I87" i="11"/>
  <c r="G121" i="11"/>
  <c r="L13" i="10"/>
  <c r="B37" i="4"/>
  <c r="I5" i="10"/>
  <c r="O5" i="10"/>
  <c r="J5" i="10"/>
  <c r="P5" i="10"/>
  <c r="K5" i="10"/>
  <c r="N5" i="10"/>
  <c r="G5" i="10"/>
  <c r="D347" i="11"/>
  <c r="N316" i="11"/>
  <c r="C299" i="11"/>
  <c r="I157" i="11"/>
  <c r="E154" i="11"/>
  <c r="I299" i="11"/>
  <c r="L282" i="11"/>
  <c r="N220" i="11"/>
  <c r="G153" i="11"/>
  <c r="F151" i="11"/>
  <c r="G116" i="11"/>
  <c r="G87" i="11"/>
  <c r="N122" i="11"/>
  <c r="F116" i="11"/>
  <c r="M77" i="11"/>
  <c r="L27" i="11"/>
  <c r="C22" i="11"/>
  <c r="I18" i="11"/>
  <c r="K27" i="11"/>
  <c r="D157" i="11"/>
  <c r="N115" i="11"/>
  <c r="F120" i="11"/>
  <c r="E117" i="11"/>
  <c r="G141" i="11"/>
  <c r="D69" i="11"/>
  <c r="F60" i="11"/>
  <c r="G53" i="11"/>
  <c r="N294" i="11"/>
  <c r="F294" i="11"/>
  <c r="H23" i="11"/>
  <c r="C184" i="11"/>
  <c r="E139" i="11"/>
  <c r="G150" i="11"/>
  <c r="K152" i="11"/>
  <c r="N284" i="11"/>
  <c r="L221" i="11"/>
  <c r="L220" i="11"/>
  <c r="J222" i="11"/>
  <c r="K343" i="11"/>
  <c r="M351" i="11"/>
  <c r="L328" i="11"/>
  <c r="J335" i="11"/>
  <c r="K293" i="11"/>
  <c r="J355" i="11"/>
  <c r="J357" i="11"/>
  <c r="N297" i="11"/>
  <c r="I354" i="11"/>
  <c r="G220" i="11"/>
  <c r="G298" i="11"/>
  <c r="H222" i="11"/>
  <c r="N60" i="11"/>
  <c r="J286" i="11"/>
  <c r="I347" i="11"/>
  <c r="G314" i="11"/>
  <c r="K222" i="11"/>
  <c r="C151" i="11"/>
  <c r="D86" i="11"/>
  <c r="G322" i="11"/>
  <c r="J298" i="11"/>
  <c r="H284" i="11"/>
  <c r="L170" i="11"/>
  <c r="C155" i="11"/>
  <c r="M328" i="11"/>
  <c r="M285" i="11"/>
  <c r="G343" i="11"/>
  <c r="K346" i="11"/>
  <c r="C285" i="11"/>
  <c r="F298" i="11"/>
  <c r="N148" i="11"/>
  <c r="N17" i="11"/>
  <c r="L258" i="11"/>
  <c r="D218" i="11"/>
  <c r="N322" i="11"/>
  <c r="K335" i="11"/>
  <c r="D351" i="11"/>
  <c r="L334" i="11"/>
  <c r="J353" i="11"/>
  <c r="E219" i="11"/>
  <c r="K220" i="11"/>
  <c r="H40" i="11"/>
  <c r="C357" i="11"/>
  <c r="H336" i="11"/>
  <c r="M286" i="11"/>
  <c r="E218" i="11"/>
  <c r="C221" i="11"/>
  <c r="D150" i="11"/>
  <c r="E322" i="11"/>
  <c r="M335" i="11"/>
  <c r="C345" i="11"/>
  <c r="M258" i="11"/>
  <c r="F346" i="11"/>
  <c r="J293" i="11"/>
  <c r="I292" i="11"/>
  <c r="I139" i="11"/>
  <c r="K30" i="11"/>
  <c r="E350" i="11"/>
  <c r="G355" i="11"/>
  <c r="C220" i="11"/>
  <c r="N129" i="11"/>
  <c r="D87" i="11"/>
  <c r="C258" i="11"/>
  <c r="G222" i="11"/>
  <c r="I152" i="11"/>
  <c r="H130" i="11"/>
  <c r="L148" i="11"/>
  <c r="N149" i="11"/>
  <c r="H170" i="11"/>
  <c r="M115" i="11"/>
  <c r="D60" i="11"/>
  <c r="J53" i="11"/>
  <c r="D25" i="11"/>
  <c r="H18" i="11"/>
  <c r="J356" i="11"/>
  <c r="L5" i="11"/>
  <c r="H150" i="11"/>
  <c r="H151" i="11"/>
  <c r="I118" i="11"/>
  <c r="G69" i="11"/>
  <c r="J117" i="11"/>
  <c r="F119" i="11"/>
  <c r="M61" i="11"/>
  <c r="I39" i="11"/>
  <c r="M39" i="11"/>
  <c r="L23" i="11"/>
  <c r="I27" i="11"/>
  <c r="F22" i="11"/>
  <c r="G26" i="11"/>
  <c r="D27" i="11"/>
  <c r="D118" i="11"/>
  <c r="L120" i="11"/>
  <c r="I184" i="11"/>
  <c r="C129" i="11"/>
  <c r="N150" i="11"/>
  <c r="C141" i="11"/>
  <c r="H220" i="11"/>
  <c r="K223" i="11"/>
  <c r="L223" i="11"/>
  <c r="E221" i="11"/>
  <c r="I25" i="11"/>
  <c r="M29" i="11"/>
  <c r="L25" i="11"/>
  <c r="E294" i="11"/>
  <c r="M87" i="11"/>
  <c r="C121" i="11"/>
  <c r="G154" i="11"/>
  <c r="L122" i="11"/>
  <c r="N130" i="11"/>
  <c r="L131" i="11"/>
  <c r="D85" i="11"/>
  <c r="C28" i="11"/>
  <c r="F85" i="11"/>
  <c r="C20" i="11"/>
  <c r="N77" i="11"/>
  <c r="J141" i="11"/>
  <c r="G117" i="11"/>
  <c r="K155" i="11"/>
  <c r="L184" i="11"/>
  <c r="H153" i="11"/>
  <c r="J258" i="11"/>
  <c r="K285" i="11"/>
  <c r="H285" i="11"/>
  <c r="K292" i="11"/>
  <c r="J345" i="11"/>
  <c r="I301" i="11"/>
  <c r="F348" i="11"/>
  <c r="L355" i="11"/>
  <c r="D336" i="11"/>
  <c r="H348" i="11"/>
  <c r="C350" i="11"/>
  <c r="L286" i="11"/>
  <c r="F353" i="11"/>
  <c r="F323" i="11"/>
  <c r="L218" i="11"/>
  <c r="I156" i="11"/>
  <c r="H70" i="11"/>
  <c r="E357" i="11"/>
  <c r="E335" i="11"/>
  <c r="N282" i="11"/>
  <c r="E258" i="11"/>
  <c r="C128" i="11"/>
  <c r="C31" i="11"/>
  <c r="M345" i="11"/>
  <c r="I284" i="11"/>
  <c r="J212" i="11"/>
  <c r="D148" i="11"/>
  <c r="E86" i="11"/>
  <c r="L347" i="11"/>
  <c r="M355" i="11"/>
  <c r="E323" i="11"/>
  <c r="H334" i="11"/>
  <c r="I350" i="11"/>
  <c r="C222" i="11"/>
  <c r="H184" i="11"/>
  <c r="F18" i="11"/>
  <c r="D299" i="11"/>
  <c r="E239" i="11"/>
  <c r="N357" i="11"/>
  <c r="I357" i="11"/>
  <c r="H347" i="11"/>
  <c r="N315" i="11"/>
  <c r="F293" i="11"/>
  <c r="N336" i="11"/>
  <c r="L114" i="11"/>
  <c r="K328" i="11"/>
  <c r="E347" i="11"/>
  <c r="L357" i="11"/>
  <c r="G345" i="11"/>
  <c r="E315" i="11"/>
  <c r="D212" i="11"/>
  <c r="K156" i="11"/>
  <c r="C328" i="11"/>
  <c r="M314" i="11"/>
  <c r="H337" i="11"/>
  <c r="H355" i="11"/>
  <c r="M336" i="11"/>
  <c r="E337" i="11"/>
  <c r="F218" i="11"/>
  <c r="D155" i="11"/>
  <c r="E356" i="11"/>
  <c r="F39" i="11"/>
  <c r="G347" i="11"/>
  <c r="H218" i="11"/>
  <c r="L151" i="11"/>
  <c r="F79" i="11"/>
  <c r="H219" i="11"/>
  <c r="E334" i="11"/>
  <c r="D154" i="11"/>
  <c r="D282" i="11"/>
  <c r="D130" i="11"/>
  <c r="G157" i="11"/>
  <c r="N154" i="11"/>
  <c r="M69" i="11"/>
  <c r="M70" i="11"/>
  <c r="I20" i="11"/>
  <c r="E5" i="11"/>
  <c r="D31" i="11"/>
  <c r="H131" i="11"/>
  <c r="C152" i="11"/>
  <c r="E157" i="11"/>
  <c r="N155" i="11"/>
  <c r="D119" i="11"/>
  <c r="F121" i="11"/>
  <c r="N356" i="11"/>
  <c r="K28" i="11"/>
  <c r="D26" i="11"/>
  <c r="I24" i="11"/>
  <c r="N18" i="11"/>
  <c r="H61" i="11"/>
  <c r="L155" i="11"/>
  <c r="F130" i="11"/>
  <c r="M170" i="11"/>
  <c r="E119" i="11"/>
  <c r="M223" i="11"/>
  <c r="G131" i="11"/>
  <c r="C298" i="11"/>
  <c r="G316" i="11"/>
  <c r="M316" i="11"/>
  <c r="F5" i="11"/>
  <c r="N28" i="11"/>
  <c r="E85" i="11"/>
  <c r="I40" i="11"/>
  <c r="C77" i="11"/>
  <c r="D138" i="11"/>
  <c r="N119" i="11"/>
  <c r="C149" i="11"/>
  <c r="M184" i="11"/>
  <c r="E153" i="11"/>
  <c r="K301" i="11"/>
  <c r="E25" i="11"/>
  <c r="J29" i="11"/>
  <c r="C356" i="11"/>
  <c r="N69" i="11"/>
  <c r="J79" i="11"/>
  <c r="C156" i="11"/>
  <c r="C148" i="11"/>
  <c r="C131" i="11"/>
  <c r="N219" i="11"/>
  <c r="G149" i="11"/>
  <c r="E316" i="11"/>
  <c r="D220" i="11"/>
  <c r="L285" i="11"/>
  <c r="K350" i="11"/>
  <c r="C337" i="11"/>
  <c r="I316" i="11"/>
  <c r="D357" i="11"/>
  <c r="D285" i="11"/>
  <c r="F315" i="11"/>
  <c r="D323" i="11"/>
  <c r="M352" i="11"/>
  <c r="J323" i="11"/>
  <c r="C316" i="11"/>
  <c r="J350" i="11"/>
  <c r="I141" i="11"/>
  <c r="K85" i="11"/>
  <c r="N343" i="11"/>
  <c r="I297" i="11"/>
  <c r="K239" i="11"/>
  <c r="E285" i="11"/>
  <c r="H139" i="11"/>
  <c r="M315" i="11"/>
  <c r="D346" i="11"/>
  <c r="K316" i="11"/>
  <c r="L343" i="11"/>
  <c r="F154" i="11"/>
  <c r="C19" i="11"/>
  <c r="D353" i="11"/>
  <c r="C343" i="11"/>
  <c r="I355" i="11"/>
  <c r="L351" i="11"/>
  <c r="F335" i="11"/>
  <c r="H323" i="11"/>
  <c r="E118" i="11"/>
  <c r="K322" i="11"/>
  <c r="C223" i="11"/>
  <c r="J38" i="11"/>
  <c r="C348" i="11"/>
  <c r="J348" i="11"/>
  <c r="I328" i="11"/>
  <c r="C355" i="11"/>
  <c r="F316" i="11"/>
  <c r="H212" i="11"/>
  <c r="F149" i="11"/>
  <c r="G336" i="11"/>
  <c r="D314" i="11"/>
  <c r="F343" i="11"/>
  <c r="G258" i="11"/>
  <c r="D322" i="11"/>
  <c r="I130" i="11"/>
  <c r="D132" i="11"/>
  <c r="H295" i="11"/>
  <c r="N351" i="11"/>
  <c r="N352" i="11"/>
  <c r="M334" i="11"/>
  <c r="L284" i="11"/>
  <c r="F220" i="11"/>
  <c r="K219" i="11"/>
  <c r="G151" i="11"/>
  <c r="K314" i="11"/>
  <c r="K351" i="11"/>
  <c r="H298" i="11"/>
  <c r="I198" i="11"/>
  <c r="C153" i="11"/>
  <c r="F38" i="11"/>
  <c r="E293" i="11"/>
  <c r="G285" i="11"/>
  <c r="K298" i="11"/>
  <c r="D170" i="11"/>
  <c r="J114" i="11"/>
  <c r="E149" i="11"/>
  <c r="L116" i="11"/>
  <c r="C154" i="11"/>
  <c r="F87" i="11"/>
  <c r="N20" i="11"/>
  <c r="H26" i="11"/>
  <c r="M294" i="11"/>
  <c r="J28" i="11"/>
  <c r="E131" i="11"/>
  <c r="G218" i="11"/>
  <c r="C120" i="11"/>
  <c r="K130" i="11"/>
  <c r="H132" i="11"/>
  <c r="L156" i="11"/>
  <c r="L69" i="11"/>
  <c r="H17" i="11"/>
  <c r="C24" i="11"/>
  <c r="L21" i="11"/>
  <c r="D356" i="11"/>
  <c r="N19" i="11"/>
  <c r="L31" i="11"/>
  <c r="M117" i="11"/>
  <c r="E61" i="11"/>
  <c r="D141" i="11"/>
  <c r="I138" i="11"/>
  <c r="N120" i="11"/>
  <c r="I219" i="11"/>
  <c r="L141" i="11"/>
  <c r="L348" i="11"/>
  <c r="F212" i="11"/>
  <c r="C282" i="11"/>
  <c r="N23" i="11"/>
  <c r="M18" i="11"/>
  <c r="C18" i="11"/>
  <c r="J23" i="11"/>
  <c r="I77" i="11"/>
  <c r="D151" i="11"/>
  <c r="F131" i="11"/>
  <c r="G132" i="11"/>
  <c r="C119" i="11"/>
  <c r="G219" i="11"/>
  <c r="N24" i="11"/>
  <c r="H27" i="11"/>
  <c r="K19" i="11"/>
  <c r="L294" i="11"/>
  <c r="E60" i="11"/>
  <c r="K121" i="11"/>
  <c r="D153" i="11"/>
  <c r="M149" i="11"/>
  <c r="D156" i="11"/>
  <c r="H128" i="11"/>
  <c r="H149" i="11"/>
  <c r="J223" i="11"/>
  <c r="N221" i="11"/>
  <c r="F297" i="11"/>
  <c r="M343" i="11"/>
  <c r="L353" i="11"/>
  <c r="C292" i="11"/>
  <c r="C352" i="11"/>
  <c r="C212" i="11"/>
  <c r="D350" i="11"/>
  <c r="M357" i="11"/>
  <c r="J347" i="11"/>
  <c r="G297" i="11"/>
  <c r="F282" i="11"/>
  <c r="L292" i="11"/>
  <c r="G138" i="11"/>
  <c r="G346" i="11"/>
  <c r="M323" i="11"/>
  <c r="K284" i="11"/>
  <c r="G198" i="11"/>
  <c r="N299" i="11"/>
  <c r="J170" i="11"/>
  <c r="I345" i="11"/>
  <c r="I336" i="11"/>
  <c r="K258" i="11"/>
  <c r="I239" i="11"/>
  <c r="K184" i="11"/>
  <c r="J27" i="11"/>
  <c r="L336" i="11"/>
  <c r="H353" i="11"/>
  <c r="K345" i="11"/>
  <c r="D348" i="11"/>
  <c r="K347" i="11"/>
  <c r="J336" i="11"/>
  <c r="E132" i="11"/>
  <c r="J351" i="11"/>
  <c r="L297" i="11"/>
  <c r="I85" i="11"/>
  <c r="L323" i="11"/>
  <c r="D337" i="11"/>
  <c r="E352" i="11"/>
  <c r="J299" i="11"/>
  <c r="N258" i="11"/>
  <c r="J148" i="11"/>
  <c r="M120" i="11"/>
  <c r="F337" i="11"/>
  <c r="G292" i="11"/>
  <c r="N350" i="11"/>
  <c r="I351" i="11"/>
  <c r="F221" i="11"/>
  <c r="H198" i="11"/>
  <c r="F77" i="11"/>
  <c r="M346" i="11"/>
  <c r="N337" i="11"/>
  <c r="D345" i="11"/>
  <c r="E355" i="11"/>
  <c r="J334" i="11"/>
  <c r="M297" i="11"/>
  <c r="I170" i="11"/>
  <c r="G129" i="11"/>
  <c r="F345" i="11"/>
  <c r="N345" i="11"/>
  <c r="N334" i="11"/>
  <c r="F292" i="11"/>
  <c r="I149" i="11"/>
  <c r="I258" i="11"/>
  <c r="H239" i="11"/>
  <c r="E223" i="11"/>
  <c r="E198" i="11"/>
  <c r="F152" i="11"/>
  <c r="H157" i="11"/>
  <c r="E141" i="11"/>
  <c r="C115" i="11"/>
  <c r="F129" i="11"/>
  <c r="D70" i="11"/>
  <c r="F53" i="11"/>
  <c r="M23" i="11"/>
  <c r="F19" i="11"/>
  <c r="D18" i="11"/>
  <c r="I286" i="11"/>
  <c r="N151" i="11"/>
  <c r="C114" i="11"/>
  <c r="D152" i="11"/>
  <c r="K122" i="11"/>
  <c r="I151" i="11"/>
  <c r="C70" i="11"/>
  <c r="I17" i="11"/>
  <c r="M26" i="11"/>
  <c r="D22" i="11"/>
  <c r="H39" i="11"/>
  <c r="M31" i="11"/>
  <c r="H301" i="11"/>
  <c r="M20" i="11"/>
  <c r="C17" i="11"/>
  <c r="M116" i="11"/>
  <c r="E87" i="11"/>
  <c r="I148" i="11"/>
  <c r="C157" i="11"/>
  <c r="H141" i="11"/>
  <c r="F132" i="11"/>
  <c r="G152" i="11"/>
  <c r="K218" i="11"/>
  <c r="I220" i="11"/>
  <c r="N298" i="11"/>
  <c r="D24" i="11"/>
  <c r="C23" i="11"/>
  <c r="J24" i="11"/>
  <c r="F21" i="11"/>
  <c r="J119" i="11"/>
  <c r="G77" i="11"/>
  <c r="K148" i="11"/>
  <c r="M141" i="11"/>
  <c r="E129" i="11"/>
  <c r="K221" i="11"/>
  <c r="K294" i="11"/>
  <c r="M17" i="11"/>
  <c r="K23" i="11"/>
  <c r="K69" i="11"/>
  <c r="G115" i="11"/>
  <c r="E120" i="11"/>
  <c r="E69" i="11"/>
  <c r="L121" i="11"/>
  <c r="M151" i="11"/>
  <c r="C139" i="11"/>
  <c r="G184" i="11"/>
  <c r="F239" i="11"/>
  <c r="L293" i="11"/>
  <c r="E222" i="11"/>
  <c r="F322" i="11"/>
  <c r="D335" i="11"/>
  <c r="H258" i="11"/>
  <c r="D343" i="11"/>
  <c r="E297" i="11"/>
  <c r="K348" i="11"/>
  <c r="C354" i="11"/>
  <c r="G335" i="11"/>
  <c r="H286" i="11"/>
  <c r="K198" i="11"/>
  <c r="M221" i="11"/>
  <c r="G119" i="11"/>
  <c r="C351" i="11"/>
  <c r="C353" i="11"/>
  <c r="D315" i="11"/>
  <c r="D286" i="11"/>
  <c r="M198" i="11"/>
  <c r="L77" i="11"/>
  <c r="F328" i="11"/>
  <c r="I315" i="11"/>
  <c r="D297" i="11"/>
  <c r="J316" i="11"/>
  <c r="J121" i="11"/>
  <c r="D53" i="11"/>
  <c r="E351" i="11"/>
  <c r="E301" i="11"/>
  <c r="I335" i="11"/>
  <c r="K334" i="11"/>
  <c r="J346" i="11"/>
  <c r="K212" i="11"/>
  <c r="L139" i="11"/>
  <c r="G352" i="11"/>
  <c r="L337" i="11"/>
  <c r="M353" i="11"/>
  <c r="N328" i="11"/>
  <c r="H314" i="11"/>
  <c r="N346" i="11"/>
  <c r="K282" i="11"/>
  <c r="K354" i="11"/>
  <c r="J138" i="11"/>
  <c r="E156" i="11"/>
  <c r="N38" i="11"/>
  <c r="J282" i="11"/>
  <c r="C347" i="11"/>
  <c r="D292" i="11"/>
  <c r="D298" i="11"/>
  <c r="N139" i="11"/>
  <c r="F25" i="11"/>
  <c r="E328" i="11"/>
  <c r="C322" i="11"/>
  <c r="F336" i="11"/>
  <c r="N353" i="11"/>
  <c r="M292" i="11"/>
  <c r="H223" i="11"/>
  <c r="K157" i="11"/>
  <c r="F155" i="11"/>
  <c r="F351" i="11"/>
  <c r="L316" i="11"/>
  <c r="J218" i="11"/>
  <c r="F222" i="11"/>
  <c r="C132" i="11"/>
  <c r="D222" i="11"/>
  <c r="N218" i="11"/>
  <c r="M212" i="11"/>
  <c r="F184" i="11"/>
  <c r="E128" i="11"/>
  <c r="F141" i="11"/>
  <c r="K129" i="11"/>
  <c r="I154" i="11"/>
  <c r="I120" i="11"/>
  <c r="J61" i="11"/>
  <c r="L30" i="11"/>
  <c r="I38" i="11"/>
  <c r="C294" i="11"/>
  <c r="D23" i="11"/>
  <c r="H297" i="11"/>
  <c r="E150" i="11"/>
  <c r="L150" i="11"/>
  <c r="E138" i="11"/>
  <c r="G114" i="11"/>
  <c r="F122" i="11"/>
  <c r="C87" i="11"/>
  <c r="H53" i="11"/>
  <c r="K295" i="11"/>
  <c r="E40" i="11"/>
  <c r="J18" i="11"/>
  <c r="D28" i="11"/>
  <c r="M25" i="11"/>
  <c r="D20" i="11"/>
  <c r="I31" i="11"/>
  <c r="H37" i="12"/>
  <c r="G38" i="12"/>
  <c r="O38" i="12"/>
  <c r="F39" i="12"/>
  <c r="N39" i="12"/>
  <c r="E40" i="12"/>
  <c r="M40" i="12"/>
  <c r="D41" i="12"/>
  <c r="L41" i="12"/>
  <c r="C42" i="12"/>
  <c r="K42" i="12"/>
  <c r="S42" i="12"/>
  <c r="J43" i="12"/>
  <c r="R43" i="12"/>
  <c r="I44" i="12"/>
  <c r="H45" i="12"/>
  <c r="F53" i="12"/>
  <c r="N53" i="12"/>
  <c r="E54" i="12"/>
  <c r="M54" i="12"/>
  <c r="D55" i="12"/>
  <c r="L55" i="12"/>
  <c r="C56" i="12"/>
  <c r="K56" i="12"/>
  <c r="S56" i="12"/>
  <c r="J57" i="12"/>
  <c r="R57" i="12"/>
  <c r="I58" i="12"/>
  <c r="H59" i="12"/>
  <c r="G60" i="12"/>
  <c r="O60" i="12"/>
  <c r="F61" i="12"/>
  <c r="N61" i="12"/>
  <c r="E62" i="12"/>
  <c r="M62" i="12"/>
  <c r="D63" i="12"/>
  <c r="L63" i="12"/>
  <c r="C64" i="12"/>
  <c r="K64" i="12"/>
  <c r="S64" i="12"/>
  <c r="J65" i="12"/>
  <c r="R65" i="12"/>
  <c r="I66" i="12"/>
  <c r="H67" i="12"/>
  <c r="G68" i="12"/>
  <c r="O68" i="12"/>
  <c r="F69" i="12"/>
  <c r="N69" i="12"/>
  <c r="E70" i="12"/>
  <c r="M70" i="12"/>
  <c r="D71" i="12"/>
  <c r="L71" i="12"/>
  <c r="C72" i="12"/>
  <c r="K72" i="12"/>
  <c r="S72" i="12"/>
  <c r="J73" i="12"/>
  <c r="R73" i="12"/>
  <c r="I74" i="12"/>
  <c r="G80" i="12"/>
  <c r="O80" i="12"/>
  <c r="F81" i="12"/>
  <c r="N81" i="12"/>
  <c r="E82" i="12"/>
  <c r="M82" i="12"/>
  <c r="G67" i="12"/>
  <c r="F68" i="12"/>
  <c r="D70" i="12"/>
  <c r="K71" i="12"/>
  <c r="R72" i="12"/>
  <c r="L82" i="12"/>
  <c r="I37" i="12"/>
  <c r="H38" i="12"/>
  <c r="G39" i="12"/>
  <c r="O39" i="12"/>
  <c r="F40" i="12"/>
  <c r="N40" i="12"/>
  <c r="E41" i="12"/>
  <c r="M41" i="12"/>
  <c r="D42" i="12"/>
  <c r="L42" i="12"/>
  <c r="C43" i="12"/>
  <c r="K43" i="12"/>
  <c r="S43" i="12"/>
  <c r="J44" i="12"/>
  <c r="R44" i="12"/>
  <c r="I45" i="12"/>
  <c r="G53" i="12"/>
  <c r="O53" i="12"/>
  <c r="F54" i="12"/>
  <c r="N54" i="12"/>
  <c r="E55" i="12"/>
  <c r="M55" i="12"/>
  <c r="D56" i="12"/>
  <c r="L56" i="12"/>
  <c r="C57" i="12"/>
  <c r="K57" i="12"/>
  <c r="S57" i="12"/>
  <c r="J58" i="12"/>
  <c r="R58" i="12"/>
  <c r="I59" i="12"/>
  <c r="H60" i="12"/>
  <c r="G61" i="12"/>
  <c r="O61" i="12"/>
  <c r="F62" i="12"/>
  <c r="N62" i="12"/>
  <c r="E63" i="12"/>
  <c r="M63" i="12"/>
  <c r="D64" i="12"/>
  <c r="L64" i="12"/>
  <c r="C65" i="12"/>
  <c r="K65" i="12"/>
  <c r="S65" i="12"/>
  <c r="J66" i="12"/>
  <c r="R66" i="12"/>
  <c r="I67" i="12"/>
  <c r="H68" i="12"/>
  <c r="G69" i="12"/>
  <c r="O69" i="12"/>
  <c r="F70" i="12"/>
  <c r="N70" i="12"/>
  <c r="E71" i="12"/>
  <c r="M71" i="12"/>
  <c r="D72" i="12"/>
  <c r="L72" i="12"/>
  <c r="C73" i="12"/>
  <c r="K73" i="12"/>
  <c r="S73" i="12"/>
  <c r="J74" i="12"/>
  <c r="R74" i="12"/>
  <c r="H80" i="12"/>
  <c r="G81" i="12"/>
  <c r="O81" i="12"/>
  <c r="F82" i="12"/>
  <c r="N82" i="12"/>
  <c r="H66" i="12"/>
  <c r="O67" i="12"/>
  <c r="E69" i="12"/>
  <c r="L70" i="12"/>
  <c r="S71" i="12"/>
  <c r="I73" i="12"/>
  <c r="N80" i="12"/>
  <c r="D82" i="12"/>
  <c r="J37" i="12"/>
  <c r="R37" i="12"/>
  <c r="I38" i="12"/>
  <c r="H39" i="12"/>
  <c r="G40" i="12"/>
  <c r="O40" i="12"/>
  <c r="F41" i="12"/>
  <c r="N41" i="12"/>
  <c r="E42" i="12"/>
  <c r="M42" i="12"/>
  <c r="D43" i="12"/>
  <c r="L43" i="12"/>
  <c r="C44" i="12"/>
  <c r="K44" i="12"/>
  <c r="S44" i="12"/>
  <c r="J45" i="12"/>
  <c r="R45" i="12"/>
  <c r="H53" i="12"/>
  <c r="G54" i="12"/>
  <c r="O54" i="12"/>
  <c r="F55" i="12"/>
  <c r="N55" i="12"/>
  <c r="E56" i="12"/>
  <c r="M56" i="12"/>
  <c r="D57" i="12"/>
  <c r="L57" i="12"/>
  <c r="C58" i="12"/>
  <c r="K58" i="12"/>
  <c r="S58" i="12"/>
  <c r="J59" i="12"/>
  <c r="R59" i="12"/>
  <c r="I60" i="12"/>
  <c r="H61" i="12"/>
  <c r="G62" i="12"/>
  <c r="O62" i="12"/>
  <c r="F63" i="12"/>
  <c r="N63" i="12"/>
  <c r="E64" i="12"/>
  <c r="M64" i="12"/>
  <c r="D65" i="12"/>
  <c r="L65" i="12"/>
  <c r="C66" i="12"/>
  <c r="K66" i="12"/>
  <c r="S66" i="12"/>
  <c r="J67" i="12"/>
  <c r="R67" i="12"/>
  <c r="I68" i="12"/>
  <c r="H69" i="12"/>
  <c r="G70" i="12"/>
  <c r="O70" i="12"/>
  <c r="F71" i="12"/>
  <c r="N71" i="12"/>
  <c r="E72" i="12"/>
  <c r="M72" i="12"/>
  <c r="D73" i="12"/>
  <c r="L73" i="12"/>
  <c r="C74" i="12"/>
  <c r="K74" i="12"/>
  <c r="S74" i="12"/>
  <c r="I80" i="12"/>
  <c r="H81" i="12"/>
  <c r="G82" i="12"/>
  <c r="O82" i="12"/>
  <c r="I65" i="12"/>
  <c r="M69" i="12"/>
  <c r="C71" i="12"/>
  <c r="J72" i="12"/>
  <c r="E81" i="12"/>
  <c r="C37" i="12"/>
  <c r="K37" i="12"/>
  <c r="S37" i="12"/>
  <c r="J38" i="12"/>
  <c r="R38" i="12"/>
  <c r="I39" i="12"/>
  <c r="H40" i="12"/>
  <c r="G41" i="12"/>
  <c r="O41" i="12"/>
  <c r="F42" i="12"/>
  <c r="N42" i="12"/>
  <c r="E43" i="12"/>
  <c r="M43" i="12"/>
  <c r="D44" i="12"/>
  <c r="L44" i="12"/>
  <c r="C45" i="12"/>
  <c r="K45" i="12"/>
  <c r="S45" i="12"/>
  <c r="I53" i="12"/>
  <c r="H54" i="12"/>
  <c r="G55" i="12"/>
  <c r="O55" i="12"/>
  <c r="F56" i="12"/>
  <c r="N56" i="12"/>
  <c r="E57" i="12"/>
  <c r="M57" i="12"/>
  <c r="D58" i="12"/>
  <c r="L58" i="12"/>
  <c r="C59" i="12"/>
  <c r="K59" i="12"/>
  <c r="S59" i="12"/>
  <c r="J60" i="12"/>
  <c r="R60" i="12"/>
  <c r="I61" i="12"/>
  <c r="H62" i="12"/>
  <c r="G63" i="12"/>
  <c r="O63" i="12"/>
  <c r="F64" i="12"/>
  <c r="N64" i="12"/>
  <c r="E65" i="12"/>
  <c r="M65" i="12"/>
  <c r="D66" i="12"/>
  <c r="L66" i="12"/>
  <c r="C67" i="12"/>
  <c r="K67" i="12"/>
  <c r="S67" i="12"/>
  <c r="J68" i="12"/>
  <c r="R68" i="12"/>
  <c r="I69" i="12"/>
  <c r="H70" i="12"/>
  <c r="G71" i="12"/>
  <c r="O71" i="12"/>
  <c r="F72" i="12"/>
  <c r="N72" i="12"/>
  <c r="E73" i="12"/>
  <c r="M73" i="12"/>
  <c r="D74" i="12"/>
  <c r="L74" i="12"/>
  <c r="J80" i="12"/>
  <c r="R80" i="12"/>
  <c r="I81" i="12"/>
  <c r="H82" i="12"/>
  <c r="D37" i="12"/>
  <c r="L37" i="12"/>
  <c r="C38" i="12"/>
  <c r="K38" i="12"/>
  <c r="S38" i="12"/>
  <c r="J39" i="12"/>
  <c r="R39" i="12"/>
  <c r="I40" i="12"/>
  <c r="H41" i="12"/>
  <c r="G42" i="12"/>
  <c r="O42" i="12"/>
  <c r="F43" i="12"/>
  <c r="N43" i="12"/>
  <c r="E44" i="12"/>
  <c r="M44" i="12"/>
  <c r="D45" i="12"/>
  <c r="L45" i="12"/>
  <c r="J53" i="12"/>
  <c r="R53" i="12"/>
  <c r="I54" i="12"/>
  <c r="H55" i="12"/>
  <c r="G56" i="12"/>
  <c r="O56" i="12"/>
  <c r="F57" i="12"/>
  <c r="N57" i="12"/>
  <c r="E58" i="12"/>
  <c r="M58" i="12"/>
  <c r="D59" i="12"/>
  <c r="L59" i="12"/>
  <c r="C60" i="12"/>
  <c r="K60" i="12"/>
  <c r="S60" i="12"/>
  <c r="J61" i="12"/>
  <c r="R61" i="12"/>
  <c r="I62" i="12"/>
  <c r="H63" i="12"/>
  <c r="G64" i="12"/>
  <c r="O64" i="12"/>
  <c r="F65" i="12"/>
  <c r="N65" i="12"/>
  <c r="E66" i="12"/>
  <c r="M66" i="12"/>
  <c r="D67" i="12"/>
  <c r="L67" i="12"/>
  <c r="C68" i="12"/>
  <c r="K68" i="12"/>
  <c r="S68" i="12"/>
  <c r="J69" i="12"/>
  <c r="R69" i="12"/>
  <c r="I70" i="12"/>
  <c r="H71" i="12"/>
  <c r="G72" i="12"/>
  <c r="O72" i="12"/>
  <c r="F73" i="12"/>
  <c r="N73" i="12"/>
  <c r="E74" i="12"/>
  <c r="M74" i="12"/>
  <c r="C80" i="12"/>
  <c r="K80" i="12"/>
  <c r="S80" i="12"/>
  <c r="J81" i="12"/>
  <c r="R81" i="12"/>
  <c r="I82" i="12"/>
  <c r="E37" i="12"/>
  <c r="M37" i="12"/>
  <c r="D38" i="12"/>
  <c r="L38" i="12"/>
  <c r="C39" i="12"/>
  <c r="K39" i="12"/>
  <c r="S39" i="12"/>
  <c r="J40" i="12"/>
  <c r="R40" i="12"/>
  <c r="I41" i="12"/>
  <c r="H42" i="12"/>
  <c r="G43" i="12"/>
  <c r="O43" i="12"/>
  <c r="F44" i="12"/>
  <c r="N44" i="12"/>
  <c r="E45" i="12"/>
  <c r="M45" i="12"/>
  <c r="C53" i="12"/>
  <c r="K53" i="12"/>
  <c r="S53" i="12"/>
  <c r="J54" i="12"/>
  <c r="R54" i="12"/>
  <c r="I55" i="12"/>
  <c r="H56" i="12"/>
  <c r="G57" i="12"/>
  <c r="O57" i="12"/>
  <c r="F58" i="12"/>
  <c r="N58" i="12"/>
  <c r="E59" i="12"/>
  <c r="M59" i="12"/>
  <c r="D60" i="12"/>
  <c r="L60" i="12"/>
  <c r="C61" i="12"/>
  <c r="K61" i="12"/>
  <c r="S61" i="12"/>
  <c r="J62" i="12"/>
  <c r="R62" i="12"/>
  <c r="I63" i="12"/>
  <c r="H64" i="12"/>
  <c r="G65" i="12"/>
  <c r="O65" i="12"/>
  <c r="F66" i="12"/>
  <c r="N66" i="12"/>
  <c r="E67" i="12"/>
  <c r="M67" i="12"/>
  <c r="D68" i="12"/>
  <c r="L68" i="12"/>
  <c r="C69" i="12"/>
  <c r="K69" i="12"/>
  <c r="S69" i="12"/>
  <c r="J70" i="12"/>
  <c r="R70" i="12"/>
  <c r="I71" i="12"/>
  <c r="H72" i="12"/>
  <c r="G73" i="12"/>
  <c r="O73" i="12"/>
  <c r="F74" i="12"/>
  <c r="N74" i="12"/>
  <c r="D80" i="12"/>
  <c r="L80" i="12"/>
  <c r="C81" i="12"/>
  <c r="K81" i="12"/>
  <c r="S81" i="12"/>
  <c r="J82" i="12"/>
  <c r="R82" i="12"/>
  <c r="F37" i="12"/>
  <c r="N37" i="12"/>
  <c r="E38" i="12"/>
  <c r="M38" i="12"/>
  <c r="D39" i="12"/>
  <c r="L39" i="12"/>
  <c r="C40" i="12"/>
  <c r="K40" i="12"/>
  <c r="S40" i="12"/>
  <c r="J41" i="12"/>
  <c r="R41" i="12"/>
  <c r="I42" i="12"/>
  <c r="H43" i="12"/>
  <c r="G44" i="12"/>
  <c r="O44" i="12"/>
  <c r="F45" i="12"/>
  <c r="N45" i="12"/>
  <c r="D53" i="12"/>
  <c r="L53" i="12"/>
  <c r="C54" i="12"/>
  <c r="K54" i="12"/>
  <c r="S54" i="12"/>
  <c r="J55" i="12"/>
  <c r="R55" i="12"/>
  <c r="I56" i="12"/>
  <c r="H57" i="12"/>
  <c r="G58" i="12"/>
  <c r="O58" i="12"/>
  <c r="F59" i="12"/>
  <c r="N59" i="12"/>
  <c r="E60" i="12"/>
  <c r="M60" i="12"/>
  <c r="D61" i="12"/>
  <c r="L61" i="12"/>
  <c r="C62" i="12"/>
  <c r="K62" i="12"/>
  <c r="S62" i="12"/>
  <c r="J63" i="12"/>
  <c r="R63" i="12"/>
  <c r="I64" i="12"/>
  <c r="H65" i="12"/>
  <c r="G66" i="12"/>
  <c r="O66" i="12"/>
  <c r="F67" i="12"/>
  <c r="N67" i="12"/>
  <c r="E68" i="12"/>
  <c r="M68" i="12"/>
  <c r="D69" i="12"/>
  <c r="L69" i="12"/>
  <c r="C70" i="12"/>
  <c r="K70" i="12"/>
  <c r="S70" i="12"/>
  <c r="J71" i="12"/>
  <c r="R71" i="12"/>
  <c r="I72" i="12"/>
  <c r="H73" i="12"/>
  <c r="G74" i="12"/>
  <c r="O74" i="12"/>
  <c r="E80" i="12"/>
  <c r="M80" i="12"/>
  <c r="D81" i="12"/>
  <c r="L81" i="12"/>
  <c r="C82" i="12"/>
  <c r="K82" i="12"/>
  <c r="S82" i="12"/>
  <c r="H37" i="13"/>
  <c r="G38" i="13"/>
  <c r="F39" i="13"/>
  <c r="E40" i="13"/>
  <c r="K42" i="13"/>
  <c r="J37" i="13"/>
  <c r="R37" i="13"/>
  <c r="I38" i="13"/>
  <c r="H39" i="13"/>
  <c r="P39" i="13"/>
  <c r="G40" i="13"/>
  <c r="O40" i="13"/>
  <c r="F41" i="13"/>
  <c r="N41" i="13"/>
  <c r="E42" i="13"/>
  <c r="M42" i="13"/>
  <c r="D43" i="13"/>
  <c r="L43" i="13"/>
  <c r="C44" i="13"/>
  <c r="K44" i="13"/>
  <c r="J45" i="13"/>
  <c r="R45" i="13"/>
  <c r="H53" i="13"/>
  <c r="P53" i="13"/>
  <c r="G54" i="13"/>
  <c r="O54" i="13"/>
  <c r="F55" i="13"/>
  <c r="N55" i="13"/>
  <c r="E56" i="13"/>
  <c r="M56" i="13"/>
  <c r="D57" i="13"/>
  <c r="L57" i="13"/>
  <c r="C58" i="13"/>
  <c r="K58" i="13"/>
  <c r="J59" i="13"/>
  <c r="R59" i="13"/>
  <c r="I60" i="13"/>
  <c r="H61" i="13"/>
  <c r="P61" i="13"/>
  <c r="G62" i="13"/>
  <c r="O62" i="13"/>
  <c r="F63" i="13"/>
  <c r="N63" i="13"/>
  <c r="E64" i="13"/>
  <c r="M64" i="13"/>
  <c r="D65" i="13"/>
  <c r="L65" i="13"/>
  <c r="C66" i="13"/>
  <c r="K66" i="13"/>
  <c r="J67" i="13"/>
  <c r="R67" i="13"/>
  <c r="I68" i="13"/>
  <c r="H69" i="13"/>
  <c r="P69" i="13"/>
  <c r="G70" i="13"/>
  <c r="O70" i="13"/>
  <c r="F71" i="13"/>
  <c r="N71" i="13"/>
  <c r="E72" i="13"/>
  <c r="M72" i="13"/>
  <c r="D73" i="13"/>
  <c r="L73" i="13"/>
  <c r="C74" i="13"/>
  <c r="K74" i="13"/>
  <c r="I80" i="13"/>
  <c r="H81" i="13"/>
  <c r="P81" i="13"/>
  <c r="G82" i="13"/>
  <c r="O82" i="13"/>
  <c r="C37" i="13"/>
  <c r="K37" i="13"/>
  <c r="J38" i="13"/>
  <c r="R38" i="13"/>
  <c r="I39" i="13"/>
  <c r="H40" i="13"/>
  <c r="P40" i="13"/>
  <c r="G41" i="13"/>
  <c r="O41" i="13"/>
  <c r="F42" i="13"/>
  <c r="N42" i="13"/>
  <c r="E43" i="13"/>
  <c r="M43" i="13"/>
  <c r="D44" i="13"/>
  <c r="L44" i="13"/>
  <c r="C45" i="13"/>
  <c r="K45" i="13"/>
  <c r="I53" i="13"/>
  <c r="H54" i="13"/>
  <c r="P54" i="13"/>
  <c r="G55" i="13"/>
  <c r="O55" i="13"/>
  <c r="F56" i="13"/>
  <c r="N56" i="13"/>
  <c r="E57" i="13"/>
  <c r="M57" i="13"/>
  <c r="D58" i="13"/>
  <c r="L58" i="13"/>
  <c r="C59" i="13"/>
  <c r="K59" i="13"/>
  <c r="J60" i="13"/>
  <c r="R60" i="13"/>
  <c r="I61" i="13"/>
  <c r="H62" i="13"/>
  <c r="P62" i="13"/>
  <c r="G63" i="13"/>
  <c r="O63" i="13"/>
  <c r="F64" i="13"/>
  <c r="N64" i="13"/>
  <c r="E65" i="13"/>
  <c r="M65" i="13"/>
  <c r="D66" i="13"/>
  <c r="L66" i="13"/>
  <c r="C67" i="13"/>
  <c r="K67" i="13"/>
  <c r="J68" i="13"/>
  <c r="R68" i="13"/>
  <c r="I69" i="13"/>
  <c r="H70" i="13"/>
  <c r="P70" i="13"/>
  <c r="G71" i="13"/>
  <c r="O71" i="13"/>
  <c r="F72" i="13"/>
  <c r="N72" i="13"/>
  <c r="E73" i="13"/>
  <c r="M73" i="13"/>
  <c r="D74" i="13"/>
  <c r="L74" i="13"/>
  <c r="J80" i="13"/>
  <c r="R80" i="13"/>
  <c r="I81" i="13"/>
  <c r="H82" i="13"/>
  <c r="P82" i="13"/>
  <c r="D37" i="13"/>
  <c r="L37" i="13"/>
  <c r="C38" i="13"/>
  <c r="K38" i="13"/>
  <c r="J39" i="13"/>
  <c r="R39" i="13"/>
  <c r="I40" i="13"/>
  <c r="H41" i="13"/>
  <c r="P41" i="13"/>
  <c r="G42" i="13"/>
  <c r="O42" i="13"/>
  <c r="F43" i="13"/>
  <c r="N43" i="13"/>
  <c r="E44" i="13"/>
  <c r="M44" i="13"/>
  <c r="D45" i="13"/>
  <c r="L45" i="13"/>
  <c r="J53" i="13"/>
  <c r="R53" i="13"/>
  <c r="I54" i="13"/>
  <c r="H55" i="13"/>
  <c r="P55" i="13"/>
  <c r="G56" i="13"/>
  <c r="O56" i="13"/>
  <c r="F57" i="13"/>
  <c r="N57" i="13"/>
  <c r="E58" i="13"/>
  <c r="M58" i="13"/>
  <c r="D59" i="13"/>
  <c r="L59" i="13"/>
  <c r="C60" i="13"/>
  <c r="K60" i="13"/>
  <c r="J61" i="13"/>
  <c r="R61" i="13"/>
  <c r="I62" i="13"/>
  <c r="H63" i="13"/>
  <c r="P63" i="13"/>
  <c r="G64" i="13"/>
  <c r="O64" i="13"/>
  <c r="F65" i="13"/>
  <c r="N65" i="13"/>
  <c r="E66" i="13"/>
  <c r="M66" i="13"/>
  <c r="D67" i="13"/>
  <c r="L67" i="13"/>
  <c r="C68" i="13"/>
  <c r="K68" i="13"/>
  <c r="J69" i="13"/>
  <c r="R69" i="13"/>
  <c r="I70" i="13"/>
  <c r="H71" i="13"/>
  <c r="P71" i="13"/>
  <c r="G72" i="13"/>
  <c r="O72" i="13"/>
  <c r="F73" i="13"/>
  <c r="N73" i="13"/>
  <c r="E74" i="13"/>
  <c r="M74" i="13"/>
  <c r="C80" i="13"/>
  <c r="K80" i="13"/>
  <c r="J81" i="13"/>
  <c r="R81" i="13"/>
  <c r="I82" i="13"/>
  <c r="E37" i="13"/>
  <c r="M37" i="13"/>
  <c r="D38" i="13"/>
  <c r="L38" i="13"/>
  <c r="C39" i="13"/>
  <c r="K39" i="13"/>
  <c r="J40" i="13"/>
  <c r="R40" i="13"/>
  <c r="I41" i="13"/>
  <c r="H42" i="13"/>
  <c r="P42" i="13"/>
  <c r="G43" i="13"/>
  <c r="O43" i="13"/>
  <c r="F44" i="13"/>
  <c r="N44" i="13"/>
  <c r="E45" i="13"/>
  <c r="M45" i="13"/>
  <c r="C53" i="13"/>
  <c r="K53" i="13"/>
  <c r="J54" i="13"/>
  <c r="R54" i="13"/>
  <c r="I55" i="13"/>
  <c r="H56" i="13"/>
  <c r="P56" i="13"/>
  <c r="G57" i="13"/>
  <c r="O57" i="13"/>
  <c r="F58" i="13"/>
  <c r="N58" i="13"/>
  <c r="E59" i="13"/>
  <c r="M59" i="13"/>
  <c r="D60" i="13"/>
  <c r="L60" i="13"/>
  <c r="C61" i="13"/>
  <c r="K61" i="13"/>
  <c r="J62" i="13"/>
  <c r="R62" i="13"/>
  <c r="I63" i="13"/>
  <c r="H64" i="13"/>
  <c r="P64" i="13"/>
  <c r="G65" i="13"/>
  <c r="O65" i="13"/>
  <c r="F66" i="13"/>
  <c r="N66" i="13"/>
  <c r="E67" i="13"/>
  <c r="M67" i="13"/>
  <c r="D68" i="13"/>
  <c r="L68" i="13"/>
  <c r="C69" i="13"/>
  <c r="K69" i="13"/>
  <c r="J70" i="13"/>
  <c r="R70" i="13"/>
  <c r="I71" i="13"/>
  <c r="H72" i="13"/>
  <c r="P72" i="13"/>
  <c r="G73" i="13"/>
  <c r="O73" i="13"/>
  <c r="F74" i="13"/>
  <c r="N74" i="13"/>
  <c r="D80" i="13"/>
  <c r="L80" i="13"/>
  <c r="C81" i="13"/>
  <c r="K81" i="13"/>
  <c r="J82" i="13"/>
  <c r="R82" i="13"/>
  <c r="F37" i="13"/>
  <c r="N37" i="13"/>
  <c r="E38" i="13"/>
  <c r="M38" i="13"/>
  <c r="D39" i="13"/>
  <c r="L39" i="13"/>
  <c r="C40" i="13"/>
  <c r="K40" i="13"/>
  <c r="J41" i="13"/>
  <c r="R41" i="13"/>
  <c r="I42" i="13"/>
  <c r="H43" i="13"/>
  <c r="P43" i="13"/>
  <c r="G44" i="13"/>
  <c r="O44" i="13"/>
  <c r="F45" i="13"/>
  <c r="N45" i="13"/>
  <c r="D53" i="13"/>
  <c r="L53" i="13"/>
  <c r="C54" i="13"/>
  <c r="K54" i="13"/>
  <c r="J55" i="13"/>
  <c r="R55" i="13"/>
  <c r="I56" i="13"/>
  <c r="H57" i="13"/>
  <c r="P57" i="13"/>
  <c r="G58" i="13"/>
  <c r="O58" i="13"/>
  <c r="F59" i="13"/>
  <c r="N59" i="13"/>
  <c r="E60" i="13"/>
  <c r="M60" i="13"/>
  <c r="D61" i="13"/>
  <c r="L61" i="13"/>
  <c r="C62" i="13"/>
  <c r="K62" i="13"/>
  <c r="J63" i="13"/>
  <c r="R63" i="13"/>
  <c r="I64" i="13"/>
  <c r="H65" i="13"/>
  <c r="P65" i="13"/>
  <c r="G66" i="13"/>
  <c r="O66" i="13"/>
  <c r="F67" i="13"/>
  <c r="N67" i="13"/>
  <c r="E68" i="13"/>
  <c r="M68" i="13"/>
  <c r="D69" i="13"/>
  <c r="L69" i="13"/>
  <c r="C70" i="13"/>
  <c r="K70" i="13"/>
  <c r="J71" i="13"/>
  <c r="R71" i="13"/>
  <c r="I72" i="13"/>
  <c r="H73" i="13"/>
  <c r="P73" i="13"/>
  <c r="G74" i="13"/>
  <c r="O74" i="13"/>
  <c r="E80" i="13"/>
  <c r="M80" i="13"/>
  <c r="D81" i="13"/>
  <c r="L81" i="13"/>
  <c r="C82" i="13"/>
  <c r="K82" i="13"/>
  <c r="G37" i="14"/>
  <c r="H38" i="14"/>
  <c r="N39" i="14"/>
  <c r="C41" i="14"/>
  <c r="D42" i="14"/>
  <c r="J43" i="14"/>
  <c r="P44" i="14"/>
  <c r="F53" i="14"/>
  <c r="L54" i="14"/>
  <c r="M55" i="14"/>
  <c r="S56" i="14"/>
  <c r="H58" i="14"/>
  <c r="I59" i="14"/>
  <c r="O60" i="14"/>
  <c r="S63" i="14"/>
  <c r="O67" i="14"/>
  <c r="K71" i="14"/>
  <c r="E81" i="14"/>
  <c r="F38" i="14"/>
  <c r="L70" i="14"/>
  <c r="H37" i="14"/>
  <c r="N38" i="14"/>
  <c r="O39" i="14"/>
  <c r="D41" i="14"/>
  <c r="J42" i="14"/>
  <c r="K43" i="14"/>
  <c r="G53" i="14"/>
  <c r="M54" i="14"/>
  <c r="S55" i="14"/>
  <c r="C57" i="14"/>
  <c r="I58" i="14"/>
  <c r="O59" i="14"/>
  <c r="E61" i="14"/>
  <c r="J64" i="14"/>
  <c r="F68" i="14"/>
  <c r="S71" i="14"/>
  <c r="M81" i="14"/>
  <c r="F40" i="14"/>
  <c r="S43" i="14"/>
  <c r="J56" i="14"/>
  <c r="F60" i="14"/>
  <c r="M69" i="14"/>
  <c r="M41" i="14"/>
  <c r="E55" i="14"/>
  <c r="R58" i="14"/>
  <c r="G39" i="14"/>
  <c r="C43" i="14"/>
  <c r="L56" i="14"/>
  <c r="G59" i="14"/>
  <c r="H74" i="14"/>
  <c r="I37" i="14"/>
  <c r="O38" i="14"/>
  <c r="D40" i="14"/>
  <c r="E41" i="14"/>
  <c r="K42" i="14"/>
  <c r="R44" i="14"/>
  <c r="M53" i="14"/>
  <c r="N54" i="14"/>
  <c r="C56" i="14"/>
  <c r="I57" i="14"/>
  <c r="J58" i="14"/>
  <c r="P59" i="14"/>
  <c r="F61" i="14"/>
  <c r="R64" i="14"/>
  <c r="N68" i="14"/>
  <c r="J72" i="14"/>
  <c r="D82" i="14"/>
  <c r="S42" i="14"/>
  <c r="H66" i="14"/>
  <c r="I44" i="14"/>
  <c r="C63" i="14"/>
  <c r="O37" i="14"/>
  <c r="P38" i="14"/>
  <c r="E40" i="14"/>
  <c r="K41" i="14"/>
  <c r="L42" i="14"/>
  <c r="R43" i="14"/>
  <c r="G45" i="14"/>
  <c r="N53" i="14"/>
  <c r="C55" i="14"/>
  <c r="D56" i="14"/>
  <c r="J57" i="14"/>
  <c r="P58" i="14"/>
  <c r="M61" i="14"/>
  <c r="I65" i="14"/>
  <c r="E69" i="14"/>
  <c r="R72" i="14"/>
  <c r="L82" i="14"/>
  <c r="N61" i="14"/>
  <c r="E62" i="14"/>
  <c r="M62" i="14"/>
  <c r="D63" i="14"/>
  <c r="L63" i="14"/>
  <c r="C64" i="14"/>
  <c r="K64" i="14"/>
  <c r="S64" i="14"/>
  <c r="J65" i="14"/>
  <c r="R65" i="14"/>
  <c r="I66" i="14"/>
  <c r="H67" i="14"/>
  <c r="P67" i="14"/>
  <c r="G68" i="14"/>
  <c r="O68" i="14"/>
  <c r="F69" i="14"/>
  <c r="N69" i="14"/>
  <c r="E70" i="14"/>
  <c r="M70" i="14"/>
  <c r="D71" i="14"/>
  <c r="L71" i="14"/>
  <c r="C72" i="14"/>
  <c r="K72" i="14"/>
  <c r="S72" i="14"/>
  <c r="J73" i="14"/>
  <c r="R73" i="14"/>
  <c r="I74" i="14"/>
  <c r="G80" i="14"/>
  <c r="O80" i="14"/>
  <c r="F81" i="14"/>
  <c r="N81" i="14"/>
  <c r="E82" i="14"/>
  <c r="M82" i="14"/>
  <c r="C65" i="14"/>
  <c r="R66" i="14"/>
  <c r="I67" i="14"/>
  <c r="H68" i="14"/>
  <c r="O69" i="14"/>
  <c r="N70" i="14"/>
  <c r="E71" i="14"/>
  <c r="M71" i="14"/>
  <c r="D72" i="14"/>
  <c r="K73" i="14"/>
  <c r="S73" i="14"/>
  <c r="J74" i="14"/>
  <c r="R74" i="14"/>
  <c r="H80" i="14"/>
  <c r="P80" i="14"/>
  <c r="G81" i="14"/>
  <c r="O81" i="14"/>
  <c r="F82" i="14"/>
  <c r="N82" i="14"/>
  <c r="G61" i="14"/>
  <c r="F62" i="14"/>
  <c r="M63" i="14"/>
  <c r="L64" i="14"/>
  <c r="S65" i="14"/>
  <c r="P68" i="14"/>
  <c r="F70" i="14"/>
  <c r="C73" i="14"/>
  <c r="J37" i="14"/>
  <c r="R37" i="14"/>
  <c r="I38" i="14"/>
  <c r="H39" i="14"/>
  <c r="P39" i="14"/>
  <c r="G40" i="14"/>
  <c r="O40" i="14"/>
  <c r="F41" i="14"/>
  <c r="N41" i="14"/>
  <c r="E42" i="14"/>
  <c r="M42" i="14"/>
  <c r="D43" i="14"/>
  <c r="L43" i="14"/>
  <c r="C44" i="14"/>
  <c r="K44" i="14"/>
  <c r="S44" i="14"/>
  <c r="J45" i="14"/>
  <c r="R45" i="14"/>
  <c r="H53" i="14"/>
  <c r="P53" i="14"/>
  <c r="G54" i="14"/>
  <c r="O54" i="14"/>
  <c r="F55" i="14"/>
  <c r="N55" i="14"/>
  <c r="E56" i="14"/>
  <c r="M56" i="14"/>
  <c r="D57" i="14"/>
  <c r="L57" i="14"/>
  <c r="C58" i="14"/>
  <c r="K58" i="14"/>
  <c r="S58" i="14"/>
  <c r="J59" i="14"/>
  <c r="R59" i="14"/>
  <c r="I60" i="14"/>
  <c r="H61" i="14"/>
  <c r="P61" i="14"/>
  <c r="G62" i="14"/>
  <c r="O62" i="14"/>
  <c r="F63" i="14"/>
  <c r="N63" i="14"/>
  <c r="E64" i="14"/>
  <c r="M64" i="14"/>
  <c r="D65" i="14"/>
  <c r="L65" i="14"/>
  <c r="C66" i="14"/>
  <c r="K66" i="14"/>
  <c r="S66" i="14"/>
  <c r="J67" i="14"/>
  <c r="R67" i="14"/>
  <c r="I68" i="14"/>
  <c r="H69" i="14"/>
  <c r="P69" i="14"/>
  <c r="G70" i="14"/>
  <c r="O70" i="14"/>
  <c r="F71" i="14"/>
  <c r="N71" i="14"/>
  <c r="E72" i="14"/>
  <c r="M72" i="14"/>
  <c r="D73" i="14"/>
  <c r="L73" i="14"/>
  <c r="C74" i="14"/>
  <c r="K74" i="14"/>
  <c r="S74" i="14"/>
  <c r="I80" i="14"/>
  <c r="H81" i="14"/>
  <c r="P81" i="14"/>
  <c r="G82" i="14"/>
  <c r="O82" i="14"/>
  <c r="O61" i="14"/>
  <c r="C37" i="14"/>
  <c r="K37" i="14"/>
  <c r="S37" i="14"/>
  <c r="J38" i="14"/>
  <c r="R38" i="14"/>
  <c r="I39" i="14"/>
  <c r="H40" i="14"/>
  <c r="P40" i="14"/>
  <c r="G41" i="14"/>
  <c r="O41" i="14"/>
  <c r="F42" i="14"/>
  <c r="N42" i="14"/>
  <c r="E43" i="14"/>
  <c r="M43" i="14"/>
  <c r="D44" i="14"/>
  <c r="L44" i="14"/>
  <c r="C45" i="14"/>
  <c r="K45" i="14"/>
  <c r="S45" i="14"/>
  <c r="I53" i="14"/>
  <c r="H54" i="14"/>
  <c r="P54" i="14"/>
  <c r="G55" i="14"/>
  <c r="O55" i="14"/>
  <c r="F56" i="14"/>
  <c r="N56" i="14"/>
  <c r="E57" i="14"/>
  <c r="M57" i="14"/>
  <c r="D58" i="14"/>
  <c r="L58" i="14"/>
  <c r="C59" i="14"/>
  <c r="K59" i="14"/>
  <c r="S59" i="14"/>
  <c r="J60" i="14"/>
  <c r="R60" i="14"/>
  <c r="I61" i="14"/>
  <c r="H62" i="14"/>
  <c r="P62" i="14"/>
  <c r="G63" i="14"/>
  <c r="O63" i="14"/>
  <c r="F64" i="14"/>
  <c r="N64" i="14"/>
  <c r="E65" i="14"/>
  <c r="M65" i="14"/>
  <c r="D66" i="14"/>
  <c r="L66" i="14"/>
  <c r="C67" i="14"/>
  <c r="K67" i="14"/>
  <c r="S67" i="14"/>
  <c r="J68" i="14"/>
  <c r="R68" i="14"/>
  <c r="I69" i="14"/>
  <c r="H70" i="14"/>
  <c r="P70" i="14"/>
  <c r="G71" i="14"/>
  <c r="O71" i="14"/>
  <c r="F72" i="14"/>
  <c r="N72" i="14"/>
  <c r="E73" i="14"/>
  <c r="M73" i="14"/>
  <c r="D74" i="14"/>
  <c r="L74" i="14"/>
  <c r="J80" i="14"/>
  <c r="R80" i="14"/>
  <c r="I81" i="14"/>
  <c r="H82" i="14"/>
  <c r="P82" i="14"/>
  <c r="D37" i="14"/>
  <c r="L37" i="14"/>
  <c r="C38" i="14"/>
  <c r="K38" i="14"/>
  <c r="S38" i="14"/>
  <c r="J39" i="14"/>
  <c r="R39" i="14"/>
  <c r="I40" i="14"/>
  <c r="H41" i="14"/>
  <c r="P41" i="14"/>
  <c r="G42" i="14"/>
  <c r="O42" i="14"/>
  <c r="F43" i="14"/>
  <c r="N43" i="14"/>
  <c r="E44" i="14"/>
  <c r="M44" i="14"/>
  <c r="D45" i="14"/>
  <c r="L45" i="14"/>
  <c r="J53" i="14"/>
  <c r="R53" i="14"/>
  <c r="I54" i="14"/>
  <c r="H55" i="14"/>
  <c r="P55" i="14"/>
  <c r="G56" i="14"/>
  <c r="O56" i="14"/>
  <c r="F57" i="14"/>
  <c r="N57" i="14"/>
  <c r="E58" i="14"/>
  <c r="M58" i="14"/>
  <c r="D59" i="14"/>
  <c r="L59" i="14"/>
  <c r="C60" i="14"/>
  <c r="K60" i="14"/>
  <c r="S60" i="14"/>
  <c r="J61" i="14"/>
  <c r="R61" i="14"/>
  <c r="I62" i="14"/>
  <c r="H63" i="14"/>
  <c r="P63" i="14"/>
  <c r="G64" i="14"/>
  <c r="O64" i="14"/>
  <c r="F65" i="14"/>
  <c r="N65" i="14"/>
  <c r="E66" i="14"/>
  <c r="M66" i="14"/>
  <c r="D67" i="14"/>
  <c r="L67" i="14"/>
  <c r="C68" i="14"/>
  <c r="K68" i="14"/>
  <c r="S68" i="14"/>
  <c r="J69" i="14"/>
  <c r="R69" i="14"/>
  <c r="I70" i="14"/>
  <c r="H71" i="14"/>
  <c r="P71" i="14"/>
  <c r="G72" i="14"/>
  <c r="O72" i="14"/>
  <c r="F73" i="14"/>
  <c r="N73" i="14"/>
  <c r="E74" i="14"/>
  <c r="M74" i="14"/>
  <c r="C80" i="14"/>
  <c r="K80" i="14"/>
  <c r="S80" i="14"/>
  <c r="J81" i="14"/>
  <c r="R81" i="14"/>
  <c r="I82" i="14"/>
  <c r="E37" i="14"/>
  <c r="M37" i="14"/>
  <c r="D38" i="14"/>
  <c r="L38" i="14"/>
  <c r="C39" i="14"/>
  <c r="K39" i="14"/>
  <c r="S39" i="14"/>
  <c r="J40" i="14"/>
  <c r="R40" i="14"/>
  <c r="I41" i="14"/>
  <c r="H42" i="14"/>
  <c r="P42" i="14"/>
  <c r="G43" i="14"/>
  <c r="O43" i="14"/>
  <c r="F44" i="14"/>
  <c r="N44" i="14"/>
  <c r="E45" i="14"/>
  <c r="M45" i="14"/>
  <c r="C53" i="14"/>
  <c r="K53" i="14"/>
  <c r="S53" i="14"/>
  <c r="J54" i="14"/>
  <c r="R54" i="14"/>
  <c r="I55" i="14"/>
  <c r="H56" i="14"/>
  <c r="P56" i="14"/>
  <c r="G57" i="14"/>
  <c r="O57" i="14"/>
  <c r="F58" i="14"/>
  <c r="N58" i="14"/>
  <c r="E59" i="14"/>
  <c r="M59" i="14"/>
  <c r="D60" i="14"/>
  <c r="L60" i="14"/>
  <c r="C61" i="14"/>
  <c r="K61" i="14"/>
  <c r="S61" i="14"/>
  <c r="J62" i="14"/>
  <c r="R62" i="14"/>
  <c r="I63" i="14"/>
  <c r="H64" i="14"/>
  <c r="P64" i="14"/>
  <c r="G65" i="14"/>
  <c r="O65" i="14"/>
  <c r="F66" i="14"/>
  <c r="N66" i="14"/>
  <c r="E67" i="14"/>
  <c r="M67" i="14"/>
  <c r="D68" i="14"/>
  <c r="L68" i="14"/>
  <c r="C69" i="14"/>
  <c r="K69" i="14"/>
  <c r="S69" i="14"/>
  <c r="J70" i="14"/>
  <c r="R70" i="14"/>
  <c r="I71" i="14"/>
  <c r="H72" i="14"/>
  <c r="P72" i="14"/>
  <c r="G73" i="14"/>
  <c r="O73" i="14"/>
  <c r="F74" i="14"/>
  <c r="N74" i="14"/>
  <c r="D80" i="14"/>
  <c r="L80" i="14"/>
  <c r="C81" i="14"/>
  <c r="K81" i="14"/>
  <c r="S81" i="14"/>
  <c r="J82" i="14"/>
  <c r="R82" i="14"/>
  <c r="P60" i="14"/>
  <c r="N62" i="14"/>
  <c r="E63" i="14"/>
  <c r="D64" i="14"/>
  <c r="K65" i="14"/>
  <c r="J66" i="14"/>
  <c r="G69" i="14"/>
  <c r="L72" i="14"/>
  <c r="F37" i="14"/>
  <c r="N37" i="14"/>
  <c r="E38" i="14"/>
  <c r="M38" i="14"/>
  <c r="D39" i="14"/>
  <c r="L39" i="14"/>
  <c r="C40" i="14"/>
  <c r="K40" i="14"/>
  <c r="S40" i="14"/>
  <c r="J41" i="14"/>
  <c r="R41" i="14"/>
  <c r="I42" i="14"/>
  <c r="H43" i="14"/>
  <c r="P43" i="14"/>
  <c r="G44" i="14"/>
  <c r="O44" i="14"/>
  <c r="F45" i="14"/>
  <c r="N45" i="14"/>
  <c r="D53" i="14"/>
  <c r="L53" i="14"/>
  <c r="C54" i="14"/>
  <c r="K54" i="14"/>
  <c r="S54" i="14"/>
  <c r="J55" i="14"/>
  <c r="R55" i="14"/>
  <c r="I56" i="14"/>
  <c r="H57" i="14"/>
  <c r="P57" i="14"/>
  <c r="G58" i="14"/>
  <c r="O58" i="14"/>
  <c r="F59" i="14"/>
  <c r="N59" i="14"/>
  <c r="E60" i="14"/>
  <c r="M60" i="14"/>
  <c r="D61" i="14"/>
  <c r="L61" i="14"/>
  <c r="C62" i="14"/>
  <c r="K62" i="14"/>
  <c r="S62" i="14"/>
  <c r="J63" i="14"/>
  <c r="R63" i="14"/>
  <c r="I64" i="14"/>
  <c r="H65" i="14"/>
  <c r="P65" i="14"/>
  <c r="G66" i="14"/>
  <c r="O66" i="14"/>
  <c r="F67" i="14"/>
  <c r="N67" i="14"/>
  <c r="E68" i="14"/>
  <c r="M68" i="14"/>
  <c r="D69" i="14"/>
  <c r="L69" i="14"/>
  <c r="C70" i="14"/>
  <c r="K70" i="14"/>
  <c r="S70" i="14"/>
  <c r="J71" i="14"/>
  <c r="R71" i="14"/>
  <c r="I72" i="14"/>
  <c r="H73" i="14"/>
  <c r="P73" i="14"/>
  <c r="G74" i="14"/>
  <c r="O74" i="14"/>
  <c r="E80" i="14"/>
  <c r="M80" i="14"/>
  <c r="D81" i="14"/>
  <c r="L81" i="14"/>
  <c r="C82" i="14"/>
  <c r="K82" i="14"/>
  <c r="S82" i="14"/>
  <c r="P37" i="15"/>
  <c r="E39" i="15"/>
  <c r="F40" i="15"/>
  <c r="L41" i="15"/>
  <c r="R42" i="15"/>
  <c r="H45" i="15"/>
  <c r="O53" i="15"/>
  <c r="D55" i="15"/>
  <c r="J56" i="15"/>
  <c r="K57" i="15"/>
  <c r="Q58" i="15"/>
  <c r="F60" i="15"/>
  <c r="G61" i="15"/>
  <c r="M62" i="15"/>
  <c r="C65" i="15"/>
  <c r="I66" i="15"/>
  <c r="P67" i="15"/>
  <c r="M69" i="15"/>
  <c r="K71" i="15"/>
  <c r="I73" i="15"/>
  <c r="N80" i="15"/>
  <c r="L82" i="15"/>
  <c r="G39" i="15"/>
  <c r="O45" i="15"/>
  <c r="K55" i="15"/>
  <c r="R57" i="15"/>
  <c r="H60" i="15"/>
  <c r="C63" i="15"/>
  <c r="J65" i="15"/>
  <c r="G68" i="15"/>
  <c r="Q73" i="15"/>
  <c r="P38" i="15"/>
  <c r="K41" i="15"/>
  <c r="R43" i="15"/>
  <c r="C55" i="15"/>
  <c r="J57" i="15"/>
  <c r="Q59" i="15"/>
  <c r="L62" i="15"/>
  <c r="M63" i="15"/>
  <c r="H66" i="15"/>
  <c r="F69" i="15"/>
  <c r="Q74" i="15"/>
  <c r="Q37" i="15"/>
  <c r="F39" i="15"/>
  <c r="L40" i="15"/>
  <c r="M41" i="15"/>
  <c r="H44" i="15"/>
  <c r="I45" i="15"/>
  <c r="D54" i="15"/>
  <c r="E55" i="15"/>
  <c r="K56" i="15"/>
  <c r="Q57" i="15"/>
  <c r="R58" i="15"/>
  <c r="G60" i="15"/>
  <c r="M61" i="15"/>
  <c r="N62" i="15"/>
  <c r="C64" i="15"/>
  <c r="I65" i="15"/>
  <c r="J66" i="15"/>
  <c r="F68" i="15"/>
  <c r="N69" i="15"/>
  <c r="L71" i="15"/>
  <c r="J73" i="15"/>
  <c r="O80" i="15"/>
  <c r="M82" i="15"/>
  <c r="Q67" i="15"/>
  <c r="G69" i="15"/>
  <c r="N70" i="15"/>
  <c r="D72" i="15"/>
  <c r="C73" i="15"/>
  <c r="R74" i="15"/>
  <c r="P80" i="15"/>
  <c r="G81" i="15"/>
  <c r="O81" i="15"/>
  <c r="N82" i="15"/>
  <c r="J37" i="15"/>
  <c r="R37" i="15"/>
  <c r="I38" i="15"/>
  <c r="Q38" i="15"/>
  <c r="H39" i="15"/>
  <c r="P39" i="15"/>
  <c r="G40" i="15"/>
  <c r="O40" i="15"/>
  <c r="F41" i="15"/>
  <c r="N41" i="15"/>
  <c r="E42" i="15"/>
  <c r="M42" i="15"/>
  <c r="D43" i="15"/>
  <c r="L43" i="15"/>
  <c r="C44" i="15"/>
  <c r="K44" i="15"/>
  <c r="J45" i="15"/>
  <c r="R45" i="15"/>
  <c r="H53" i="15"/>
  <c r="P53" i="15"/>
  <c r="G54" i="15"/>
  <c r="O54" i="15"/>
  <c r="F55" i="15"/>
  <c r="N55" i="15"/>
  <c r="E56" i="15"/>
  <c r="M56" i="15"/>
  <c r="D57" i="15"/>
  <c r="L57" i="15"/>
  <c r="C58" i="15"/>
  <c r="K58" i="15"/>
  <c r="J59" i="15"/>
  <c r="R59" i="15"/>
  <c r="I60" i="15"/>
  <c r="Q60" i="15"/>
  <c r="H61" i="15"/>
  <c r="P61" i="15"/>
  <c r="G62" i="15"/>
  <c r="O62" i="15"/>
  <c r="F63" i="15"/>
  <c r="N63" i="15"/>
  <c r="E64" i="15"/>
  <c r="M64" i="15"/>
  <c r="D65" i="15"/>
  <c r="L65" i="15"/>
  <c r="C66" i="15"/>
  <c r="K66" i="15"/>
  <c r="J67" i="15"/>
  <c r="R67" i="15"/>
  <c r="I68" i="15"/>
  <c r="Q68" i="15"/>
  <c r="H69" i="15"/>
  <c r="P69" i="15"/>
  <c r="G70" i="15"/>
  <c r="O70" i="15"/>
  <c r="F71" i="15"/>
  <c r="N71" i="15"/>
  <c r="E72" i="15"/>
  <c r="M72" i="15"/>
  <c r="D73" i="15"/>
  <c r="L73" i="15"/>
  <c r="C74" i="15"/>
  <c r="K74" i="15"/>
  <c r="I80" i="15"/>
  <c r="Q80" i="15"/>
  <c r="H81" i="15"/>
  <c r="P81" i="15"/>
  <c r="G82" i="15"/>
  <c r="O82" i="15"/>
  <c r="C37" i="15"/>
  <c r="K37" i="15"/>
  <c r="J38" i="15"/>
  <c r="R38" i="15"/>
  <c r="I39" i="15"/>
  <c r="Q39" i="15"/>
  <c r="H40" i="15"/>
  <c r="P40" i="15"/>
  <c r="G41" i="15"/>
  <c r="O41" i="15"/>
  <c r="F42" i="15"/>
  <c r="N42" i="15"/>
  <c r="E43" i="15"/>
  <c r="M43" i="15"/>
  <c r="D44" i="15"/>
  <c r="L44" i="15"/>
  <c r="C45" i="15"/>
  <c r="K45" i="15"/>
  <c r="I53" i="15"/>
  <c r="Q53" i="15"/>
  <c r="H54" i="15"/>
  <c r="P54" i="15"/>
  <c r="G55" i="15"/>
  <c r="O55" i="15"/>
  <c r="F56" i="15"/>
  <c r="N56" i="15"/>
  <c r="E57" i="15"/>
  <c r="M57" i="15"/>
  <c r="D58" i="15"/>
  <c r="L58" i="15"/>
  <c r="C59" i="15"/>
  <c r="K59" i="15"/>
  <c r="J60" i="15"/>
  <c r="R60" i="15"/>
  <c r="I61" i="15"/>
  <c r="Q61" i="15"/>
  <c r="H62" i="15"/>
  <c r="P62" i="15"/>
  <c r="G63" i="15"/>
  <c r="O63" i="15"/>
  <c r="F64" i="15"/>
  <c r="N64" i="15"/>
  <c r="E65" i="15"/>
  <c r="M65" i="15"/>
  <c r="D66" i="15"/>
  <c r="L66" i="15"/>
  <c r="C67" i="15"/>
  <c r="K67" i="15"/>
  <c r="J68" i="15"/>
  <c r="R68" i="15"/>
  <c r="I69" i="15"/>
  <c r="Q69" i="15"/>
  <c r="H70" i="15"/>
  <c r="P70" i="15"/>
  <c r="G71" i="15"/>
  <c r="O71" i="15"/>
  <c r="F72" i="15"/>
  <c r="N72" i="15"/>
  <c r="E73" i="15"/>
  <c r="M73" i="15"/>
  <c r="D74" i="15"/>
  <c r="L74" i="15"/>
  <c r="J80" i="15"/>
  <c r="R80" i="15"/>
  <c r="I81" i="15"/>
  <c r="Q81" i="15"/>
  <c r="H82" i="15"/>
  <c r="P82" i="15"/>
  <c r="M71" i="15"/>
  <c r="D37" i="15"/>
  <c r="L37" i="15"/>
  <c r="C38" i="15"/>
  <c r="K38" i="15"/>
  <c r="J39" i="15"/>
  <c r="R39" i="15"/>
  <c r="I40" i="15"/>
  <c r="Q40" i="15"/>
  <c r="H41" i="15"/>
  <c r="P41" i="15"/>
  <c r="G42" i="15"/>
  <c r="O42" i="15"/>
  <c r="F43" i="15"/>
  <c r="N43" i="15"/>
  <c r="E44" i="15"/>
  <c r="M44" i="15"/>
  <c r="D45" i="15"/>
  <c r="L45" i="15"/>
  <c r="J53" i="15"/>
  <c r="R53" i="15"/>
  <c r="I54" i="15"/>
  <c r="Q54" i="15"/>
  <c r="H55" i="15"/>
  <c r="P55" i="15"/>
  <c r="G56" i="15"/>
  <c r="O56" i="15"/>
  <c r="F57" i="15"/>
  <c r="N57" i="15"/>
  <c r="E58" i="15"/>
  <c r="M58" i="15"/>
  <c r="D59" i="15"/>
  <c r="L59" i="15"/>
  <c r="C60" i="15"/>
  <c r="K60" i="15"/>
  <c r="J61" i="15"/>
  <c r="R61" i="15"/>
  <c r="I62" i="15"/>
  <c r="Q62" i="15"/>
  <c r="H63" i="15"/>
  <c r="P63" i="15"/>
  <c r="G64" i="15"/>
  <c r="O64" i="15"/>
  <c r="F65" i="15"/>
  <c r="N65" i="15"/>
  <c r="E66" i="15"/>
  <c r="M66" i="15"/>
  <c r="D67" i="15"/>
  <c r="L67" i="15"/>
  <c r="C68" i="15"/>
  <c r="K68" i="15"/>
  <c r="J69" i="15"/>
  <c r="R69" i="15"/>
  <c r="I70" i="15"/>
  <c r="Q70" i="15"/>
  <c r="H71" i="15"/>
  <c r="P71" i="15"/>
  <c r="G72" i="15"/>
  <c r="O72" i="15"/>
  <c r="F73" i="15"/>
  <c r="N73" i="15"/>
  <c r="E74" i="15"/>
  <c r="M74" i="15"/>
  <c r="C80" i="15"/>
  <c r="K80" i="15"/>
  <c r="J81" i="15"/>
  <c r="R81" i="15"/>
  <c r="I82" i="15"/>
  <c r="Q82" i="15"/>
  <c r="F70" i="15"/>
  <c r="E37" i="15"/>
  <c r="M37" i="15"/>
  <c r="D38" i="15"/>
  <c r="L38" i="15"/>
  <c r="C39" i="15"/>
  <c r="K39" i="15"/>
  <c r="J40" i="15"/>
  <c r="R40" i="15"/>
  <c r="I41" i="15"/>
  <c r="Q41" i="15"/>
  <c r="H42" i="15"/>
  <c r="P42" i="15"/>
  <c r="G43" i="15"/>
  <c r="O43" i="15"/>
  <c r="F44" i="15"/>
  <c r="N44" i="15"/>
  <c r="E45" i="15"/>
  <c r="M45" i="15"/>
  <c r="C53" i="15"/>
  <c r="K53" i="15"/>
  <c r="J54" i="15"/>
  <c r="R54" i="15"/>
  <c r="I55" i="15"/>
  <c r="Q55" i="15"/>
  <c r="H56" i="15"/>
  <c r="P56" i="15"/>
  <c r="G57" i="15"/>
  <c r="O57" i="15"/>
  <c r="F58" i="15"/>
  <c r="N58" i="15"/>
  <c r="E59" i="15"/>
  <c r="M59" i="15"/>
  <c r="D60" i="15"/>
  <c r="L60" i="15"/>
  <c r="C61" i="15"/>
  <c r="K61" i="15"/>
  <c r="J62" i="15"/>
  <c r="R62" i="15"/>
  <c r="I63" i="15"/>
  <c r="Q63" i="15"/>
  <c r="H64" i="15"/>
  <c r="P64" i="15"/>
  <c r="G65" i="15"/>
  <c r="O65" i="15"/>
  <c r="F66" i="15"/>
  <c r="N66" i="15"/>
  <c r="E67" i="15"/>
  <c r="M67" i="15"/>
  <c r="D68" i="15"/>
  <c r="L68" i="15"/>
  <c r="C69" i="15"/>
  <c r="K69" i="15"/>
  <c r="J70" i="15"/>
  <c r="R70" i="15"/>
  <c r="I71" i="15"/>
  <c r="Q71" i="15"/>
  <c r="H72" i="15"/>
  <c r="P72" i="15"/>
  <c r="G73" i="15"/>
  <c r="O73" i="15"/>
  <c r="F74" i="15"/>
  <c r="N74" i="15"/>
  <c r="D80" i="15"/>
  <c r="L80" i="15"/>
  <c r="C81" i="15"/>
  <c r="K81" i="15"/>
  <c r="J82" i="15"/>
  <c r="R82" i="15"/>
  <c r="I67" i="15"/>
  <c r="H68" i="15"/>
  <c r="O69" i="15"/>
  <c r="E71" i="15"/>
  <c r="L72" i="15"/>
  <c r="K73" i="15"/>
  <c r="J74" i="15"/>
  <c r="H80" i="15"/>
  <c r="F82" i="15"/>
  <c r="F37" i="15"/>
  <c r="N37" i="15"/>
  <c r="E38" i="15"/>
  <c r="M38" i="15"/>
  <c r="D39" i="15"/>
  <c r="L39" i="15"/>
  <c r="C40" i="15"/>
  <c r="K40" i="15"/>
  <c r="J41" i="15"/>
  <c r="R41" i="15"/>
  <c r="I42" i="15"/>
  <c r="Q42" i="15"/>
  <c r="H43" i="15"/>
  <c r="P43" i="15"/>
  <c r="G44" i="15"/>
  <c r="O44" i="15"/>
  <c r="F45" i="15"/>
  <c r="N45" i="15"/>
  <c r="D53" i="15"/>
  <c r="L53" i="15"/>
  <c r="C54" i="15"/>
  <c r="K54" i="15"/>
  <c r="J55" i="15"/>
  <c r="R55" i="15"/>
  <c r="I56" i="15"/>
  <c r="Q56" i="15"/>
  <c r="H57" i="15"/>
  <c r="P57" i="15"/>
  <c r="G58" i="15"/>
  <c r="O58" i="15"/>
  <c r="F59" i="15"/>
  <c r="N59" i="15"/>
  <c r="E60" i="15"/>
  <c r="M60" i="15"/>
  <c r="D61" i="15"/>
  <c r="L61" i="15"/>
  <c r="C62" i="15"/>
  <c r="K62" i="15"/>
  <c r="J63" i="15"/>
  <c r="R63" i="15"/>
  <c r="I64" i="15"/>
  <c r="Q64" i="15"/>
  <c r="H65" i="15"/>
  <c r="P65" i="15"/>
  <c r="G66" i="15"/>
  <c r="O66" i="15"/>
  <c r="F67" i="15"/>
  <c r="N67" i="15"/>
  <c r="E68" i="15"/>
  <c r="M68" i="15"/>
  <c r="D69" i="15"/>
  <c r="L69" i="15"/>
  <c r="C70" i="15"/>
  <c r="K70" i="15"/>
  <c r="J71" i="15"/>
  <c r="R71" i="15"/>
  <c r="I72" i="15"/>
  <c r="Q72" i="15"/>
  <c r="H73" i="15"/>
  <c r="P73" i="15"/>
  <c r="G74" i="15"/>
  <c r="O74" i="15"/>
  <c r="E80" i="15"/>
  <c r="M80" i="15"/>
  <c r="D81" i="15"/>
  <c r="L81" i="15"/>
  <c r="C82" i="15"/>
  <c r="K82" i="15"/>
  <c r="P35" i="15" l="1"/>
  <c r="G36" i="15"/>
  <c r="D52" i="15"/>
  <c r="L52" i="15"/>
  <c r="E79" i="15"/>
  <c r="M79" i="15"/>
  <c r="E52" i="15"/>
  <c r="M52" i="15"/>
  <c r="O78" i="15"/>
  <c r="F79" i="15"/>
  <c r="N79" i="15"/>
  <c r="S13" i="15"/>
  <c r="J15" i="15"/>
  <c r="R35" i="15"/>
  <c r="I36" i="15"/>
  <c r="O51" i="15"/>
  <c r="F52" i="15"/>
  <c r="N52" i="15"/>
  <c r="P78" i="15"/>
  <c r="G79" i="15"/>
  <c r="C15" i="15"/>
  <c r="K15" i="15"/>
  <c r="S35" i="15"/>
  <c r="J36" i="15"/>
  <c r="P51" i="15"/>
  <c r="G52" i="15"/>
  <c r="Q78" i="15"/>
  <c r="H79" i="15"/>
  <c r="Q51" i="15"/>
  <c r="H52" i="15"/>
  <c r="R78" i="15"/>
  <c r="Q13" i="14"/>
  <c r="H15" i="14"/>
  <c r="P35" i="14"/>
  <c r="G36" i="14"/>
  <c r="D52" i="14"/>
  <c r="L52" i="14"/>
  <c r="E79" i="14"/>
  <c r="M79" i="14"/>
  <c r="Q35" i="14"/>
  <c r="H36" i="14"/>
  <c r="E52" i="14"/>
  <c r="M52" i="14"/>
  <c r="O78" i="14"/>
  <c r="F79" i="14"/>
  <c r="N79" i="14"/>
  <c r="R35" i="14"/>
  <c r="I36" i="14"/>
  <c r="O51" i="14"/>
  <c r="F52" i="14"/>
  <c r="N52" i="14"/>
  <c r="P78" i="14"/>
  <c r="G79" i="14"/>
  <c r="C15" i="14"/>
  <c r="K15" i="14"/>
  <c r="S35" i="14"/>
  <c r="J36" i="14"/>
  <c r="P51" i="14"/>
  <c r="G52" i="14"/>
  <c r="Q78" i="14"/>
  <c r="H79" i="14"/>
  <c r="D15" i="14"/>
  <c r="L15" i="14"/>
  <c r="C36" i="14"/>
  <c r="K36" i="14"/>
  <c r="Q51" i="14"/>
  <c r="H52" i="14"/>
  <c r="R78" i="14"/>
  <c r="C79" i="13"/>
  <c r="K79" i="13"/>
  <c r="O35" i="13"/>
  <c r="F36" i="13"/>
  <c r="N36" i="13"/>
  <c r="C52" i="13"/>
  <c r="K52" i="13"/>
  <c r="D79" i="13"/>
  <c r="L79" i="13"/>
  <c r="Q13" i="13"/>
  <c r="H15" i="13"/>
  <c r="P35" i="13"/>
  <c r="G36" i="13"/>
  <c r="D52" i="13"/>
  <c r="L52" i="13"/>
  <c r="E79" i="13"/>
  <c r="M79" i="13"/>
  <c r="Q35" i="13"/>
  <c r="H36" i="13"/>
  <c r="E52" i="13"/>
  <c r="M52" i="13"/>
  <c r="O78" i="13"/>
  <c r="F79" i="13"/>
  <c r="N79" i="13"/>
  <c r="S13" i="13"/>
  <c r="J15" i="13"/>
  <c r="R35" i="13"/>
  <c r="I36" i="13"/>
  <c r="O51" i="13"/>
  <c r="F52" i="13"/>
  <c r="N52" i="13"/>
  <c r="P78" i="13"/>
  <c r="G79" i="13"/>
  <c r="C15" i="13"/>
  <c r="K15" i="13"/>
  <c r="S35" i="13"/>
  <c r="J36" i="13"/>
  <c r="P51" i="13"/>
  <c r="G52" i="13"/>
  <c r="Q78" i="13"/>
  <c r="H79" i="13"/>
  <c r="C36" i="13"/>
  <c r="K36" i="13"/>
  <c r="Q51" i="13"/>
  <c r="H52" i="13"/>
  <c r="R78" i="13"/>
  <c r="S51" i="12"/>
  <c r="J52" i="12"/>
  <c r="C79" i="12"/>
  <c r="K79" i="12"/>
  <c r="P13" i="12"/>
  <c r="G15" i="12"/>
  <c r="O35" i="12"/>
  <c r="F36" i="12"/>
  <c r="N36" i="12"/>
  <c r="C52" i="12"/>
  <c r="K52" i="12"/>
  <c r="D79" i="12"/>
  <c r="L79" i="12"/>
  <c r="Q13" i="12"/>
  <c r="H15" i="12"/>
  <c r="P35" i="12"/>
  <c r="G36" i="12"/>
  <c r="D52" i="12"/>
  <c r="L52" i="12"/>
  <c r="E79" i="12"/>
  <c r="M79" i="12"/>
  <c r="E52" i="12"/>
  <c r="M52" i="12"/>
  <c r="O78" i="12"/>
  <c r="F79" i="12"/>
  <c r="N79" i="12"/>
  <c r="R35" i="12"/>
  <c r="I36" i="12"/>
  <c r="O51" i="12"/>
  <c r="F52" i="12"/>
  <c r="N52" i="12"/>
  <c r="P78" i="12"/>
  <c r="G79" i="12"/>
  <c r="C15" i="12"/>
  <c r="K15" i="12"/>
  <c r="S35" i="12"/>
  <c r="J36" i="12"/>
  <c r="P51" i="12"/>
  <c r="G52" i="12"/>
  <c r="Q78" i="12"/>
  <c r="H79" i="12"/>
  <c r="C36" i="12"/>
  <c r="K36" i="12"/>
  <c r="Q51" i="12"/>
  <c r="H52" i="12"/>
  <c r="R78" i="12"/>
  <c r="S341" i="11"/>
  <c r="O332" i="11"/>
  <c r="P312" i="11"/>
  <c r="Q290" i="11"/>
  <c r="R274" i="11"/>
  <c r="S256" i="11"/>
  <c r="O245" i="11"/>
  <c r="P228" i="11"/>
  <c r="S91" i="11"/>
  <c r="S126" i="11"/>
  <c r="S160" i="11"/>
  <c r="R202" i="11"/>
  <c r="O228" i="11"/>
  <c r="P74" i="11"/>
  <c r="Q83" i="11"/>
  <c r="O74" i="11"/>
  <c r="O65" i="11"/>
  <c r="P46" i="11"/>
  <c r="O14" i="11"/>
  <c r="S14" i="11"/>
  <c r="N229" i="11"/>
  <c r="H333" i="11"/>
  <c r="I189" i="11"/>
  <c r="K306" i="11"/>
  <c r="N203" i="11"/>
  <c r="C189" i="11"/>
  <c r="F161" i="11"/>
  <c r="J291" i="11"/>
  <c r="N266" i="11"/>
  <c r="I113" i="11"/>
  <c r="D306" i="11"/>
  <c r="D75" i="11"/>
  <c r="I75" i="11"/>
  <c r="N92" i="11"/>
  <c r="G229" i="11"/>
  <c r="J229" i="11"/>
  <c r="I313" i="11"/>
  <c r="K257" i="11"/>
  <c r="G127" i="11"/>
  <c r="E281" i="11"/>
  <c r="C291" i="11"/>
  <c r="D321" i="11"/>
  <c r="N236" i="11"/>
  <c r="H203" i="11"/>
  <c r="N84" i="11"/>
  <c r="E246" i="11"/>
  <c r="E275" i="11"/>
  <c r="K246" i="11"/>
  <c r="E47" i="11"/>
  <c r="I92" i="11"/>
  <c r="L37" i="11"/>
  <c r="E75" i="11"/>
  <c r="H92" i="11"/>
  <c r="K281" i="11"/>
  <c r="D161" i="11"/>
  <c r="G84" i="11"/>
  <c r="N246" i="11"/>
  <c r="E189" i="11"/>
  <c r="M189" i="11"/>
  <c r="J161" i="11"/>
  <c r="G92" i="11"/>
  <c r="J104" i="11"/>
  <c r="N161" i="11"/>
  <c r="J113" i="11"/>
  <c r="C47" i="11"/>
  <c r="F275" i="11"/>
  <c r="P332" i="11"/>
  <c r="Q312" i="11"/>
  <c r="R290" i="11"/>
  <c r="S274" i="11"/>
  <c r="O265" i="11"/>
  <c r="P245" i="11"/>
  <c r="Q332" i="11"/>
  <c r="P235" i="11"/>
  <c r="P83" i="11"/>
  <c r="P112" i="11"/>
  <c r="P146" i="11"/>
  <c r="O188" i="11"/>
  <c r="Q202" i="11"/>
  <c r="R235" i="11"/>
  <c r="R228" i="11"/>
  <c r="R216" i="11"/>
  <c r="P202" i="11"/>
  <c r="R14" i="11"/>
  <c r="O57" i="11"/>
  <c r="S46" i="11"/>
  <c r="I246" i="11"/>
  <c r="G217" i="11"/>
  <c r="E236" i="11"/>
  <c r="D313" i="11"/>
  <c r="J333" i="11"/>
  <c r="M175" i="11"/>
  <c r="F246" i="11"/>
  <c r="J189" i="11"/>
  <c r="J127" i="11"/>
  <c r="D217" i="11"/>
  <c r="H84" i="11"/>
  <c r="D84" i="11"/>
  <c r="J342" i="11"/>
  <c r="E16" i="11"/>
  <c r="D113" i="11"/>
  <c r="K58" i="11"/>
  <c r="E84" i="11"/>
  <c r="M66" i="11"/>
  <c r="C236" i="11"/>
  <c r="F321" i="11"/>
  <c r="H306" i="11"/>
  <c r="C229" i="11"/>
  <c r="F229" i="11"/>
  <c r="C281" i="11"/>
  <c r="N313" i="11"/>
  <c r="C137" i="11"/>
  <c r="J313" i="11"/>
  <c r="G58" i="11"/>
  <c r="M203" i="11"/>
  <c r="H217" i="11"/>
  <c r="K275" i="11"/>
  <c r="C321" i="11"/>
  <c r="G37" i="11"/>
  <c r="K47" i="11"/>
  <c r="G16" i="11"/>
  <c r="I275" i="11"/>
  <c r="I306" i="11"/>
  <c r="J137" i="11"/>
  <c r="C147" i="11"/>
  <c r="M217" i="11"/>
  <c r="I291" i="11"/>
  <c r="D203" i="11"/>
  <c r="F104" i="11"/>
  <c r="D104" i="11"/>
  <c r="H175" i="11"/>
  <c r="H104" i="11"/>
  <c r="R312" i="11"/>
  <c r="S290" i="11"/>
  <c r="O280" i="11"/>
  <c r="P265" i="11"/>
  <c r="Q245" i="11"/>
  <c r="R332" i="11"/>
  <c r="S312" i="11"/>
  <c r="Q216" i="11"/>
  <c r="R65" i="11"/>
  <c r="R91" i="11"/>
  <c r="R126" i="11"/>
  <c r="Q160" i="11"/>
  <c r="S174" i="11"/>
  <c r="P188" i="11"/>
  <c r="Q174" i="11"/>
  <c r="O160" i="11"/>
  <c r="O146" i="11"/>
  <c r="O46" i="11"/>
  <c r="Q36" i="11"/>
  <c r="Q46" i="11"/>
  <c r="B1" i="11"/>
  <c r="L66" i="11"/>
  <c r="N321" i="11"/>
  <c r="D175" i="11"/>
  <c r="L75" i="11"/>
  <c r="F217" i="11"/>
  <c r="C313" i="11"/>
  <c r="L229" i="11"/>
  <c r="G291" i="11"/>
  <c r="F189" i="11"/>
  <c r="I342" i="11"/>
  <c r="N16" i="11"/>
  <c r="M137" i="11"/>
  <c r="M127" i="11"/>
  <c r="F333" i="11"/>
  <c r="G175" i="11"/>
  <c r="I58" i="11"/>
  <c r="F291" i="11"/>
  <c r="N333" i="11"/>
  <c r="E257" i="11"/>
  <c r="H281" i="11"/>
  <c r="K127" i="11"/>
  <c r="J16" i="11"/>
  <c r="C113" i="11"/>
  <c r="K229" i="11"/>
  <c r="L313" i="11"/>
  <c r="D257" i="11"/>
  <c r="D147" i="11"/>
  <c r="M313" i="11"/>
  <c r="L203" i="11"/>
  <c r="O305" i="11"/>
  <c r="Q341" i="11"/>
  <c r="O341" i="11"/>
  <c r="Q274" i="11"/>
  <c r="O274" i="11"/>
  <c r="O235" i="11"/>
  <c r="O216" i="11"/>
  <c r="P126" i="11"/>
  <c r="S83" i="11"/>
  <c r="S216" i="11"/>
  <c r="O103" i="11"/>
  <c r="P57" i="11"/>
  <c r="I161" i="11"/>
  <c r="K189" i="11"/>
  <c r="H275" i="11"/>
  <c r="H161" i="11"/>
  <c r="D291" i="11"/>
  <c r="J147" i="11"/>
  <c r="C203" i="11"/>
  <c r="C175" i="11"/>
  <c r="I321" i="11"/>
  <c r="N113" i="11"/>
  <c r="N75" i="11"/>
  <c r="H246" i="11"/>
  <c r="H291" i="11"/>
  <c r="E333" i="11"/>
  <c r="H147" i="11"/>
  <c r="F16" i="11"/>
  <c r="I66" i="11"/>
  <c r="D189" i="11"/>
  <c r="C306" i="11"/>
  <c r="I84" i="11"/>
  <c r="J37" i="11"/>
  <c r="G236" i="11"/>
  <c r="F84" i="11"/>
  <c r="C257" i="11"/>
  <c r="G333" i="11"/>
  <c r="N58" i="11"/>
  <c r="E161" i="11"/>
  <c r="I104" i="11"/>
  <c r="K37" i="11"/>
  <c r="K291" i="11"/>
  <c r="G147" i="11"/>
  <c r="K236" i="11"/>
  <c r="H113" i="11"/>
  <c r="L306" i="11"/>
  <c r="F342" i="11"/>
  <c r="N342" i="11"/>
  <c r="L104" i="11"/>
  <c r="C333" i="11"/>
  <c r="G275" i="11"/>
  <c r="J92" i="11"/>
  <c r="L58" i="11"/>
  <c r="J58" i="11"/>
  <c r="D92" i="11"/>
  <c r="J257" i="11"/>
  <c r="H189" i="11"/>
  <c r="G281" i="11"/>
  <c r="P256" i="11"/>
  <c r="R46" i="11"/>
  <c r="F127" i="11"/>
  <c r="C84" i="11"/>
  <c r="N291" i="11"/>
  <c r="M84" i="11"/>
  <c r="M281" i="11"/>
  <c r="L147" i="11"/>
  <c r="E203" i="11"/>
  <c r="C75" i="11"/>
  <c r="D47" i="11"/>
  <c r="Q280" i="11"/>
  <c r="S320" i="11"/>
  <c r="Q320" i="11"/>
  <c r="O320" i="11"/>
  <c r="Q256" i="11"/>
  <c r="P216" i="11"/>
  <c r="Q188" i="11"/>
  <c r="R103" i="11"/>
  <c r="P136" i="11"/>
  <c r="R160" i="11"/>
  <c r="O202" i="11"/>
  <c r="R36" i="11"/>
  <c r="J217" i="11"/>
  <c r="D246" i="11"/>
  <c r="C104" i="11"/>
  <c r="G306" i="11"/>
  <c r="C58" i="11"/>
  <c r="C127" i="11"/>
  <c r="E137" i="11"/>
  <c r="G257" i="11"/>
  <c r="I217" i="11"/>
  <c r="L16" i="11"/>
  <c r="C217" i="11"/>
  <c r="C246" i="11"/>
  <c r="D37" i="11"/>
  <c r="F147" i="11"/>
  <c r="J236" i="11"/>
  <c r="C275" i="11"/>
  <c r="P290" i="11"/>
  <c r="S188" i="11"/>
  <c r="Q74" i="11"/>
  <c r="S103" i="11"/>
  <c r="E217" i="11"/>
  <c r="F281" i="11"/>
  <c r="N47" i="11"/>
  <c r="H66" i="11"/>
  <c r="N275" i="11"/>
  <c r="E92" i="11"/>
  <c r="K217" i="11"/>
  <c r="I229" i="11"/>
  <c r="F257" i="11"/>
  <c r="N217" i="11"/>
  <c r="E313" i="11"/>
  <c r="M37" i="11"/>
  <c r="G266" i="11"/>
  <c r="F58" i="11"/>
  <c r="S265" i="11"/>
  <c r="Q265" i="11"/>
  <c r="S305" i="11"/>
  <c r="Q305" i="11"/>
  <c r="S235" i="11"/>
  <c r="R188" i="11"/>
  <c r="O112" i="11"/>
  <c r="O91" i="11"/>
  <c r="R83" i="11"/>
  <c r="R112" i="11"/>
  <c r="Q136" i="11"/>
  <c r="P36" i="11"/>
  <c r="G11" i="4"/>
  <c r="K175" i="11"/>
  <c r="H229" i="11"/>
  <c r="J75" i="11"/>
  <c r="L257" i="11"/>
  <c r="L291" i="11"/>
  <c r="L92" i="11"/>
  <c r="K104" i="11"/>
  <c r="K84" i="11"/>
  <c r="M58" i="11"/>
  <c r="H342" i="11"/>
  <c r="N281" i="11"/>
  <c r="K321" i="11"/>
  <c r="C16" i="11"/>
  <c r="F75" i="11"/>
  <c r="F306" i="11"/>
  <c r="D229" i="11"/>
  <c r="J266" i="11"/>
  <c r="C92" i="11"/>
  <c r="H47" i="11"/>
  <c r="I333" i="11"/>
  <c r="L161" i="11"/>
  <c r="M16" i="11"/>
  <c r="E306" i="11"/>
  <c r="D333" i="11"/>
  <c r="D236" i="11"/>
  <c r="M257" i="11"/>
  <c r="J203" i="11"/>
  <c r="L321" i="11"/>
  <c r="G342" i="11"/>
  <c r="K113" i="11"/>
  <c r="H127" i="11"/>
  <c r="S245" i="11"/>
  <c r="S280" i="11"/>
  <c r="O174" i="11"/>
  <c r="Q91" i="11"/>
  <c r="Q235" i="11"/>
  <c r="P91" i="11"/>
  <c r="G321" i="11"/>
  <c r="I236" i="11"/>
  <c r="D16" i="11"/>
  <c r="N306" i="11"/>
  <c r="D342" i="11"/>
  <c r="K203" i="11"/>
  <c r="G66" i="11"/>
  <c r="M47" i="11"/>
  <c r="I281" i="11"/>
  <c r="M342" i="11"/>
  <c r="R341" i="11"/>
  <c r="P341" i="11"/>
  <c r="S332" i="11"/>
  <c r="P274" i="11"/>
  <c r="P174" i="11"/>
  <c r="Q146" i="11"/>
  <c r="S74" i="11"/>
  <c r="P160" i="11"/>
  <c r="R174" i="11"/>
  <c r="S65" i="11"/>
  <c r="S57" i="11"/>
  <c r="O36" i="11"/>
  <c r="L189" i="11"/>
  <c r="G313" i="11"/>
  <c r="E104" i="11"/>
  <c r="I257" i="11"/>
  <c r="I47" i="11"/>
  <c r="M75" i="11"/>
  <c r="K137" i="11"/>
  <c r="J306" i="11"/>
  <c r="L113" i="11"/>
  <c r="L246" i="11"/>
  <c r="G104" i="11"/>
  <c r="N147" i="11"/>
  <c r="N66" i="11"/>
  <c r="L281" i="11"/>
  <c r="E321" i="11"/>
  <c r="H266" i="11"/>
  <c r="F37" i="11"/>
  <c r="J66" i="11"/>
  <c r="I127" i="11"/>
  <c r="L333" i="11"/>
  <c r="H313" i="11"/>
  <c r="L175" i="11"/>
  <c r="N37" i="11"/>
  <c r="I203" i="11"/>
  <c r="M229" i="11"/>
  <c r="F236" i="11"/>
  <c r="G47" i="11"/>
  <c r="L266" i="11"/>
  <c r="M113" i="11"/>
  <c r="C342" i="11"/>
  <c r="L84" i="11"/>
  <c r="K147" i="11"/>
  <c r="P280" i="11"/>
  <c r="R320" i="11"/>
  <c r="P320" i="11"/>
  <c r="R256" i="11"/>
  <c r="R146" i="11"/>
  <c r="O83" i="11"/>
  <c r="P65" i="11"/>
  <c r="R136" i="11"/>
  <c r="Q126" i="11"/>
  <c r="S202" i="11"/>
  <c r="Q14" i="11"/>
  <c r="R57" i="11"/>
  <c r="M291" i="11"/>
  <c r="M266" i="11"/>
  <c r="J175" i="11"/>
  <c r="E342" i="11"/>
  <c r="M275" i="11"/>
  <c r="M161" i="11"/>
  <c r="M321" i="11"/>
  <c r="R265" i="11"/>
  <c r="O136" i="11"/>
  <c r="S112" i="11"/>
  <c r="E127" i="11"/>
  <c r="E113" i="11"/>
  <c r="K92" i="11"/>
  <c r="G246" i="11"/>
  <c r="H37" i="11"/>
  <c r="K333" i="11"/>
  <c r="M147" i="11"/>
  <c r="I137" i="11"/>
  <c r="G189" i="11"/>
  <c r="L236" i="11"/>
  <c r="F66" i="11"/>
  <c r="K161" i="11"/>
  <c r="G137" i="11"/>
  <c r="G75" i="11"/>
  <c r="M333" i="11"/>
  <c r="L342" i="11"/>
  <c r="L137" i="11"/>
  <c r="E147" i="11"/>
  <c r="N104" i="11"/>
  <c r="I266" i="11"/>
  <c r="S146" i="11"/>
  <c r="K66" i="11"/>
  <c r="S228" i="11"/>
  <c r="L217" i="11"/>
  <c r="M306" i="11"/>
  <c r="E175" i="11"/>
  <c r="P305" i="11"/>
  <c r="G113" i="11"/>
  <c r="G203" i="11"/>
  <c r="N189" i="11"/>
  <c r="C37" i="11"/>
  <c r="N175" i="11"/>
  <c r="O256" i="11"/>
  <c r="Q112" i="11"/>
  <c r="R74" i="11"/>
  <c r="D66" i="11"/>
  <c r="H16" i="11"/>
  <c r="F47" i="11"/>
  <c r="F266" i="11"/>
  <c r="J47" i="11"/>
  <c r="D266" i="11"/>
  <c r="E229" i="11"/>
  <c r="K313" i="11"/>
  <c r="D275" i="11"/>
  <c r="P103" i="11"/>
  <c r="N257" i="11"/>
  <c r="F203" i="11"/>
  <c r="E66" i="11"/>
  <c r="J246" i="11"/>
  <c r="I175" i="11"/>
  <c r="H321" i="11"/>
  <c r="L47" i="11"/>
  <c r="Q103" i="11"/>
  <c r="K266" i="11"/>
  <c r="E37" i="11"/>
  <c r="K16" i="11"/>
  <c r="O312" i="11"/>
  <c r="Q65" i="11"/>
  <c r="E291" i="11"/>
  <c r="N127" i="11"/>
  <c r="L275" i="11"/>
  <c r="R245" i="11"/>
  <c r="M92" i="11"/>
  <c r="D137" i="11"/>
  <c r="F137" i="11"/>
  <c r="H58" i="11"/>
  <c r="M236" i="11"/>
  <c r="M246" i="11"/>
  <c r="D127" i="11"/>
  <c r="J321" i="11"/>
  <c r="Q57" i="11"/>
  <c r="L127" i="11"/>
  <c r="E58" i="11"/>
  <c r="J275" i="11"/>
  <c r="J281" i="11"/>
  <c r="R305" i="11"/>
  <c r="Q228" i="11"/>
  <c r="S36" i="11"/>
  <c r="I16" i="11"/>
  <c r="K342" i="11"/>
  <c r="G161" i="11"/>
  <c r="C161" i="11"/>
  <c r="F92" i="11"/>
  <c r="M104" i="11"/>
  <c r="N137" i="11"/>
  <c r="H75" i="11"/>
  <c r="I147" i="11"/>
  <c r="D281" i="11"/>
  <c r="I37" i="11"/>
  <c r="O290" i="11"/>
  <c r="S136" i="11"/>
  <c r="P14" i="11"/>
  <c r="K75" i="11"/>
  <c r="C266" i="11"/>
  <c r="D58" i="11"/>
  <c r="F113" i="11"/>
  <c r="H137" i="11"/>
  <c r="O126" i="11"/>
  <c r="F175" i="11"/>
  <c r="H236" i="11"/>
  <c r="F313" i="11"/>
  <c r="R280" i="11"/>
  <c r="E266" i="11"/>
  <c r="J84" i="11"/>
  <c r="H257" i="11"/>
  <c r="C66" i="11"/>
  <c r="C11" i="4"/>
  <c r="S212" i="10"/>
  <c r="T159" i="10"/>
  <c r="U178" i="10"/>
  <c r="S15" i="10"/>
  <c r="R54" i="10"/>
  <c r="U114" i="10"/>
  <c r="S114" i="10"/>
  <c r="M213" i="10"/>
  <c r="F65" i="10"/>
  <c r="J65" i="10"/>
  <c r="E197" i="10"/>
  <c r="M38" i="10"/>
  <c r="M65" i="10"/>
  <c r="F179" i="10"/>
  <c r="P213" i="10"/>
  <c r="J38" i="10"/>
  <c r="I179" i="10"/>
  <c r="N213" i="10"/>
  <c r="T178" i="10"/>
  <c r="U196" i="10"/>
  <c r="U168" i="10"/>
  <c r="T128" i="10"/>
  <c r="T15" i="10"/>
  <c r="R64" i="10"/>
  <c r="U54" i="10"/>
  <c r="L179" i="10"/>
  <c r="H16" i="10"/>
  <c r="N169" i="10"/>
  <c r="N197" i="10"/>
  <c r="I115" i="10"/>
  <c r="F197" i="10"/>
  <c r="G197" i="10"/>
  <c r="N129" i="10"/>
  <c r="O55" i="10"/>
  <c r="M169" i="10"/>
  <c r="G38" i="10"/>
  <c r="Q168" i="10"/>
  <c r="Q178" i="10"/>
  <c r="R168" i="10"/>
  <c r="Q114" i="10"/>
  <c r="R128" i="10"/>
  <c r="T37" i="10"/>
  <c r="R196" i="10"/>
  <c r="R178" i="10"/>
  <c r="R114" i="10"/>
  <c r="Q54" i="10"/>
  <c r="Q64" i="10"/>
  <c r="P129" i="10"/>
  <c r="E160" i="10"/>
  <c r="N16" i="10"/>
  <c r="F213" i="10"/>
  <c r="G16" i="10"/>
  <c r="P16" i="10"/>
  <c r="G213" i="10"/>
  <c r="K169" i="10"/>
  <c r="N115" i="10"/>
  <c r="P55" i="10"/>
  <c r="G160" i="10"/>
  <c r="P179" i="10"/>
  <c r="L160" i="10"/>
  <c r="H169" i="10"/>
  <c r="H38" i="10"/>
  <c r="H55" i="10"/>
  <c r="E213" i="10"/>
  <c r="E65" i="10"/>
  <c r="G55" i="10"/>
  <c r="F160" i="10"/>
  <c r="M16" i="10"/>
  <c r="J129" i="10"/>
  <c r="F38" i="10"/>
  <c r="I55" i="10"/>
  <c r="F129" i="10"/>
  <c r="I213" i="10"/>
  <c r="H129" i="10"/>
  <c r="J179" i="10"/>
  <c r="N55" i="10"/>
  <c r="H179" i="10"/>
  <c r="S54" i="10"/>
  <c r="I65" i="10"/>
  <c r="N160" i="10"/>
  <c r="G65" i="10"/>
  <c r="S168" i="10"/>
  <c r="S159" i="10"/>
  <c r="T54" i="10"/>
  <c r="Q128" i="10"/>
  <c r="S37" i="10"/>
  <c r="H197" i="10"/>
  <c r="M179" i="10"/>
  <c r="M55" i="10"/>
  <c r="G129" i="10"/>
  <c r="O115" i="10"/>
  <c r="T212" i="10"/>
  <c r="L169" i="10"/>
  <c r="L213" i="10"/>
  <c r="E38" i="10"/>
  <c r="I129" i="10"/>
  <c r="L38" i="10"/>
  <c r="Q196" i="10"/>
  <c r="T196" i="10"/>
  <c r="Q37" i="10"/>
  <c r="S64" i="10"/>
  <c r="O197" i="10"/>
  <c r="G169" i="10"/>
  <c r="N65" i="10"/>
  <c r="O160" i="10"/>
  <c r="O38" i="10"/>
  <c r="L55" i="10"/>
  <c r="K160" i="10"/>
  <c r="S196" i="10"/>
  <c r="U37" i="10"/>
  <c r="F55" i="10"/>
  <c r="O129" i="10"/>
  <c r="L115" i="10"/>
  <c r="K16" i="10"/>
  <c r="G115" i="10"/>
  <c r="P38" i="10"/>
  <c r="S178" i="10"/>
  <c r="T168" i="10"/>
  <c r="U15" i="10"/>
  <c r="R15" i="10"/>
  <c r="M197" i="10"/>
  <c r="O179" i="10"/>
  <c r="J16" i="10"/>
  <c r="H65" i="10"/>
  <c r="L65" i="10"/>
  <c r="J169" i="10"/>
  <c r="I197" i="10"/>
  <c r="L197" i="10"/>
  <c r="O213" i="10"/>
  <c r="F169" i="10"/>
  <c r="K179" i="10"/>
  <c r="E129" i="10"/>
  <c r="E115" i="10"/>
  <c r="P197" i="10"/>
  <c r="U159" i="10"/>
  <c r="Q159" i="10"/>
  <c r="T64" i="10"/>
  <c r="Q15" i="10"/>
  <c r="R212" i="10"/>
  <c r="N179" i="10"/>
  <c r="P115" i="10"/>
  <c r="I38" i="10"/>
  <c r="K38" i="10"/>
  <c r="K115" i="10"/>
  <c r="H213" i="10"/>
  <c r="E169" i="10"/>
  <c r="F16" i="10"/>
  <c r="N38" i="10"/>
  <c r="M129" i="10"/>
  <c r="J160" i="10"/>
  <c r="K129" i="10"/>
  <c r="L16" i="10"/>
  <c r="I160" i="10"/>
  <c r="C1" i="10"/>
  <c r="Q212" i="10"/>
  <c r="K197" i="10"/>
  <c r="E179" i="10"/>
  <c r="O16" i="10"/>
  <c r="R37" i="10"/>
  <c r="E55" i="10"/>
  <c r="T114" i="10"/>
  <c r="H115" i="10"/>
  <c r="R159" i="10"/>
  <c r="K213" i="10"/>
  <c r="O65" i="10"/>
  <c r="M160" i="10"/>
  <c r="U128" i="10"/>
  <c r="H160" i="10"/>
  <c r="J213" i="10"/>
  <c r="O169" i="10"/>
  <c r="P65" i="10"/>
  <c r="U212" i="10"/>
  <c r="J115" i="10"/>
  <c r="S128" i="10"/>
  <c r="K65" i="10"/>
  <c r="P160" i="10"/>
  <c r="J197" i="10"/>
  <c r="I169" i="10"/>
  <c r="P169" i="10"/>
  <c r="U64" i="10"/>
  <c r="G179" i="10"/>
  <c r="K55" i="10"/>
  <c r="M115" i="10"/>
  <c r="L129" i="10"/>
  <c r="J55" i="10"/>
  <c r="I16" i="10"/>
  <c r="E16" i="10"/>
  <c r="F115" i="10"/>
  <c r="I11" i="4"/>
  <c r="M1" i="4"/>
  <c r="S24" i="15"/>
  <c r="S23" i="15"/>
  <c r="S57" i="15"/>
  <c r="S22" i="15"/>
  <c r="S56" i="15"/>
  <c r="S55" i="15"/>
  <c r="S65" i="15"/>
  <c r="S64" i="15"/>
  <c r="S72" i="15"/>
  <c r="S43" i="15"/>
  <c r="S63" i="15"/>
  <c r="S41" i="15"/>
  <c r="S71" i="15"/>
  <c r="S16" i="15"/>
  <c r="S30" i="15"/>
  <c r="S42" i="15"/>
  <c r="S73" i="15"/>
  <c r="S17" i="15"/>
  <c r="S25" i="15"/>
  <c r="S44" i="15"/>
  <c r="S58" i="15"/>
  <c r="S66" i="15"/>
  <c r="S74" i="15"/>
  <c r="S18" i="15"/>
  <c r="S26" i="15"/>
  <c r="S37" i="15"/>
  <c r="S45" i="15"/>
  <c r="S59" i="15"/>
  <c r="S67" i="15"/>
  <c r="S19" i="15"/>
  <c r="S27" i="15"/>
  <c r="S38" i="15"/>
  <c r="S60" i="15"/>
  <c r="S68" i="15"/>
  <c r="S80" i="15"/>
  <c r="S20" i="15"/>
  <c r="S28" i="15"/>
  <c r="S39" i="15"/>
  <c r="S53" i="15"/>
  <c r="S61" i="15"/>
  <c r="S69" i="15"/>
  <c r="S81" i="15"/>
  <c r="S21" i="15"/>
  <c r="S29" i="15"/>
  <c r="S40" i="15"/>
  <c r="S54" i="15"/>
  <c r="S62" i="15"/>
  <c r="S70" i="15"/>
  <c r="S82" i="15"/>
  <c r="Q25" i="14"/>
  <c r="Q17" i="14"/>
  <c r="Q58" i="14"/>
  <c r="Q65" i="14"/>
  <c r="Q45" i="14"/>
  <c r="Q44" i="14"/>
  <c r="Q73" i="14"/>
  <c r="Q43" i="14"/>
  <c r="Q16" i="14"/>
  <c r="Q37" i="14"/>
  <c r="Q57" i="14"/>
  <c r="Q26" i="14"/>
  <c r="Q24" i="14"/>
  <c r="Q18" i="14"/>
  <c r="Q59" i="14"/>
  <c r="Q66" i="14"/>
  <c r="Q74" i="14"/>
  <c r="Q19" i="14"/>
  <c r="Q27" i="14"/>
  <c r="Q38" i="14"/>
  <c r="Q60" i="14"/>
  <c r="Q68" i="14"/>
  <c r="Q80" i="14"/>
  <c r="Q20" i="14"/>
  <c r="Q28" i="14"/>
  <c r="Q39" i="14"/>
  <c r="Q53" i="14"/>
  <c r="Q61" i="14"/>
  <c r="Q69" i="14"/>
  <c r="Q81" i="14"/>
  <c r="Q21" i="14"/>
  <c r="Q29" i="14"/>
  <c r="Q40" i="14"/>
  <c r="Q54" i="14"/>
  <c r="Q62" i="14"/>
  <c r="Q70" i="14"/>
  <c r="Q82" i="14"/>
  <c r="Q22" i="14"/>
  <c r="Q30" i="14"/>
  <c r="Q41" i="14"/>
  <c r="Q55" i="14"/>
  <c r="Q63" i="14"/>
  <c r="Q71" i="14"/>
  <c r="Q67" i="14"/>
  <c r="Q23" i="14"/>
  <c r="Q42" i="14"/>
  <c r="Q56" i="14"/>
  <c r="Q64" i="14"/>
  <c r="Q72" i="14"/>
  <c r="S71" i="13"/>
  <c r="S41" i="13"/>
  <c r="S30" i="13"/>
  <c r="S22" i="13"/>
  <c r="S23" i="13"/>
  <c r="S63" i="13"/>
  <c r="S55" i="13"/>
  <c r="S42" i="13"/>
  <c r="S56" i="13"/>
  <c r="S64" i="13"/>
  <c r="S72" i="13"/>
  <c r="S16" i="13"/>
  <c r="S24" i="13"/>
  <c r="S43" i="13"/>
  <c r="S57" i="13"/>
  <c r="S65" i="13"/>
  <c r="S73" i="13"/>
  <c r="S17" i="13"/>
  <c r="S25" i="13"/>
  <c r="S44" i="13"/>
  <c r="S58" i="13"/>
  <c r="S66" i="13"/>
  <c r="S74" i="13"/>
  <c r="S18" i="13"/>
  <c r="S26" i="13"/>
  <c r="S37" i="13"/>
  <c r="S45" i="13"/>
  <c r="S59" i="13"/>
  <c r="S67" i="13"/>
  <c r="S19" i="13"/>
  <c r="S27" i="13"/>
  <c r="S38" i="13"/>
  <c r="S60" i="13"/>
  <c r="S68" i="13"/>
  <c r="S80" i="13"/>
  <c r="S20" i="13"/>
  <c r="S28" i="13"/>
  <c r="S39" i="13"/>
  <c r="S53" i="13"/>
  <c r="S61" i="13"/>
  <c r="S69" i="13"/>
  <c r="S81" i="13"/>
  <c r="S21" i="13"/>
  <c r="S29" i="13"/>
  <c r="S40" i="13"/>
  <c r="S54" i="13"/>
  <c r="S62" i="13"/>
  <c r="S70" i="13"/>
  <c r="S82" i="13"/>
  <c r="Q57" i="13"/>
  <c r="Q17" i="13"/>
  <c r="Q65" i="13"/>
  <c r="Q73" i="13"/>
  <c r="Q25" i="13"/>
  <c r="Q43" i="13"/>
  <c r="Q24" i="13"/>
  <c r="Q16" i="13"/>
  <c r="Q44" i="13"/>
  <c r="Q58" i="13"/>
  <c r="Q66" i="13"/>
  <c r="Q74" i="13"/>
  <c r="Q18" i="13"/>
  <c r="Q26" i="13"/>
  <c r="Q37" i="13"/>
  <c r="Q45" i="13"/>
  <c r="Q59" i="13"/>
  <c r="Q67" i="13"/>
  <c r="Q19" i="13"/>
  <c r="Q27" i="13"/>
  <c r="Q38" i="13"/>
  <c r="Q60" i="13"/>
  <c r="Q68" i="13"/>
  <c r="Q80" i="13"/>
  <c r="Q20" i="13"/>
  <c r="Q28" i="13"/>
  <c r="Q39" i="13"/>
  <c r="Q53" i="13"/>
  <c r="Q61" i="13"/>
  <c r="Q69" i="13"/>
  <c r="Q81" i="13"/>
  <c r="Q21" i="13"/>
  <c r="Q29" i="13"/>
  <c r="Q40" i="13"/>
  <c r="Q54" i="13"/>
  <c r="Q62" i="13"/>
  <c r="Q70" i="13"/>
  <c r="Q82" i="13"/>
  <c r="Q22" i="13"/>
  <c r="Q30" i="13"/>
  <c r="Q41" i="13"/>
  <c r="Q55" i="13"/>
  <c r="Q63" i="13"/>
  <c r="Q71" i="13"/>
  <c r="Q23" i="13"/>
  <c r="Q42" i="13"/>
  <c r="Q56" i="13"/>
  <c r="Q64" i="13"/>
  <c r="Q72" i="13"/>
  <c r="P58" i="12"/>
  <c r="P17" i="12"/>
  <c r="P25" i="12"/>
  <c r="P44" i="12"/>
  <c r="P74" i="12"/>
  <c r="P18" i="12"/>
  <c r="P26" i="12"/>
  <c r="P37" i="12"/>
  <c r="P45" i="12"/>
  <c r="P59" i="12"/>
  <c r="P67" i="12"/>
  <c r="P19" i="12"/>
  <c r="P27" i="12"/>
  <c r="P38" i="12"/>
  <c r="P60" i="12"/>
  <c r="P68" i="12"/>
  <c r="P80" i="12"/>
  <c r="P20" i="12"/>
  <c r="P28" i="12"/>
  <c r="P39" i="12"/>
  <c r="P53" i="12"/>
  <c r="P61" i="12"/>
  <c r="P69" i="12"/>
  <c r="P81" i="12"/>
  <c r="P66" i="12"/>
  <c r="P21" i="12"/>
  <c r="P29" i="12"/>
  <c r="P40" i="12"/>
  <c r="P54" i="12"/>
  <c r="P62" i="12"/>
  <c r="P70" i="12"/>
  <c r="P82" i="12"/>
  <c r="P22" i="12"/>
  <c r="P30" i="12"/>
  <c r="P41" i="12"/>
  <c r="P55" i="12"/>
  <c r="P63" i="12"/>
  <c r="P71" i="12"/>
  <c r="P23" i="12"/>
  <c r="P42" i="12"/>
  <c r="P56" i="12"/>
  <c r="P64" i="12"/>
  <c r="P72" i="12"/>
  <c r="P16" i="12"/>
  <c r="P24" i="12"/>
  <c r="P43" i="12"/>
  <c r="P57" i="12"/>
  <c r="P65" i="12"/>
  <c r="P73" i="12"/>
  <c r="Q16" i="12"/>
  <c r="Q24" i="12"/>
  <c r="Q43" i="12"/>
  <c r="Q57" i="12"/>
  <c r="Q17" i="12"/>
  <c r="Q25" i="12"/>
  <c r="Q44" i="12"/>
  <c r="Q58" i="12"/>
  <c r="Q66" i="12"/>
  <c r="Q74" i="12"/>
  <c r="Q65" i="12"/>
  <c r="Q73" i="12"/>
  <c r="Q18" i="12"/>
  <c r="Q26" i="12"/>
  <c r="Q37" i="12"/>
  <c r="Q45" i="12"/>
  <c r="Q59" i="12"/>
  <c r="Q67" i="12"/>
  <c r="Q19" i="12"/>
  <c r="Q27" i="12"/>
  <c r="Q38" i="12"/>
  <c r="Q60" i="12"/>
  <c r="Q68" i="12"/>
  <c r="Q80" i="12"/>
  <c r="Q20" i="12"/>
  <c r="Q28" i="12"/>
  <c r="Q39" i="12"/>
  <c r="Q53" i="12"/>
  <c r="Q61" i="12"/>
  <c r="Q69" i="12"/>
  <c r="Q81" i="12"/>
  <c r="Q21" i="12"/>
  <c r="Q29" i="12"/>
  <c r="Q40" i="12"/>
  <c r="Q54" i="12"/>
  <c r="Q62" i="12"/>
  <c r="Q70" i="12"/>
  <c r="Q82" i="12"/>
  <c r="Q22" i="12"/>
  <c r="Q30" i="12"/>
  <c r="Q41" i="12"/>
  <c r="Q55" i="12"/>
  <c r="Q63" i="12"/>
  <c r="Q71" i="12"/>
  <c r="Q23" i="12"/>
  <c r="Q42" i="12"/>
  <c r="Q56" i="12"/>
  <c r="Q64" i="12"/>
  <c r="Q72" i="12"/>
  <c r="G326" i="11"/>
  <c r="K344" i="11"/>
  <c r="H167" i="11"/>
  <c r="L344" i="11"/>
  <c r="J52" i="11"/>
  <c r="J283" i="11"/>
  <c r="F283" i="11"/>
  <c r="K167" i="11"/>
  <c r="F167" i="11"/>
  <c r="R183" i="11"/>
  <c r="P259" i="11"/>
  <c r="C167" i="11"/>
  <c r="J167" i="11"/>
  <c r="G195" i="11"/>
  <c r="E108" i="11"/>
  <c r="I283" i="11"/>
  <c r="H260" i="11"/>
  <c r="P49" i="11"/>
  <c r="C270" i="11"/>
  <c r="R247" i="11"/>
  <c r="O231" i="11"/>
  <c r="D300" i="11"/>
  <c r="J267" i="11"/>
  <c r="L349" i="11"/>
  <c r="G327" i="11"/>
  <c r="N52" i="11"/>
  <c r="I167" i="11"/>
  <c r="E283" i="11"/>
  <c r="H283" i="11"/>
  <c r="E167" i="11"/>
  <c r="L283" i="11"/>
  <c r="N344" i="11"/>
  <c r="G167" i="11"/>
  <c r="M283" i="11"/>
  <c r="J259" i="11"/>
  <c r="S181" i="11"/>
  <c r="F180" i="11"/>
  <c r="L276" i="11"/>
  <c r="S324" i="11"/>
  <c r="G261" i="11"/>
  <c r="M267" i="11"/>
  <c r="L167" i="11"/>
  <c r="S269" i="11"/>
  <c r="E259" i="11"/>
  <c r="Q52" i="11"/>
  <c r="R209" i="11"/>
  <c r="K326" i="11"/>
  <c r="P105" i="11"/>
  <c r="E344" i="11"/>
  <c r="C344" i="11"/>
  <c r="F344" i="11"/>
  <c r="M167" i="11"/>
  <c r="I344" i="11"/>
  <c r="C283" i="11"/>
  <c r="K283" i="11"/>
  <c r="R307" i="11"/>
  <c r="F276" i="11"/>
  <c r="E205" i="11"/>
  <c r="N247" i="11"/>
  <c r="O267" i="11"/>
  <c r="G283" i="11"/>
  <c r="M344" i="11"/>
  <c r="N283" i="11"/>
  <c r="N167" i="11"/>
  <c r="D344" i="11"/>
  <c r="D283" i="11"/>
  <c r="G344" i="11"/>
  <c r="D167" i="11"/>
  <c r="Q211" i="11"/>
  <c r="G52" i="11"/>
  <c r="Q193" i="11"/>
  <c r="I230" i="11"/>
  <c r="J240" i="11"/>
  <c r="J344" i="11"/>
  <c r="H269" i="11"/>
  <c r="J204" i="11"/>
  <c r="I349" i="11"/>
  <c r="G300" i="11"/>
  <c r="F268" i="11"/>
  <c r="E267" i="11"/>
  <c r="Q230" i="11"/>
  <c r="E211" i="11"/>
  <c r="J250" i="11"/>
  <c r="S268" i="11"/>
  <c r="H168" i="11"/>
  <c r="J269" i="11"/>
  <c r="I259" i="11"/>
  <c r="H344" i="11"/>
  <c r="E179" i="11"/>
  <c r="F177" i="11"/>
  <c r="L259" i="11"/>
  <c r="K179" i="11"/>
  <c r="Q49" i="11"/>
  <c r="C267" i="11"/>
  <c r="C194" i="11"/>
  <c r="K206" i="11"/>
  <c r="E240" i="11"/>
  <c r="R261" i="11"/>
  <c r="K164" i="11"/>
  <c r="G176" i="11"/>
  <c r="P270" i="11"/>
  <c r="L241" i="11"/>
  <c r="C49" i="11"/>
  <c r="D308" i="11"/>
  <c r="H211" i="11"/>
  <c r="R324" i="11"/>
  <c r="J231" i="11"/>
  <c r="P178" i="11"/>
  <c r="I176" i="11"/>
  <c r="L207" i="11"/>
  <c r="C238" i="11"/>
  <c r="J349" i="11"/>
  <c r="I248" i="11"/>
  <c r="E105" i="11"/>
  <c r="D237" i="11"/>
  <c r="K230" i="11"/>
  <c r="G247" i="11"/>
  <c r="J190" i="11"/>
  <c r="I180" i="11"/>
  <c r="C209" i="11"/>
  <c r="M181" i="11"/>
  <c r="R283" i="11"/>
  <c r="G267" i="11"/>
  <c r="L249" i="11"/>
  <c r="P50" i="11"/>
  <c r="M326" i="11"/>
  <c r="P349" i="11"/>
  <c r="L182" i="11"/>
  <c r="K296" i="11"/>
  <c r="N270" i="11"/>
  <c r="N164" i="11"/>
  <c r="N193" i="11"/>
  <c r="O50" i="11"/>
  <c r="L251" i="11"/>
  <c r="R207" i="11"/>
  <c r="R191" i="11"/>
  <c r="M180" i="11"/>
  <c r="R270" i="11"/>
  <c r="I325" i="11"/>
  <c r="L163" i="11"/>
  <c r="N252" i="11"/>
  <c r="J194" i="11"/>
  <c r="H48" i="11"/>
  <c r="F240" i="11"/>
  <c r="J206" i="11"/>
  <c r="C50" i="11"/>
  <c r="G325" i="11"/>
  <c r="F326" i="11"/>
  <c r="J183" i="11"/>
  <c r="F211" i="11"/>
  <c r="C261" i="11"/>
  <c r="R251" i="11"/>
  <c r="K208" i="11"/>
  <c r="J308" i="11"/>
  <c r="E197" i="11"/>
  <c r="I250" i="11"/>
  <c r="K247" i="11"/>
  <c r="L206" i="11"/>
  <c r="J192" i="11"/>
  <c r="M191" i="11"/>
  <c r="F252" i="11"/>
  <c r="G269" i="11"/>
  <c r="E164" i="11"/>
  <c r="S283" i="11"/>
  <c r="N207" i="11"/>
  <c r="Q241" i="11"/>
  <c r="C138" i="11"/>
  <c r="D183" i="11"/>
  <c r="D192" i="11"/>
  <c r="Q261" i="11"/>
  <c r="Q325" i="11"/>
  <c r="E308" i="11"/>
  <c r="S325" i="11"/>
  <c r="D195" i="11"/>
  <c r="S248" i="11"/>
  <c r="S49" i="11"/>
  <c r="L269" i="11"/>
  <c r="D52" i="11"/>
  <c r="R252" i="11"/>
  <c r="I327" i="11"/>
  <c r="C93" i="11"/>
  <c r="C237" i="11"/>
  <c r="L325" i="11"/>
  <c r="J249" i="11"/>
  <c r="Q267" i="11"/>
  <c r="E180" i="11"/>
  <c r="S140" i="11"/>
  <c r="Q207" i="11"/>
  <c r="M270" i="11"/>
  <c r="N181" i="11"/>
  <c r="H249" i="11"/>
  <c r="G181" i="11"/>
  <c r="Q250" i="11"/>
  <c r="G209" i="11"/>
  <c r="I240" i="11"/>
  <c r="E252" i="11"/>
  <c r="I95" i="11"/>
  <c r="R326" i="11"/>
  <c r="K248" i="11"/>
  <c r="H166" i="11"/>
  <c r="G180" i="11"/>
  <c r="L52" i="11"/>
  <c r="C349" i="11"/>
  <c r="C248" i="11"/>
  <c r="D49" i="11"/>
  <c r="J296" i="11"/>
  <c r="S197" i="11"/>
  <c r="L326" i="11"/>
  <c r="F51" i="11"/>
  <c r="H179" i="11"/>
  <c r="H308" i="11"/>
  <c r="K191" i="11"/>
  <c r="S190" i="11"/>
  <c r="F50" i="11"/>
  <c r="G248" i="11"/>
  <c r="N268" i="11"/>
  <c r="C94" i="11"/>
  <c r="J261" i="11"/>
  <c r="Q269" i="11"/>
  <c r="C208" i="11"/>
  <c r="L195" i="11"/>
  <c r="Q59" i="11"/>
  <c r="D238" i="11"/>
  <c r="O168" i="11"/>
  <c r="Q68" i="11"/>
  <c r="M205" i="11"/>
  <c r="I105" i="11"/>
  <c r="F324" i="11"/>
  <c r="M249" i="11"/>
  <c r="N237" i="11"/>
  <c r="N197" i="11"/>
  <c r="N327" i="11"/>
  <c r="G191" i="11"/>
  <c r="K270" i="11"/>
  <c r="G205" i="11"/>
  <c r="I197" i="11"/>
  <c r="H181" i="11"/>
  <c r="R181" i="11"/>
  <c r="C324" i="11"/>
  <c r="J48" i="11"/>
  <c r="G194" i="11"/>
  <c r="K259" i="11"/>
  <c r="D206" i="11"/>
  <c r="G307" i="11"/>
  <c r="G324" i="11"/>
  <c r="S209" i="11"/>
  <c r="E270" i="11"/>
  <c r="R205" i="11"/>
  <c r="D241" i="11"/>
  <c r="P248" i="11"/>
  <c r="S52" i="11"/>
  <c r="C51" i="11"/>
  <c r="K249" i="11"/>
  <c r="M325" i="11"/>
  <c r="R250" i="11"/>
  <c r="D261" i="11"/>
  <c r="N190" i="11"/>
  <c r="G163" i="11"/>
  <c r="E68" i="11"/>
  <c r="G270" i="11"/>
  <c r="I178" i="11"/>
  <c r="H296" i="11"/>
  <c r="P166" i="11"/>
  <c r="H176" i="11"/>
  <c r="M324" i="11"/>
  <c r="N211" i="11"/>
  <c r="R308" i="11"/>
  <c r="O183" i="11"/>
  <c r="Q349" i="11"/>
  <c r="G308" i="11"/>
  <c r="Q251" i="11"/>
  <c r="F237" i="11"/>
  <c r="P261" i="11"/>
  <c r="F94" i="11"/>
  <c r="Q78" i="11"/>
  <c r="E300" i="11"/>
  <c r="D204" i="11"/>
  <c r="I308" i="11"/>
  <c r="O180" i="11"/>
  <c r="I268" i="11"/>
  <c r="M260" i="11"/>
  <c r="E51" i="11"/>
  <c r="D327" i="11"/>
  <c r="K327" i="11"/>
  <c r="G240" i="11"/>
  <c r="R241" i="11"/>
  <c r="C307" i="11"/>
  <c r="S307" i="11"/>
  <c r="S308" i="11"/>
  <c r="J209" i="11"/>
  <c r="M296" i="11"/>
  <c r="E194" i="11"/>
  <c r="S238" i="11"/>
  <c r="P251" i="11"/>
  <c r="E192" i="11"/>
  <c r="E209" i="11"/>
  <c r="E165" i="11"/>
  <c r="R349" i="11"/>
  <c r="H194" i="11"/>
  <c r="K241" i="11"/>
  <c r="P96" i="11"/>
  <c r="L296" i="11"/>
  <c r="I195" i="11"/>
  <c r="P296" i="11"/>
  <c r="D231" i="11"/>
  <c r="F204" i="11"/>
  <c r="P51" i="11"/>
  <c r="L96" i="11"/>
  <c r="J49" i="11"/>
  <c r="R182" i="11"/>
  <c r="J99" i="11"/>
  <c r="M52" i="11"/>
  <c r="R195" i="11"/>
  <c r="J106" i="11"/>
  <c r="M59" i="11"/>
  <c r="F78" i="11"/>
  <c r="D181" i="11"/>
  <c r="P179" i="11"/>
  <c r="P93" i="11"/>
  <c r="L107" i="11"/>
  <c r="K59" i="11"/>
  <c r="H94" i="11"/>
  <c r="R76" i="11"/>
  <c r="I206" i="11"/>
  <c r="N108" i="11"/>
  <c r="D50" i="11"/>
  <c r="H59" i="11"/>
  <c r="L168" i="11"/>
  <c r="Q163" i="11"/>
  <c r="E48" i="11"/>
  <c r="R50" i="11"/>
  <c r="H327" i="11"/>
  <c r="E296" i="11"/>
  <c r="R296" i="11"/>
  <c r="O307" i="11"/>
  <c r="H261" i="11"/>
  <c r="L238" i="11"/>
  <c r="G162" i="11"/>
  <c r="N349" i="11"/>
  <c r="O204" i="11"/>
  <c r="G206" i="11"/>
  <c r="K50" i="11"/>
  <c r="O59" i="11"/>
  <c r="N325" i="11"/>
  <c r="E251" i="11"/>
  <c r="P207" i="11"/>
  <c r="C96" i="11"/>
  <c r="J50" i="11"/>
  <c r="D48" i="11"/>
  <c r="I270" i="11"/>
  <c r="L260" i="11"/>
  <c r="S249" i="11"/>
  <c r="K52" i="11"/>
  <c r="R300" i="11"/>
  <c r="F230" i="11"/>
  <c r="J230" i="11"/>
  <c r="M48" i="11"/>
  <c r="E327" i="11"/>
  <c r="N238" i="11"/>
  <c r="Q166" i="11"/>
  <c r="N326" i="11"/>
  <c r="S349" i="11"/>
  <c r="F250" i="11"/>
  <c r="H259" i="11"/>
  <c r="F238" i="11"/>
  <c r="K252" i="11"/>
  <c r="C252" i="11"/>
  <c r="G251" i="11"/>
  <c r="L268" i="11"/>
  <c r="P204" i="11"/>
  <c r="E182" i="11"/>
  <c r="P167" i="11"/>
  <c r="K177" i="11"/>
  <c r="D230" i="11"/>
  <c r="O190" i="11"/>
  <c r="D269" i="11"/>
  <c r="D251" i="11"/>
  <c r="L231" i="11"/>
  <c r="I261" i="11"/>
  <c r="N191" i="11"/>
  <c r="Q169" i="11"/>
  <c r="P249" i="11"/>
  <c r="E237" i="11"/>
  <c r="K237" i="11"/>
  <c r="E204" i="11"/>
  <c r="O178" i="11"/>
  <c r="M165" i="11"/>
  <c r="O49" i="11"/>
  <c r="J276" i="11"/>
  <c r="K250" i="11"/>
  <c r="E238" i="11"/>
  <c r="I296" i="11"/>
  <c r="E249" i="11"/>
  <c r="K211" i="11"/>
  <c r="O193" i="11"/>
  <c r="P197" i="11"/>
  <c r="K169" i="11"/>
  <c r="G179" i="11"/>
  <c r="O349" i="11"/>
  <c r="O268" i="11"/>
  <c r="J251" i="11"/>
  <c r="E268" i="11"/>
  <c r="H206" i="11"/>
  <c r="L270" i="11"/>
  <c r="C164" i="11"/>
  <c r="N182" i="11"/>
  <c r="G105" i="11"/>
  <c r="P308" i="11"/>
  <c r="C260" i="11"/>
  <c r="N204" i="11"/>
  <c r="S240" i="11"/>
  <c r="P192" i="11"/>
  <c r="F181" i="11"/>
  <c r="P99" i="11"/>
  <c r="F261" i="11"/>
  <c r="D252" i="11"/>
  <c r="L250" i="11"/>
  <c r="S204" i="11"/>
  <c r="O191" i="11"/>
  <c r="C105" i="11"/>
  <c r="D166" i="11"/>
  <c r="Q176" i="11"/>
  <c r="R59" i="11"/>
  <c r="K181" i="11"/>
  <c r="E97" i="11"/>
  <c r="E196" i="11"/>
  <c r="K99" i="11"/>
  <c r="F179" i="11"/>
  <c r="K168" i="11"/>
  <c r="R100" i="11"/>
  <c r="N51" i="11"/>
  <c r="M327" i="11"/>
  <c r="E324" i="11"/>
  <c r="M261" i="11"/>
  <c r="J51" i="11"/>
  <c r="C326" i="11"/>
  <c r="G250" i="11"/>
  <c r="K308" i="11"/>
  <c r="F325" i="11"/>
  <c r="E269" i="11"/>
  <c r="S267" i="11"/>
  <c r="F308" i="11"/>
  <c r="Q283" i="11"/>
  <c r="R268" i="11"/>
  <c r="O206" i="11"/>
  <c r="H50" i="11"/>
  <c r="L49" i="11"/>
  <c r="H326" i="11"/>
  <c r="D268" i="11"/>
  <c r="H250" i="11"/>
  <c r="P52" i="11"/>
  <c r="I50" i="11"/>
  <c r="H49" i="11"/>
  <c r="O247" i="11"/>
  <c r="O230" i="11"/>
  <c r="P194" i="11"/>
  <c r="C269" i="11"/>
  <c r="Q249" i="11"/>
  <c r="G252" i="11"/>
  <c r="J325" i="11"/>
  <c r="D326" i="11"/>
  <c r="M193" i="11"/>
  <c r="K163" i="11"/>
  <c r="I324" i="11"/>
  <c r="H349" i="11"/>
  <c r="P300" i="11"/>
  <c r="N248" i="11"/>
  <c r="N208" i="11"/>
  <c r="I241" i="11"/>
  <c r="L240" i="11"/>
  <c r="D240" i="11"/>
  <c r="I249" i="11"/>
  <c r="C195" i="11"/>
  <c r="N179" i="11"/>
  <c r="H162" i="11"/>
  <c r="N177" i="11"/>
  <c r="K276" i="11"/>
  <c r="H270" i="11"/>
  <c r="C259" i="11"/>
  <c r="K238" i="11"/>
  <c r="P240" i="11"/>
  <c r="P210" i="11"/>
  <c r="K182" i="11"/>
  <c r="N168" i="11"/>
  <c r="F251" i="11"/>
  <c r="O207" i="11"/>
  <c r="Q191" i="11"/>
  <c r="L194" i="11"/>
  <c r="P165" i="11"/>
  <c r="R177" i="11"/>
  <c r="E50" i="11"/>
  <c r="C268" i="11"/>
  <c r="E276" i="11"/>
  <c r="Q308" i="11"/>
  <c r="H267" i="11"/>
  <c r="G237" i="11"/>
  <c r="I207" i="11"/>
  <c r="H196" i="11"/>
  <c r="O181" i="11"/>
  <c r="N249" i="11"/>
  <c r="R106" i="11"/>
  <c r="F349" i="11"/>
  <c r="Q260" i="11"/>
  <c r="G238" i="11"/>
  <c r="M252" i="11"/>
  <c r="P283" i="11"/>
  <c r="G249" i="11"/>
  <c r="R230" i="11"/>
  <c r="G169" i="11"/>
  <c r="Q162" i="11"/>
  <c r="N250" i="11"/>
  <c r="M240" i="11"/>
  <c r="L308" i="11"/>
  <c r="K207" i="11"/>
  <c r="Q180" i="11"/>
  <c r="F205" i="11"/>
  <c r="Q231" i="11"/>
  <c r="I211" i="11"/>
  <c r="J210" i="11"/>
  <c r="R179" i="11"/>
  <c r="D164" i="11"/>
  <c r="K76" i="11"/>
  <c r="H180" i="11"/>
  <c r="S100" i="11"/>
  <c r="S105" i="11"/>
  <c r="C52" i="11"/>
  <c r="F166" i="11"/>
  <c r="J59" i="11"/>
  <c r="O177" i="11"/>
  <c r="K140" i="11"/>
  <c r="O100" i="11"/>
  <c r="R51" i="11"/>
  <c r="C165" i="11"/>
  <c r="L99" i="11"/>
  <c r="N176" i="11"/>
  <c r="D349" i="11"/>
  <c r="P238" i="11"/>
  <c r="P267" i="11"/>
  <c r="Q51" i="11"/>
  <c r="M308" i="11"/>
  <c r="S252" i="11"/>
  <c r="I231" i="11"/>
  <c r="F176" i="11"/>
  <c r="F49" i="11"/>
  <c r="O48" i="11"/>
  <c r="O308" i="11"/>
  <c r="H238" i="11"/>
  <c r="L247" i="11"/>
  <c r="I48" i="11"/>
  <c r="F52" i="11"/>
  <c r="N48" i="11"/>
  <c r="G51" i="11"/>
  <c r="Q326" i="11"/>
  <c r="F247" i="11"/>
  <c r="E190" i="11"/>
  <c r="E248" i="11"/>
  <c r="C230" i="11"/>
  <c r="M182" i="11"/>
  <c r="G50" i="11"/>
  <c r="H324" i="11"/>
  <c r="I267" i="11"/>
  <c r="M247" i="11"/>
  <c r="O182" i="11"/>
  <c r="J327" i="11"/>
  <c r="K324" i="11"/>
  <c r="K269" i="11"/>
  <c r="E241" i="11"/>
  <c r="R208" i="11"/>
  <c r="N230" i="11"/>
  <c r="D211" i="11"/>
  <c r="M210" i="11"/>
  <c r="O240" i="11"/>
  <c r="Q178" i="11"/>
  <c r="R164" i="11"/>
  <c r="I208" i="11"/>
  <c r="S99" i="11"/>
  <c r="H247" i="11"/>
  <c r="N260" i="11"/>
  <c r="E247" i="11"/>
  <c r="L204" i="11"/>
  <c r="S193" i="11"/>
  <c r="D190" i="11"/>
  <c r="F267" i="11"/>
  <c r="Q183" i="11"/>
  <c r="M237" i="11"/>
  <c r="P208" i="11"/>
  <c r="F260" i="11"/>
  <c r="L178" i="11"/>
  <c r="Q197" i="11"/>
  <c r="S93" i="11"/>
  <c r="N324" i="11"/>
  <c r="O259" i="11"/>
  <c r="G260" i="11"/>
  <c r="M251" i="11"/>
  <c r="S211" i="11"/>
  <c r="S195" i="11"/>
  <c r="F195" i="11"/>
  <c r="K178" i="11"/>
  <c r="C182" i="11"/>
  <c r="N169" i="11"/>
  <c r="E326" i="11"/>
  <c r="O252" i="11"/>
  <c r="G259" i="11"/>
  <c r="I237" i="11"/>
  <c r="J268" i="11"/>
  <c r="H241" i="11"/>
  <c r="S205" i="11"/>
  <c r="R180" i="11"/>
  <c r="E93" i="11"/>
  <c r="M241" i="11"/>
  <c r="H230" i="11"/>
  <c r="I276" i="11"/>
  <c r="G193" i="11"/>
  <c r="O162" i="11"/>
  <c r="S192" i="11"/>
  <c r="Q324" i="11"/>
  <c r="I300" i="11"/>
  <c r="C205" i="11"/>
  <c r="M204" i="11"/>
  <c r="S180" i="11"/>
  <c r="D207" i="11"/>
  <c r="D51" i="11"/>
  <c r="P168" i="11"/>
  <c r="I96" i="11"/>
  <c r="M94" i="11"/>
  <c r="H169" i="11"/>
  <c r="P76" i="11"/>
  <c r="E206" i="11"/>
  <c r="Q140" i="11"/>
  <c r="D97" i="11"/>
  <c r="C176" i="11"/>
  <c r="I76" i="11"/>
  <c r="F178" i="11"/>
  <c r="N67" i="11"/>
  <c r="D249" i="11"/>
  <c r="M96" i="11"/>
  <c r="O269" i="11"/>
  <c r="R267" i="11"/>
  <c r="J247" i="11"/>
  <c r="F208" i="11"/>
  <c r="M250" i="11"/>
  <c r="S196" i="11"/>
  <c r="K183" i="11"/>
  <c r="C211" i="11"/>
  <c r="L95" i="11"/>
  <c r="K231" i="11"/>
  <c r="G192" i="11"/>
  <c r="H252" i="11"/>
  <c r="M269" i="11"/>
  <c r="Q192" i="11"/>
  <c r="E250" i="11"/>
  <c r="E261" i="11"/>
  <c r="J252" i="11"/>
  <c r="F259" i="11"/>
  <c r="Q300" i="11"/>
  <c r="G207" i="11"/>
  <c r="C207" i="11"/>
  <c r="E168" i="11"/>
  <c r="S182" i="11"/>
  <c r="J94" i="11"/>
  <c r="O105" i="11"/>
  <c r="O96" i="11"/>
  <c r="N205" i="11"/>
  <c r="R98" i="11"/>
  <c r="H100" i="11"/>
  <c r="K96" i="11"/>
  <c r="R68" i="11"/>
  <c r="N192" i="11"/>
  <c r="C68" i="11"/>
  <c r="C249" i="11"/>
  <c r="P231" i="11"/>
  <c r="I209" i="11"/>
  <c r="K51" i="11"/>
  <c r="F327" i="11"/>
  <c r="M268" i="11"/>
  <c r="D169" i="11"/>
  <c r="L261" i="11"/>
  <c r="Q237" i="11"/>
  <c r="R192" i="11"/>
  <c r="S48" i="11"/>
  <c r="P326" i="11"/>
  <c r="K240" i="11"/>
  <c r="D259" i="11"/>
  <c r="Q48" i="11"/>
  <c r="O251" i="11"/>
  <c r="G241" i="11"/>
  <c r="M209" i="11"/>
  <c r="H51" i="11"/>
  <c r="L51" i="11"/>
  <c r="G48" i="11"/>
  <c r="C327" i="11"/>
  <c r="S270" i="11"/>
  <c r="N259" i="11"/>
  <c r="S194" i="11"/>
  <c r="D325" i="11"/>
  <c r="K325" i="11"/>
  <c r="M195" i="11"/>
  <c r="P180" i="11"/>
  <c r="J324" i="11"/>
  <c r="M248" i="11"/>
  <c r="E207" i="11"/>
  <c r="P325" i="11"/>
  <c r="N308" i="11"/>
  <c r="J248" i="11"/>
  <c r="S276" i="11"/>
  <c r="K194" i="11"/>
  <c r="J207" i="11"/>
  <c r="O210" i="11"/>
  <c r="G210" i="11"/>
  <c r="D247" i="11"/>
  <c r="S178" i="11"/>
  <c r="K209" i="11"/>
  <c r="M196" i="11"/>
  <c r="N98" i="11"/>
  <c r="J237" i="11"/>
  <c r="C240" i="11"/>
  <c r="R206" i="11"/>
  <c r="O326" i="11"/>
  <c r="Q204" i="11"/>
  <c r="Q168" i="11"/>
  <c r="R259" i="11"/>
  <c r="Q67" i="11"/>
  <c r="F210" i="11"/>
  <c r="P269" i="11"/>
  <c r="K193" i="11"/>
  <c r="R140" i="11"/>
  <c r="F193" i="11"/>
  <c r="Q107" i="11"/>
  <c r="O325" i="11"/>
  <c r="G349" i="11"/>
  <c r="R231" i="11"/>
  <c r="N231" i="11"/>
  <c r="C204" i="11"/>
  <c r="C296" i="11"/>
  <c r="K260" i="11"/>
  <c r="S183" i="11"/>
  <c r="I205" i="11"/>
  <c r="L205" i="11"/>
  <c r="D78" i="11"/>
  <c r="P260" i="11"/>
  <c r="M259" i="11"/>
  <c r="H240" i="11"/>
  <c r="P276" i="11"/>
  <c r="S230" i="11"/>
  <c r="H195" i="11"/>
  <c r="K180" i="11"/>
  <c r="J195" i="11"/>
  <c r="S326" i="11"/>
  <c r="Q259" i="11"/>
  <c r="P195" i="11"/>
  <c r="P241" i="11"/>
  <c r="O248" i="11"/>
  <c r="C193" i="11"/>
  <c r="J196" i="11"/>
  <c r="I251" i="11"/>
  <c r="C241" i="11"/>
  <c r="H251" i="11"/>
  <c r="L267" i="11"/>
  <c r="R190" i="11"/>
  <c r="J238" i="11"/>
  <c r="J179" i="11"/>
  <c r="Q108" i="11"/>
  <c r="M168" i="11"/>
  <c r="C67" i="11"/>
  <c r="R165" i="11"/>
  <c r="O107" i="11"/>
  <c r="L196" i="11"/>
  <c r="D178" i="11"/>
  <c r="N78" i="11"/>
  <c r="C180" i="11"/>
  <c r="I204" i="11"/>
  <c r="J78" i="11"/>
  <c r="O197" i="11"/>
  <c r="E59" i="11"/>
  <c r="Q296" i="11"/>
  <c r="N251" i="11"/>
  <c r="R49" i="11"/>
  <c r="D324" i="11"/>
  <c r="K204" i="11"/>
  <c r="P206" i="11"/>
  <c r="L324" i="11"/>
  <c r="J260" i="11"/>
  <c r="C162" i="11"/>
  <c r="E52" i="11"/>
  <c r="R269" i="11"/>
  <c r="G268" i="11"/>
  <c r="L300" i="11"/>
  <c r="M49" i="11"/>
  <c r="H52" i="11"/>
  <c r="K349" i="11"/>
  <c r="L252" i="11"/>
  <c r="P191" i="11"/>
  <c r="Q50" i="11"/>
  <c r="E49" i="11"/>
  <c r="C325" i="11"/>
  <c r="L248" i="11"/>
  <c r="M207" i="11"/>
  <c r="E98" i="11"/>
  <c r="E325" i="11"/>
  <c r="H268" i="11"/>
  <c r="S250" i="11"/>
  <c r="I163" i="11"/>
  <c r="L50" i="11"/>
  <c r="O296" i="11"/>
  <c r="N307" i="11"/>
  <c r="N206" i="11"/>
  <c r="C300" i="11"/>
  <c r="R276" i="11"/>
  <c r="M238" i="11"/>
  <c r="S261" i="11"/>
  <c r="E307" i="11"/>
  <c r="N300" i="11"/>
  <c r="K307" i="11"/>
  <c r="F194" i="11"/>
  <c r="D205" i="11"/>
  <c r="J169" i="11"/>
  <c r="R211" i="11"/>
  <c r="E208" i="11"/>
  <c r="P67" i="11"/>
  <c r="S210" i="11"/>
  <c r="L211" i="11"/>
  <c r="S206" i="11"/>
  <c r="M276" i="11"/>
  <c r="L193" i="11"/>
  <c r="E162" i="11"/>
  <c r="R197" i="11"/>
  <c r="Q98" i="11"/>
  <c r="N296" i="11"/>
  <c r="I260" i="11"/>
  <c r="E183" i="11"/>
  <c r="H210" i="11"/>
  <c r="H205" i="11"/>
  <c r="P59" i="11"/>
  <c r="I326" i="11"/>
  <c r="M349" i="11"/>
  <c r="J300" i="11"/>
  <c r="D208" i="11"/>
  <c r="G204" i="11"/>
  <c r="F269" i="11"/>
  <c r="C247" i="11"/>
  <c r="J182" i="11"/>
  <c r="S300" i="11"/>
  <c r="L181" i="11"/>
  <c r="S251" i="11"/>
  <c r="P230" i="11"/>
  <c r="H204" i="11"/>
  <c r="S260" i="11"/>
  <c r="Q205" i="11"/>
  <c r="R240" i="11"/>
  <c r="I192" i="11"/>
  <c r="M178" i="11"/>
  <c r="D296" i="11"/>
  <c r="I247" i="11"/>
  <c r="Q276" i="11"/>
  <c r="S207" i="11"/>
  <c r="F296" i="11"/>
  <c r="G165" i="11"/>
  <c r="G140" i="11"/>
  <c r="D260" i="11"/>
  <c r="O194" i="11"/>
  <c r="R210" i="11"/>
  <c r="L237" i="11"/>
  <c r="D177" i="11"/>
  <c r="L177" i="11"/>
  <c r="S95" i="11"/>
  <c r="D96" i="11"/>
  <c r="D93" i="11"/>
  <c r="M68" i="11"/>
  <c r="M51" i="11"/>
  <c r="O93" i="11"/>
  <c r="R78" i="11"/>
  <c r="E169" i="11"/>
  <c r="F95" i="11"/>
  <c r="E99" i="11"/>
  <c r="G93" i="11"/>
  <c r="M300" i="11"/>
  <c r="J197" i="11"/>
  <c r="C48" i="11"/>
  <c r="S76" i="11"/>
  <c r="O99" i="11"/>
  <c r="J98" i="11"/>
  <c r="D106" i="11"/>
  <c r="S67" i="11"/>
  <c r="F48" i="11"/>
  <c r="N140" i="11"/>
  <c r="L179" i="11"/>
  <c r="O165" i="11"/>
  <c r="F169" i="11"/>
  <c r="G107" i="11"/>
  <c r="Q95" i="11"/>
  <c r="L165" i="11"/>
  <c r="D108" i="11"/>
  <c r="M78" i="11"/>
  <c r="D76" i="11"/>
  <c r="I182" i="11"/>
  <c r="K105" i="11"/>
  <c r="N196" i="11"/>
  <c r="J97" i="11"/>
  <c r="L76" i="11"/>
  <c r="G59" i="11"/>
  <c r="P140" i="11"/>
  <c r="C190" i="11"/>
  <c r="N97" i="11"/>
  <c r="C177" i="11"/>
  <c r="I177" i="11"/>
  <c r="Q99" i="11"/>
  <c r="G100" i="11"/>
  <c r="D99" i="11"/>
  <c r="K108" i="11"/>
  <c r="O179" i="11"/>
  <c r="N210" i="11"/>
  <c r="P190" i="11"/>
  <c r="P205" i="11"/>
  <c r="I165" i="11"/>
  <c r="L176" i="11"/>
  <c r="O108" i="11"/>
  <c r="O68" i="11"/>
  <c r="R97" i="11"/>
  <c r="N95" i="11"/>
  <c r="I68" i="11"/>
  <c r="I140" i="11"/>
  <c r="E195" i="11"/>
  <c r="G94" i="11"/>
  <c r="P183" i="11"/>
  <c r="I183" i="11"/>
  <c r="L100" i="11"/>
  <c r="F98" i="11"/>
  <c r="L93" i="11"/>
  <c r="R96" i="11"/>
  <c r="N49" i="11"/>
  <c r="F209" i="11"/>
  <c r="L208" i="11"/>
  <c r="G276" i="11"/>
  <c r="M179" i="11"/>
  <c r="G166" i="11"/>
  <c r="K166" i="11"/>
  <c r="K95" i="11"/>
  <c r="L68" i="11"/>
  <c r="H67" i="11"/>
  <c r="J76" i="11"/>
  <c r="R52" i="11"/>
  <c r="O276" i="11"/>
  <c r="Q196" i="11"/>
  <c r="O195" i="11"/>
  <c r="H163" i="11"/>
  <c r="Q190" i="11"/>
  <c r="Q182" i="11"/>
  <c r="O163" i="11"/>
  <c r="G296" i="11"/>
  <c r="N240" i="11"/>
  <c r="K267" i="11"/>
  <c r="C192" i="11"/>
  <c r="D307" i="11"/>
  <c r="Q307" i="11"/>
  <c r="E193" i="11"/>
  <c r="F207" i="11"/>
  <c r="F168" i="11"/>
  <c r="N209" i="11"/>
  <c r="L190" i="11"/>
  <c r="F107" i="11"/>
  <c r="S50" i="11"/>
  <c r="I51" i="11"/>
  <c r="E178" i="11"/>
  <c r="C163" i="11"/>
  <c r="D163" i="11"/>
  <c r="I99" i="11"/>
  <c r="I67" i="11"/>
  <c r="L108" i="11"/>
  <c r="R67" i="11"/>
  <c r="I49" i="11"/>
  <c r="F162" i="11"/>
  <c r="Q76" i="11"/>
  <c r="S59" i="11"/>
  <c r="C106" i="11"/>
  <c r="G67" i="11"/>
  <c r="G49" i="11"/>
  <c r="I190" i="11"/>
  <c r="M163" i="11"/>
  <c r="C206" i="11"/>
  <c r="C100" i="11"/>
  <c r="M176" i="11"/>
  <c r="K192" i="11"/>
  <c r="P97" i="11"/>
  <c r="F93" i="11"/>
  <c r="S94" i="11"/>
  <c r="L67" i="11"/>
  <c r="L48" i="11"/>
  <c r="C108" i="11"/>
  <c r="J181" i="11"/>
  <c r="M164" i="11"/>
  <c r="R93" i="11"/>
  <c r="N107" i="11"/>
  <c r="J191" i="11"/>
  <c r="O205" i="11"/>
  <c r="G168" i="11"/>
  <c r="K176" i="11"/>
  <c r="Q106" i="11"/>
  <c r="G76" i="11"/>
  <c r="G106" i="11"/>
  <c r="L97" i="11"/>
  <c r="S68" i="11"/>
  <c r="S168" i="11"/>
  <c r="J177" i="11"/>
  <c r="D182" i="11"/>
  <c r="G196" i="11"/>
  <c r="O164" i="11"/>
  <c r="N162" i="11"/>
  <c r="L191" i="11"/>
  <c r="S163" i="11"/>
  <c r="C76" i="11"/>
  <c r="D67" i="11"/>
  <c r="Q208" i="11"/>
  <c r="D196" i="11"/>
  <c r="R204" i="11"/>
  <c r="I166" i="11"/>
  <c r="Q177" i="11"/>
  <c r="R105" i="11"/>
  <c r="G68" i="11"/>
  <c r="O95" i="11"/>
  <c r="E96" i="11"/>
  <c r="F67" i="11"/>
  <c r="H207" i="11"/>
  <c r="Q206" i="11"/>
  <c r="S237" i="11"/>
  <c r="S179" i="11"/>
  <c r="J178" i="11"/>
  <c r="O169" i="11"/>
  <c r="P107" i="11"/>
  <c r="N100" i="11"/>
  <c r="Q210" i="11"/>
  <c r="I210" i="11"/>
  <c r="E230" i="11"/>
  <c r="F183" i="11"/>
  <c r="D168" i="11"/>
  <c r="Q247" i="11"/>
  <c r="J168" i="11"/>
  <c r="L59" i="11"/>
  <c r="F307" i="11"/>
  <c r="O300" i="11"/>
  <c r="O241" i="11"/>
  <c r="P268" i="11"/>
  <c r="S191" i="11"/>
  <c r="K190" i="11"/>
  <c r="L197" i="11"/>
  <c r="D197" i="11"/>
  <c r="J205" i="11"/>
  <c r="Q164" i="11"/>
  <c r="N267" i="11"/>
  <c r="F192" i="11"/>
  <c r="N163" i="11"/>
  <c r="O51" i="11"/>
  <c r="P324" i="11"/>
  <c r="H325" i="11"/>
  <c r="R325" i="11"/>
  <c r="O249" i="11"/>
  <c r="G231" i="11"/>
  <c r="Q238" i="11"/>
  <c r="R238" i="11"/>
  <c r="S241" i="11"/>
  <c r="E260" i="11"/>
  <c r="I191" i="11"/>
  <c r="M192" i="11"/>
  <c r="I193" i="11"/>
  <c r="H192" i="11"/>
  <c r="S108" i="11"/>
  <c r="N261" i="11"/>
  <c r="D276" i="11"/>
  <c r="I252" i="11"/>
  <c r="S259" i="11"/>
  <c r="O261" i="11"/>
  <c r="O260" i="11"/>
  <c r="H307" i="11"/>
  <c r="D191" i="11"/>
  <c r="E210" i="11"/>
  <c r="H248" i="11"/>
  <c r="K205" i="11"/>
  <c r="I98" i="11"/>
  <c r="N269" i="11"/>
  <c r="L230" i="11"/>
  <c r="S247" i="11"/>
  <c r="C276" i="11"/>
  <c r="Q270" i="11"/>
  <c r="H276" i="11"/>
  <c r="D193" i="11"/>
  <c r="K195" i="11"/>
  <c r="M162" i="11"/>
  <c r="C197" i="11"/>
  <c r="D179" i="11"/>
  <c r="G164" i="11"/>
  <c r="M50" i="11"/>
  <c r="E163" i="11"/>
  <c r="P177" i="11"/>
  <c r="I108" i="11"/>
  <c r="J67" i="11"/>
  <c r="M100" i="11"/>
  <c r="L98" i="11"/>
  <c r="F59" i="11"/>
  <c r="K107" i="11"/>
  <c r="M93" i="11"/>
  <c r="K94" i="11"/>
  <c r="S78" i="11"/>
  <c r="I59" i="11"/>
  <c r="R249" i="11"/>
  <c r="G230" i="11"/>
  <c r="F190" i="11"/>
  <c r="E181" i="11"/>
  <c r="S166" i="11"/>
  <c r="R167" i="11"/>
  <c r="F99" i="11"/>
  <c r="G78" i="11"/>
  <c r="I78" i="11"/>
  <c r="G98" i="11"/>
  <c r="R99" i="11"/>
  <c r="F164" i="11"/>
  <c r="E107" i="11"/>
  <c r="N76" i="11"/>
  <c r="E67" i="11"/>
  <c r="E191" i="11"/>
  <c r="N194" i="11"/>
  <c r="G197" i="11"/>
  <c r="E177" i="11"/>
  <c r="F105" i="11"/>
  <c r="L183" i="11"/>
  <c r="L94" i="11"/>
  <c r="F68" i="11"/>
  <c r="C59" i="11"/>
  <c r="C166" i="11"/>
  <c r="H164" i="11"/>
  <c r="H182" i="11"/>
  <c r="I181" i="11"/>
  <c r="D180" i="11"/>
  <c r="O140" i="11"/>
  <c r="K106" i="11"/>
  <c r="R169" i="11"/>
  <c r="D162" i="11"/>
  <c r="I100" i="11"/>
  <c r="O97" i="11"/>
  <c r="I196" i="11"/>
  <c r="F197" i="11"/>
  <c r="O192" i="11"/>
  <c r="N180" i="11"/>
  <c r="P169" i="11"/>
  <c r="S98" i="11"/>
  <c r="C183" i="11"/>
  <c r="D68" i="11"/>
  <c r="M67" i="11"/>
  <c r="D59" i="11"/>
  <c r="H208" i="11"/>
  <c r="L210" i="11"/>
  <c r="P164" i="11"/>
  <c r="F140" i="11"/>
  <c r="M140" i="11"/>
  <c r="L78" i="11"/>
  <c r="R107" i="11"/>
  <c r="P100" i="11"/>
  <c r="M95" i="11"/>
  <c r="I94" i="11"/>
  <c r="I107" i="11"/>
  <c r="S97" i="11"/>
  <c r="F97" i="11"/>
  <c r="C99" i="11"/>
  <c r="I52" i="11"/>
  <c r="K48" i="11"/>
  <c r="S177" i="11"/>
  <c r="P196" i="11"/>
  <c r="S167" i="11"/>
  <c r="I164" i="11"/>
  <c r="M97" i="11"/>
  <c r="S164" i="11"/>
  <c r="J95" i="11"/>
  <c r="K68" i="11"/>
  <c r="F270" i="11"/>
  <c r="J241" i="11"/>
  <c r="R166" i="11"/>
  <c r="Q167" i="11"/>
  <c r="F165" i="11"/>
  <c r="L106" i="11"/>
  <c r="H97" i="11"/>
  <c r="I162" i="11"/>
  <c r="H106" i="11"/>
  <c r="M76" i="11"/>
  <c r="J108" i="11"/>
  <c r="G182" i="11"/>
  <c r="H178" i="11"/>
  <c r="G190" i="11"/>
  <c r="M169" i="11"/>
  <c r="H140" i="11"/>
  <c r="P182" i="11"/>
  <c r="P162" i="11"/>
  <c r="O67" i="11"/>
  <c r="H78" i="11"/>
  <c r="P98" i="11"/>
  <c r="H98" i="11"/>
  <c r="I93" i="11"/>
  <c r="P106" i="11"/>
  <c r="L180" i="11"/>
  <c r="C179" i="11"/>
  <c r="J162" i="11"/>
  <c r="G108" i="11"/>
  <c r="P181" i="11"/>
  <c r="J163" i="11"/>
  <c r="Q93" i="11"/>
  <c r="L105" i="11"/>
  <c r="M206" i="11"/>
  <c r="H209" i="11"/>
  <c r="L166" i="11"/>
  <c r="F206" i="11"/>
  <c r="H107" i="11"/>
  <c r="M98" i="11"/>
  <c r="C97" i="11"/>
  <c r="N106" i="11"/>
  <c r="K100" i="11"/>
  <c r="K93" i="11"/>
  <c r="O76" i="11"/>
  <c r="C181" i="11"/>
  <c r="F182" i="11"/>
  <c r="I179" i="11"/>
  <c r="J140" i="11"/>
  <c r="D105" i="11"/>
  <c r="O166" i="11"/>
  <c r="D140" i="11"/>
  <c r="N99" i="11"/>
  <c r="K98" i="11"/>
  <c r="J307" i="11"/>
  <c r="D194" i="11"/>
  <c r="R168" i="11"/>
  <c r="Q179" i="11"/>
  <c r="R260" i="11"/>
  <c r="S296" i="11"/>
  <c r="H300" i="11"/>
  <c r="F300" i="11"/>
  <c r="M194" i="11"/>
  <c r="N195" i="11"/>
  <c r="M166" i="11"/>
  <c r="S208" i="11"/>
  <c r="Q181" i="11"/>
  <c r="P95" i="11"/>
  <c r="K268" i="11"/>
  <c r="D267" i="11"/>
  <c r="O324" i="11"/>
  <c r="F196" i="11"/>
  <c r="C251" i="11"/>
  <c r="L192" i="11"/>
  <c r="R248" i="11"/>
  <c r="S162" i="11"/>
  <c r="L307" i="11"/>
  <c r="Q248" i="11"/>
  <c r="Q252" i="11"/>
  <c r="I269" i="11"/>
  <c r="O237" i="11"/>
  <c r="P247" i="11"/>
  <c r="O250" i="11"/>
  <c r="P250" i="11"/>
  <c r="O270" i="11"/>
  <c r="D250" i="11"/>
  <c r="P209" i="11"/>
  <c r="Q209" i="11"/>
  <c r="R196" i="11"/>
  <c r="R176" i="11"/>
  <c r="J326" i="11"/>
  <c r="E349" i="11"/>
  <c r="D248" i="11"/>
  <c r="M307" i="11"/>
  <c r="C196" i="11"/>
  <c r="J208" i="11"/>
  <c r="O211" i="11"/>
  <c r="G211" i="11"/>
  <c r="P307" i="11"/>
  <c r="N178" i="11"/>
  <c r="I169" i="11"/>
  <c r="O208" i="11"/>
  <c r="K162" i="11"/>
  <c r="Q268" i="11"/>
  <c r="O238" i="11"/>
  <c r="O209" i="11"/>
  <c r="S231" i="11"/>
  <c r="M231" i="11"/>
  <c r="E231" i="11"/>
  <c r="K251" i="11"/>
  <c r="Q194" i="11"/>
  <c r="G177" i="11"/>
  <c r="H183" i="11"/>
  <c r="S165" i="11"/>
  <c r="E106" i="11"/>
  <c r="C308" i="11"/>
  <c r="F248" i="11"/>
  <c r="G208" i="11"/>
  <c r="P237" i="11"/>
  <c r="N241" i="11"/>
  <c r="F241" i="11"/>
  <c r="P252" i="11"/>
  <c r="K196" i="11"/>
  <c r="I194" i="11"/>
  <c r="R178" i="11"/>
  <c r="M197" i="11"/>
  <c r="E95" i="11"/>
  <c r="R163" i="11"/>
  <c r="R108" i="11"/>
  <c r="O98" i="11"/>
  <c r="L169" i="11"/>
  <c r="S107" i="11"/>
  <c r="G96" i="11"/>
  <c r="H99" i="11"/>
  <c r="Q100" i="11"/>
  <c r="N166" i="11"/>
  <c r="F108" i="11"/>
  <c r="J93" i="11"/>
  <c r="O78" i="11"/>
  <c r="S169" i="11"/>
  <c r="J193" i="11"/>
  <c r="S176" i="11"/>
  <c r="R194" i="11"/>
  <c r="D176" i="11"/>
  <c r="D165" i="11"/>
  <c r="H95" i="11"/>
  <c r="E176" i="11"/>
  <c r="R94" i="11"/>
  <c r="D94" i="11"/>
  <c r="N59" i="11"/>
  <c r="I168" i="11"/>
  <c r="R162" i="11"/>
  <c r="N93" i="11"/>
  <c r="H76" i="11"/>
  <c r="E76" i="11"/>
  <c r="F96" i="11"/>
  <c r="O167" i="11"/>
  <c r="J165" i="11"/>
  <c r="D107" i="11"/>
  <c r="Q96" i="11"/>
  <c r="F163" i="11"/>
  <c r="F106" i="11"/>
  <c r="J68" i="11"/>
  <c r="P68" i="11"/>
  <c r="K197" i="11"/>
  <c r="H197" i="11"/>
  <c r="E140" i="11"/>
  <c r="H190" i="11"/>
  <c r="M99" i="11"/>
  <c r="P176" i="11"/>
  <c r="H177" i="11"/>
  <c r="N94" i="11"/>
  <c r="C95" i="11"/>
  <c r="J96" i="11"/>
  <c r="H105" i="11"/>
  <c r="R48" i="11"/>
  <c r="P163" i="11"/>
  <c r="N276" i="11"/>
  <c r="L164" i="11"/>
  <c r="M105" i="11"/>
  <c r="G97" i="11"/>
  <c r="L140" i="11"/>
  <c r="J105" i="11"/>
  <c r="Q105" i="11"/>
  <c r="N105" i="11"/>
  <c r="I307" i="11"/>
  <c r="K300" i="11"/>
  <c r="R237" i="11"/>
  <c r="J270" i="11"/>
  <c r="Q195" i="11"/>
  <c r="H191" i="11"/>
  <c r="P193" i="11"/>
  <c r="H193" i="11"/>
  <c r="D210" i="11"/>
  <c r="Q165" i="11"/>
  <c r="C250" i="11"/>
  <c r="F191" i="11"/>
  <c r="S106" i="11"/>
  <c r="L327" i="11"/>
  <c r="K261" i="11"/>
  <c r="H237" i="11"/>
  <c r="M211" i="11"/>
  <c r="K210" i="11"/>
  <c r="C210" i="11"/>
  <c r="L209" i="11"/>
  <c r="I238" i="11"/>
  <c r="J176" i="11"/>
  <c r="O176" i="11"/>
  <c r="K165" i="11"/>
  <c r="I97" i="11"/>
  <c r="S96" i="11"/>
  <c r="D270" i="11"/>
  <c r="Q240" i="11"/>
  <c r="P211" i="11"/>
  <c r="F231" i="11"/>
  <c r="H231" i="11"/>
  <c r="C231" i="11"/>
  <c r="F249" i="11"/>
  <c r="M190" i="11"/>
  <c r="C178" i="11"/>
  <c r="G183" i="11"/>
  <c r="C169" i="11"/>
  <c r="K67" i="11"/>
  <c r="L162" i="11"/>
  <c r="Q94" i="11"/>
  <c r="H96" i="11"/>
  <c r="O106" i="11"/>
  <c r="Q97" i="11"/>
  <c r="P94" i="11"/>
  <c r="C98" i="11"/>
  <c r="S51" i="11"/>
  <c r="J100" i="11"/>
  <c r="P108" i="11"/>
  <c r="O94" i="11"/>
  <c r="E100" i="11"/>
  <c r="D100" i="11"/>
  <c r="K49" i="11"/>
  <c r="E166" i="11"/>
  <c r="M183" i="11"/>
  <c r="G178" i="11"/>
  <c r="J180" i="11"/>
  <c r="J164" i="11"/>
  <c r="M108" i="11"/>
  <c r="N183" i="11"/>
  <c r="N165" i="11"/>
  <c r="C107" i="11"/>
  <c r="K97" i="11"/>
  <c r="R193" i="11"/>
  <c r="C140" i="11"/>
  <c r="F76" i="11"/>
  <c r="H108" i="11"/>
  <c r="G99" i="11"/>
  <c r="C78" i="11"/>
  <c r="D209" i="11"/>
  <c r="J107" i="11"/>
  <c r="R95" i="11"/>
  <c r="E94" i="11"/>
  <c r="M107" i="11"/>
  <c r="D98" i="11"/>
  <c r="D95" i="11"/>
  <c r="N96" i="11"/>
  <c r="N50" i="11"/>
  <c r="C191" i="11"/>
  <c r="M230" i="11"/>
  <c r="J211" i="11"/>
  <c r="O283" i="11"/>
  <c r="M177" i="11"/>
  <c r="H165" i="11"/>
  <c r="C168" i="11"/>
  <c r="H93" i="11"/>
  <c r="N68" i="11"/>
  <c r="H68" i="11"/>
  <c r="K78" i="11"/>
  <c r="O52" i="11"/>
  <c r="J166" i="11"/>
  <c r="M208" i="11"/>
  <c r="M106" i="11"/>
  <c r="O196" i="11"/>
  <c r="F100" i="11"/>
  <c r="I106" i="11"/>
  <c r="G95" i="11"/>
  <c r="P78" i="11"/>
  <c r="E78" i="11"/>
  <c r="P48" i="11"/>
  <c r="R85" i="11"/>
  <c r="Q20" i="11"/>
  <c r="O26" i="11"/>
  <c r="S31" i="11"/>
  <c r="P25" i="11"/>
  <c r="R25" i="11"/>
  <c r="O19" i="11"/>
  <c r="O286" i="11"/>
  <c r="Q29" i="11"/>
  <c r="O31" i="11"/>
  <c r="R23" i="11"/>
  <c r="S19" i="11"/>
  <c r="Q21" i="11"/>
  <c r="O156" i="11"/>
  <c r="P19" i="11"/>
  <c r="S23" i="11"/>
  <c r="O17" i="11"/>
  <c r="P31" i="11"/>
  <c r="R18" i="11"/>
  <c r="Q31" i="11"/>
  <c r="S29" i="11"/>
  <c r="O18" i="11"/>
  <c r="P29" i="11"/>
  <c r="S21" i="11"/>
  <c r="O24" i="11"/>
  <c r="S17" i="11"/>
  <c r="R27" i="11"/>
  <c r="S30" i="11"/>
  <c r="O21" i="11"/>
  <c r="O282" i="11"/>
  <c r="O132" i="11"/>
  <c r="O116" i="11"/>
  <c r="O120" i="11"/>
  <c r="S28" i="11"/>
  <c r="S26" i="11"/>
  <c r="R20" i="11"/>
  <c r="P24" i="11"/>
  <c r="R26" i="11"/>
  <c r="R22" i="11"/>
  <c r="O119" i="11"/>
  <c r="O139" i="11"/>
  <c r="O218" i="11"/>
  <c r="O30" i="11"/>
  <c r="R24" i="11"/>
  <c r="S27" i="11"/>
  <c r="R30" i="11"/>
  <c r="S22" i="11"/>
  <c r="R17" i="11"/>
  <c r="P21" i="11"/>
  <c r="P30" i="11"/>
  <c r="Q22" i="11"/>
  <c r="O22" i="11"/>
  <c r="S18" i="11"/>
  <c r="Q24" i="11"/>
  <c r="P18" i="11"/>
  <c r="P26" i="11"/>
  <c r="Q23" i="11"/>
  <c r="O352" i="11"/>
  <c r="Q25" i="11"/>
  <c r="O334" i="11"/>
  <c r="O157" i="11"/>
  <c r="O27" i="11"/>
  <c r="R28" i="11"/>
  <c r="Q17" i="11"/>
  <c r="O25" i="11"/>
  <c r="O345" i="11"/>
  <c r="O239" i="11"/>
  <c r="Q19" i="11"/>
  <c r="R21" i="11"/>
  <c r="R29" i="11"/>
  <c r="P20" i="11"/>
  <c r="S20" i="11"/>
  <c r="O285" i="11"/>
  <c r="O348" i="11"/>
  <c r="O152" i="11"/>
  <c r="O355" i="11"/>
  <c r="O357" i="11"/>
  <c r="S25" i="11"/>
  <c r="O299" i="11"/>
  <c r="O70" i="11"/>
  <c r="O131" i="11"/>
  <c r="S24" i="11"/>
  <c r="O294" i="11"/>
  <c r="O149" i="11"/>
  <c r="R19" i="11"/>
  <c r="P22" i="11"/>
  <c r="O350" i="11"/>
  <c r="O118" i="11"/>
  <c r="O212" i="11"/>
  <c r="O315" i="11"/>
  <c r="O198" i="11"/>
  <c r="O184" i="11"/>
  <c r="O337" i="11"/>
  <c r="O23" i="11"/>
  <c r="O356" i="11"/>
  <c r="O117" i="11"/>
  <c r="O154" i="11"/>
  <c r="O29" i="11"/>
  <c r="O323" i="11"/>
  <c r="O122" i="11"/>
  <c r="O150" i="11"/>
  <c r="O28" i="11"/>
  <c r="O221" i="11"/>
  <c r="O155" i="11"/>
  <c r="O129" i="11"/>
  <c r="Q27" i="11"/>
  <c r="O220" i="11"/>
  <c r="Q26" i="11"/>
  <c r="O295" i="11"/>
  <c r="O69" i="11"/>
  <c r="O128" i="11"/>
  <c r="O353" i="11"/>
  <c r="O79" i="11"/>
  <c r="O148" i="11"/>
  <c r="O170" i="11"/>
  <c r="O354" i="11"/>
  <c r="O335" i="11"/>
  <c r="O130" i="11"/>
  <c r="O258" i="11"/>
  <c r="O86" i="11"/>
  <c r="O314" i="11"/>
  <c r="O77" i="11"/>
  <c r="P27" i="11"/>
  <c r="O301" i="11"/>
  <c r="O343" i="11"/>
  <c r="O87" i="11"/>
  <c r="Q28" i="11"/>
  <c r="O298" i="11"/>
  <c r="O20" i="11"/>
  <c r="O328" i="11"/>
  <c r="O60" i="11"/>
  <c r="Q18" i="11"/>
  <c r="O297" i="11"/>
  <c r="O153" i="11"/>
  <c r="O336" i="11"/>
  <c r="O138" i="11"/>
  <c r="O316" i="11"/>
  <c r="O115" i="11"/>
  <c r="O351" i="11"/>
  <c r="O121" i="11"/>
  <c r="P28" i="11"/>
  <c r="O223" i="11"/>
  <c r="R31" i="11"/>
  <c r="O293" i="11"/>
  <c r="O61" i="11"/>
  <c r="P17" i="11"/>
  <c r="O219" i="11"/>
  <c r="O344" i="11"/>
  <c r="O53" i="11"/>
  <c r="O322" i="11"/>
  <c r="O141" i="11"/>
  <c r="O222" i="11"/>
  <c r="O346" i="11"/>
  <c r="O327" i="11"/>
  <c r="O114" i="11"/>
  <c r="O151" i="11"/>
  <c r="Q30" i="11"/>
  <c r="O347" i="11"/>
  <c r="P23" i="11"/>
  <c r="O284" i="11"/>
  <c r="O292" i="11"/>
  <c r="P85" i="11"/>
  <c r="P132" i="11"/>
  <c r="P79" i="11"/>
  <c r="P157" i="11"/>
  <c r="P315" i="11"/>
  <c r="P86" i="11"/>
  <c r="P150" i="11"/>
  <c r="P316" i="11"/>
  <c r="P212" i="11"/>
  <c r="P293" i="11"/>
  <c r="P335" i="11"/>
  <c r="P220" i="11"/>
  <c r="P223" i="11"/>
  <c r="P198" i="11"/>
  <c r="P138" i="11"/>
  <c r="P115" i="11"/>
  <c r="P131" i="11"/>
  <c r="P116" i="11"/>
  <c r="P120" i="11"/>
  <c r="P117" i="11"/>
  <c r="P139" i="11"/>
  <c r="P61" i="11"/>
  <c r="P298" i="11"/>
  <c r="P355" i="11"/>
  <c r="P350" i="11"/>
  <c r="P356" i="11"/>
  <c r="P151" i="11"/>
  <c r="P155" i="11"/>
  <c r="P153" i="11"/>
  <c r="P343" i="11"/>
  <c r="P334" i="11"/>
  <c r="P286" i="11"/>
  <c r="P347" i="11"/>
  <c r="P114" i="11"/>
  <c r="P352" i="11"/>
  <c r="P345" i="11"/>
  <c r="P239" i="11"/>
  <c r="P121" i="11"/>
  <c r="P323" i="11"/>
  <c r="P357" i="11"/>
  <c r="P69" i="11"/>
  <c r="P258" i="11"/>
  <c r="P337" i="11"/>
  <c r="P327" i="11"/>
  <c r="P128" i="11"/>
  <c r="P218" i="11"/>
  <c r="P284" i="11"/>
  <c r="P77" i="11"/>
  <c r="P336" i="11"/>
  <c r="P222" i="11"/>
  <c r="P130" i="11"/>
  <c r="P297" i="11"/>
  <c r="P292" i="11"/>
  <c r="P60" i="11"/>
  <c r="P184" i="11"/>
  <c r="P221" i="11"/>
  <c r="P353" i="11"/>
  <c r="P154" i="11"/>
  <c r="P328" i="11"/>
  <c r="P314" i="11"/>
  <c r="P119" i="11"/>
  <c r="P344" i="11"/>
  <c r="P129" i="11"/>
  <c r="P285" i="11"/>
  <c r="P152" i="11"/>
  <c r="P348" i="11"/>
  <c r="P351" i="11"/>
  <c r="P294" i="11"/>
  <c r="P354" i="11"/>
  <c r="P53" i="11"/>
  <c r="P148" i="11"/>
  <c r="P122" i="11"/>
  <c r="P322" i="11"/>
  <c r="P346" i="11"/>
  <c r="P87" i="11"/>
  <c r="P295" i="11"/>
  <c r="P118" i="11"/>
  <c r="P149" i="11"/>
  <c r="P70" i="11"/>
  <c r="P282" i="11"/>
  <c r="P301" i="11"/>
  <c r="P170" i="11"/>
  <c r="P219" i="11"/>
  <c r="P141" i="11"/>
  <c r="P156" i="11"/>
  <c r="P299" i="11"/>
  <c r="S356" i="11"/>
  <c r="S258" i="11"/>
  <c r="S353" i="11"/>
  <c r="S117" i="11"/>
  <c r="S282" i="11"/>
  <c r="S222" i="11"/>
  <c r="S335" i="11"/>
  <c r="S218" i="11"/>
  <c r="S128" i="11"/>
  <c r="S131" i="11"/>
  <c r="S314" i="11"/>
  <c r="S139" i="11"/>
  <c r="S115" i="11"/>
  <c r="S53" i="11"/>
  <c r="S337" i="11"/>
  <c r="S69" i="11"/>
  <c r="S121" i="11"/>
  <c r="S212" i="11"/>
  <c r="S60" i="11"/>
  <c r="S132" i="11"/>
  <c r="S119" i="11"/>
  <c r="S336" i="11"/>
  <c r="S322" i="11"/>
  <c r="S86" i="11"/>
  <c r="S141" i="11"/>
  <c r="S354" i="11"/>
  <c r="S87" i="11"/>
  <c r="S198" i="11"/>
  <c r="S292" i="11"/>
  <c r="S61" i="11"/>
  <c r="S344" i="11"/>
  <c r="S150" i="11"/>
  <c r="S170" i="11"/>
  <c r="S351" i="11"/>
  <c r="S116" i="11"/>
  <c r="S328" i="11"/>
  <c r="S120" i="11"/>
  <c r="S184" i="11"/>
  <c r="S284" i="11"/>
  <c r="S323" i="11"/>
  <c r="S118" i="11"/>
  <c r="S293" i="11"/>
  <c r="S348" i="11"/>
  <c r="S77" i="11"/>
  <c r="S343" i="11"/>
  <c r="S130" i="11"/>
  <c r="S352" i="11"/>
  <c r="S149" i="11"/>
  <c r="S346" i="11"/>
  <c r="S151" i="11"/>
  <c r="S114" i="11"/>
  <c r="S297" i="11"/>
  <c r="S298" i="11"/>
  <c r="S70" i="11"/>
  <c r="S220" i="11"/>
  <c r="S285" i="11"/>
  <c r="S79" i="11"/>
  <c r="S347" i="11"/>
  <c r="S153" i="11"/>
  <c r="S148" i="11"/>
  <c r="S299" i="11"/>
  <c r="S295" i="11"/>
  <c r="S355" i="11"/>
  <c r="S156" i="11"/>
  <c r="S223" i="11"/>
  <c r="S154" i="11"/>
  <c r="S316" i="11"/>
  <c r="S219" i="11"/>
  <c r="S221" i="11"/>
  <c r="S350" i="11"/>
  <c r="S345" i="11"/>
  <c r="S138" i="11"/>
  <c r="S301" i="11"/>
  <c r="S129" i="11"/>
  <c r="S239" i="11"/>
  <c r="S294" i="11"/>
  <c r="S357" i="11"/>
  <c r="S286" i="11"/>
  <c r="S315" i="11"/>
  <c r="S334" i="11"/>
  <c r="S122" i="11"/>
  <c r="S157" i="11"/>
  <c r="S327" i="11"/>
  <c r="S152" i="11"/>
  <c r="S155" i="11"/>
  <c r="R292" i="11"/>
  <c r="R351" i="11"/>
  <c r="R170" i="11"/>
  <c r="R153" i="11"/>
  <c r="R223" i="11"/>
  <c r="R282" i="11"/>
  <c r="R294" i="11"/>
  <c r="R343" i="11"/>
  <c r="R348" i="11"/>
  <c r="R219" i="11"/>
  <c r="R120" i="11"/>
  <c r="R334" i="11"/>
  <c r="R148" i="11"/>
  <c r="R141" i="11"/>
  <c r="R121" i="11"/>
  <c r="R335" i="11"/>
  <c r="R79" i="11"/>
  <c r="R86" i="11"/>
  <c r="R297" i="11"/>
  <c r="R119" i="11"/>
  <c r="R212" i="11"/>
  <c r="R347" i="11"/>
  <c r="R116" i="11"/>
  <c r="R151" i="11"/>
  <c r="R220" i="11"/>
  <c r="R154" i="11"/>
  <c r="R285" i="11"/>
  <c r="R258" i="11"/>
  <c r="R350" i="11"/>
  <c r="R198" i="11"/>
  <c r="R150" i="11"/>
  <c r="R327" i="11"/>
  <c r="R357" i="11"/>
  <c r="R149" i="11"/>
  <c r="R115" i="11"/>
  <c r="R356" i="11"/>
  <c r="R139" i="11"/>
  <c r="R152" i="11"/>
  <c r="R222" i="11"/>
  <c r="R239" i="11"/>
  <c r="R218" i="11"/>
  <c r="R336" i="11"/>
  <c r="R352" i="11"/>
  <c r="R69" i="11"/>
  <c r="R130" i="11"/>
  <c r="R328" i="11"/>
  <c r="R118" i="11"/>
  <c r="R157" i="11"/>
  <c r="R129" i="11"/>
  <c r="R344" i="11"/>
  <c r="R114" i="11"/>
  <c r="R315" i="11"/>
  <c r="R70" i="11"/>
  <c r="R346" i="11"/>
  <c r="R138" i="11"/>
  <c r="R221" i="11"/>
  <c r="R355" i="11"/>
  <c r="R156" i="11"/>
  <c r="R299" i="11"/>
  <c r="R354" i="11"/>
  <c r="R61" i="11"/>
  <c r="R345" i="11"/>
  <c r="R128" i="11"/>
  <c r="R316" i="11"/>
  <c r="R132" i="11"/>
  <c r="R284" i="11"/>
  <c r="R117" i="11"/>
  <c r="R155" i="11"/>
  <c r="R337" i="11"/>
  <c r="R353" i="11"/>
  <c r="R77" i="11"/>
  <c r="R293" i="11"/>
  <c r="R286" i="11"/>
  <c r="R87" i="11"/>
  <c r="R131" i="11"/>
  <c r="R322" i="11"/>
  <c r="R60" i="11"/>
  <c r="R298" i="11"/>
  <c r="R53" i="11"/>
  <c r="R314" i="11"/>
  <c r="R184" i="11"/>
  <c r="R122" i="11"/>
  <c r="R323" i="11"/>
  <c r="R295" i="11"/>
  <c r="R301" i="11"/>
  <c r="Q298" i="11"/>
  <c r="Q152" i="11"/>
  <c r="Q327" i="11"/>
  <c r="Q299" i="11"/>
  <c r="Q294" i="11"/>
  <c r="Q239" i="11"/>
  <c r="Q118" i="11"/>
  <c r="Q150" i="11"/>
  <c r="Q314" i="11"/>
  <c r="Q128" i="11"/>
  <c r="Q154" i="11"/>
  <c r="Q87" i="11"/>
  <c r="Q348" i="11"/>
  <c r="Q323" i="11"/>
  <c r="Q170" i="11"/>
  <c r="Q157" i="11"/>
  <c r="Q351" i="11"/>
  <c r="Q292" i="11"/>
  <c r="Q198" i="11"/>
  <c r="Q155" i="11"/>
  <c r="Q293" i="11"/>
  <c r="Q53" i="11"/>
  <c r="Q139" i="11"/>
  <c r="Q354" i="11"/>
  <c r="Q315" i="11"/>
  <c r="Q356" i="11"/>
  <c r="Q350" i="11"/>
  <c r="Q301" i="11"/>
  <c r="Q285" i="11"/>
  <c r="Q328" i="11"/>
  <c r="Q346" i="11"/>
  <c r="Q129" i="11"/>
  <c r="Q219" i="11"/>
  <c r="Q114" i="11"/>
  <c r="Q116" i="11"/>
  <c r="Q334" i="11"/>
  <c r="Q218" i="11"/>
  <c r="Q295" i="11"/>
  <c r="Q343" i="11"/>
  <c r="Q220" i="11"/>
  <c r="Q122" i="11"/>
  <c r="Q115" i="11"/>
  <c r="Q322" i="11"/>
  <c r="Q131" i="11"/>
  <c r="Q336" i="11"/>
  <c r="Q258" i="11"/>
  <c r="Q355" i="11"/>
  <c r="Q316" i="11"/>
  <c r="Q69" i="11"/>
  <c r="Q184" i="11"/>
  <c r="Q335" i="11"/>
  <c r="Q77" i="11"/>
  <c r="Q337" i="11"/>
  <c r="Q282" i="11"/>
  <c r="Q121" i="11"/>
  <c r="Q212" i="11"/>
  <c r="Q151" i="11"/>
  <c r="Q132" i="11"/>
  <c r="Q221" i="11"/>
  <c r="Q138" i="11"/>
  <c r="Q352" i="11"/>
  <c r="Q347" i="11"/>
  <c r="Q223" i="11"/>
  <c r="Q130" i="11"/>
  <c r="Q353" i="11"/>
  <c r="Q148" i="11"/>
  <c r="Q60" i="11"/>
  <c r="Q141" i="11"/>
  <c r="Q79" i="11"/>
  <c r="Q153" i="11"/>
  <c r="Q119" i="11"/>
  <c r="Q149" i="11"/>
  <c r="Q297" i="11"/>
  <c r="Q344" i="11"/>
  <c r="Q222" i="11"/>
  <c r="Q70" i="11"/>
  <c r="Q286" i="11"/>
  <c r="Q117" i="11"/>
  <c r="Q357" i="11"/>
  <c r="Q61" i="11"/>
  <c r="Q156" i="11"/>
  <c r="Q284" i="11"/>
  <c r="Q345" i="11"/>
  <c r="Q120" i="11"/>
  <c r="Q86" i="11"/>
  <c r="P152" i="10"/>
  <c r="O101" i="10"/>
  <c r="G91" i="10"/>
  <c r="G78" i="10"/>
  <c r="F97" i="10"/>
  <c r="G103" i="10"/>
  <c r="E121" i="10"/>
  <c r="R123" i="10"/>
  <c r="G39" i="10"/>
  <c r="N188" i="10"/>
  <c r="K206" i="10"/>
  <c r="N155" i="10"/>
  <c r="L84" i="10"/>
  <c r="N92" i="10"/>
  <c r="E17" i="10"/>
  <c r="N141" i="10"/>
  <c r="L116" i="10"/>
  <c r="Q56" i="10"/>
  <c r="F107" i="10"/>
  <c r="G66" i="10"/>
  <c r="G205" i="10"/>
  <c r="K111" i="10"/>
  <c r="U66" i="10"/>
  <c r="P183" i="10"/>
  <c r="S68" i="10"/>
  <c r="E208" i="10"/>
  <c r="J187" i="10"/>
  <c r="H90" i="10"/>
  <c r="F23" i="10"/>
  <c r="Q173" i="10"/>
  <c r="L199" i="10"/>
  <c r="H181" i="10"/>
  <c r="I216" i="10"/>
  <c r="N45" i="10"/>
  <c r="E142" i="10"/>
  <c r="P145" i="10"/>
  <c r="P140" i="10"/>
  <c r="G150" i="10"/>
  <c r="S88" i="10"/>
  <c r="U139" i="10"/>
  <c r="Q93" i="10"/>
  <c r="T80" i="10"/>
  <c r="O81" i="10"/>
  <c r="Q119" i="10"/>
  <c r="K107" i="10"/>
  <c r="O84" i="10"/>
  <c r="K81" i="10"/>
  <c r="H143" i="10"/>
  <c r="M85" i="10"/>
  <c r="N87" i="10"/>
  <c r="G134" i="10"/>
  <c r="N96" i="10"/>
  <c r="P25" i="10"/>
  <c r="I84" i="10"/>
  <c r="S117" i="10"/>
  <c r="N146" i="10"/>
  <c r="G105" i="10"/>
  <c r="S79" i="10"/>
  <c r="L200" i="10"/>
  <c r="K181" i="10"/>
  <c r="L109" i="10"/>
  <c r="I172" i="10"/>
  <c r="E107" i="10"/>
  <c r="S182" i="10"/>
  <c r="E188" i="10"/>
  <c r="G69" i="10"/>
  <c r="J164" i="10"/>
  <c r="K46" i="10"/>
  <c r="Q44" i="10"/>
  <c r="T108" i="10"/>
  <c r="L97" i="10"/>
  <c r="S122" i="10"/>
  <c r="E124" i="10"/>
  <c r="M207" i="10"/>
  <c r="T143" i="10"/>
  <c r="R142" i="10"/>
  <c r="K45" i="10"/>
  <c r="F221" i="10"/>
  <c r="R118" i="10"/>
  <c r="P124" i="10"/>
  <c r="H145" i="10"/>
  <c r="E118" i="10"/>
  <c r="M82" i="10"/>
  <c r="O146" i="10"/>
  <c r="M152" i="10"/>
  <c r="F120" i="10"/>
  <c r="N198" i="10"/>
  <c r="K89" i="10"/>
  <c r="O108" i="10"/>
  <c r="P58" i="10"/>
  <c r="O172" i="10"/>
  <c r="G117" i="10"/>
  <c r="P109" i="10"/>
  <c r="P75" i="10"/>
  <c r="G154" i="10"/>
  <c r="N144" i="10"/>
  <c r="I155" i="10"/>
  <c r="F138" i="10"/>
  <c r="I81" i="10"/>
  <c r="K133" i="10"/>
  <c r="P107" i="10"/>
  <c r="R218" i="10"/>
  <c r="E147" i="10"/>
  <c r="E143" i="10"/>
  <c r="O140" i="10"/>
  <c r="G136" i="10"/>
  <c r="N121" i="10"/>
  <c r="O138" i="10"/>
  <c r="K185" i="10"/>
  <c r="O83" i="10"/>
  <c r="M164" i="10"/>
  <c r="U135" i="10"/>
  <c r="Q98" i="10"/>
  <c r="U79" i="10"/>
  <c r="J107" i="10"/>
  <c r="T206" i="10"/>
  <c r="M134" i="10"/>
  <c r="K80" i="10"/>
  <c r="Q221" i="10"/>
  <c r="F21" i="10"/>
  <c r="H78" i="10"/>
  <c r="T84" i="10"/>
  <c r="U206" i="10"/>
  <c r="G220" i="10"/>
  <c r="I19" i="10"/>
  <c r="G67" i="10"/>
  <c r="H186" i="10"/>
  <c r="M201" i="10"/>
  <c r="M43" i="10"/>
  <c r="O132" i="10"/>
  <c r="K82" i="10"/>
  <c r="P47" i="10"/>
  <c r="S98" i="10"/>
  <c r="E150" i="10"/>
  <c r="G132" i="10"/>
  <c r="H45" i="10"/>
  <c r="L205" i="10"/>
  <c r="I101" i="10"/>
  <c r="J207" i="10"/>
  <c r="O118" i="10"/>
  <c r="O151" i="10"/>
  <c r="L147" i="10"/>
  <c r="J96" i="10"/>
  <c r="P118" i="10"/>
  <c r="N135" i="10"/>
  <c r="L69" i="10"/>
  <c r="K95" i="10"/>
  <c r="G95" i="10"/>
  <c r="Q122" i="10"/>
  <c r="N109" i="10"/>
  <c r="E122" i="10"/>
  <c r="J48" i="10"/>
  <c r="O133" i="10"/>
  <c r="Q116" i="10"/>
  <c r="E138" i="10"/>
  <c r="K100" i="10"/>
  <c r="L70" i="10"/>
  <c r="R90" i="10"/>
  <c r="N120" i="10"/>
  <c r="H107" i="10"/>
  <c r="N108" i="10"/>
  <c r="P111" i="10"/>
  <c r="I152" i="10"/>
  <c r="N100" i="10"/>
  <c r="U220" i="10"/>
  <c r="U223" i="10"/>
  <c r="J117" i="10"/>
  <c r="E89" i="10"/>
  <c r="T222" i="10"/>
  <c r="S185" i="10"/>
  <c r="P218" i="10"/>
  <c r="G204" i="10"/>
  <c r="S116" i="10"/>
  <c r="R139" i="10"/>
  <c r="H184" i="10"/>
  <c r="R180" i="10"/>
  <c r="N77" i="10"/>
  <c r="S151" i="10"/>
  <c r="I199" i="10"/>
  <c r="N43" i="10"/>
  <c r="E139" i="10"/>
  <c r="H57" i="10"/>
  <c r="S216" i="10"/>
  <c r="O223" i="10"/>
  <c r="N18" i="10"/>
  <c r="M144" i="10"/>
  <c r="N132" i="10"/>
  <c r="H133" i="10"/>
  <c r="N89" i="10"/>
  <c r="J150" i="10"/>
  <c r="F144" i="10"/>
  <c r="N152" i="10"/>
  <c r="I77" i="10"/>
  <c r="G145" i="10"/>
  <c r="E73" i="10"/>
  <c r="I147" i="10"/>
  <c r="H82" i="10"/>
  <c r="K84" i="10"/>
  <c r="L145" i="10"/>
  <c r="F143" i="10"/>
  <c r="K132" i="10"/>
  <c r="O111" i="10"/>
  <c r="N150" i="10"/>
  <c r="T118" i="10"/>
  <c r="U57" i="10"/>
  <c r="M202" i="10"/>
  <c r="G135" i="10"/>
  <c r="S217" i="10"/>
  <c r="I68" i="10"/>
  <c r="T103" i="10"/>
  <c r="T216" i="10"/>
  <c r="F132" i="10"/>
  <c r="M120" i="10"/>
  <c r="G72" i="10"/>
  <c r="M87" i="10"/>
  <c r="Q108" i="10"/>
  <c r="S73" i="10"/>
  <c r="N161" i="10"/>
  <c r="R26" i="10"/>
  <c r="J69" i="10"/>
  <c r="E200" i="10"/>
  <c r="O21" i="10"/>
  <c r="P206" i="10"/>
  <c r="I96" i="10"/>
  <c r="F215" i="10"/>
  <c r="J182" i="10"/>
  <c r="O30" i="10"/>
  <c r="P79" i="10"/>
  <c r="I132" i="10"/>
  <c r="M121" i="10"/>
  <c r="K223" i="10"/>
  <c r="H188" i="10"/>
  <c r="K154" i="10"/>
  <c r="L102" i="10"/>
  <c r="N142" i="10"/>
  <c r="J153" i="10"/>
  <c r="I151" i="10"/>
  <c r="J130" i="10"/>
  <c r="F105" i="10"/>
  <c r="E134" i="10"/>
  <c r="F149" i="10"/>
  <c r="K90" i="10"/>
  <c r="O33" i="10"/>
  <c r="H77" i="10"/>
  <c r="K110" i="10"/>
  <c r="T105" i="10"/>
  <c r="Q102" i="10"/>
  <c r="E140" i="10"/>
  <c r="J108" i="10"/>
  <c r="K76" i="10"/>
  <c r="E67" i="10"/>
  <c r="G73" i="10"/>
  <c r="H137" i="10"/>
  <c r="K102" i="10"/>
  <c r="O72" i="10"/>
  <c r="J45" i="10"/>
  <c r="I122" i="10"/>
  <c r="G99" i="10"/>
  <c r="U161" i="10"/>
  <c r="J92" i="10"/>
  <c r="S80" i="10"/>
  <c r="R151" i="10"/>
  <c r="H205" i="10"/>
  <c r="P185" i="10"/>
  <c r="G104" i="10"/>
  <c r="I67" i="10"/>
  <c r="H19" i="10"/>
  <c r="G206" i="10"/>
  <c r="R50" i="10"/>
  <c r="N31" i="10"/>
  <c r="L202" i="10"/>
  <c r="Q57" i="10"/>
  <c r="R99" i="10"/>
  <c r="H154" i="10"/>
  <c r="J163" i="10"/>
  <c r="P101" i="10"/>
  <c r="L150" i="10"/>
  <c r="H109" i="10"/>
  <c r="H75" i="10"/>
  <c r="L130" i="10"/>
  <c r="F146" i="10"/>
  <c r="M155" i="10"/>
  <c r="M145" i="10"/>
  <c r="F91" i="10"/>
  <c r="I136" i="10"/>
  <c r="T48" i="10"/>
  <c r="F145" i="10"/>
  <c r="L50" i="10"/>
  <c r="L74" i="10"/>
  <c r="P121" i="10"/>
  <c r="L76" i="10"/>
  <c r="O42" i="10"/>
  <c r="L217" i="10"/>
  <c r="U39" i="10"/>
  <c r="E87" i="10"/>
  <c r="P103" i="10"/>
  <c r="M86" i="10"/>
  <c r="E146" i="10"/>
  <c r="E111" i="10"/>
  <c r="M136" i="10"/>
  <c r="U20" i="10"/>
  <c r="N99" i="10"/>
  <c r="U121" i="10"/>
  <c r="G90" i="10"/>
  <c r="J87" i="10"/>
  <c r="S143" i="10"/>
  <c r="O121" i="10"/>
  <c r="K220" i="10"/>
  <c r="M163" i="10"/>
  <c r="S123" i="10"/>
  <c r="J199" i="10"/>
  <c r="L89" i="10"/>
  <c r="N21" i="10"/>
  <c r="T199" i="10"/>
  <c r="P39" i="10"/>
  <c r="R40" i="10"/>
  <c r="T31" i="10"/>
  <c r="T18" i="10"/>
  <c r="J147" i="10"/>
  <c r="I139" i="10"/>
  <c r="I150" i="10"/>
  <c r="H70" i="10"/>
  <c r="L143" i="10"/>
  <c r="I121" i="10"/>
  <c r="L141" i="10"/>
  <c r="S77" i="10"/>
  <c r="K108" i="10"/>
  <c r="F140" i="10"/>
  <c r="L123" i="10"/>
  <c r="F135" i="10"/>
  <c r="O149" i="10"/>
  <c r="F154" i="10"/>
  <c r="M58" i="10"/>
  <c r="H149" i="10"/>
  <c r="J136" i="10"/>
  <c r="H150" i="10"/>
  <c r="K71" i="10"/>
  <c r="L120" i="10"/>
  <c r="O147" i="10"/>
  <c r="U83" i="10"/>
  <c r="N101" i="10"/>
  <c r="I145" i="10"/>
  <c r="K117" i="10"/>
  <c r="K92" i="10"/>
  <c r="L111" i="10"/>
  <c r="H96" i="10"/>
  <c r="F153" i="10"/>
  <c r="F109" i="10"/>
  <c r="M71" i="10"/>
  <c r="L137" i="10"/>
  <c r="F103" i="10"/>
  <c r="S76" i="10"/>
  <c r="J71" i="10"/>
  <c r="J162" i="10"/>
  <c r="J152" i="10"/>
  <c r="N139" i="10"/>
  <c r="F123" i="10"/>
  <c r="J76" i="10"/>
  <c r="J143" i="10"/>
  <c r="H94" i="10"/>
  <c r="J99" i="10"/>
  <c r="P149" i="10"/>
  <c r="E71" i="10"/>
  <c r="E99" i="10"/>
  <c r="H74" i="10"/>
  <c r="P77" i="10"/>
  <c r="L80" i="10"/>
  <c r="M122" i="10"/>
  <c r="M143" i="10"/>
  <c r="H185" i="10"/>
  <c r="Q203" i="10"/>
  <c r="M19" i="10"/>
  <c r="G106" i="10"/>
  <c r="H69" i="10"/>
  <c r="L152" i="10"/>
  <c r="R111" i="10"/>
  <c r="G81" i="10"/>
  <c r="M83" i="10"/>
  <c r="L75" i="10"/>
  <c r="F86" i="10"/>
  <c r="M95" i="10"/>
  <c r="H141" i="10"/>
  <c r="U119" i="10"/>
  <c r="L72" i="10"/>
  <c r="J98" i="10"/>
  <c r="Q202" i="10"/>
  <c r="J123" i="10"/>
  <c r="F96" i="10"/>
  <c r="P123" i="10"/>
  <c r="T145" i="10"/>
  <c r="G116" i="10"/>
  <c r="J101" i="10"/>
  <c r="H86" i="10"/>
  <c r="T98" i="10"/>
  <c r="K70" i="10"/>
  <c r="K217" i="10"/>
  <c r="I50" i="10"/>
  <c r="P120" i="10"/>
  <c r="R88" i="10"/>
  <c r="O19" i="10"/>
  <c r="Q143" i="10"/>
  <c r="T102" i="10"/>
  <c r="F70" i="10"/>
  <c r="K201" i="10"/>
  <c r="G122" i="10"/>
  <c r="S162" i="10"/>
  <c r="R146" i="10"/>
  <c r="K215" i="10"/>
  <c r="Q201" i="10"/>
  <c r="E219" i="10"/>
  <c r="T170" i="10"/>
  <c r="M41" i="10"/>
  <c r="G218" i="10"/>
  <c r="I69" i="10"/>
  <c r="E57" i="10"/>
  <c r="J133" i="10"/>
  <c r="P181" i="10"/>
  <c r="Q142" i="10"/>
  <c r="P27" i="10"/>
  <c r="T173" i="10"/>
  <c r="R91" i="10"/>
  <c r="H174" i="10"/>
  <c r="I119" i="10"/>
  <c r="T101" i="10"/>
  <c r="I80" i="10"/>
  <c r="Q223" i="10"/>
  <c r="L47" i="10"/>
  <c r="S199" i="10"/>
  <c r="R206" i="10"/>
  <c r="S146" i="10"/>
  <c r="E82" i="10"/>
  <c r="I109" i="10"/>
  <c r="E181" i="10"/>
  <c r="F200" i="10"/>
  <c r="J106" i="10"/>
  <c r="R140" i="10"/>
  <c r="I42" i="10"/>
  <c r="T111" i="10"/>
  <c r="P43" i="10"/>
  <c r="H46" i="10"/>
  <c r="I29" i="10"/>
  <c r="J186" i="10"/>
  <c r="L216" i="10"/>
  <c r="R93" i="10"/>
  <c r="U132" i="10"/>
  <c r="S94" i="10"/>
  <c r="E45" i="10"/>
  <c r="R216" i="10"/>
  <c r="M18" i="10"/>
  <c r="N41" i="10"/>
  <c r="U88" i="10"/>
  <c r="M204" i="10"/>
  <c r="U144" i="10"/>
  <c r="E95" i="10"/>
  <c r="O141" i="10"/>
  <c r="P91" i="10"/>
  <c r="P87" i="10"/>
  <c r="O100" i="10"/>
  <c r="P142" i="10"/>
  <c r="P76" i="10"/>
  <c r="L119" i="10"/>
  <c r="N80" i="10"/>
  <c r="O142" i="10"/>
  <c r="F150" i="10"/>
  <c r="F151" i="10"/>
  <c r="K150" i="10"/>
  <c r="N134" i="10"/>
  <c r="K137" i="10"/>
  <c r="O69" i="10"/>
  <c r="L86" i="10"/>
  <c r="J135" i="10"/>
  <c r="F147" i="10"/>
  <c r="M138" i="10"/>
  <c r="M148" i="10"/>
  <c r="M92" i="10"/>
  <c r="H118" i="10"/>
  <c r="K151" i="10"/>
  <c r="J84" i="10"/>
  <c r="N69" i="10"/>
  <c r="G120" i="10"/>
  <c r="T122" i="10"/>
  <c r="Q120" i="10"/>
  <c r="L78" i="10"/>
  <c r="H152" i="10"/>
  <c r="H106" i="10"/>
  <c r="O75" i="10"/>
  <c r="E110" i="10"/>
  <c r="R71" i="10"/>
  <c r="H151" i="10"/>
  <c r="K135" i="10"/>
  <c r="R116" i="10"/>
  <c r="I89" i="10"/>
  <c r="N119" i="10"/>
  <c r="P147" i="10"/>
  <c r="J120" i="10"/>
  <c r="K104" i="10"/>
  <c r="H153" i="10"/>
  <c r="E81" i="10"/>
  <c r="M119" i="10"/>
  <c r="M222" i="10"/>
  <c r="I116" i="10"/>
  <c r="N50" i="10"/>
  <c r="U87" i="10"/>
  <c r="H121" i="10"/>
  <c r="E130" i="10"/>
  <c r="U45" i="10"/>
  <c r="P92" i="10"/>
  <c r="L151" i="10"/>
  <c r="Q123" i="10"/>
  <c r="K69" i="10"/>
  <c r="I135" i="10"/>
  <c r="P116" i="10"/>
  <c r="U90" i="10"/>
  <c r="K222" i="10"/>
  <c r="Q118" i="10"/>
  <c r="G88" i="10"/>
  <c r="E75" i="10"/>
  <c r="G96" i="10"/>
  <c r="T97" i="10"/>
  <c r="Q74" i="10"/>
  <c r="G200" i="10"/>
  <c r="Q121" i="10"/>
  <c r="S202" i="10"/>
  <c r="K116" i="10"/>
  <c r="N42" i="10"/>
  <c r="L77" i="10"/>
  <c r="O216" i="10"/>
  <c r="U149" i="10"/>
  <c r="I94" i="10"/>
  <c r="K91" i="10"/>
  <c r="Q208" i="10"/>
  <c r="N111" i="10"/>
  <c r="M186" i="10"/>
  <c r="R217" i="10"/>
  <c r="F130" i="10"/>
  <c r="I90" i="10"/>
  <c r="U136" i="10"/>
  <c r="N28" i="10"/>
  <c r="L185" i="10"/>
  <c r="U31" i="10"/>
  <c r="G124" i="10"/>
  <c r="T172" i="10"/>
  <c r="S148" i="10"/>
  <c r="K79" i="10"/>
  <c r="K163" i="10"/>
  <c r="E137" i="10"/>
  <c r="R131" i="10"/>
  <c r="E206" i="10"/>
  <c r="I98" i="10"/>
  <c r="Q71" i="10"/>
  <c r="E182" i="10"/>
  <c r="T150" i="10"/>
  <c r="L161" i="10"/>
  <c r="H104" i="10"/>
  <c r="R145" i="10"/>
  <c r="H220" i="10"/>
  <c r="J118" i="10"/>
  <c r="U142" i="10"/>
  <c r="J70" i="10"/>
  <c r="G171" i="10"/>
  <c r="I173" i="10"/>
  <c r="S218" i="10"/>
  <c r="U101" i="10"/>
  <c r="M75" i="10"/>
  <c r="P133" i="10"/>
  <c r="G182" i="10"/>
  <c r="E205" i="10"/>
  <c r="E218" i="10"/>
  <c r="S90" i="10"/>
  <c r="G19" i="10"/>
  <c r="G202" i="10"/>
  <c r="N94" i="10"/>
  <c r="E183" i="10"/>
  <c r="E25" i="10"/>
  <c r="O180" i="10"/>
  <c r="M23" i="10"/>
  <c r="U97" i="10"/>
  <c r="L183" i="10"/>
  <c r="J43" i="10"/>
  <c r="U50" i="10"/>
  <c r="R33" i="10"/>
  <c r="E102" i="10"/>
  <c r="E154" i="10"/>
  <c r="R200" i="10"/>
  <c r="K49" i="10"/>
  <c r="F172" i="10"/>
  <c r="N68" i="10"/>
  <c r="R186" i="10"/>
  <c r="J24" i="10"/>
  <c r="S138" i="10"/>
  <c r="R183" i="10"/>
  <c r="S91" i="10"/>
  <c r="M84" i="10"/>
  <c r="N181" i="10"/>
  <c r="R107" i="10"/>
  <c r="E162" i="10"/>
  <c r="Q59" i="10"/>
  <c r="J29" i="10"/>
  <c r="Q48" i="10"/>
  <c r="T46" i="10"/>
  <c r="T181" i="10"/>
  <c r="U27" i="10"/>
  <c r="F204" i="10"/>
  <c r="I22" i="10"/>
  <c r="I206" i="10"/>
  <c r="U24" i="10"/>
  <c r="T49" i="10"/>
  <c r="G21" i="10"/>
  <c r="H72" i="10"/>
  <c r="P89" i="10"/>
  <c r="L46" i="10"/>
  <c r="S86" i="10"/>
  <c r="M60" i="10"/>
  <c r="S40" i="10"/>
  <c r="T124" i="10"/>
  <c r="N66" i="10"/>
  <c r="O136" i="10"/>
  <c r="P151" i="10"/>
  <c r="H93" i="10"/>
  <c r="H116" i="10"/>
  <c r="G101" i="10"/>
  <c r="G141" i="10"/>
  <c r="N130" i="10"/>
  <c r="L95" i="10"/>
  <c r="G143" i="10"/>
  <c r="G148" i="10"/>
  <c r="O145" i="10"/>
  <c r="F102" i="10"/>
  <c r="I148" i="10"/>
  <c r="H144" i="10"/>
  <c r="J132" i="10"/>
  <c r="N154" i="10"/>
  <c r="P82" i="10"/>
  <c r="J141" i="10"/>
  <c r="F155" i="10"/>
  <c r="L146" i="10"/>
  <c r="K138" i="10"/>
  <c r="G151" i="10"/>
  <c r="O143" i="10"/>
  <c r="M109" i="10"/>
  <c r="L117" i="10"/>
  <c r="T24" i="10"/>
  <c r="J68" i="10"/>
  <c r="G92" i="10"/>
  <c r="Q30" i="10"/>
  <c r="K50" i="10"/>
  <c r="N20" i="10"/>
  <c r="Q124" i="10"/>
  <c r="N172" i="10"/>
  <c r="F79" i="10"/>
  <c r="G48" i="10"/>
  <c r="H124" i="10"/>
  <c r="E79" i="10"/>
  <c r="J111" i="10"/>
  <c r="M69" i="10"/>
  <c r="T117" i="10"/>
  <c r="O207" i="10"/>
  <c r="M180" i="10"/>
  <c r="Q204" i="10"/>
  <c r="H219" i="10"/>
  <c r="O82" i="10"/>
  <c r="G68" i="10"/>
  <c r="I104" i="10"/>
  <c r="M39" i="10"/>
  <c r="S201" i="10"/>
  <c r="G142" i="10"/>
  <c r="N149" i="10"/>
  <c r="F73" i="10"/>
  <c r="L79" i="10"/>
  <c r="E116" i="10"/>
  <c r="E222" i="10"/>
  <c r="G80" i="10"/>
  <c r="I76" i="10"/>
  <c r="N143" i="10"/>
  <c r="J27" i="10"/>
  <c r="O97" i="10"/>
  <c r="E85" i="10"/>
  <c r="O86" i="10"/>
  <c r="F88" i="10"/>
  <c r="R121" i="10"/>
  <c r="E204" i="10"/>
  <c r="U163" i="10"/>
  <c r="H101" i="10"/>
  <c r="L153" i="10"/>
  <c r="L98" i="10"/>
  <c r="L71" i="10"/>
  <c r="G77" i="10"/>
  <c r="T96" i="10"/>
  <c r="E93" i="10"/>
  <c r="L56" i="10"/>
  <c r="F170" i="10"/>
  <c r="M182" i="10"/>
  <c r="T75" i="10"/>
  <c r="T33" i="10"/>
  <c r="K122" i="10"/>
  <c r="J204" i="10"/>
  <c r="U184" i="10"/>
  <c r="J222" i="10"/>
  <c r="L187" i="10"/>
  <c r="P122" i="10"/>
  <c r="O102" i="10"/>
  <c r="O22" i="10"/>
  <c r="I43" i="10"/>
  <c r="I171" i="10"/>
  <c r="R109" i="10"/>
  <c r="P137" i="10"/>
  <c r="N85" i="10"/>
  <c r="J94" i="10"/>
  <c r="S221" i="10"/>
  <c r="H120" i="10"/>
  <c r="J89" i="10"/>
  <c r="T22" i="10"/>
  <c r="Q184" i="10"/>
  <c r="O23" i="10"/>
  <c r="N117" i="10"/>
  <c r="F174" i="10"/>
  <c r="I204" i="10"/>
  <c r="I187" i="10"/>
  <c r="T182" i="10"/>
  <c r="E90" i="10"/>
  <c r="M50" i="10"/>
  <c r="E221" i="10"/>
  <c r="E32" i="10"/>
  <c r="J100" i="10"/>
  <c r="F72" i="10"/>
  <c r="O205" i="10"/>
  <c r="R98" i="10"/>
  <c r="L215" i="10"/>
  <c r="K214" i="10"/>
  <c r="F60" i="10"/>
  <c r="H25" i="10"/>
  <c r="G42" i="10"/>
  <c r="L188" i="10"/>
  <c r="F198" i="10"/>
  <c r="I23" i="10"/>
  <c r="G49" i="10"/>
  <c r="H161" i="10"/>
  <c r="R24" i="10"/>
  <c r="F182" i="10"/>
  <c r="S25" i="10"/>
  <c r="U186" i="10"/>
  <c r="I141" i="10"/>
  <c r="F27" i="10"/>
  <c r="G94" i="10"/>
  <c r="U180" i="10"/>
  <c r="I73" i="10"/>
  <c r="M45" i="10"/>
  <c r="M215" i="10"/>
  <c r="R25" i="10"/>
  <c r="G161" i="10"/>
  <c r="M147" i="10"/>
  <c r="G79" i="10"/>
  <c r="L155" i="10"/>
  <c r="H148" i="10"/>
  <c r="O130" i="10"/>
  <c r="H102" i="10"/>
  <c r="J121" i="10"/>
  <c r="E56" i="10"/>
  <c r="O152" i="10"/>
  <c r="M73" i="10"/>
  <c r="U130" i="10"/>
  <c r="M139" i="10"/>
  <c r="U120" i="10"/>
  <c r="L138" i="10"/>
  <c r="J145" i="10"/>
  <c r="P131" i="10"/>
  <c r="K152" i="10"/>
  <c r="U78" i="10"/>
  <c r="M142" i="10"/>
  <c r="P155" i="10"/>
  <c r="L105" i="10"/>
  <c r="G130" i="10"/>
  <c r="M117" i="10"/>
  <c r="S119" i="10"/>
  <c r="O131" i="10"/>
  <c r="G32" i="10"/>
  <c r="J119" i="10"/>
  <c r="G56" i="10"/>
  <c r="J90" i="10"/>
  <c r="F94" i="10"/>
  <c r="I174" i="10"/>
  <c r="Q43" i="10"/>
  <c r="M170" i="10"/>
  <c r="J93" i="10"/>
  <c r="N151" i="10"/>
  <c r="O105" i="10"/>
  <c r="H221" i="10"/>
  <c r="E123" i="10"/>
  <c r="L25" i="10"/>
  <c r="F82" i="10"/>
  <c r="Q110" i="10"/>
  <c r="O202" i="10"/>
  <c r="P138" i="10"/>
  <c r="J148" i="10"/>
  <c r="P83" i="10"/>
  <c r="Q39" i="10"/>
  <c r="U60" i="10"/>
  <c r="O104" i="10"/>
  <c r="N48" i="10"/>
  <c r="Q80" i="10"/>
  <c r="E133" i="10"/>
  <c r="K139" i="10"/>
  <c r="F122" i="10"/>
  <c r="H111" i="10"/>
  <c r="U143" i="10"/>
  <c r="I100" i="10"/>
  <c r="H208" i="10"/>
  <c r="F81" i="10"/>
  <c r="R84" i="10"/>
  <c r="E141" i="10"/>
  <c r="I123" i="10"/>
  <c r="K109" i="10"/>
  <c r="O134" i="10"/>
  <c r="U122" i="10"/>
  <c r="I220" i="10"/>
  <c r="O218" i="10"/>
  <c r="P148" i="10"/>
  <c r="H132" i="10"/>
  <c r="H136" i="10"/>
  <c r="E155" i="10"/>
  <c r="S71" i="10"/>
  <c r="I93" i="10"/>
  <c r="O96" i="10"/>
  <c r="R185" i="10"/>
  <c r="M206" i="10"/>
  <c r="M218" i="10"/>
  <c r="Q144" i="10"/>
  <c r="S187" i="10"/>
  <c r="E101" i="10"/>
  <c r="R222" i="10"/>
  <c r="T163" i="10"/>
  <c r="I223" i="10"/>
  <c r="O214" i="10"/>
  <c r="I91" i="10"/>
  <c r="U199" i="10"/>
  <c r="I182" i="10"/>
  <c r="M79" i="10"/>
  <c r="R182" i="10"/>
  <c r="T187" i="10"/>
  <c r="E77" i="10"/>
  <c r="T86" i="10"/>
  <c r="E144" i="10"/>
  <c r="L96" i="10"/>
  <c r="G184" i="10"/>
  <c r="F220" i="10"/>
  <c r="I117" i="10"/>
  <c r="E184" i="10"/>
  <c r="Q222" i="10"/>
  <c r="Q103" i="10"/>
  <c r="I203" i="10"/>
  <c r="R149" i="10"/>
  <c r="E202" i="10"/>
  <c r="S43" i="10"/>
  <c r="U109" i="10"/>
  <c r="U207" i="10"/>
  <c r="H29" i="10"/>
  <c r="N222" i="10"/>
  <c r="G139" i="10"/>
  <c r="O68" i="10"/>
  <c r="S150" i="10"/>
  <c r="G108" i="10"/>
  <c r="S214" i="10"/>
  <c r="U47" i="10"/>
  <c r="M59" i="10"/>
  <c r="Q109" i="10"/>
  <c r="N24" i="10"/>
  <c r="S106" i="10"/>
  <c r="R154" i="10"/>
  <c r="T164" i="10"/>
  <c r="U91" i="10"/>
  <c r="R23" i="10"/>
  <c r="L59" i="10"/>
  <c r="M28" i="10"/>
  <c r="S60" i="10"/>
  <c r="U103" i="10"/>
  <c r="J85" i="10"/>
  <c r="P106" i="10"/>
  <c r="N86" i="10"/>
  <c r="O93" i="10"/>
  <c r="Q220" i="10"/>
  <c r="I48" i="10"/>
  <c r="Q22" i="10"/>
  <c r="S198" i="10"/>
  <c r="P141" i="10"/>
  <c r="U56" i="10"/>
  <c r="Q137" i="10"/>
  <c r="T73" i="10"/>
  <c r="L132" i="10"/>
  <c r="P144" i="10"/>
  <c r="E149" i="10"/>
  <c r="S21" i="10"/>
  <c r="G147" i="10"/>
  <c r="P86" i="10"/>
  <c r="K146" i="10"/>
  <c r="F99" i="10"/>
  <c r="N105" i="10"/>
  <c r="R130" i="10"/>
  <c r="M89" i="10"/>
  <c r="E145" i="10"/>
  <c r="H97" i="10"/>
  <c r="K123" i="10"/>
  <c r="U118" i="10"/>
  <c r="L140" i="10"/>
  <c r="L135" i="10"/>
  <c r="L144" i="10"/>
  <c r="O155" i="10"/>
  <c r="T119" i="10"/>
  <c r="K124" i="10"/>
  <c r="I138" i="10"/>
  <c r="J140" i="10"/>
  <c r="I153" i="10"/>
  <c r="R103" i="10"/>
  <c r="P85" i="10"/>
  <c r="J181" i="10"/>
  <c r="E74" i="10"/>
  <c r="M26" i="10"/>
  <c r="G201" i="10"/>
  <c r="O87" i="10"/>
  <c r="H147" i="10"/>
  <c r="F164" i="10"/>
  <c r="G219" i="10"/>
  <c r="G121" i="10"/>
  <c r="F48" i="10"/>
  <c r="T132" i="10"/>
  <c r="Q90" i="10"/>
  <c r="O215" i="10"/>
  <c r="K200" i="10"/>
  <c r="N93" i="10"/>
  <c r="H142" i="10"/>
  <c r="O71" i="10"/>
  <c r="Q141" i="10"/>
  <c r="F137" i="10"/>
  <c r="P80" i="10"/>
  <c r="M217" i="10"/>
  <c r="G76" i="10"/>
  <c r="I108" i="10"/>
  <c r="S149" i="10"/>
  <c r="I111" i="10"/>
  <c r="N71" i="10"/>
  <c r="S89" i="10"/>
  <c r="L92" i="10"/>
  <c r="L184" i="10"/>
  <c r="L66" i="10"/>
  <c r="G138" i="10"/>
  <c r="I198" i="10"/>
  <c r="M103" i="10"/>
  <c r="O150" i="10"/>
  <c r="S130" i="10"/>
  <c r="I124" i="10"/>
  <c r="G153" i="10"/>
  <c r="H99" i="10"/>
  <c r="Q130" i="10"/>
  <c r="J146" i="10"/>
  <c r="G84" i="10"/>
  <c r="E153" i="10"/>
  <c r="O67" i="10"/>
  <c r="K140" i="10"/>
  <c r="E131" i="10"/>
  <c r="S121" i="10"/>
  <c r="H155" i="10"/>
  <c r="O117" i="10"/>
  <c r="U85" i="10"/>
  <c r="K78" i="10"/>
  <c r="G223" i="10"/>
  <c r="N44" i="10"/>
  <c r="S136" i="10"/>
  <c r="N95" i="10"/>
  <c r="P102" i="10"/>
  <c r="Q149" i="10"/>
  <c r="S153" i="10"/>
  <c r="L24" i="10"/>
  <c r="U134" i="10"/>
  <c r="N223" i="10"/>
  <c r="L121" i="10"/>
  <c r="F85" i="10"/>
  <c r="O220" i="10"/>
  <c r="L219" i="10"/>
  <c r="U42" i="10"/>
  <c r="H182" i="10"/>
  <c r="J86" i="10"/>
  <c r="O95" i="10"/>
  <c r="P98" i="10"/>
  <c r="T69" i="10"/>
  <c r="T149" i="10"/>
  <c r="Q138" i="10"/>
  <c r="E173" i="10"/>
  <c r="U80" i="10"/>
  <c r="K130" i="10"/>
  <c r="U145" i="10"/>
  <c r="J220" i="10"/>
  <c r="N78" i="10"/>
  <c r="R133" i="10"/>
  <c r="K202" i="10"/>
  <c r="N220" i="10"/>
  <c r="P222" i="10"/>
  <c r="R106" i="10"/>
  <c r="K188" i="10"/>
  <c r="O137" i="10"/>
  <c r="O222" i="10"/>
  <c r="L208" i="10"/>
  <c r="L204" i="10"/>
  <c r="G199" i="10"/>
  <c r="U203" i="10"/>
  <c r="K219" i="10"/>
  <c r="U76" i="10"/>
  <c r="R85" i="10"/>
  <c r="R135" i="10"/>
  <c r="T100" i="10"/>
  <c r="J17" i="10"/>
  <c r="I18" i="10"/>
  <c r="R101" i="10"/>
  <c r="H199" i="10"/>
  <c r="N26" i="10"/>
  <c r="I56" i="10"/>
  <c r="T87" i="10"/>
  <c r="N136" i="10"/>
  <c r="S118" i="10"/>
  <c r="F67" i="10"/>
  <c r="Q188" i="10"/>
  <c r="K106" i="10"/>
  <c r="L108" i="10"/>
  <c r="P220" i="10"/>
  <c r="I144" i="10"/>
  <c r="Q206" i="10"/>
  <c r="E120" i="10"/>
  <c r="H33" i="10"/>
  <c r="K136" i="10"/>
  <c r="P139" i="10"/>
  <c r="H92" i="10"/>
  <c r="I75" i="10"/>
  <c r="F43" i="10"/>
  <c r="T45" i="10"/>
  <c r="P69" i="10"/>
  <c r="O219" i="10"/>
  <c r="L118" i="10"/>
  <c r="K203" i="10"/>
  <c r="N145" i="10"/>
  <c r="O154" i="10"/>
  <c r="K83" i="10"/>
  <c r="T131" i="10"/>
  <c r="N67" i="10"/>
  <c r="E69" i="10"/>
  <c r="L186" i="10"/>
  <c r="R120" i="10"/>
  <c r="G152" i="10"/>
  <c r="I17" i="10"/>
  <c r="S184" i="10"/>
  <c r="P71" i="10"/>
  <c r="P150" i="10"/>
  <c r="K147" i="10"/>
  <c r="L73" i="10"/>
  <c r="P117" i="10"/>
  <c r="Q91" i="10"/>
  <c r="G45" i="10"/>
  <c r="F152" i="10"/>
  <c r="E109" i="10"/>
  <c r="Q78" i="10"/>
  <c r="L81" i="10"/>
  <c r="K59" i="10"/>
  <c r="F74" i="10"/>
  <c r="F75" i="10"/>
  <c r="H68" i="10"/>
  <c r="R27" i="10"/>
  <c r="J122" i="10"/>
  <c r="I71" i="10"/>
  <c r="H117" i="10"/>
  <c r="K87" i="10"/>
  <c r="Q99" i="10"/>
  <c r="U117" i="10"/>
  <c r="J75" i="10"/>
  <c r="N138" i="10"/>
  <c r="E86" i="10"/>
  <c r="I222" i="10"/>
  <c r="M223" i="10"/>
  <c r="G23" i="10"/>
  <c r="I88" i="10"/>
  <c r="R174" i="10"/>
  <c r="I87" i="10"/>
  <c r="O206" i="10"/>
  <c r="E180" i="10"/>
  <c r="U146" i="10"/>
  <c r="U181" i="10"/>
  <c r="P203" i="10"/>
  <c r="N174" i="10"/>
  <c r="O170" i="10"/>
  <c r="J198" i="10"/>
  <c r="S203" i="10"/>
  <c r="P105" i="10"/>
  <c r="K208" i="10"/>
  <c r="R96" i="10"/>
  <c r="F131" i="10"/>
  <c r="Q162" i="10"/>
  <c r="M107" i="10"/>
  <c r="Q218" i="10"/>
  <c r="J161" i="10"/>
  <c r="T186" i="10"/>
  <c r="S140" i="10"/>
  <c r="H44" i="10"/>
  <c r="U217" i="10"/>
  <c r="S206" i="10"/>
  <c r="K198" i="10"/>
  <c r="T183" i="10"/>
  <c r="M203" i="10"/>
  <c r="E103" i="10"/>
  <c r="O124" i="10"/>
  <c r="E104" i="10"/>
  <c r="L94" i="10"/>
  <c r="N22" i="10"/>
  <c r="L222" i="10"/>
  <c r="F199" i="10"/>
  <c r="H187" i="10"/>
  <c r="U77" i="10"/>
  <c r="F18" i="10"/>
  <c r="I207" i="10"/>
  <c r="R223" i="10"/>
  <c r="E33" i="10"/>
  <c r="P216" i="10"/>
  <c r="M174" i="10"/>
  <c r="T134" i="10"/>
  <c r="K149" i="10"/>
  <c r="N122" i="10"/>
  <c r="O76" i="10"/>
  <c r="O47" i="10"/>
  <c r="L122" i="10"/>
  <c r="L139" i="10"/>
  <c r="H87" i="10"/>
  <c r="R122" i="10"/>
  <c r="U96" i="10"/>
  <c r="M49" i="10"/>
  <c r="Q85" i="10"/>
  <c r="K101" i="10"/>
  <c r="F201" i="10"/>
  <c r="L20" i="10"/>
  <c r="L201" i="10"/>
  <c r="I200" i="10"/>
  <c r="J109" i="10"/>
  <c r="J180" i="10"/>
  <c r="G180" i="10"/>
  <c r="Q82" i="10"/>
  <c r="U94" i="10"/>
  <c r="I118" i="10"/>
  <c r="Q46" i="10"/>
  <c r="L131" i="10"/>
  <c r="S46" i="10"/>
  <c r="E94" i="10"/>
  <c r="Q183" i="10"/>
  <c r="S219" i="10"/>
  <c r="R221" i="10"/>
  <c r="K173" i="10"/>
  <c r="I79" i="10"/>
  <c r="F187" i="10"/>
  <c r="G187" i="10"/>
  <c r="J56" i="10"/>
  <c r="L163" i="10"/>
  <c r="H119" i="10"/>
  <c r="T116" i="10"/>
  <c r="L99" i="10"/>
  <c r="P100" i="10"/>
  <c r="R219" i="10"/>
  <c r="T202" i="10"/>
  <c r="R148" i="10"/>
  <c r="N164" i="10"/>
  <c r="H173" i="10"/>
  <c r="P198" i="10"/>
  <c r="O41" i="10"/>
  <c r="M124" i="10"/>
  <c r="M67" i="10"/>
  <c r="M105" i="10"/>
  <c r="S222" i="10"/>
  <c r="O162" i="10"/>
  <c r="O204" i="10"/>
  <c r="P97" i="10"/>
  <c r="T19" i="10"/>
  <c r="T155" i="10"/>
  <c r="F110" i="10"/>
  <c r="H162" i="10"/>
  <c r="I31" i="10"/>
  <c r="Q181" i="10"/>
  <c r="R83" i="10"/>
  <c r="H163" i="10"/>
  <c r="R58" i="10"/>
  <c r="Q20" i="10"/>
  <c r="P17" i="10"/>
  <c r="R78" i="10"/>
  <c r="K48" i="10"/>
  <c r="S84" i="10"/>
  <c r="O182" i="10"/>
  <c r="M90" i="10"/>
  <c r="G70" i="10"/>
  <c r="U29" i="10"/>
  <c r="U32" i="10"/>
  <c r="Q153" i="10"/>
  <c r="S78" i="10"/>
  <c r="P26" i="10"/>
  <c r="F28" i="10"/>
  <c r="I49" i="10"/>
  <c r="R134" i="10"/>
  <c r="T17" i="10"/>
  <c r="I202" i="10"/>
  <c r="F59" i="10"/>
  <c r="K221" i="10"/>
  <c r="S32" i="10"/>
  <c r="J183" i="10"/>
  <c r="M32" i="10"/>
  <c r="H201" i="10"/>
  <c r="U215" i="10"/>
  <c r="U151" i="10"/>
  <c r="P31" i="10"/>
  <c r="T66" i="10"/>
  <c r="E47" i="10"/>
  <c r="L172" i="10"/>
  <c r="S70" i="10"/>
  <c r="I66" i="10"/>
  <c r="P21" i="10"/>
  <c r="N97" i="10"/>
  <c r="H218" i="10"/>
  <c r="P78" i="10"/>
  <c r="I131" i="10"/>
  <c r="J104" i="10"/>
  <c r="K183" i="10"/>
  <c r="P119" i="10"/>
  <c r="F95" i="10"/>
  <c r="G75" i="10"/>
  <c r="K30" i="10"/>
  <c r="Q131" i="10"/>
  <c r="I133" i="10"/>
  <c r="M146" i="10"/>
  <c r="M135" i="10"/>
  <c r="Q180" i="10"/>
  <c r="O144" i="10"/>
  <c r="P188" i="10"/>
  <c r="R170" i="10"/>
  <c r="E108" i="10"/>
  <c r="K155" i="10"/>
  <c r="F89" i="10"/>
  <c r="S204" i="10"/>
  <c r="I146" i="10"/>
  <c r="M77" i="10"/>
  <c r="G172" i="10"/>
  <c r="J110" i="10"/>
  <c r="P96" i="10"/>
  <c r="N204" i="10"/>
  <c r="J139" i="10"/>
  <c r="P135" i="10"/>
  <c r="G97" i="10"/>
  <c r="P30" i="10"/>
  <c r="K145" i="10"/>
  <c r="P104" i="10"/>
  <c r="T121" i="10"/>
  <c r="T142" i="10"/>
  <c r="T123" i="10"/>
  <c r="T217" i="10"/>
  <c r="P180" i="10"/>
  <c r="T71" i="10"/>
  <c r="K134" i="10"/>
  <c r="H134" i="10"/>
  <c r="T148" i="10"/>
  <c r="K68" i="10"/>
  <c r="M154" i="10"/>
  <c r="I137" i="10"/>
  <c r="H89" i="10"/>
  <c r="H138" i="10"/>
  <c r="H79" i="10"/>
  <c r="N103" i="10"/>
  <c r="F142" i="10"/>
  <c r="H73" i="10"/>
  <c r="O110" i="10"/>
  <c r="I103" i="10"/>
  <c r="S173" i="10"/>
  <c r="E119" i="10"/>
  <c r="E88" i="10"/>
  <c r="J59" i="10"/>
  <c r="G107" i="10"/>
  <c r="M91" i="10"/>
  <c r="R57" i="10"/>
  <c r="P66" i="10"/>
  <c r="P48" i="10"/>
  <c r="E39" i="10"/>
  <c r="P219" i="10"/>
  <c r="L218" i="10"/>
  <c r="L173" i="10"/>
  <c r="N76" i="10"/>
  <c r="N133" i="10"/>
  <c r="J216" i="10"/>
  <c r="J102" i="10"/>
  <c r="R137" i="10"/>
  <c r="M171" i="10"/>
  <c r="F203" i="10"/>
  <c r="S170" i="10"/>
  <c r="I58" i="10"/>
  <c r="H215" i="10"/>
  <c r="G186" i="10"/>
  <c r="P208" i="10"/>
  <c r="L203" i="10"/>
  <c r="U218" i="10"/>
  <c r="S111" i="10"/>
  <c r="P59" i="10"/>
  <c r="F139" i="10"/>
  <c r="O98" i="10"/>
  <c r="O94" i="10"/>
  <c r="F104" i="10"/>
  <c r="F185" i="10"/>
  <c r="M173" i="10"/>
  <c r="O187" i="10"/>
  <c r="R30" i="10"/>
  <c r="L17" i="10"/>
  <c r="Q170" i="10"/>
  <c r="K174" i="10"/>
  <c r="O163" i="10"/>
  <c r="T205" i="10"/>
  <c r="S23" i="10"/>
  <c r="P93" i="10"/>
  <c r="M74" i="10"/>
  <c r="G215" i="10"/>
  <c r="S74" i="10"/>
  <c r="S188" i="10"/>
  <c r="R152" i="10"/>
  <c r="R215" i="10"/>
  <c r="U137" i="10"/>
  <c r="R74" i="10"/>
  <c r="E186" i="10"/>
  <c r="P214" i="10"/>
  <c r="T152" i="10"/>
  <c r="K170" i="10"/>
  <c r="F218" i="10"/>
  <c r="F216" i="10"/>
  <c r="F208" i="10"/>
  <c r="F111" i="10"/>
  <c r="L67" i="10"/>
  <c r="M118" i="10"/>
  <c r="K148" i="10"/>
  <c r="G83" i="10"/>
  <c r="M219" i="10"/>
  <c r="J88" i="10"/>
  <c r="E203" i="10"/>
  <c r="E106" i="10"/>
  <c r="L90" i="10"/>
  <c r="I30" i="10"/>
  <c r="L107" i="10"/>
  <c r="R220" i="10"/>
  <c r="M185" i="10"/>
  <c r="R132" i="10"/>
  <c r="P56" i="10"/>
  <c r="I217" i="10"/>
  <c r="I219" i="10"/>
  <c r="N218" i="10"/>
  <c r="S102" i="10"/>
  <c r="N186" i="10"/>
  <c r="P204" i="10"/>
  <c r="N84" i="10"/>
  <c r="L91" i="10"/>
  <c r="T218" i="10"/>
  <c r="N81" i="10"/>
  <c r="P215" i="10"/>
  <c r="H222" i="10"/>
  <c r="R173" i="10"/>
  <c r="S154" i="10"/>
  <c r="M48" i="10"/>
  <c r="F222" i="10"/>
  <c r="Q198" i="10"/>
  <c r="U208" i="10"/>
  <c r="G26" i="10"/>
  <c r="T138" i="10"/>
  <c r="J91" i="10"/>
  <c r="M98" i="10"/>
  <c r="H146" i="10"/>
  <c r="L83" i="10"/>
  <c r="K120" i="10"/>
  <c r="O161" i="10"/>
  <c r="M198" i="10"/>
  <c r="Q25" i="10"/>
  <c r="J185" i="10"/>
  <c r="F217" i="10"/>
  <c r="H20" i="10"/>
  <c r="H31" i="10"/>
  <c r="G110" i="10"/>
  <c r="S120" i="10"/>
  <c r="S223" i="10"/>
  <c r="N83" i="10"/>
  <c r="J72" i="10"/>
  <c r="R208" i="10"/>
  <c r="M17" i="10"/>
  <c r="J203" i="10"/>
  <c r="O107" i="10"/>
  <c r="E23" i="10"/>
  <c r="T198" i="10"/>
  <c r="H22" i="10"/>
  <c r="H24" i="10"/>
  <c r="K172" i="10"/>
  <c r="S56" i="10"/>
  <c r="Q31" i="10"/>
  <c r="E41" i="10"/>
  <c r="H39" i="10"/>
  <c r="T139" i="10"/>
  <c r="R202" i="10"/>
  <c r="P207" i="10"/>
  <c r="P44" i="10"/>
  <c r="Q50" i="10"/>
  <c r="P46" i="10"/>
  <c r="R79" i="10"/>
  <c r="I183" i="10"/>
  <c r="U162" i="10"/>
  <c r="S67" i="10"/>
  <c r="M57" i="10"/>
  <c r="F24" i="10"/>
  <c r="U73" i="10"/>
  <c r="O58" i="10"/>
  <c r="I60" i="10"/>
  <c r="M162" i="10"/>
  <c r="H84" i="10"/>
  <c r="Q69" i="10"/>
  <c r="J39" i="10"/>
  <c r="R45" i="10"/>
  <c r="Q155" i="10"/>
  <c r="T83" i="10"/>
  <c r="Q147" i="10"/>
  <c r="H17" i="10"/>
  <c r="T67" i="10"/>
  <c r="G217" i="10"/>
  <c r="I33" i="10"/>
  <c r="O18" i="10"/>
  <c r="N148" i="10"/>
  <c r="K72" i="10"/>
  <c r="J154" i="10"/>
  <c r="M130" i="10"/>
  <c r="N147" i="10"/>
  <c r="R117" i="10"/>
  <c r="M116" i="10"/>
  <c r="L149" i="10"/>
  <c r="K142" i="10"/>
  <c r="K88" i="10"/>
  <c r="G119" i="10"/>
  <c r="H135" i="10"/>
  <c r="J155" i="10"/>
  <c r="J137" i="10"/>
  <c r="I82" i="10"/>
  <c r="J149" i="10"/>
  <c r="K77" i="10"/>
  <c r="I201" i="10"/>
  <c r="P132" i="10"/>
  <c r="L68" i="10"/>
  <c r="M110" i="10"/>
  <c r="J142" i="10"/>
  <c r="H164" i="10"/>
  <c r="N153" i="10"/>
  <c r="T130" i="10"/>
  <c r="F133" i="10"/>
  <c r="G118" i="10"/>
  <c r="K143" i="10"/>
  <c r="O120" i="10"/>
  <c r="O99" i="10"/>
  <c r="M133" i="10"/>
  <c r="J116" i="10"/>
  <c r="E105" i="10"/>
  <c r="K121" i="10"/>
  <c r="Q217" i="10"/>
  <c r="H139" i="10"/>
  <c r="O78" i="10"/>
  <c r="R92" i="10"/>
  <c r="N124" i="10"/>
  <c r="K97" i="10"/>
  <c r="M132" i="10"/>
  <c r="M81" i="10"/>
  <c r="F106" i="10"/>
  <c r="O139" i="10"/>
  <c r="P108" i="10"/>
  <c r="Q23" i="10"/>
  <c r="G40" i="10"/>
  <c r="R141" i="10"/>
  <c r="H140" i="10"/>
  <c r="E148" i="10"/>
  <c r="M70" i="10"/>
  <c r="F206" i="10"/>
  <c r="F108" i="10"/>
  <c r="I57" i="10"/>
  <c r="Q215" i="10"/>
  <c r="L106" i="10"/>
  <c r="E152" i="10"/>
  <c r="F183" i="10"/>
  <c r="T174" i="10"/>
  <c r="P67" i="10"/>
  <c r="P95" i="10"/>
  <c r="J32" i="10"/>
  <c r="Q117" i="10"/>
  <c r="E136" i="10"/>
  <c r="L103" i="10"/>
  <c r="L181" i="10"/>
  <c r="R19" i="10"/>
  <c r="P174" i="10"/>
  <c r="T21" i="10"/>
  <c r="T120" i="10"/>
  <c r="T221" i="10"/>
  <c r="U106" i="10"/>
  <c r="E199" i="10"/>
  <c r="E216" i="10"/>
  <c r="F162" i="10"/>
  <c r="Q33" i="10"/>
  <c r="R44" i="10"/>
  <c r="M161" i="10"/>
  <c r="J77" i="10"/>
  <c r="O88" i="10"/>
  <c r="S145" i="10"/>
  <c r="H216" i="10"/>
  <c r="T74" i="10"/>
  <c r="N170" i="10"/>
  <c r="T56" i="10"/>
  <c r="J83" i="10"/>
  <c r="T208" i="10"/>
  <c r="N56" i="10"/>
  <c r="Q139" i="10"/>
  <c r="J170" i="10"/>
  <c r="K162" i="10"/>
  <c r="I120" i="10"/>
  <c r="M88" i="10"/>
  <c r="E76" i="10"/>
  <c r="T76" i="10"/>
  <c r="L182" i="10"/>
  <c r="S174" i="10"/>
  <c r="T223" i="10"/>
  <c r="I28" i="10"/>
  <c r="J73" i="10"/>
  <c r="E171" i="10"/>
  <c r="O184" i="10"/>
  <c r="T146" i="10"/>
  <c r="T215" i="10"/>
  <c r="M78" i="10"/>
  <c r="S141" i="10"/>
  <c r="L29" i="10"/>
  <c r="I78" i="10"/>
  <c r="G74" i="10"/>
  <c r="I86" i="10"/>
  <c r="G140" i="10"/>
  <c r="K94" i="10"/>
  <c r="L82" i="10"/>
  <c r="F93" i="10"/>
  <c r="M99" i="10"/>
  <c r="G102" i="10"/>
  <c r="H95" i="10"/>
  <c r="I170" i="10"/>
  <c r="E96" i="10"/>
  <c r="I218" i="10"/>
  <c r="L162" i="10"/>
  <c r="E172" i="10"/>
  <c r="T151" i="10"/>
  <c r="F19" i="10"/>
  <c r="T204" i="10"/>
  <c r="U148" i="10"/>
  <c r="U201" i="10"/>
  <c r="R205" i="10"/>
  <c r="L198" i="10"/>
  <c r="K105" i="10"/>
  <c r="E84" i="10"/>
  <c r="L101" i="10"/>
  <c r="L93" i="10"/>
  <c r="T110" i="10"/>
  <c r="S208" i="10"/>
  <c r="U138" i="10"/>
  <c r="K161" i="10"/>
  <c r="T90" i="10"/>
  <c r="Q95" i="10"/>
  <c r="F202" i="10"/>
  <c r="R187" i="10"/>
  <c r="N202" i="10"/>
  <c r="Q182" i="10"/>
  <c r="J206" i="10"/>
  <c r="I95" i="10"/>
  <c r="I70" i="10"/>
  <c r="M97" i="10"/>
  <c r="H98" i="10"/>
  <c r="E164" i="10"/>
  <c r="K41" i="10"/>
  <c r="U187" i="10"/>
  <c r="I102" i="10"/>
  <c r="G203" i="10"/>
  <c r="O200" i="10"/>
  <c r="Q200" i="10"/>
  <c r="N98" i="10"/>
  <c r="I99" i="10"/>
  <c r="G123" i="10"/>
  <c r="L133" i="10"/>
  <c r="F77" i="10"/>
  <c r="G170" i="10"/>
  <c r="P162" i="10"/>
  <c r="R49" i="10"/>
  <c r="Q133" i="10"/>
  <c r="O17" i="10"/>
  <c r="S147" i="10"/>
  <c r="T28" i="10"/>
  <c r="P164" i="10"/>
  <c r="R17" i="10"/>
  <c r="T200" i="10"/>
  <c r="E22" i="10"/>
  <c r="U81" i="10"/>
  <c r="K26" i="10"/>
  <c r="E24" i="10"/>
  <c r="J200" i="10"/>
  <c r="R20" i="10"/>
  <c r="J28" i="10"/>
  <c r="U140" i="10"/>
  <c r="L33" i="10"/>
  <c r="H203" i="10"/>
  <c r="R136" i="10"/>
  <c r="I40" i="10"/>
  <c r="F66" i="10"/>
  <c r="Q79" i="10"/>
  <c r="J44" i="10"/>
  <c r="R155" i="10"/>
  <c r="U71" i="10"/>
  <c r="U28" i="10"/>
  <c r="J22" i="10"/>
  <c r="M66" i="10"/>
  <c r="T43" i="10"/>
  <c r="O29" i="10"/>
  <c r="J23" i="10"/>
  <c r="M187" i="10"/>
  <c r="K180" i="10"/>
  <c r="M40" i="10"/>
  <c r="S96" i="10"/>
  <c r="T42" i="10"/>
  <c r="G28" i="10"/>
  <c r="S135" i="10"/>
  <c r="U69" i="10"/>
  <c r="K18" i="10"/>
  <c r="G29" i="10"/>
  <c r="J138" i="10"/>
  <c r="K153" i="10"/>
  <c r="P68" i="10"/>
  <c r="O92" i="10"/>
  <c r="J80" i="10"/>
  <c r="N106" i="10"/>
  <c r="Q107" i="10"/>
  <c r="K141" i="10"/>
  <c r="Q83" i="10"/>
  <c r="F134" i="10"/>
  <c r="M96" i="10"/>
  <c r="U221" i="10"/>
  <c r="M149" i="10"/>
  <c r="M150" i="10"/>
  <c r="O122" i="10"/>
  <c r="F141" i="10"/>
  <c r="F118" i="10"/>
  <c r="P73" i="10"/>
  <c r="P146" i="10"/>
  <c r="R124" i="10"/>
  <c r="G85" i="10"/>
  <c r="N72" i="10"/>
  <c r="K85" i="10"/>
  <c r="G149" i="10"/>
  <c r="P88" i="10"/>
  <c r="O153" i="10"/>
  <c r="N73" i="10"/>
  <c r="E100" i="10"/>
  <c r="P136" i="10"/>
  <c r="U105" i="10"/>
  <c r="L134" i="10"/>
  <c r="F119" i="10"/>
  <c r="Q29" i="10"/>
  <c r="O123" i="10"/>
  <c r="Q97" i="10"/>
  <c r="T214" i="10"/>
  <c r="K131" i="10"/>
  <c r="H80" i="10"/>
  <c r="R89" i="10"/>
  <c r="H81" i="10"/>
  <c r="G93" i="10"/>
  <c r="N104" i="10"/>
  <c r="J95" i="10"/>
  <c r="J67" i="10"/>
  <c r="O60" i="10"/>
  <c r="N187" i="10"/>
  <c r="U150" i="10"/>
  <c r="J144" i="10"/>
  <c r="K144" i="10"/>
  <c r="F121" i="10"/>
  <c r="N206" i="10"/>
  <c r="N116" i="10"/>
  <c r="Q174" i="10"/>
  <c r="P143" i="10"/>
  <c r="F117" i="10"/>
  <c r="F83" i="10"/>
  <c r="H170" i="10"/>
  <c r="G58" i="10"/>
  <c r="R87" i="10"/>
  <c r="Q186" i="10"/>
  <c r="I97" i="10"/>
  <c r="E83" i="10"/>
  <c r="L170" i="10"/>
  <c r="Q216" i="10"/>
  <c r="E20" i="10"/>
  <c r="J188" i="10"/>
  <c r="S99" i="10"/>
  <c r="I105" i="10"/>
  <c r="J219" i="10"/>
  <c r="P24" i="10"/>
  <c r="F173" i="10"/>
  <c r="I208" i="10"/>
  <c r="H180" i="10"/>
  <c r="N90" i="10"/>
  <c r="O73" i="10"/>
  <c r="H130" i="10"/>
  <c r="P72" i="10"/>
  <c r="J131" i="10"/>
  <c r="T147" i="10"/>
  <c r="U164" i="10"/>
  <c r="J47" i="10"/>
  <c r="O217" i="10"/>
  <c r="E161" i="10"/>
  <c r="U110" i="10"/>
  <c r="S155" i="10"/>
  <c r="I74" i="10"/>
  <c r="E163" i="10"/>
  <c r="H26" i="10"/>
  <c r="E98" i="10"/>
  <c r="J214" i="10"/>
  <c r="P99" i="10"/>
  <c r="F124" i="10"/>
  <c r="E80" i="10"/>
  <c r="J217" i="10"/>
  <c r="G17" i="10"/>
  <c r="N221" i="10"/>
  <c r="U72" i="10"/>
  <c r="L104" i="10"/>
  <c r="J215" i="10"/>
  <c r="H41" i="10"/>
  <c r="P173" i="10"/>
  <c r="N199" i="10"/>
  <c r="Q92" i="10"/>
  <c r="Q42" i="10"/>
  <c r="T104" i="10"/>
  <c r="E135" i="10"/>
  <c r="F101" i="10"/>
  <c r="N82" i="10"/>
  <c r="G131" i="10"/>
  <c r="K42" i="10"/>
  <c r="L148" i="10"/>
  <c r="G137" i="10"/>
  <c r="N137" i="10"/>
  <c r="O91" i="10"/>
  <c r="Q84" i="10"/>
  <c r="S82" i="10"/>
  <c r="T26" i="10"/>
  <c r="G163" i="10"/>
  <c r="S103" i="10"/>
  <c r="G222" i="10"/>
  <c r="R86" i="10"/>
  <c r="S45" i="10"/>
  <c r="T144" i="10"/>
  <c r="K56" i="10"/>
  <c r="S205" i="10"/>
  <c r="H202" i="10"/>
  <c r="T136" i="10"/>
  <c r="N131" i="10"/>
  <c r="M111" i="10"/>
  <c r="S41" i="10"/>
  <c r="U46" i="10"/>
  <c r="R119" i="10"/>
  <c r="R147" i="10"/>
  <c r="U86" i="10"/>
  <c r="R203" i="10"/>
  <c r="Q87" i="10"/>
  <c r="Q28" i="10"/>
  <c r="Q136" i="10"/>
  <c r="S28" i="10"/>
  <c r="U219" i="10"/>
  <c r="I185" i="10"/>
  <c r="U153" i="10"/>
  <c r="I161" i="10"/>
  <c r="M94" i="10"/>
  <c r="L88" i="10"/>
  <c r="I92" i="10"/>
  <c r="L206" i="10"/>
  <c r="J21" i="10"/>
  <c r="M181" i="10"/>
  <c r="G86" i="10"/>
  <c r="I188" i="10"/>
  <c r="G47" i="10"/>
  <c r="K207" i="10"/>
  <c r="F148" i="10"/>
  <c r="N75" i="10"/>
  <c r="U123" i="10"/>
  <c r="F78" i="10"/>
  <c r="K103" i="10"/>
  <c r="G98" i="10"/>
  <c r="P187" i="10"/>
  <c r="K205" i="10"/>
  <c r="U198" i="10"/>
  <c r="Q214" i="10"/>
  <c r="G183" i="10"/>
  <c r="O27" i="10"/>
  <c r="F207" i="10"/>
  <c r="H204" i="10"/>
  <c r="R198" i="10"/>
  <c r="Q145" i="10"/>
  <c r="Q21" i="10"/>
  <c r="U17" i="10"/>
  <c r="U107" i="10"/>
  <c r="I39" i="10"/>
  <c r="R171" i="10"/>
  <c r="J18" i="10"/>
  <c r="N57" i="10"/>
  <c r="S139" i="10"/>
  <c r="J171" i="10"/>
  <c r="T185" i="10"/>
  <c r="E198" i="10"/>
  <c r="E21" i="10"/>
  <c r="L31" i="10"/>
  <c r="O28" i="10"/>
  <c r="J184" i="10"/>
  <c r="G30" i="10"/>
  <c r="U22" i="10"/>
  <c r="Q94" i="10"/>
  <c r="S24" i="10"/>
  <c r="U21" i="10"/>
  <c r="F57" i="10"/>
  <c r="F46" i="10"/>
  <c r="U133" i="10"/>
  <c r="T201" i="10"/>
  <c r="U93" i="10"/>
  <c r="T47" i="10"/>
  <c r="Q66" i="10"/>
  <c r="G46" i="10"/>
  <c r="L43" i="10"/>
  <c r="J221" i="10"/>
  <c r="L58" i="10"/>
  <c r="M123" i="10"/>
  <c r="E201" i="10"/>
  <c r="O85" i="10"/>
  <c r="F47" i="10"/>
  <c r="L142" i="10"/>
  <c r="K40" i="10"/>
  <c r="H67" i="10"/>
  <c r="K96" i="10"/>
  <c r="I140" i="10"/>
  <c r="G87" i="10"/>
  <c r="U204" i="10"/>
  <c r="P172" i="10"/>
  <c r="O119" i="10"/>
  <c r="P154" i="10"/>
  <c r="O116" i="10"/>
  <c r="O77" i="10"/>
  <c r="O50" i="10"/>
  <c r="K98" i="10"/>
  <c r="L154" i="10"/>
  <c r="O109" i="10"/>
  <c r="P90" i="10"/>
  <c r="P153" i="10"/>
  <c r="F98" i="10"/>
  <c r="J79" i="10"/>
  <c r="K119" i="10"/>
  <c r="J103" i="10"/>
  <c r="G146" i="10"/>
  <c r="H88" i="10"/>
  <c r="M72" i="10"/>
  <c r="I154" i="10"/>
  <c r="E70" i="10"/>
  <c r="L42" i="10"/>
  <c r="J124" i="10"/>
  <c r="T60" i="10"/>
  <c r="H131" i="10"/>
  <c r="S83" i="10"/>
  <c r="O198" i="10"/>
  <c r="O148" i="10"/>
  <c r="P84" i="10"/>
  <c r="M102" i="10"/>
  <c r="U124" i="10"/>
  <c r="E97" i="10"/>
  <c r="M151" i="10"/>
  <c r="F71" i="10"/>
  <c r="G82" i="10"/>
  <c r="J134" i="10"/>
  <c r="E29" i="10"/>
  <c r="K60" i="10"/>
  <c r="H100" i="10"/>
  <c r="F223" i="10"/>
  <c r="H91" i="10"/>
  <c r="E151" i="10"/>
  <c r="N118" i="10"/>
  <c r="L85" i="10"/>
  <c r="H48" i="10"/>
  <c r="F90" i="10"/>
  <c r="H103" i="10"/>
  <c r="I110" i="10"/>
  <c r="O171" i="10"/>
  <c r="P94" i="10"/>
  <c r="T133" i="10"/>
  <c r="M141" i="10"/>
  <c r="E132" i="10"/>
  <c r="J151" i="10"/>
  <c r="O135" i="10"/>
  <c r="P134" i="10"/>
  <c r="I83" i="10"/>
  <c r="M153" i="10"/>
  <c r="R67" i="10"/>
  <c r="G144" i="10"/>
  <c r="I134" i="10"/>
  <c r="O70" i="10"/>
  <c r="E40" i="10"/>
  <c r="M101" i="10"/>
  <c r="N17" i="10"/>
  <c r="O74" i="10"/>
  <c r="L100" i="10"/>
  <c r="I215" i="10"/>
  <c r="N107" i="10"/>
  <c r="M140" i="10"/>
  <c r="M214" i="10"/>
  <c r="U170" i="10"/>
  <c r="Q60" i="10"/>
  <c r="S220" i="10"/>
  <c r="S20" i="10"/>
  <c r="M80" i="10"/>
  <c r="O164" i="10"/>
  <c r="L87" i="10"/>
  <c r="T184" i="10"/>
  <c r="J81" i="10"/>
  <c r="J50" i="10"/>
  <c r="E44" i="10"/>
  <c r="O57" i="10"/>
  <c r="G100" i="10"/>
  <c r="M68" i="10"/>
  <c r="K93" i="10"/>
  <c r="G71" i="10"/>
  <c r="N216" i="10"/>
  <c r="R42" i="10"/>
  <c r="F163" i="10"/>
  <c r="U174" i="10"/>
  <c r="F69" i="10"/>
  <c r="Q199" i="10"/>
  <c r="F219" i="10"/>
  <c r="Q96" i="10"/>
  <c r="H108" i="10"/>
  <c r="J30" i="10"/>
  <c r="O188" i="10"/>
  <c r="Q73" i="10"/>
  <c r="H76" i="10"/>
  <c r="J218" i="10"/>
  <c r="G216" i="10"/>
  <c r="T58" i="10"/>
  <c r="S164" i="10"/>
  <c r="M42" i="10"/>
  <c r="Q105" i="10"/>
  <c r="P202" i="10"/>
  <c r="K44" i="10"/>
  <c r="M200" i="10"/>
  <c r="G162" i="10"/>
  <c r="S105" i="10"/>
  <c r="P28" i="10"/>
  <c r="F29" i="10"/>
  <c r="I72" i="10"/>
  <c r="G173" i="10"/>
  <c r="O106" i="10"/>
  <c r="E117" i="10"/>
  <c r="P74" i="10"/>
  <c r="G89" i="10"/>
  <c r="H110" i="10"/>
  <c r="M93" i="10"/>
  <c r="N182" i="10"/>
  <c r="K74" i="10"/>
  <c r="H85" i="10"/>
  <c r="K29" i="10"/>
  <c r="U202" i="10"/>
  <c r="U99" i="10"/>
  <c r="R199" i="10"/>
  <c r="I45" i="10"/>
  <c r="O79" i="10"/>
  <c r="N207" i="10"/>
  <c r="S85" i="10"/>
  <c r="J223" i="10"/>
  <c r="S133" i="10"/>
  <c r="E68" i="10"/>
  <c r="K99" i="10"/>
  <c r="Q154" i="10"/>
  <c r="F87" i="10"/>
  <c r="G111" i="10"/>
  <c r="U222" i="10"/>
  <c r="K199" i="10"/>
  <c r="R60" i="10"/>
  <c r="M208" i="10"/>
  <c r="O31" i="10"/>
  <c r="N91" i="10"/>
  <c r="O181" i="10"/>
  <c r="O56" i="10"/>
  <c r="P221" i="10"/>
  <c r="N171" i="10"/>
  <c r="I47" i="10"/>
  <c r="E185" i="10"/>
  <c r="L220" i="10"/>
  <c r="E48" i="10"/>
  <c r="H83" i="10"/>
  <c r="P186" i="10"/>
  <c r="L57" i="10"/>
  <c r="N185" i="10"/>
  <c r="P81" i="10"/>
  <c r="O45" i="10"/>
  <c r="N214" i="10"/>
  <c r="L40" i="10"/>
  <c r="S124" i="10"/>
  <c r="M104" i="10"/>
  <c r="R97" i="10"/>
  <c r="N59" i="10"/>
  <c r="G109" i="10"/>
  <c r="O103" i="10"/>
  <c r="Q219" i="10"/>
  <c r="L180" i="10"/>
  <c r="L27" i="10"/>
  <c r="O174" i="10"/>
  <c r="F214" i="10"/>
  <c r="F30" i="10"/>
  <c r="O221" i="10"/>
  <c r="S183" i="10"/>
  <c r="F181" i="10"/>
  <c r="O186" i="10"/>
  <c r="Q76" i="10"/>
  <c r="U108" i="10"/>
  <c r="G25" i="10"/>
  <c r="S100" i="10"/>
  <c r="I205" i="10"/>
  <c r="F39" i="10"/>
  <c r="T57" i="10"/>
  <c r="E43" i="10"/>
  <c r="S171" i="10"/>
  <c r="K164" i="10"/>
  <c r="Q81" i="10"/>
  <c r="G24" i="10"/>
  <c r="U70" i="10"/>
  <c r="N184" i="10"/>
  <c r="F41" i="10"/>
  <c r="R75" i="10"/>
  <c r="U111" i="10"/>
  <c r="R143" i="10"/>
  <c r="U74" i="10"/>
  <c r="U18" i="10"/>
  <c r="R164" i="10"/>
  <c r="S131" i="10"/>
  <c r="J97" i="10"/>
  <c r="S49" i="10"/>
  <c r="J66" i="10"/>
  <c r="T106" i="10"/>
  <c r="M100" i="10"/>
  <c r="S27" i="10"/>
  <c r="U102" i="10"/>
  <c r="N46" i="10"/>
  <c r="I24" i="10"/>
  <c r="R73" i="10"/>
  <c r="O203" i="10"/>
  <c r="N208" i="10"/>
  <c r="T41" i="10"/>
  <c r="R181" i="10"/>
  <c r="J42" i="10"/>
  <c r="H172" i="10"/>
  <c r="U171" i="10"/>
  <c r="S97" i="10"/>
  <c r="M30" i="10"/>
  <c r="R150" i="10"/>
  <c r="F45" i="10"/>
  <c r="S58" i="10"/>
  <c r="K47" i="10"/>
  <c r="N33" i="10"/>
  <c r="I180" i="10"/>
  <c r="G181" i="10"/>
  <c r="T141" i="10"/>
  <c r="K19" i="10"/>
  <c r="P57" i="10"/>
  <c r="M31" i="10"/>
  <c r="T44" i="10"/>
  <c r="F26" i="10"/>
  <c r="T162" i="10"/>
  <c r="U95" i="10"/>
  <c r="T203" i="10"/>
  <c r="G174" i="10"/>
  <c r="N25" i="10"/>
  <c r="E59" i="10"/>
  <c r="Q24" i="10"/>
  <c r="R43" i="10"/>
  <c r="R56" i="10"/>
  <c r="S39" i="10"/>
  <c r="Q68" i="10"/>
  <c r="U84" i="10"/>
  <c r="I186" i="10"/>
  <c r="J25" i="10"/>
  <c r="H214" i="10"/>
  <c r="P171" i="10"/>
  <c r="Q40" i="10"/>
  <c r="N70" i="10"/>
  <c r="F32" i="10"/>
  <c r="T20" i="10"/>
  <c r="G20" i="10"/>
  <c r="E72" i="10"/>
  <c r="S59" i="10"/>
  <c r="J31" i="10"/>
  <c r="O80" i="10"/>
  <c r="M22" i="10"/>
  <c r="F33" i="10"/>
  <c r="O25" i="10"/>
  <c r="F180" i="10"/>
  <c r="E214" i="10"/>
  <c r="S215" i="10"/>
  <c r="K23" i="10"/>
  <c r="T140" i="10"/>
  <c r="U19" i="10"/>
  <c r="K216" i="10"/>
  <c r="G59" i="10"/>
  <c r="T92" i="10"/>
  <c r="L44" i="10"/>
  <c r="R59" i="10"/>
  <c r="H18" i="10"/>
  <c r="J74" i="10"/>
  <c r="H105" i="10"/>
  <c r="Q18" i="10"/>
  <c r="N123" i="10"/>
  <c r="I142" i="10"/>
  <c r="N74" i="10"/>
  <c r="K187" i="10"/>
  <c r="G221" i="10"/>
  <c r="I221" i="10"/>
  <c r="Q152" i="10"/>
  <c r="S104" i="10"/>
  <c r="J172" i="10"/>
  <c r="P170" i="10"/>
  <c r="N19" i="10"/>
  <c r="U188" i="10"/>
  <c r="M56" i="10"/>
  <c r="H123" i="10"/>
  <c r="G133" i="10"/>
  <c r="N79" i="10"/>
  <c r="U116" i="10"/>
  <c r="O90" i="10"/>
  <c r="K86" i="10"/>
  <c r="L136" i="10"/>
  <c r="H71" i="10"/>
  <c r="P130" i="10"/>
  <c r="U104" i="10"/>
  <c r="Q171" i="10"/>
  <c r="M216" i="10"/>
  <c r="U200" i="10"/>
  <c r="R204" i="10"/>
  <c r="I46" i="10"/>
  <c r="P161" i="10"/>
  <c r="Q163" i="10"/>
  <c r="F188" i="10"/>
  <c r="R80" i="10"/>
  <c r="S142" i="10"/>
  <c r="T59" i="10"/>
  <c r="I164" i="10"/>
  <c r="R153" i="10"/>
  <c r="K32" i="10"/>
  <c r="F171" i="10"/>
  <c r="I26" i="10"/>
  <c r="Q45" i="10"/>
  <c r="S93" i="10"/>
  <c r="P60" i="10"/>
  <c r="U25" i="10"/>
  <c r="U154" i="10"/>
  <c r="L221" i="10"/>
  <c r="U173" i="10"/>
  <c r="T207" i="10"/>
  <c r="R77" i="10"/>
  <c r="R29" i="10"/>
  <c r="R94" i="10"/>
  <c r="J26" i="10"/>
  <c r="R68" i="10"/>
  <c r="Q104" i="10"/>
  <c r="S22" i="10"/>
  <c r="T29" i="10"/>
  <c r="I163" i="10"/>
  <c r="M188" i="10"/>
  <c r="L39" i="10"/>
  <c r="T220" i="10"/>
  <c r="M29" i="10"/>
  <c r="S144" i="10"/>
  <c r="N162" i="10"/>
  <c r="P22" i="10"/>
  <c r="M44" i="10"/>
  <c r="J205" i="10"/>
  <c r="H42" i="10"/>
  <c r="T91" i="10"/>
  <c r="L32" i="10"/>
  <c r="M108" i="10"/>
  <c r="K58" i="10"/>
  <c r="K22" i="10"/>
  <c r="T137" i="10"/>
  <c r="S152" i="10"/>
  <c r="K57" i="10"/>
  <c r="F17" i="10"/>
  <c r="Q135" i="10"/>
  <c r="T79" i="10"/>
  <c r="R22" i="10"/>
  <c r="F56" i="10"/>
  <c r="H47" i="10"/>
  <c r="P20" i="10"/>
  <c r="U216" i="10"/>
  <c r="L223" i="10"/>
  <c r="S47" i="10"/>
  <c r="E19" i="10"/>
  <c r="Q88" i="10"/>
  <c r="F92" i="10"/>
  <c r="K24" i="10"/>
  <c r="U98" i="10"/>
  <c r="R21" i="10"/>
  <c r="H56" i="10"/>
  <c r="O185" i="10"/>
  <c r="G44" i="10"/>
  <c r="U182" i="10"/>
  <c r="U205" i="10"/>
  <c r="N32" i="10"/>
  <c r="L41" i="10"/>
  <c r="R66" i="10"/>
  <c r="S50" i="10"/>
  <c r="Q58" i="10"/>
  <c r="F25" i="10"/>
  <c r="P29" i="10"/>
  <c r="L60" i="10"/>
  <c r="G43" i="10"/>
  <c r="K43" i="10"/>
  <c r="I59" i="10"/>
  <c r="E50" i="10"/>
  <c r="P223" i="10"/>
  <c r="P199" i="10"/>
  <c r="L171" i="10"/>
  <c r="S95" i="10"/>
  <c r="E174" i="10"/>
  <c r="H30" i="10"/>
  <c r="Q148" i="10"/>
  <c r="K17" i="10"/>
  <c r="L19" i="10"/>
  <c r="T94" i="10"/>
  <c r="G18" i="10"/>
  <c r="H183" i="10"/>
  <c r="R31" i="10"/>
  <c r="O39" i="10"/>
  <c r="E58" i="10"/>
  <c r="U48" i="10"/>
  <c r="E31" i="10"/>
  <c r="H207" i="10"/>
  <c r="U44" i="10"/>
  <c r="Q205" i="10"/>
  <c r="N203" i="10"/>
  <c r="S72" i="10"/>
  <c r="J20" i="10"/>
  <c r="P163" i="10"/>
  <c r="I25" i="10"/>
  <c r="J41" i="10"/>
  <c r="T89" i="10"/>
  <c r="S44" i="10"/>
  <c r="S29" i="10"/>
  <c r="N163" i="10"/>
  <c r="E207" i="10"/>
  <c r="H49" i="10"/>
  <c r="H223" i="10"/>
  <c r="M21" i="10"/>
  <c r="H28" i="10"/>
  <c r="P41" i="10"/>
  <c r="J33" i="10"/>
  <c r="I41" i="10"/>
  <c r="E187" i="10"/>
  <c r="O49" i="10"/>
  <c r="U26" i="10"/>
  <c r="Q86" i="10"/>
  <c r="T72" i="10"/>
  <c r="L174" i="10"/>
  <c r="T39" i="10"/>
  <c r="E27" i="10"/>
  <c r="S108" i="10"/>
  <c r="F58" i="10"/>
  <c r="G22" i="10"/>
  <c r="Q164" i="10"/>
  <c r="H23" i="10"/>
  <c r="I20" i="10"/>
  <c r="N47" i="10"/>
  <c r="S19" i="10"/>
  <c r="M20" i="10"/>
  <c r="K182" i="10"/>
  <c r="U185" i="10"/>
  <c r="Q41" i="10"/>
  <c r="S92" i="10"/>
  <c r="M220" i="10"/>
  <c r="S17" i="10"/>
  <c r="H21" i="10"/>
  <c r="Q106" i="10"/>
  <c r="P23" i="10"/>
  <c r="U67" i="10"/>
  <c r="M183" i="10"/>
  <c r="E217" i="10"/>
  <c r="N39" i="10"/>
  <c r="J201" i="10"/>
  <c r="U152" i="10"/>
  <c r="G164" i="10"/>
  <c r="O40" i="10"/>
  <c r="J49" i="10"/>
  <c r="R172" i="10"/>
  <c r="N23" i="10"/>
  <c r="N29" i="10"/>
  <c r="R104" i="10"/>
  <c r="O20" i="10"/>
  <c r="U75" i="10"/>
  <c r="S33" i="10"/>
  <c r="S186" i="10"/>
  <c r="N205" i="10"/>
  <c r="N201" i="10"/>
  <c r="Q185" i="10"/>
  <c r="G60" i="10"/>
  <c r="Q70" i="10"/>
  <c r="U82" i="10"/>
  <c r="H43" i="10"/>
  <c r="P40" i="10"/>
  <c r="S110" i="10"/>
  <c r="O59" i="10"/>
  <c r="M199" i="10"/>
  <c r="R162" i="10"/>
  <c r="O199" i="10"/>
  <c r="K186" i="10"/>
  <c r="N180" i="10"/>
  <c r="S81" i="10"/>
  <c r="M131" i="10"/>
  <c r="P110" i="10"/>
  <c r="G155" i="10"/>
  <c r="M106" i="10"/>
  <c r="F80" i="10"/>
  <c r="U92" i="10"/>
  <c r="J82" i="10"/>
  <c r="J78" i="10"/>
  <c r="E91" i="10"/>
  <c r="J208" i="10"/>
  <c r="T171" i="10"/>
  <c r="U141" i="10"/>
  <c r="G57" i="10"/>
  <c r="P49" i="10"/>
  <c r="S180" i="10"/>
  <c r="Q132" i="10"/>
  <c r="T188" i="10"/>
  <c r="H171" i="10"/>
  <c r="T95" i="10"/>
  <c r="U214" i="10"/>
  <c r="T70" i="10"/>
  <c r="S207" i="10"/>
  <c r="R110" i="10"/>
  <c r="O46" i="10"/>
  <c r="T50" i="10"/>
  <c r="S18" i="10"/>
  <c r="N58" i="10"/>
  <c r="U172" i="10"/>
  <c r="Q47" i="10"/>
  <c r="E42" i="10"/>
  <c r="F22" i="10"/>
  <c r="R70" i="10"/>
  <c r="Q49" i="10"/>
  <c r="S172" i="10"/>
  <c r="R32" i="10"/>
  <c r="F184" i="10"/>
  <c r="G198" i="10"/>
  <c r="J19" i="10"/>
  <c r="R47" i="10"/>
  <c r="R207" i="10"/>
  <c r="H50" i="10"/>
  <c r="Q100" i="10"/>
  <c r="O32" i="10"/>
  <c r="E66" i="10"/>
  <c r="Q89" i="10"/>
  <c r="M184" i="10"/>
  <c r="U59" i="10"/>
  <c r="R163" i="10"/>
  <c r="Q172" i="10"/>
  <c r="K66" i="10"/>
  <c r="R81" i="10"/>
  <c r="U41" i="10"/>
  <c r="F100" i="10"/>
  <c r="G207" i="10"/>
  <c r="E78" i="10"/>
  <c r="S57" i="10"/>
  <c r="T27" i="10"/>
  <c r="K33" i="10"/>
  <c r="M221" i="10"/>
  <c r="K218" i="10"/>
  <c r="S87" i="10"/>
  <c r="U33" i="10"/>
  <c r="P18" i="10"/>
  <c r="E49" i="10"/>
  <c r="Q161" i="10"/>
  <c r="T25" i="10"/>
  <c r="M25" i="10"/>
  <c r="U89" i="10"/>
  <c r="U68" i="10"/>
  <c r="T81" i="10"/>
  <c r="G185" i="10"/>
  <c r="M172" i="10"/>
  <c r="K75" i="10"/>
  <c r="S31" i="10"/>
  <c r="O201" i="10"/>
  <c r="T93" i="10"/>
  <c r="K25" i="10"/>
  <c r="N27" i="10"/>
  <c r="H58" i="10"/>
  <c r="P70" i="10"/>
  <c r="U131" i="10"/>
  <c r="L164" i="10"/>
  <c r="I106" i="10"/>
  <c r="I214" i="10"/>
  <c r="O208" i="10"/>
  <c r="S200" i="10"/>
  <c r="K20" i="10"/>
  <c r="Q19" i="10"/>
  <c r="T180" i="10"/>
  <c r="R69" i="10"/>
  <c r="F42" i="10"/>
  <c r="F31" i="10"/>
  <c r="H66" i="10"/>
  <c r="N49" i="10"/>
  <c r="L23" i="10"/>
  <c r="L21" i="10"/>
  <c r="F161" i="10"/>
  <c r="Q150" i="10"/>
  <c r="H217" i="10"/>
  <c r="R144" i="10"/>
  <c r="R46" i="10"/>
  <c r="O26" i="10"/>
  <c r="Q32" i="10"/>
  <c r="L45" i="10"/>
  <c r="M33" i="10"/>
  <c r="H122" i="10"/>
  <c r="K73" i="10"/>
  <c r="K28" i="10"/>
  <c r="I149" i="10"/>
  <c r="F116" i="10"/>
  <c r="Q134" i="10"/>
  <c r="H59" i="10"/>
  <c r="N200" i="10"/>
  <c r="H60" i="10"/>
  <c r="S109" i="10"/>
  <c r="H198" i="10"/>
  <c r="K27" i="10"/>
  <c r="L214" i="10"/>
  <c r="N173" i="10"/>
  <c r="T219" i="10"/>
  <c r="F136" i="10"/>
  <c r="I143" i="10"/>
  <c r="L124" i="10"/>
  <c r="N140" i="10"/>
  <c r="L110" i="10"/>
  <c r="K118" i="10"/>
  <c r="Q67" i="10"/>
  <c r="I130" i="10"/>
  <c r="M137" i="10"/>
  <c r="O89" i="10"/>
  <c r="J202" i="10"/>
  <c r="F50" i="10"/>
  <c r="N183" i="10"/>
  <c r="M46" i="10"/>
  <c r="R48" i="10"/>
  <c r="I181" i="10"/>
  <c r="L207" i="10"/>
  <c r="U147" i="10"/>
  <c r="T135" i="10"/>
  <c r="U183" i="10"/>
  <c r="N88" i="10"/>
  <c r="O183" i="10"/>
  <c r="R184" i="10"/>
  <c r="G31" i="10"/>
  <c r="N102" i="10"/>
  <c r="U58" i="10"/>
  <c r="L18" i="10"/>
  <c r="T161" i="10"/>
  <c r="I107" i="10"/>
  <c r="Q111" i="10"/>
  <c r="M47" i="10"/>
  <c r="K39" i="10"/>
  <c r="T32" i="10"/>
  <c r="G188" i="10"/>
  <c r="N30" i="10"/>
  <c r="P50" i="10"/>
  <c r="S161" i="10"/>
  <c r="T107" i="10"/>
  <c r="T23" i="10"/>
  <c r="R138" i="10"/>
  <c r="K31" i="10"/>
  <c r="S26" i="10"/>
  <c r="T40" i="10"/>
  <c r="E46" i="10"/>
  <c r="I27" i="10"/>
  <c r="J40" i="10"/>
  <c r="P200" i="10"/>
  <c r="H200" i="10"/>
  <c r="P205" i="10"/>
  <c r="P217" i="10"/>
  <c r="H27" i="10"/>
  <c r="S30" i="10"/>
  <c r="S107" i="10"/>
  <c r="P42" i="10"/>
  <c r="S66" i="10"/>
  <c r="O43" i="10"/>
  <c r="M24" i="10"/>
  <c r="T85" i="10"/>
  <c r="S69" i="10"/>
  <c r="Q146" i="10"/>
  <c r="J174" i="10"/>
  <c r="G50" i="10"/>
  <c r="Q77" i="10"/>
  <c r="N40" i="10"/>
  <c r="I85" i="10"/>
  <c r="P201" i="10"/>
  <c r="R108" i="10"/>
  <c r="J60" i="10"/>
  <c r="R18" i="10"/>
  <c r="M27" i="10"/>
  <c r="U30" i="10"/>
  <c r="L30" i="10"/>
  <c r="R95" i="10"/>
  <c r="S42" i="10"/>
  <c r="L28" i="10"/>
  <c r="S137" i="10"/>
  <c r="Q17" i="10"/>
  <c r="U49" i="10"/>
  <c r="O66" i="10"/>
  <c r="L22" i="10"/>
  <c r="U155" i="10"/>
  <c r="R188" i="10"/>
  <c r="Q207" i="10"/>
  <c r="I21" i="10"/>
  <c r="Q140" i="10"/>
  <c r="R201" i="10"/>
  <c r="S163" i="10"/>
  <c r="J105" i="10"/>
  <c r="K171" i="10"/>
  <c r="I32" i="10"/>
  <c r="T77" i="10"/>
  <c r="R41" i="10"/>
  <c r="F20" i="10"/>
  <c r="R102" i="10"/>
  <c r="T68" i="10"/>
  <c r="R82" i="10"/>
  <c r="S181" i="10"/>
  <c r="R76" i="10"/>
  <c r="E220" i="10"/>
  <c r="T88" i="10"/>
  <c r="R105" i="10"/>
  <c r="S75" i="10"/>
  <c r="E60" i="10"/>
  <c r="Q27" i="10"/>
  <c r="N60" i="10"/>
  <c r="H40" i="10"/>
  <c r="F186" i="10"/>
  <c r="G33" i="10"/>
  <c r="K204" i="10"/>
  <c r="K67" i="10"/>
  <c r="Q187" i="10"/>
  <c r="M205" i="10"/>
  <c r="E30" i="10"/>
  <c r="P19" i="10"/>
  <c r="U100" i="10"/>
  <c r="K21" i="10"/>
  <c r="I184" i="10"/>
  <c r="E18" i="10"/>
  <c r="R100" i="10"/>
  <c r="U40" i="10"/>
  <c r="P45" i="10"/>
  <c r="G41" i="10"/>
  <c r="F84" i="10"/>
  <c r="T109" i="10"/>
  <c r="U43" i="10"/>
  <c r="E28" i="10"/>
  <c r="O24" i="10"/>
  <c r="S48" i="10"/>
  <c r="O44" i="10"/>
  <c r="P32" i="10"/>
  <c r="N215" i="10"/>
  <c r="N217" i="10"/>
  <c r="E170" i="10"/>
  <c r="E215" i="10"/>
  <c r="S134" i="10"/>
  <c r="N219" i="10"/>
  <c r="F205" i="10"/>
  <c r="T30" i="10"/>
  <c r="T78" i="10"/>
  <c r="R39" i="10"/>
  <c r="R72" i="10"/>
  <c r="L48" i="10"/>
  <c r="U23" i="10"/>
  <c r="O173" i="10"/>
  <c r="F68" i="10"/>
  <c r="F44" i="10"/>
  <c r="L26" i="10"/>
  <c r="E92" i="10"/>
  <c r="Q75" i="10"/>
  <c r="J57" i="10"/>
  <c r="G214" i="10"/>
  <c r="H206" i="10"/>
  <c r="R214" i="10"/>
  <c r="E26" i="10"/>
  <c r="E223" i="10"/>
  <c r="F76" i="10"/>
  <c r="P182" i="10"/>
  <c r="Q151" i="10"/>
  <c r="F40" i="10"/>
  <c r="Q101" i="10"/>
  <c r="G208" i="10"/>
  <c r="T99" i="10"/>
  <c r="H32" i="10"/>
  <c r="I44" i="10"/>
  <c r="Q26" i="10"/>
  <c r="M76" i="10"/>
  <c r="O48" i="10"/>
  <c r="J46" i="10"/>
  <c r="T153" i="10"/>
  <c r="N110" i="10"/>
  <c r="L49" i="10"/>
  <c r="I162" i="10"/>
  <c r="R161" i="10"/>
  <c r="S132" i="10"/>
  <c r="T154" i="10"/>
  <c r="S101" i="10"/>
  <c r="P184" i="10"/>
  <c r="J173" i="10"/>
  <c r="P33" i="10"/>
  <c r="R28" i="10"/>
  <c r="K184" i="10"/>
  <c r="G27" i="10"/>
  <c r="J58" i="10"/>
  <c r="T82" i="10"/>
  <c r="Q72" i="10"/>
  <c r="F49" i="10"/>
  <c r="P40" i="11"/>
  <c r="P39" i="11"/>
  <c r="P38" i="11"/>
  <c r="S40" i="11"/>
  <c r="S38" i="11"/>
  <c r="S39" i="11"/>
  <c r="O40" i="11"/>
  <c r="O38" i="11"/>
  <c r="O39" i="11"/>
  <c r="G28" i="4"/>
  <c r="H20" i="4"/>
  <c r="D25" i="4"/>
  <c r="I29" i="4"/>
  <c r="M28" i="4"/>
  <c r="L21" i="4"/>
  <c r="M44" i="4"/>
  <c r="E21" i="4"/>
  <c r="J81" i="4"/>
  <c r="G27" i="4"/>
  <c r="M5" i="4"/>
  <c r="H25" i="4"/>
  <c r="I18" i="4"/>
  <c r="F5" i="4"/>
  <c r="C29" i="4"/>
  <c r="E16" i="4"/>
  <c r="N23" i="4"/>
  <c r="C23" i="4"/>
  <c r="H16" i="4"/>
  <c r="M24" i="4"/>
  <c r="E81" i="4"/>
  <c r="F26" i="4"/>
  <c r="F29" i="4"/>
  <c r="H21" i="4"/>
  <c r="C18" i="4"/>
  <c r="I30" i="4"/>
  <c r="J27" i="4"/>
  <c r="I22" i="4"/>
  <c r="G74" i="4"/>
  <c r="E28" i="4"/>
  <c r="I20" i="4"/>
  <c r="G17" i="4"/>
  <c r="F17" i="4"/>
  <c r="F30" i="4"/>
  <c r="L28" i="4"/>
  <c r="L20" i="4"/>
  <c r="D28" i="4"/>
  <c r="C21" i="4"/>
  <c r="C27" i="4"/>
  <c r="L25" i="4"/>
  <c r="H45" i="4"/>
  <c r="K45" i="4"/>
  <c r="K28" i="4"/>
  <c r="E5" i="4"/>
  <c r="I81" i="4"/>
  <c r="J20" i="4"/>
  <c r="N81" i="4"/>
  <c r="L26" i="4"/>
  <c r="L29" i="4"/>
  <c r="F45" i="4"/>
  <c r="H18" i="4"/>
  <c r="D21" i="4"/>
  <c r="N20" i="4"/>
  <c r="J5" i="4"/>
  <c r="L81" i="4"/>
  <c r="G25" i="4"/>
  <c r="K5" i="4"/>
  <c r="D20" i="4"/>
  <c r="E22" i="4"/>
  <c r="M19" i="4"/>
  <c r="F27" i="4"/>
  <c r="K29" i="4"/>
  <c r="E23" i="4"/>
  <c r="H44" i="4"/>
  <c r="I16" i="4"/>
  <c r="N28" i="4"/>
  <c r="D19" i="4"/>
  <c r="F23" i="4"/>
  <c r="G5" i="4"/>
  <c r="H29" i="4"/>
  <c r="E27" i="4"/>
  <c r="D16" i="4"/>
  <c r="I24" i="4"/>
  <c r="H19" i="4"/>
  <c r="C19" i="4"/>
  <c r="M20" i="4"/>
  <c r="D29" i="4"/>
  <c r="N29" i="4"/>
  <c r="C45" i="4"/>
  <c r="F21" i="4"/>
  <c r="K24" i="4"/>
  <c r="C26" i="4"/>
  <c r="I26" i="4"/>
  <c r="G23" i="4"/>
  <c r="J25" i="4"/>
  <c r="I23" i="4"/>
  <c r="N25" i="4"/>
  <c r="D5" i="4"/>
  <c r="J29" i="4"/>
  <c r="D17" i="4"/>
  <c r="G81" i="4"/>
  <c r="J22" i="4"/>
  <c r="K16" i="4"/>
  <c r="G20" i="4"/>
  <c r="C28" i="4"/>
  <c r="H17" i="4"/>
  <c r="L17" i="4"/>
  <c r="C5" i="4"/>
  <c r="L27" i="4"/>
  <c r="L18" i="4"/>
  <c r="K19" i="4"/>
  <c r="F25" i="4"/>
  <c r="L22" i="4"/>
  <c r="D27" i="4"/>
  <c r="N21" i="4"/>
  <c r="M23" i="4"/>
  <c r="D44" i="4"/>
  <c r="G18" i="4"/>
  <c r="L24" i="4"/>
  <c r="I82" i="4"/>
  <c r="G29" i="4"/>
  <c r="E24" i="4"/>
  <c r="I28" i="4"/>
  <c r="I17" i="4"/>
  <c r="G45" i="4"/>
  <c r="F81" i="4"/>
  <c r="M18" i="4"/>
  <c r="G44" i="4"/>
  <c r="G22" i="4"/>
  <c r="G19" i="4"/>
  <c r="N27" i="4"/>
  <c r="F18" i="4"/>
  <c r="I25" i="4"/>
  <c r="E18" i="4"/>
  <c r="D24" i="4"/>
  <c r="K30" i="4"/>
  <c r="L19" i="4"/>
  <c r="M17" i="4"/>
  <c r="D23" i="4"/>
  <c r="H27" i="4"/>
  <c r="M81" i="4"/>
  <c r="K25" i="4"/>
  <c r="N24" i="4"/>
  <c r="E30" i="4"/>
  <c r="J44" i="4"/>
  <c r="K18" i="4"/>
  <c r="D81" i="4"/>
  <c r="K22" i="4"/>
  <c r="N74" i="4"/>
  <c r="N19" i="4"/>
  <c r="M25" i="4"/>
  <c r="J17" i="4"/>
  <c r="J30" i="4"/>
  <c r="M45" i="4"/>
  <c r="K26" i="4"/>
  <c r="H81" i="4"/>
  <c r="F20" i="4"/>
  <c r="N18" i="4"/>
  <c r="H28" i="4"/>
  <c r="L30" i="4"/>
  <c r="G21" i="4"/>
  <c r="J24" i="4"/>
  <c r="I21" i="4"/>
  <c r="D22" i="4"/>
  <c r="N30" i="4"/>
  <c r="E20" i="4"/>
  <c r="H22" i="4"/>
  <c r="L5" i="4"/>
  <c r="K81" i="4"/>
  <c r="E45" i="4"/>
  <c r="G26" i="4"/>
  <c r="E44" i="4"/>
  <c r="F28" i="4"/>
  <c r="D30" i="4"/>
  <c r="E17" i="4"/>
  <c r="J26" i="4"/>
  <c r="C30" i="4"/>
  <c r="F44" i="4"/>
  <c r="N5" i="4"/>
  <c r="K17" i="4"/>
  <c r="F22" i="4"/>
  <c r="H23" i="4"/>
  <c r="M26" i="4"/>
  <c r="C16" i="4"/>
  <c r="C22" i="4"/>
  <c r="E74" i="4"/>
  <c r="I45" i="4"/>
  <c r="N16" i="4"/>
  <c r="I27" i="4"/>
  <c r="H30" i="4"/>
  <c r="K27" i="4"/>
  <c r="F16" i="4"/>
  <c r="I44" i="4"/>
  <c r="L23" i="4"/>
  <c r="E29" i="4"/>
  <c r="L16" i="4"/>
  <c r="G16" i="4"/>
  <c r="G24" i="4"/>
  <c r="H5" i="4"/>
  <c r="D26" i="4"/>
  <c r="L44" i="4"/>
  <c r="L45" i="4"/>
  <c r="E26" i="4"/>
  <c r="N26" i="4"/>
  <c r="D45" i="4"/>
  <c r="G30" i="4"/>
  <c r="J19" i="4"/>
  <c r="M21" i="4"/>
  <c r="N17" i="4"/>
  <c r="H24" i="4"/>
  <c r="C24" i="4"/>
  <c r="E19" i="4"/>
  <c r="J28" i="4"/>
  <c r="N44" i="4"/>
  <c r="N22" i="4"/>
  <c r="M29" i="4"/>
  <c r="J45" i="4"/>
  <c r="L74" i="4"/>
  <c r="K74" i="4"/>
  <c r="N45" i="4"/>
  <c r="M22" i="4"/>
  <c r="J18" i="4"/>
  <c r="K20" i="4"/>
  <c r="C17" i="4"/>
  <c r="F24" i="4"/>
  <c r="K44" i="4"/>
  <c r="F82" i="4"/>
  <c r="C82" i="4"/>
  <c r="C44" i="4"/>
  <c r="E25" i="4"/>
  <c r="C81" i="4"/>
  <c r="K21" i="4"/>
  <c r="H26" i="4"/>
  <c r="F19" i="4"/>
  <c r="J16" i="4"/>
  <c r="K23" i="4"/>
  <c r="M27" i="4"/>
  <c r="I5" i="4"/>
  <c r="C20" i="4"/>
  <c r="J21" i="4"/>
  <c r="M30" i="4"/>
  <c r="I19" i="4"/>
  <c r="E82" i="4"/>
  <c r="J23" i="4"/>
  <c r="M16" i="4"/>
  <c r="C25" i="4"/>
  <c r="D18" i="4"/>
  <c r="J74" i="4"/>
  <c r="K82" i="4"/>
  <c r="M74" i="4"/>
  <c r="D74" i="4"/>
  <c r="H74" i="4"/>
  <c r="C74" i="4"/>
  <c r="I74" i="4"/>
  <c r="D82" i="4"/>
  <c r="G82" i="4"/>
  <c r="F74" i="4"/>
  <c r="H82" i="4"/>
  <c r="N82" i="4"/>
  <c r="J82" i="4"/>
  <c r="L82" i="4"/>
  <c r="M82" i="4"/>
  <c r="L11" i="4"/>
  <c r="Q85" i="11"/>
  <c r="Q38" i="11"/>
  <c r="Q40" i="11"/>
  <c r="Q39" i="11"/>
  <c r="S85" i="11"/>
  <c r="R38" i="11"/>
  <c r="R40" i="11"/>
  <c r="R39" i="11"/>
  <c r="O85" i="11"/>
  <c r="S78" i="4" l="1"/>
  <c r="Q78" i="4"/>
  <c r="S51" i="4"/>
  <c r="C79" i="4"/>
  <c r="F36" i="4"/>
  <c r="M52" i="4"/>
  <c r="I36" i="4"/>
  <c r="M36" i="4"/>
  <c r="N36" i="4"/>
  <c r="P51" i="4"/>
  <c r="S35" i="4"/>
  <c r="P35" i="4"/>
  <c r="G36" i="4"/>
  <c r="J52" i="4"/>
  <c r="L15" i="4"/>
  <c r="C52" i="4"/>
  <c r="H52" i="4"/>
  <c r="C36" i="4"/>
  <c r="R13" i="4"/>
  <c r="P13" i="4"/>
  <c r="R51" i="4"/>
  <c r="F52" i="4"/>
  <c r="I79" i="4"/>
  <c r="D15" i="4"/>
  <c r="D36" i="4"/>
  <c r="N79" i="4"/>
  <c r="L52" i="4"/>
  <c r="S13" i="4"/>
  <c r="P78" i="4"/>
  <c r="O35" i="4"/>
  <c r="E52" i="4"/>
  <c r="I15" i="4"/>
  <c r="G52" i="4"/>
  <c r="M15" i="4"/>
  <c r="K79" i="4"/>
  <c r="K36" i="4"/>
  <c r="R78" i="4"/>
  <c r="R35" i="4"/>
  <c r="B1" i="4"/>
  <c r="H36" i="4"/>
  <c r="L79" i="4"/>
  <c r="M79" i="4"/>
  <c r="E79" i="4"/>
  <c r="N52" i="4"/>
  <c r="I52" i="4"/>
  <c r="O51" i="4"/>
  <c r="O13" i="4"/>
  <c r="K15" i="4"/>
  <c r="G15" i="4"/>
  <c r="G79" i="4"/>
  <c r="H15" i="4"/>
  <c r="N15" i="4"/>
  <c r="C15" i="4"/>
  <c r="Q13" i="4"/>
  <c r="O78" i="4"/>
  <c r="F79" i="4"/>
  <c r="E15" i="4"/>
  <c r="L36" i="4"/>
  <c r="K52" i="4"/>
  <c r="F15" i="4"/>
  <c r="H79" i="4"/>
  <c r="Q51" i="4"/>
  <c r="Q35" i="4"/>
  <c r="E36" i="4"/>
  <c r="J79" i="4"/>
  <c r="D52" i="4"/>
  <c r="D79" i="4"/>
  <c r="J36" i="4"/>
  <c r="J15" i="4"/>
  <c r="R22" i="4"/>
  <c r="R30" i="4"/>
  <c r="R17" i="4"/>
  <c r="R28" i="4"/>
  <c r="R23" i="4"/>
  <c r="R82" i="4"/>
  <c r="R29" i="4"/>
  <c r="R24" i="4"/>
  <c r="R25" i="4"/>
  <c r="R16" i="4"/>
  <c r="R21" i="4"/>
  <c r="R27" i="4"/>
  <c r="R74" i="4"/>
  <c r="R26" i="4"/>
  <c r="R18" i="4"/>
  <c r="R81" i="4"/>
  <c r="R45" i="4"/>
  <c r="R44" i="4"/>
  <c r="R20" i="4"/>
  <c r="R19" i="4"/>
  <c r="P82" i="4"/>
  <c r="P21" i="4"/>
  <c r="P18" i="4"/>
  <c r="P24" i="4"/>
  <c r="P25" i="4"/>
  <c r="P23" i="4"/>
  <c r="P27" i="4"/>
  <c r="P19" i="4"/>
  <c r="P26" i="4"/>
  <c r="P22" i="4"/>
  <c r="P74" i="4"/>
  <c r="P81" i="4"/>
  <c r="P28" i="4"/>
  <c r="P20" i="4"/>
  <c r="P44" i="4"/>
  <c r="P16" i="4"/>
  <c r="P45" i="4"/>
  <c r="P17" i="4"/>
  <c r="P29" i="4"/>
  <c r="P30" i="4"/>
  <c r="S81" i="4"/>
  <c r="S22" i="4"/>
  <c r="S74" i="4"/>
  <c r="S44" i="4"/>
  <c r="S28" i="4"/>
  <c r="S16" i="4"/>
  <c r="S19" i="4"/>
  <c r="S21" i="4"/>
  <c r="S26" i="4"/>
  <c r="S18" i="4"/>
  <c r="S29" i="4"/>
  <c r="S17" i="4"/>
  <c r="S25" i="4"/>
  <c r="S82" i="4"/>
  <c r="S20" i="4"/>
  <c r="S45" i="4"/>
  <c r="S23" i="4"/>
  <c r="S24" i="4"/>
  <c r="S30" i="4"/>
  <c r="S27" i="4"/>
  <c r="Q20" i="4"/>
  <c r="Q45" i="4"/>
  <c r="Q16" i="4"/>
  <c r="Q27" i="4"/>
  <c r="Q18" i="4"/>
  <c r="Q28" i="4"/>
  <c r="Q17" i="4"/>
  <c r="Q21" i="4"/>
  <c r="Q44" i="4"/>
  <c r="Q82" i="4"/>
  <c r="Q24" i="4"/>
  <c r="Q26" i="4"/>
  <c r="Q30" i="4"/>
  <c r="Q29" i="4"/>
  <c r="Q25" i="4"/>
  <c r="Q81" i="4"/>
  <c r="Q22" i="4"/>
  <c r="Q23" i="4"/>
  <c r="Q74" i="4"/>
  <c r="Q19" i="4"/>
  <c r="I58" i="4"/>
  <c r="C67" i="4"/>
  <c r="Q80" i="4"/>
  <c r="D56" i="4"/>
  <c r="N80" i="4"/>
  <c r="S56" i="4"/>
  <c r="M63" i="4"/>
  <c r="Q53" i="4"/>
  <c r="J71" i="4"/>
  <c r="K63" i="4"/>
  <c r="K67" i="4"/>
  <c r="E42" i="4"/>
  <c r="D41" i="4"/>
  <c r="I65" i="4"/>
  <c r="D53" i="4"/>
  <c r="N61" i="4"/>
  <c r="D61" i="4"/>
  <c r="C55" i="4"/>
  <c r="S41" i="4"/>
  <c r="S55" i="4"/>
  <c r="O57" i="4"/>
  <c r="I73" i="4"/>
  <c r="Q57" i="4"/>
  <c r="R60" i="4"/>
  <c r="H57" i="4"/>
  <c r="L72" i="4"/>
  <c r="R43" i="4"/>
  <c r="M53" i="4"/>
  <c r="R64" i="4"/>
  <c r="Q60" i="4"/>
  <c r="P72" i="4"/>
  <c r="F70" i="4"/>
  <c r="P41" i="4"/>
  <c r="O66" i="4"/>
  <c r="J80" i="4"/>
  <c r="L53" i="4"/>
  <c r="J62" i="4"/>
  <c r="P61" i="4"/>
  <c r="K73" i="4"/>
  <c r="P37" i="4"/>
  <c r="O64" i="4"/>
  <c r="I38" i="4"/>
  <c r="R39" i="4"/>
  <c r="R80" i="4"/>
  <c r="D39" i="4"/>
  <c r="H58" i="4"/>
  <c r="C62" i="4"/>
  <c r="E71" i="4"/>
  <c r="G58" i="4"/>
  <c r="O54" i="4"/>
  <c r="K40" i="4"/>
  <c r="P58" i="4"/>
  <c r="E73" i="4"/>
  <c r="G64" i="4"/>
  <c r="P57" i="4"/>
  <c r="P55" i="4"/>
  <c r="Q41" i="4"/>
  <c r="F67" i="4"/>
  <c r="F37" i="4"/>
  <c r="P40" i="4"/>
  <c r="M58" i="4"/>
  <c r="F56" i="4"/>
  <c r="E63" i="4"/>
  <c r="R54" i="4"/>
  <c r="G70" i="4"/>
  <c r="O38" i="4"/>
  <c r="E68" i="4"/>
  <c r="Q43" i="4"/>
  <c r="L61" i="4"/>
  <c r="H38" i="4"/>
  <c r="P69" i="4"/>
  <c r="D71" i="4"/>
  <c r="D59" i="4"/>
  <c r="C38" i="4"/>
  <c r="G57" i="4"/>
  <c r="G68" i="4"/>
  <c r="D72" i="4"/>
  <c r="R38" i="4"/>
  <c r="J39" i="4"/>
  <c r="H72" i="4"/>
  <c r="P73" i="4"/>
  <c r="S37" i="4"/>
  <c r="I53" i="4"/>
  <c r="H65" i="4"/>
  <c r="O39" i="4"/>
  <c r="M57" i="4"/>
  <c r="J58" i="4"/>
  <c r="G72" i="4"/>
  <c r="Q67" i="4"/>
  <c r="H62" i="4"/>
  <c r="M69" i="4"/>
  <c r="K66" i="4"/>
  <c r="R71" i="4"/>
  <c r="S73" i="4"/>
  <c r="S53" i="4"/>
  <c r="M61" i="4"/>
  <c r="D43" i="4"/>
  <c r="H73" i="4"/>
  <c r="D65" i="4"/>
  <c r="K37" i="4"/>
  <c r="P42" i="4"/>
  <c r="C40" i="4"/>
  <c r="O70" i="4"/>
  <c r="M80" i="4"/>
  <c r="E40" i="4"/>
  <c r="G43" i="4"/>
  <c r="O63" i="4"/>
  <c r="N68" i="4"/>
  <c r="H43" i="4"/>
  <c r="H67" i="4"/>
  <c r="G61" i="4"/>
  <c r="Q54" i="4"/>
  <c r="H41" i="4"/>
  <c r="C64" i="4"/>
  <c r="D38" i="4"/>
  <c r="R61" i="4"/>
  <c r="M40" i="4"/>
  <c r="N67" i="4"/>
  <c r="L66" i="4"/>
  <c r="L67" i="4"/>
  <c r="J40" i="4"/>
  <c r="L60" i="4"/>
  <c r="M70" i="4"/>
  <c r="E65" i="4"/>
  <c r="E58" i="4"/>
  <c r="O60" i="4"/>
  <c r="D63" i="4"/>
  <c r="G69" i="4"/>
  <c r="J63" i="4"/>
  <c r="L65" i="4"/>
  <c r="K65" i="4"/>
  <c r="H42" i="4"/>
  <c r="E59" i="4"/>
  <c r="L42" i="4"/>
  <c r="P67" i="4"/>
  <c r="P68" i="4"/>
  <c r="G39" i="4"/>
  <c r="J57" i="4"/>
  <c r="K72" i="4"/>
  <c r="J64" i="4"/>
  <c r="R66" i="4"/>
  <c r="L63" i="4"/>
  <c r="N58" i="4"/>
  <c r="H60" i="4"/>
  <c r="S62" i="4"/>
  <c r="N64" i="4"/>
  <c r="S43" i="4"/>
  <c r="O65" i="4"/>
  <c r="I70" i="4"/>
  <c r="Q63" i="4"/>
  <c r="H80" i="4"/>
  <c r="F62" i="4"/>
  <c r="E64" i="4"/>
  <c r="D66" i="4"/>
  <c r="D68" i="4"/>
  <c r="D80" i="4"/>
  <c r="G55" i="4"/>
  <c r="E61" i="4"/>
  <c r="S60" i="4"/>
  <c r="E57" i="4"/>
  <c r="D70" i="4"/>
  <c r="N54" i="4"/>
  <c r="J60" i="4"/>
  <c r="O55" i="4"/>
  <c r="S72" i="4"/>
  <c r="J38" i="4"/>
  <c r="K54" i="4"/>
  <c r="D62" i="4"/>
  <c r="M41" i="4"/>
  <c r="F41" i="4"/>
  <c r="S70" i="4"/>
  <c r="G71" i="4"/>
  <c r="K38" i="4"/>
  <c r="E69" i="4"/>
  <c r="H61" i="4"/>
  <c r="M60" i="4"/>
  <c r="C56" i="4"/>
  <c r="C72" i="4"/>
  <c r="K62" i="4"/>
  <c r="P39" i="4"/>
  <c r="N71" i="4"/>
  <c r="G53" i="4"/>
  <c r="H53" i="4"/>
  <c r="D54" i="4"/>
  <c r="L38" i="4"/>
  <c r="Q56" i="4"/>
  <c r="F60" i="4"/>
  <c r="S39" i="4"/>
  <c r="Q40" i="4"/>
  <c r="K53" i="4"/>
  <c r="C71" i="4"/>
  <c r="M42" i="4"/>
  <c r="F68" i="4"/>
  <c r="R63" i="4"/>
  <c r="F58" i="4"/>
  <c r="C57" i="4"/>
  <c r="S71" i="4"/>
  <c r="G37" i="4"/>
  <c r="C60" i="4"/>
  <c r="S42" i="4"/>
  <c r="H37" i="4"/>
  <c r="H69" i="4"/>
  <c r="G63" i="4"/>
  <c r="H54" i="4"/>
  <c r="F69" i="4"/>
  <c r="S61" i="4"/>
  <c r="J67" i="4"/>
  <c r="N38" i="4"/>
  <c r="K80" i="4"/>
  <c r="R70" i="4"/>
  <c r="G80" i="4"/>
  <c r="F72" i="4"/>
  <c r="Q38" i="4"/>
  <c r="I69" i="4"/>
  <c r="L37" i="4"/>
  <c r="D57" i="4"/>
  <c r="J72" i="4"/>
  <c r="G40" i="4"/>
  <c r="N70" i="4"/>
  <c r="I41" i="4"/>
  <c r="E67" i="4"/>
  <c r="P62" i="4"/>
  <c r="M55" i="4"/>
  <c r="S69" i="4"/>
  <c r="K61" i="4"/>
  <c r="K64" i="4"/>
  <c r="D69" i="4"/>
  <c r="N66" i="4"/>
  <c r="I60" i="4"/>
  <c r="N59" i="4"/>
  <c r="P54" i="4"/>
  <c r="F57" i="4"/>
  <c r="L71" i="4"/>
  <c r="S57" i="4"/>
  <c r="H55" i="4"/>
  <c r="L59" i="4"/>
  <c r="S67" i="4"/>
  <c r="J43" i="4"/>
  <c r="O73" i="4"/>
  <c r="L80" i="4"/>
  <c r="P80" i="4"/>
  <c r="I62" i="4"/>
  <c r="G66" i="4"/>
  <c r="N63" i="4"/>
  <c r="C61" i="4"/>
  <c r="P70" i="4"/>
  <c r="R57" i="4"/>
  <c r="H68" i="4"/>
  <c r="L54" i="4"/>
  <c r="N39" i="4"/>
  <c r="M65" i="4"/>
  <c r="L55" i="4"/>
  <c r="K68" i="4"/>
  <c r="F43" i="4"/>
  <c r="O53" i="4"/>
  <c r="R69" i="4"/>
  <c r="S59" i="4"/>
  <c r="O59" i="4"/>
  <c r="P60" i="4"/>
  <c r="P63" i="4"/>
  <c r="L69" i="4"/>
  <c r="Q39" i="4"/>
  <c r="K60" i="4"/>
  <c r="O58" i="4"/>
  <c r="N69" i="4"/>
  <c r="J56" i="4"/>
  <c r="C73" i="4"/>
  <c r="M59" i="4"/>
  <c r="N41" i="4"/>
  <c r="S65" i="4"/>
  <c r="F66" i="4"/>
  <c r="J65" i="4"/>
  <c r="K41" i="4"/>
  <c r="F54" i="4"/>
  <c r="I56" i="4"/>
  <c r="N42" i="4"/>
  <c r="E56" i="4"/>
  <c r="R72" i="4"/>
  <c r="M72" i="4"/>
  <c r="C37" i="4"/>
  <c r="G67" i="4"/>
  <c r="I43" i="4"/>
  <c r="R55" i="4"/>
  <c r="C53" i="4"/>
  <c r="F63" i="4"/>
  <c r="K39" i="4"/>
  <c r="M62" i="4"/>
  <c r="Q64" i="4"/>
  <c r="I68" i="4"/>
  <c r="L73" i="4"/>
  <c r="E41" i="4"/>
  <c r="Q70" i="4"/>
  <c r="M67" i="4"/>
  <c r="K43" i="4"/>
  <c r="H64" i="4"/>
  <c r="E55" i="4"/>
  <c r="R42" i="4"/>
  <c r="R67" i="4"/>
  <c r="M68" i="4"/>
  <c r="J70" i="4"/>
  <c r="I37" i="4"/>
  <c r="K58" i="4"/>
  <c r="C69" i="4"/>
  <c r="C68" i="4"/>
  <c r="G42" i="4"/>
  <c r="M39" i="4"/>
  <c r="D60" i="4"/>
  <c r="R53" i="4"/>
  <c r="R62" i="4"/>
  <c r="Q68" i="4"/>
  <c r="K70" i="4"/>
  <c r="O67" i="4"/>
  <c r="S80" i="4"/>
  <c r="S63" i="4"/>
  <c r="S40" i="4"/>
  <c r="I63" i="4"/>
  <c r="J54" i="4"/>
  <c r="J42" i="4"/>
  <c r="C65" i="4"/>
  <c r="F64" i="4"/>
  <c r="M56" i="4"/>
  <c r="G54" i="4"/>
  <c r="F59" i="4"/>
  <c r="H39" i="4"/>
  <c r="Q71" i="4"/>
  <c r="S54" i="4"/>
  <c r="I42" i="4"/>
  <c r="I54" i="4"/>
  <c r="M73" i="4"/>
  <c r="D37" i="4"/>
  <c r="N65" i="4"/>
  <c r="C39" i="4"/>
  <c r="F55" i="4"/>
  <c r="S68" i="4"/>
  <c r="N60" i="4"/>
  <c r="C70" i="4"/>
  <c r="F65" i="4"/>
  <c r="M38" i="4"/>
  <c r="O42" i="4"/>
  <c r="O69" i="4"/>
  <c r="Q66" i="4"/>
  <c r="M54" i="4"/>
  <c r="E38" i="4"/>
  <c r="F39" i="4"/>
  <c r="K42" i="4"/>
  <c r="I72" i="4"/>
  <c r="S64" i="4"/>
  <c r="O61" i="4"/>
  <c r="J61" i="4"/>
  <c r="Q61" i="4"/>
  <c r="D67" i="4"/>
  <c r="E37" i="4"/>
  <c r="H70" i="4"/>
  <c r="M43" i="4"/>
  <c r="L40" i="4"/>
  <c r="N57" i="4"/>
  <c r="Q55" i="4"/>
  <c r="N73" i="4"/>
  <c r="E62" i="4"/>
  <c r="Q69" i="4"/>
  <c r="G56" i="4"/>
  <c r="M71" i="4"/>
  <c r="D73" i="4"/>
  <c r="D42" i="4"/>
  <c r="Q42" i="4"/>
  <c r="L58" i="4"/>
  <c r="R40" i="4"/>
  <c r="O80" i="4"/>
  <c r="E72" i="4"/>
  <c r="J69" i="4"/>
  <c r="O43" i="4"/>
  <c r="C41" i="4"/>
  <c r="J55" i="4"/>
  <c r="E80" i="4"/>
  <c r="E66" i="4"/>
  <c r="J41" i="4"/>
  <c r="K56" i="4"/>
  <c r="E53" i="4"/>
  <c r="C42" i="4"/>
  <c r="J37" i="4"/>
  <c r="F38" i="4"/>
  <c r="H40" i="4"/>
  <c r="E60" i="4"/>
  <c r="R59" i="4"/>
  <c r="O72" i="4"/>
  <c r="F40" i="4"/>
  <c r="J68" i="4"/>
  <c r="G38" i="4"/>
  <c r="Q73" i="4"/>
  <c r="M37" i="4"/>
  <c r="G60" i="4"/>
  <c r="R58" i="4"/>
  <c r="C63" i="4"/>
  <c r="K55" i="4"/>
  <c r="S58" i="4"/>
  <c r="O68" i="4"/>
  <c r="C54" i="4"/>
  <c r="S38" i="4"/>
  <c r="L41" i="4"/>
  <c r="Q37" i="4"/>
  <c r="F53" i="4"/>
  <c r="C43" i="4"/>
  <c r="R68" i="4"/>
  <c r="L56" i="4"/>
  <c r="I64" i="4"/>
  <c r="P59" i="4"/>
  <c r="K59" i="4"/>
  <c r="L68" i="4"/>
  <c r="N37" i="4"/>
  <c r="E39" i="4"/>
  <c r="K57" i="4"/>
  <c r="M64" i="4"/>
  <c r="F80" i="4"/>
  <c r="L43" i="4"/>
  <c r="P53" i="4"/>
  <c r="Q58" i="4"/>
  <c r="C59" i="4"/>
  <c r="C66" i="4"/>
  <c r="L39" i="4"/>
  <c r="I71" i="4"/>
  <c r="H71" i="4"/>
  <c r="F42" i="4"/>
  <c r="O37" i="4"/>
  <c r="N56" i="4"/>
  <c r="P56" i="4"/>
  <c r="L57" i="4"/>
  <c r="O40" i="4"/>
  <c r="O41" i="4"/>
  <c r="R37" i="4"/>
  <c r="H63" i="4"/>
  <c r="H56" i="4"/>
  <c r="C58" i="4"/>
  <c r="G41" i="4"/>
  <c r="L62" i="4"/>
  <c r="J59" i="4"/>
  <c r="O71" i="4"/>
  <c r="L70" i="4"/>
  <c r="N43" i="4"/>
  <c r="G59" i="4"/>
  <c r="I55" i="4"/>
  <c r="I80" i="4"/>
  <c r="Q72" i="4"/>
  <c r="P65" i="4"/>
  <c r="N55" i="4"/>
  <c r="I67" i="4"/>
  <c r="E43" i="4"/>
  <c r="J73" i="4"/>
  <c r="O62" i="4"/>
  <c r="G73" i="4"/>
  <c r="D58" i="4"/>
  <c r="E54" i="4"/>
  <c r="P64" i="4"/>
  <c r="I57" i="4"/>
  <c r="P38" i="4"/>
  <c r="N72" i="4"/>
  <c r="G62" i="4"/>
  <c r="M66" i="4"/>
  <c r="H59" i="4"/>
  <c r="D55" i="4"/>
  <c r="F73" i="4"/>
  <c r="N53" i="4"/>
  <c r="K71" i="4"/>
  <c r="J66" i="4"/>
  <c r="Q62" i="4"/>
  <c r="I66" i="4"/>
  <c r="I39" i="4"/>
  <c r="D40" i="4"/>
  <c r="O56" i="4"/>
  <c r="G65" i="4"/>
  <c r="P66" i="4"/>
  <c r="I40" i="4"/>
  <c r="E70" i="4"/>
  <c r="P71" i="4"/>
  <c r="K69" i="4"/>
  <c r="N62" i="4"/>
  <c r="I59" i="4"/>
  <c r="R65" i="4"/>
  <c r="C80" i="4"/>
  <c r="S66" i="4"/>
  <c r="D64" i="4"/>
  <c r="R41" i="4"/>
  <c r="Q59" i="4"/>
  <c r="J53" i="4"/>
  <c r="F61" i="4"/>
  <c r="H66" i="4"/>
  <c r="I61" i="4"/>
  <c r="L64" i="4"/>
  <c r="R56" i="4"/>
  <c r="F71" i="4"/>
  <c r="R73" i="4"/>
  <c r="Q65" i="4"/>
  <c r="P43" i="4"/>
  <c r="N40" i="4"/>
  <c r="O25" i="4"/>
  <c r="O82" i="4"/>
  <c r="O44" i="4"/>
  <c r="O22" i="4"/>
  <c r="O29" i="4"/>
  <c r="O19" i="4"/>
  <c r="O28" i="4"/>
  <c r="O27" i="4"/>
  <c r="O24" i="4"/>
  <c r="O20" i="4"/>
  <c r="O21" i="4"/>
  <c r="O23" i="4"/>
  <c r="O74" i="4"/>
  <c r="O30" i="4"/>
  <c r="O45" i="4"/>
  <c r="O26" i="4"/>
  <c r="O16" i="4"/>
  <c r="O17" i="4"/>
  <c r="O18" i="4"/>
  <c r="O81" i="4"/>
</calcChain>
</file>

<file path=xl/sharedStrings.xml><?xml version="1.0" encoding="utf-8"?>
<sst xmlns="http://schemas.openxmlformats.org/spreadsheetml/2006/main" count="1900" uniqueCount="538">
  <si>
    <t>Begining FX Rate R$/US$</t>
  </si>
  <si>
    <t>Average FX Rate R$/US$</t>
  </si>
  <si>
    <t>Final FX Rate R$/US$</t>
  </si>
  <si>
    <t>Begining FX Rate  US$/EUR</t>
  </si>
  <si>
    <t>Average FX Rate US$/EUR</t>
  </si>
  <si>
    <t>Final FX Rate US$/EUR</t>
  </si>
  <si>
    <t>Câmbio Inicial UYU$/US$</t>
  </si>
  <si>
    <t>Câmbio Médio UYU$/US$</t>
  </si>
  <si>
    <t>Câmbio Final UYU$/US$</t>
  </si>
  <si>
    <t>Câmbio Inicial ARS$/US$</t>
  </si>
  <si>
    <t>Câmbio Médio ARS$/US$</t>
  </si>
  <si>
    <t>Câmbio Final ARS$/US$</t>
  </si>
  <si>
    <t>Brazilian CPI</t>
  </si>
  <si>
    <t>American CPI</t>
  </si>
  <si>
    <t>Number of Days</t>
  </si>
  <si>
    <t>Local Market Sales Volume [kt]</t>
  </si>
  <si>
    <t>Export Market Sales Volume [kt]</t>
  </si>
  <si>
    <t>Gross Revenue [$MM]</t>
  </si>
  <si>
    <t>Third Part Sales Volume [kt]</t>
  </si>
  <si>
    <t>Final Variable Sales Expenses</t>
  </si>
  <si>
    <t>Other Variable Costs</t>
  </si>
  <si>
    <t>Fixed Costs</t>
  </si>
  <si>
    <t>Operating Expenses</t>
  </si>
  <si>
    <t>Other</t>
  </si>
  <si>
    <t>EBITDA</t>
  </si>
  <si>
    <t>Depreciation / amortization / depletion - Corporate</t>
  </si>
  <si>
    <t>Financial Results</t>
  </si>
  <si>
    <t>Additions/Low IT Income Statement</t>
  </si>
  <si>
    <t>Income Tax</t>
  </si>
  <si>
    <t>CONTRIBUTION MARGIN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</si>
  <si>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</si>
  <si>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</si>
  <si>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</si>
  <si>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</si>
  <si>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</si>
  <si>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</si>
  <si>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</si>
  <si>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</si>
  <si>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</si>
  <si>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</si>
  <si>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</si>
  <si>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</si>
  <si>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Local Market Price Premium [$/ton]</t>
  </si>
  <si>
    <t>Export Market Price Premium [$/ton]</t>
  </si>
  <si>
    <t>% Operational Tax</t>
  </si>
  <si>
    <t>Equity Pick-Up Results</t>
  </si>
  <si>
    <t>Other Non Operating Results</t>
  </si>
  <si>
    <t>NET REVENUES</t>
  </si>
  <si>
    <t>Products:</t>
  </si>
  <si>
    <t>N/A</t>
  </si>
  <si>
    <t>Currency:</t>
  </si>
  <si>
    <t>Net Revenue [$MM]</t>
  </si>
  <si>
    <t>Total Market</t>
  </si>
  <si>
    <t>Value</t>
  </si>
  <si>
    <t>PROD099</t>
  </si>
  <si>
    <t>Total Products</t>
  </si>
  <si>
    <t>Operating Profit</t>
  </si>
  <si>
    <t>Profit Before Income Tax</t>
  </si>
  <si>
    <t>Net Profit Before Minority Int.</t>
  </si>
  <si>
    <t>% Income Tax</t>
  </si>
  <si>
    <t>% Minoritários</t>
  </si>
  <si>
    <t xml:space="preserve">Net Profit </t>
  </si>
  <si>
    <t>Minority Interests</t>
  </si>
  <si>
    <t>Flag</t>
  </si>
  <si>
    <t>Working Capital - KPIs Assets Accounts</t>
  </si>
  <si>
    <t>Input Inventory- Days o/ VC</t>
  </si>
  <si>
    <t>Working Capital - KPIs Liabilities Accounts</t>
  </si>
  <si>
    <t>Suppliers - Days o/ VC (DPO)</t>
  </si>
  <si>
    <t>Working Capital - Assets Account Balance</t>
  </si>
  <si>
    <t>Accounts Receivable</t>
  </si>
  <si>
    <t>Finished Product Inventory</t>
  </si>
  <si>
    <t>Product in Process Inventory</t>
  </si>
  <si>
    <t>Concentrate Inventory</t>
  </si>
  <si>
    <t>Other Inputs Inventory</t>
  </si>
  <si>
    <t>Opex Adavancement</t>
  </si>
  <si>
    <t>Other Accounts Receivable</t>
  </si>
  <si>
    <t>Working Capital - Liabilities Account Balance</t>
  </si>
  <si>
    <t>Suppliers</t>
  </si>
  <si>
    <t>Operating Taxes Payable</t>
  </si>
  <si>
    <t>Labor Obligations</t>
  </si>
  <si>
    <t>Other Accounts Payable</t>
  </si>
  <si>
    <t>WC - CLOSING BALANCE AND CASH FLOW</t>
  </si>
  <si>
    <t>Initial Working Capital Balance</t>
  </si>
  <si>
    <t>Working Capital</t>
  </si>
  <si>
    <t>WC adjust by buy/sale of company</t>
  </si>
  <si>
    <t>(Invest.)/Divest. Working Capital</t>
  </si>
  <si>
    <t>Operating Taxes Payable - % o/ Rev.</t>
  </si>
  <si>
    <t>Labor Obligations - Days o/ FC</t>
  </si>
  <si>
    <t>Other Accounts Payable - Days o/ CPS</t>
  </si>
  <si>
    <t>GROSS DEBT</t>
  </si>
  <si>
    <t>INITIAL GROSS DEBT (LC)</t>
  </si>
  <si>
    <t>Funding (LC)</t>
  </si>
  <si>
    <t>Accrual of Interest (LC)</t>
  </si>
  <si>
    <t>Monetary Variation (LC)</t>
  </si>
  <si>
    <t>Principal Amortization (LC)</t>
  </si>
  <si>
    <t>Interest Amortization (LC)</t>
  </si>
  <si>
    <t>Other Variation (LC)</t>
  </si>
  <si>
    <t>Variation by buy/sale of company (LC)</t>
  </si>
  <si>
    <t>Closing Balance Debt</t>
  </si>
  <si>
    <t>Foreign Exchange Variation</t>
  </si>
  <si>
    <t>Funding</t>
  </si>
  <si>
    <t>FINANCIAL RESULTS - INTEREST EXPENSES</t>
  </si>
  <si>
    <t>Interest Expenses</t>
  </si>
  <si>
    <t>FINANCIAL RESULTS - EXCHANGE VARIATION</t>
  </si>
  <si>
    <t>Foreign Exchange Cash Flow Impact</t>
  </si>
  <si>
    <t>Foreign Exchange Variation (LC)</t>
  </si>
  <si>
    <t>Hedge Accounting International investments</t>
  </si>
  <si>
    <t>FINANCIAL RESULTS - FINANCIAL EXPENSES</t>
  </si>
  <si>
    <t>IOF - Cash</t>
  </si>
  <si>
    <t>CPMF - Cash</t>
  </si>
  <si>
    <t>Other Taxes (Except Income Tax) - Cash</t>
  </si>
  <si>
    <t>Bank Expenses - Cash</t>
  </si>
  <si>
    <t>Other Financial Expenses- Cash</t>
  </si>
  <si>
    <t>Financial Expenses - Non Cash</t>
  </si>
  <si>
    <t>FINANCIAL RESULTS - FINANCIAL REVENUES</t>
  </si>
  <si>
    <t>Financial Revenue</t>
  </si>
  <si>
    <t>Other Financial Revenues</t>
  </si>
  <si>
    <t>Financial Revenues Adjustments</t>
  </si>
  <si>
    <t>Mutual Net Results</t>
  </si>
  <si>
    <t>FINANCIAL RESULTS - HEDGE RESULTS</t>
  </si>
  <si>
    <t>Balance Variation</t>
  </si>
  <si>
    <t>Liquidation</t>
  </si>
  <si>
    <t>Hedge Accounting - Derivatives</t>
  </si>
  <si>
    <t>Hedge Results</t>
  </si>
  <si>
    <t>FINANCIAL RESULTS - OTHER FINANCIAL REVENUES</t>
  </si>
  <si>
    <t>Other Financial Results - (Non Cash Effect)</t>
  </si>
  <si>
    <t>CASH FLOW</t>
  </si>
  <si>
    <t>INITIAL CASH BALANCE</t>
  </si>
  <si>
    <t>Income Tax Payments - Cash</t>
  </si>
  <si>
    <t>Working capital</t>
  </si>
  <si>
    <t>Non Expansion Capex</t>
  </si>
  <si>
    <t>Dividends Received (Paid) - Cash Flow</t>
  </si>
  <si>
    <t>CASH FLOW - FINANCIAL RESULTS</t>
  </si>
  <si>
    <t>Debt Amortization</t>
  </si>
  <si>
    <t>% Caixa Invested</t>
  </si>
  <si>
    <t>% Cash Investment Return</t>
  </si>
  <si>
    <t>Other Financial income</t>
  </si>
  <si>
    <t>Other Financial Expenses</t>
  </si>
  <si>
    <t>Derivatives settlement</t>
  </si>
  <si>
    <t>Tax on Financial Revenue</t>
  </si>
  <si>
    <t>Additions/Low in Cash Investments</t>
  </si>
  <si>
    <t>% Rate Over Financial Investments</t>
  </si>
  <si>
    <t>CASH FLOW - OTHER</t>
  </si>
  <si>
    <t>Other Change in Assets / Current Liabilities</t>
  </si>
  <si>
    <t>Non Operating - Cash (Before Inc Tax)</t>
  </si>
  <si>
    <t>CASH FLOW - SCF BEFORE DIVIDENDS</t>
  </si>
  <si>
    <t>SCF before dividends</t>
  </si>
  <si>
    <t>Payments of Dividens to Controlling</t>
  </si>
  <si>
    <t>Payments of Dividens to Minority</t>
  </si>
  <si>
    <t>Sustainable Cash Flow</t>
  </si>
  <si>
    <t>CASH FLOW - SUSTAINABLE CASH FLOW</t>
  </si>
  <si>
    <t>Expansion Capex</t>
  </si>
  <si>
    <t>Investments in Associates and Subsidiaries</t>
  </si>
  <si>
    <t>Divestments of subsidiaries and affiliates</t>
  </si>
  <si>
    <t>FX on Cash Position</t>
  </si>
  <si>
    <t>Non Operating (Other - Cash Flow)</t>
  </si>
  <si>
    <t>Other - Cash Flow</t>
  </si>
  <si>
    <t>Cash generation before financing</t>
  </si>
  <si>
    <t>CASH FLOW - CASH GENERATION BEFORE FINANCING</t>
  </si>
  <si>
    <t>Intercompany Dividends</t>
  </si>
  <si>
    <t>Amortization</t>
  </si>
  <si>
    <t>Change in cash</t>
  </si>
  <si>
    <t>Initial Cash Balance</t>
  </si>
  <si>
    <t>Final Cash Position</t>
  </si>
  <si>
    <t>Final Cash Position Aux</t>
  </si>
  <si>
    <t>Final Debt Position</t>
  </si>
  <si>
    <t>Final Net Debt</t>
  </si>
  <si>
    <t>Adj EBITDA LTM</t>
  </si>
  <si>
    <t>Adjusts LTM</t>
  </si>
  <si>
    <t>Leverage</t>
  </si>
  <si>
    <t>FCL Econômico</t>
  </si>
  <si>
    <t>DL Econômica</t>
  </si>
  <si>
    <t>Invested Cash</t>
  </si>
  <si>
    <t>HEDGE/MTM</t>
  </si>
  <si>
    <t>% Participation</t>
  </si>
  <si>
    <t>Other Op. Results - Asset Write-off</t>
  </si>
  <si>
    <t>Slow moving</t>
  </si>
  <si>
    <t>Clinker</t>
  </si>
  <si>
    <t>Contingencies</t>
  </si>
  <si>
    <t>Non-recurring Expenses</t>
  </si>
  <si>
    <t>Other Op. Results - Machadinho</t>
  </si>
  <si>
    <t>MOTZ</t>
  </si>
  <si>
    <t>Non-recurring Revenues</t>
  </si>
  <si>
    <t>Other Op. Results - Others</t>
  </si>
  <si>
    <t>Other adjustments</t>
  </si>
  <si>
    <t>Gain on assets</t>
  </si>
  <si>
    <t>Tax benefits</t>
  </si>
  <si>
    <t>Non Op. Taxes</t>
  </si>
  <si>
    <t>Other products</t>
  </si>
  <si>
    <t>Power results</t>
  </si>
  <si>
    <t>Trading Margin</t>
  </si>
  <si>
    <t>DRE - OTHER NON OP. RESULTS</t>
  </si>
  <si>
    <t>Other Non Op. Results - ARO</t>
  </si>
  <si>
    <t>Other Non Op. Results - FC x BPC Adjustment</t>
  </si>
  <si>
    <t>Hyperinflation</t>
  </si>
  <si>
    <t>Impairment</t>
  </si>
  <si>
    <t>M&amp;A Gain/Loss</t>
  </si>
  <si>
    <t>MTM Energia</t>
  </si>
  <si>
    <t>Discontinued operations</t>
  </si>
  <si>
    <t>Results from assets sales</t>
  </si>
  <si>
    <t>Trasaction costs</t>
  </si>
  <si>
    <t>Other Non Op. Results - Others</t>
  </si>
  <si>
    <t>CASH FLOW - DIVIDENDS RECEIVED</t>
  </si>
  <si>
    <t>Avellaneda</t>
  </si>
  <si>
    <t>Dividens Received from JVs</t>
  </si>
  <si>
    <t>Dividends received - Others</t>
  </si>
  <si>
    <t>CASH FLOW - NON EXPANSION CAPEX</t>
  </si>
  <si>
    <t>Health Safety &amp; Environment</t>
  </si>
  <si>
    <t>Non expansion capex - IT</t>
  </si>
  <si>
    <t>Modernization</t>
  </si>
  <si>
    <t>P&amp;D</t>
  </si>
  <si>
    <t>Sustaining</t>
  </si>
  <si>
    <t>Other  - ARO</t>
  </si>
  <si>
    <t>Other  - Asset Write-off</t>
  </si>
  <si>
    <t>DIFAL</t>
  </si>
  <si>
    <t>Legal Deposits</t>
  </si>
  <si>
    <t>Proceeds on Sales of Assets not in EBITDA</t>
  </si>
  <si>
    <t>Provision/ payments  and other variation on Long asset &amp; Liabilities Operations</t>
  </si>
  <si>
    <t>Other  - Others</t>
  </si>
  <si>
    <t>CASH FLOW - INV/DIV IN SUBSIDIARIES AND AFFILIATES</t>
  </si>
  <si>
    <t>Pangea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</si>
  <si>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</si>
  <si>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</si>
  <si>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</si>
  <si>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</si>
  <si>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</si>
  <si>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</si>
  <si>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</si>
  <si>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</si>
  <si>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</si>
  <si>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</si>
  <si>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CASH FLOW - PAYMENTS OF DIVIDENS TO CONTROLLING</t>
  </si>
  <si>
    <t>VSA</t>
  </si>
  <si>
    <t>Payments of Dividens to Controlling - Others</t>
  </si>
  <si>
    <t>CDPQ</t>
  </si>
  <si>
    <t>Payments of Dividens to Minority - Machadinho</t>
  </si>
  <si>
    <t>Payments of Dividens to Minority - Others</t>
  </si>
  <si>
    <t>CASH FLOW - EXPANSION CAPEX</t>
  </si>
  <si>
    <t>Expansion</t>
  </si>
  <si>
    <t>CASH FLOW - INTERCOMPANY DIVIDENDS</t>
  </si>
  <si>
    <t>From/To Artigas</t>
  </si>
  <si>
    <t>From/To CEISA</t>
  </si>
  <si>
    <t>From/To Itacamba</t>
  </si>
  <si>
    <t>From/To Trading</t>
  </si>
  <si>
    <t>From/To VCBR</t>
  </si>
  <si>
    <t>From/To VCEA</t>
  </si>
  <si>
    <t>From/To VCI</t>
  </si>
  <si>
    <t>From/To VCNA</t>
  </si>
  <si>
    <t>Intercompany dividends - Others</t>
  </si>
  <si>
    <t>CASH FLOW - FX/OTHERS</t>
  </si>
  <si>
    <t>Bank/Financial fees</t>
  </si>
  <si>
    <t>Cross Guarantee</t>
  </si>
  <si>
    <t>FX/Others - FC x BPC Adjustment</t>
  </si>
  <si>
    <t>Management Fees</t>
  </si>
  <si>
    <t>Securtization</t>
  </si>
  <si>
    <t>Withholding</t>
  </si>
  <si>
    <t>FX Variation</t>
  </si>
  <si>
    <t>Total Accounts Line</t>
  </si>
  <si>
    <t>MRO Inventory</t>
  </si>
  <si>
    <t>Product in Process Inventory- Days o/ CPS</t>
  </si>
  <si>
    <t>Concentrate Inventory - Days o/ VC</t>
  </si>
  <si>
    <t>MRO Inventory - Days o/ FC</t>
  </si>
  <si>
    <t>Opex Advancement - Days o/ VC</t>
  </si>
  <si>
    <t>Other Accounts Receivables - Days o/ DSO</t>
  </si>
  <si>
    <t>Account Receivable - Days o/ Rev</t>
  </si>
  <si>
    <t>Finished Product Inventory - Days o/ CPS - Other</t>
  </si>
  <si>
    <t>Initial Gross Debt Leasing</t>
  </si>
  <si>
    <t>Funding Leasing</t>
  </si>
  <si>
    <t>Accrual of Interest Leasing</t>
  </si>
  <si>
    <t>Monetary Variation Leasing</t>
  </si>
  <si>
    <t>Principal Amortization Leasing</t>
  </si>
  <si>
    <t>Interest Amortization Leasing</t>
  </si>
  <si>
    <t>Other Variation Leasing</t>
  </si>
  <si>
    <t>Variation by buy/sale of company Leasing</t>
  </si>
  <si>
    <t>Closing Balance Debt Leasing</t>
  </si>
  <si>
    <t>Initial Gross Debt Total</t>
  </si>
  <si>
    <t>Funding Total</t>
  </si>
  <si>
    <t>Accrual of Interest Total</t>
  </si>
  <si>
    <t>Principal Amortization Total</t>
  </si>
  <si>
    <t>Interest Amortization Total</t>
  </si>
  <si>
    <t>Other Variation Total</t>
  </si>
  <si>
    <t>Variation by buy/sale of company Total</t>
  </si>
  <si>
    <t>Foreign Exchange Variation Total</t>
  </si>
  <si>
    <t>Monetary Variation Total</t>
  </si>
  <si>
    <t>Closing Balance Debt Total</t>
  </si>
  <si>
    <t>FINANCIAL RESULTS - INCOME STATEMENT</t>
  </si>
  <si>
    <t>Interest Accrual</t>
  </si>
  <si>
    <t>Financial Expenses</t>
  </si>
  <si>
    <t>Financial Revenues</t>
  </si>
  <si>
    <t>Others</t>
  </si>
  <si>
    <t>PROJECTED BALANCE - ASSETS</t>
  </si>
  <si>
    <t>PROJECTED BALANCE - LIABILITIES</t>
  </si>
  <si>
    <t>PRODAL010 - Ag. Lime</t>
  </si>
  <si>
    <t>PRODAG010 - Aggregates</t>
  </si>
  <si>
    <t>PRODCE010 - Cement</t>
  </si>
  <si>
    <t>PRODCORP - Corporate</t>
  </si>
  <si>
    <t>PRODLM010 - Lime</t>
  </si>
  <si>
    <t>PRODMZ010 - Motz</t>
  </si>
  <si>
    <t>PRODMT010 - Mortars</t>
  </si>
  <si>
    <t>PRODRM010 - Ready Mix</t>
  </si>
  <si>
    <t>PROD099 - Others</t>
  </si>
  <si>
    <t>Dividends received</t>
  </si>
  <si>
    <t>CASH FLOW - PAYMENTS OF DIVIDENS TO MINORITY</t>
  </si>
  <si>
    <t>Initial Gross Debt</t>
  </si>
  <si>
    <t>PE</t>
  </si>
  <si>
    <t>REV.010.001</t>
  </si>
  <si>
    <t>REV.020.001</t>
  </si>
  <si>
    <t>REV.020.002</t>
  </si>
  <si>
    <t>REV.020.003</t>
  </si>
  <si>
    <t>REV.010.002</t>
  </si>
  <si>
    <t>REV.010.003</t>
  </si>
  <si>
    <t>REV.030.001</t>
  </si>
  <si>
    <t>EXP.010.001</t>
  </si>
  <si>
    <t>CST.010.001</t>
  </si>
  <si>
    <t>CST.020.001</t>
  </si>
  <si>
    <t>EXP.020.001</t>
  </si>
  <si>
    <t>ACL.OOR.010.001.01</t>
  </si>
  <si>
    <t>ACL.OOR.010.001.02</t>
  </si>
  <si>
    <t>ACL.OOR.010.001.03</t>
  </si>
  <si>
    <t>ACL.OOR.010.001.04</t>
  </si>
  <si>
    <t>ACL.OOR.010.001.05</t>
  </si>
  <si>
    <t>ACL.OOR.010.001.06</t>
  </si>
  <si>
    <t>ACL.OOR.010.001.07</t>
  </si>
  <si>
    <t>ACL.OOR.010.001.08</t>
  </si>
  <si>
    <t>ACL.OOR.010.001.09</t>
  </si>
  <si>
    <t>ACL.OOR.010.001.10</t>
  </si>
  <si>
    <t>ACL.OOR.010.001.11</t>
  </si>
  <si>
    <t>ACL.OOR.010.001.12</t>
  </si>
  <si>
    <t>ACL.OOR.010.001.13</t>
  </si>
  <si>
    <t>ACL.OOR.010.001.14</t>
  </si>
  <si>
    <t>ACL.OOR.010.001.15</t>
  </si>
  <si>
    <t>DEP.010.001</t>
  </si>
  <si>
    <t>DRE.099.004</t>
  </si>
  <si>
    <t>DRE.099.006</t>
  </si>
  <si>
    <t>OOR.010.001</t>
  </si>
  <si>
    <t>ACL.NOR.010.001.01</t>
  </si>
  <si>
    <t>ACL.NOR.010.001.02</t>
  </si>
  <si>
    <t>ACL.NOR.010.001.03</t>
  </si>
  <si>
    <t>ACL.NOR.010.001.04</t>
  </si>
  <si>
    <t>ACL.NOR.010.001.05</t>
  </si>
  <si>
    <t>ACL.NOR.010.001.06</t>
  </si>
  <si>
    <t>ACL.NOR.010.001.07</t>
  </si>
  <si>
    <t>ACL.NOR.010.001.08</t>
  </si>
  <si>
    <t>ACL.NOR.010.001.09</t>
  </si>
  <si>
    <t>ACL.NOR.010.001.10</t>
  </si>
  <si>
    <t>NOR.010.001</t>
  </si>
  <si>
    <t>ACL.FCF.040.001.01</t>
  </si>
  <si>
    <t>ACL.FCF.040.001.02</t>
  </si>
  <si>
    <t>ACL.FCF.040.001.03</t>
  </si>
  <si>
    <t>FCF.040.001</t>
  </si>
  <si>
    <t>FCF.030.001</t>
  </si>
  <si>
    <t>ACL.FCF.030.001.01</t>
  </si>
  <si>
    <t>ACL.FCF.030.001.03</t>
  </si>
  <si>
    <t>ACL.FCF.030.001.02</t>
  </si>
  <si>
    <t>ACL.FCF.030.001.04</t>
  </si>
  <si>
    <t>ACL.FCF.030.001.05</t>
  </si>
  <si>
    <t>ACL.FCF.050.001.01</t>
  </si>
  <si>
    <t>ACL.FCF.050.001.02</t>
  </si>
  <si>
    <t>ACL.FCF.050.001.03</t>
  </si>
  <si>
    <t>ACL.FCF.050.001.04</t>
  </si>
  <si>
    <t>ACL.FCF.050.001.05</t>
  </si>
  <si>
    <t>ACL.FCF.050.001.06</t>
  </si>
  <si>
    <t>ACL.FCF.050.001.07</t>
  </si>
  <si>
    <t>FCF.099.026</t>
  </si>
  <si>
    <t>FCF.099.028</t>
  </si>
  <si>
    <t>FCF.099.029</t>
  </si>
  <si>
    <t>ACL.FCF.060.000.01</t>
  </si>
  <si>
    <t>ACL.FCF.060.000.02</t>
  </si>
  <si>
    <t>ACL.FCF.060.000.03</t>
  </si>
  <si>
    <t>ACL.FCF.060.000.04</t>
  </si>
  <si>
    <t>ACL.FCF.060.000.05</t>
  </si>
  <si>
    <t>ACL.FCF.060.000.06</t>
  </si>
  <si>
    <t>ACL.FCF.060.000.07</t>
  </si>
  <si>
    <t>ACL.FCF.060.000.08</t>
  </si>
  <si>
    <t>ACL.FCF.060.000.09</t>
  </si>
  <si>
    <t>ACL.FCF.060.000.10</t>
  </si>
  <si>
    <t>ACL.FCF.060.000.11</t>
  </si>
  <si>
    <t>FCF.040.002</t>
  </si>
  <si>
    <t>ACL.FCF.040.002.01</t>
  </si>
  <si>
    <t>ACL.FCF.040.002.02</t>
  </si>
  <si>
    <t>ACL.FCF.040.003.01</t>
  </si>
  <si>
    <t>ACL.FCF.040.003.02</t>
  </si>
  <si>
    <t>ACL.FCF.040.003.03</t>
  </si>
  <si>
    <t>FCF.040.003</t>
  </si>
  <si>
    <t>FCF.030.002</t>
  </si>
  <si>
    <t>ACL.FCF.030.002.02</t>
  </si>
  <si>
    <t>ACL.FCF.080.001.01</t>
  </si>
  <si>
    <t>ACL.FCF.080.001.02</t>
  </si>
  <si>
    <t>ACL.FCF.080.001.03</t>
  </si>
  <si>
    <t>ACL.FCF.080.001.04</t>
  </si>
  <si>
    <t>ACL.FCF.080.001.05</t>
  </si>
  <si>
    <t>ACL.FCF.080.001.06</t>
  </si>
  <si>
    <t>ACL.FCF.080.001.07</t>
  </si>
  <si>
    <t>ACL.FCF.080.001.08</t>
  </si>
  <si>
    <t>ACL.FCF.080.001.09</t>
  </si>
  <si>
    <t>FCF.080.001</t>
  </si>
  <si>
    <t>FCF.099.031</t>
  </si>
  <si>
    <t>ACL.FCF.070.002.01</t>
  </si>
  <si>
    <t>ACL.FCF.070.002.02</t>
  </si>
  <si>
    <t>ACL.FCF.070.002.03</t>
  </si>
  <si>
    <t>ACL.FCF.070.002.04</t>
  </si>
  <si>
    <t>ACL.FCF.070.002.05</t>
  </si>
  <si>
    <t>ACL.FCF.070.002.06</t>
  </si>
  <si>
    <t>ACL.FCF.070.002.07</t>
  </si>
  <si>
    <t>ACL.FCF.070.002.08</t>
  </si>
  <si>
    <t>NOP.010.001</t>
  </si>
  <si>
    <t>NOP.020.001</t>
  </si>
  <si>
    <t>DRE.099.010</t>
  </si>
  <si>
    <t>DRE.099.014</t>
  </si>
  <si>
    <t>DRE.099.011</t>
  </si>
  <si>
    <t>DRE.099.012</t>
  </si>
  <si>
    <t>DRE.099.013</t>
  </si>
  <si>
    <t>WKC.030.002</t>
  </si>
  <si>
    <t>WKC.010.011</t>
  </si>
  <si>
    <t>WKC.010.012</t>
  </si>
  <si>
    <t>WKC.010.013</t>
  </si>
  <si>
    <t>WKC.010.014</t>
  </si>
  <si>
    <t>WKC.010.007</t>
  </si>
  <si>
    <t>WKC.010.015</t>
  </si>
  <si>
    <t>WKC.010.009</t>
  </si>
  <si>
    <t>WKC.020.001</t>
  </si>
  <si>
    <t>WKC.020.003</t>
  </si>
  <si>
    <t>WKC.020.007</t>
  </si>
  <si>
    <t>WKC.020.006</t>
  </si>
  <si>
    <t>WKC.099.009</t>
  </si>
  <si>
    <t>WKC.099.005</t>
  </si>
  <si>
    <t>WKC.010.001</t>
  </si>
  <si>
    <t>WKC.010.002</t>
  </si>
  <si>
    <t>WKC.010.003</t>
  </si>
  <si>
    <t>WKC.010.017</t>
  </si>
  <si>
    <t>WKC.010.004</t>
  </si>
  <si>
    <t>WKC.010.008</t>
  </si>
  <si>
    <t>WKC.010.005</t>
  </si>
  <si>
    <t>WKC.010.006</t>
  </si>
  <si>
    <t>WKC.020.002</t>
  </si>
  <si>
    <t>WKC.020.008</t>
  </si>
  <si>
    <t>WKC.020.004</t>
  </si>
  <si>
    <t>WKC.020.005</t>
  </si>
  <si>
    <t>WKC.030.001</t>
  </si>
  <si>
    <t>WKC.099.006</t>
  </si>
  <si>
    <t>WKC.099.007</t>
  </si>
  <si>
    <t>WKC.099.008</t>
  </si>
  <si>
    <t>DEB.099.005</t>
  </si>
  <si>
    <t>DEB.099.006</t>
  </si>
  <si>
    <t>DEB.099.007</t>
  </si>
  <si>
    <t>DEB.099.008</t>
  </si>
  <si>
    <t>DEB.099.009</t>
  </si>
  <si>
    <t>DEB.099.010</t>
  </si>
  <si>
    <t>DEB.099.011</t>
  </si>
  <si>
    <t>DEB.099.012</t>
  </si>
  <si>
    <t>DEB.099.013</t>
  </si>
  <si>
    <t>DEB.099.014</t>
  </si>
  <si>
    <t>DEB.010.001</t>
  </si>
  <si>
    <t>DEB.010.003</t>
  </si>
  <si>
    <t>DEB.010.002</t>
  </si>
  <si>
    <t>DEB.010.004</t>
  </si>
  <si>
    <t>DEB.010.005</t>
  </si>
  <si>
    <t>DEB.010.007</t>
  </si>
  <si>
    <t>DEB.010.008</t>
  </si>
  <si>
    <t>DEB.099.003</t>
  </si>
  <si>
    <t>DEB.020.001</t>
  </si>
  <si>
    <t>DEB.020.002</t>
  </si>
  <si>
    <t>DEB.020.003</t>
  </si>
  <si>
    <t>DEB.020.004</t>
  </si>
  <si>
    <t>DEB.020.005</t>
  </si>
  <si>
    <t>DEB.020.006</t>
  </si>
  <si>
    <t>DEB.020.007</t>
  </si>
  <si>
    <t>DEB.020.008</t>
  </si>
  <si>
    <t>DEB.099.004</t>
  </si>
  <si>
    <t>DRE.099.007</t>
  </si>
  <si>
    <t>FIN.010.001</t>
  </si>
  <si>
    <t>FIN.099.004</t>
  </si>
  <si>
    <t>FIN.099.006</t>
  </si>
  <si>
    <t>FIN.099.003</t>
  </si>
  <si>
    <t>DRE.099.008</t>
  </si>
  <si>
    <t>FIN.010.002</t>
  </si>
  <si>
    <t>FIN.020.001</t>
  </si>
  <si>
    <t>DEB.099.001</t>
  </si>
  <si>
    <t>FIN.020.004</t>
  </si>
  <si>
    <t>FCF.099.009</t>
  </si>
  <si>
    <t>FIN.020.002</t>
  </si>
  <si>
    <t>FIN.030.001</t>
  </si>
  <si>
    <t>FIN.030.002</t>
  </si>
  <si>
    <t>FIN.030.003</t>
  </si>
  <si>
    <t>FIN.030.004</t>
  </si>
  <si>
    <t>FIN.030.005</t>
  </si>
  <si>
    <t>FIN.030.006</t>
  </si>
  <si>
    <t>FIN.040.001</t>
  </si>
  <si>
    <t>FIN.040.002</t>
  </si>
  <si>
    <t>FIN.040.004</t>
  </si>
  <si>
    <t>FCF.099.003</t>
  </si>
  <si>
    <t>FIN.050.001</t>
  </si>
  <si>
    <t>FIN.050.002</t>
  </si>
  <si>
    <t>FIN.050.003</t>
  </si>
  <si>
    <t>FIN.050.004</t>
  </si>
  <si>
    <t>FIN.060.001</t>
  </si>
  <si>
    <t>WKC.099.002</t>
  </si>
  <si>
    <t>DEB.010.006</t>
  </si>
  <si>
    <t>FIN.099.005</t>
  </si>
  <si>
    <t>FCF.099.004</t>
  </si>
  <si>
    <t>FCF.099.024</t>
  </si>
  <si>
    <t>FCF.099.025</t>
  </si>
  <si>
    <t>FCF.099.027</t>
  </si>
  <si>
    <t>FCF.099.006</t>
  </si>
  <si>
    <t>FCF.099.030</t>
  </si>
  <si>
    <t>FCF.099.007</t>
  </si>
  <si>
    <t>FCF.099.010</t>
  </si>
  <si>
    <t>FCF.099.011</t>
  </si>
  <si>
    <t>FCF.099.012</t>
  </si>
  <si>
    <t>FCF.099.013</t>
  </si>
  <si>
    <t>FCF.099.014</t>
  </si>
  <si>
    <t>FCF.099.015</t>
  </si>
  <si>
    <t>FCF.099.016</t>
  </si>
  <si>
    <t>DEB.99.003</t>
  </si>
  <si>
    <t>FCF.099.017</t>
  </si>
  <si>
    <t>FCF.099.019</t>
  </si>
  <si>
    <t>FCF.099.020</t>
  </si>
  <si>
    <t>FCF.099.018</t>
  </si>
  <si>
    <t>FCF.099.021</t>
  </si>
  <si>
    <t>FCF.099.022</t>
  </si>
  <si>
    <t>FCF.099.023</t>
  </si>
  <si>
    <t>FCF.090.001</t>
  </si>
  <si>
    <t>Global Assumptions - Input</t>
  </si>
  <si>
    <t>Input Status:</t>
  </si>
  <si>
    <t>Dre - Other OP. Results</t>
  </si>
  <si>
    <t>PRODAG011 - PrairieAGG</t>
  </si>
  <si>
    <t>PRODAG012 - CBMAGG</t>
  </si>
  <si>
    <t>PRODAG013 - UnitedAGG</t>
  </si>
  <si>
    <t>PRODAG014 - SuperiorAGG</t>
  </si>
  <si>
    <t>PRODCE011 - CemGLCan</t>
  </si>
  <si>
    <t>PRODCE012 - CemGLUSA</t>
  </si>
  <si>
    <t>PROD1000000 - Teste</t>
  </si>
  <si>
    <t>PRODRM011 - PrairieRMX</t>
  </si>
  <si>
    <t>PRODRM012 - CBMRMX</t>
  </si>
  <si>
    <t>PRODRM013 - UnitedRMX</t>
  </si>
  <si>
    <t>PRODRM014 - SuperiorRMX</t>
  </si>
  <si>
    <t>PRODRM015 - MidwayRMX</t>
  </si>
  <si>
    <t>[Input_VC_Geral.xlsx]Input_Prod_04!E33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</si>
</sst>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36"/>
      <color rgb="FF15B39E"/>
      <name val="Arial Black"/>
      <family val="2"/>
    </font>
    <font>
      <b/>
      <sz val="18"/>
      <color theme="1"/>
      <name val="Arial"/>
      <family val="2"/>
    </font>
    <font>
      <sz val="8"/>
      <name val="Aptos Narrow"/>
      <family val="2"/>
      <scheme val="minor"/>
    </font>
    <font>
      <b/>
      <sz val="14"/>
      <color theme="1" tint="0.249977111117893"/>
      <name val="Verdana"/>
      <family val="2"/>
    </font>
    <font>
      <sz val="10"/>
      <color theme="1" tint="0.249977111117893"/>
      <name val="Arial Black"/>
      <family val="2"/>
    </font>
    <font>
      <b/>
      <sz val="11"/>
      <color rgb="FF808080"/>
      <name val="Arial"/>
      <family val="2"/>
    </font>
    <font>
      <sz val="8"/>
      <color theme="1"/>
      <name val="Arial"/>
      <family val="2"/>
    </font>
    <font>
      <sz val="11"/>
      <color theme="0" tint="-0.499984740745262"/>
      <name val="Verdana"/>
      <family val="2"/>
    </font>
    <font>
      <sz val="11"/>
      <color theme="2" tint="-0.89999084444715716"/>
      <name val="Verdana"/>
      <family val="2"/>
    </font>
    <font>
      <sz val="9"/>
      <color theme="0" tint="-0.499984740745262"/>
      <name val="Verdana"/>
      <family val="2"/>
    </font>
    <font>
      <b/>
      <sz val="10"/>
      <color theme="0"/>
      <name val="Verdana"/>
      <family val="2"/>
    </font>
    <font>
      <b/>
      <sz val="10"/>
      <color theme="1" tint="0.249977111117893"/>
      <name val="Verdana"/>
      <family val="2"/>
    </font>
    <font>
      <b/>
      <sz val="11"/>
      <color rgb="FF808080"/>
      <name val="Verdana"/>
      <family val="2"/>
    </font>
    <font>
      <sz val="9"/>
      <color theme="1"/>
      <name val="Verdana"/>
      <family val="2"/>
    </font>
    <font>
      <b/>
      <sz val="10"/>
      <color indexed="63"/>
      <name val="Verdana"/>
      <family val="2"/>
    </font>
    <font>
      <sz val="9"/>
      <color indexed="23"/>
      <name val="Verdana"/>
      <family val="2"/>
    </font>
    <font>
      <sz val="9"/>
      <color theme="0" tint="-0.499984740745262"/>
      <name val="Verdana"/>
    </font>
    <font>
      <b/>
      <sz val="18"/>
      <color rgb="FFF7FBFE"/>
      <name val="Arial"/>
      <family val="2"/>
    </font>
    <font>
      <sz val="11"/>
      <color theme="0"/>
      <name val="Aptos Narrow"/>
      <family val="2"/>
      <scheme val="minor"/>
    </font>
    <font>
      <sz val="16"/>
      <color theme="0"/>
      <name val="Arial"/>
      <family val="2"/>
    </font>
    <font>
      <b/>
      <sz val="18"/>
      <color theme="0"/>
      <name val="Arial"/>
      <family val="2"/>
    </font>
    <font>
      <sz val="16"/>
      <color rgb="FFF7FBFE"/>
      <name val="Arial"/>
      <family val="2"/>
    </font>
    <font>
      <sz val="11"/>
      <color rgb="FFF7FBFE"/>
      <name val="Aptos Narrow"/>
      <family val="2"/>
      <scheme val="minor"/>
    </font>
    <font>
      <sz val="9"/>
      <color rgb="FFF7FBFE"/>
      <name val="Verdana"/>
      <family val="2"/>
    </font>
    <font>
      <b/>
      <sz val="14"/>
      <color theme="1" tint="0.249977111117893"/>
      <name val="Votorantim Sans"/>
    </font>
    <font>
      <b/>
      <sz val="18"/>
      <color rgb="FF0000BF"/>
      <name val="Votorantim Sans"/>
    </font>
    <font>
      <sz val="16"/>
      <color theme="1"/>
      <name val="Votorantim Sans"/>
    </font>
    <font>
      <b/>
      <sz val="36"/>
      <color rgb="FF15B39E"/>
      <name val="Votorantim Sans"/>
    </font>
    <font>
      <b/>
      <sz val="10"/>
      <color theme="1" tint="0.249977111117893"/>
      <name val="Votorantim Sans"/>
    </font>
    <font>
      <b/>
      <sz val="11"/>
      <color rgb="FF808080"/>
      <name val="Votorantim Sans"/>
    </font>
    <font>
      <sz val="10"/>
      <color theme="1" tint="0.249977111117893"/>
      <name val="Votorantim Sans"/>
    </font>
    <font>
      <b/>
      <sz val="10"/>
      <color theme="0"/>
      <name val="Votorantim Sans"/>
    </font>
    <font>
      <sz val="8"/>
      <color theme="1"/>
      <name val="Votorantim Sans"/>
    </font>
    <font>
      <b/>
      <sz val="18"/>
      <color theme="1"/>
      <name val="Votorantim Sans"/>
    </font>
    <font>
      <sz val="9"/>
      <color theme="1"/>
      <name val="Votorantim Sans"/>
    </font>
    <font>
      <sz val="11"/>
      <color theme="2" tint="-0.89999084444715716"/>
      <name val="Votorantim Sans"/>
    </font>
    <font>
      <sz val="11"/>
      <color theme="1"/>
      <name val="Votorantim Sans"/>
    </font>
    <font>
      <sz val="9"/>
      <color theme="0" tint="-0.499984740745262"/>
      <name val="Votorantim Sans"/>
    </font>
    <font>
      <sz val="11"/>
      <color theme="0" tint="-0.499984740745262"/>
      <name val="Votorantim Sans"/>
    </font>
    <font>
      <b/>
      <sz val="18"/>
      <color rgb="FFF7FBFE"/>
      <name val="Votorantim Sans"/>
    </font>
    <font>
      <sz val="16"/>
      <color indexed="8"/>
      <name val="Votorantim Sans"/>
    </font>
    <font>
      <b/>
      <sz val="10"/>
      <color indexed="63"/>
      <name val="Votorantim Sans"/>
    </font>
    <font>
      <b/>
      <sz val="11"/>
      <color theme="1" tint="0.34998626667073579"/>
      <name val="Votorantim Sans"/>
    </font>
    <font>
      <b/>
      <sz val="10"/>
      <color theme="1" tint="0.34998626667073579"/>
      <name val="Votorantim Sans"/>
    </font>
    <font>
      <b/>
      <sz val="10"/>
      <color theme="1" tint="0.34998626667073579"/>
      <name val="Verdana"/>
      <family val="2"/>
    </font>
    <font>
      <sz val="16"/>
      <color theme="1" tint="0.34998626667073579"/>
      <name val="Votorantim Sans"/>
    </font>
  </fonts>
  <fills count="8">
    <fill>
      <patternFill patternType="none"/>
    </fill>
    <fill>
      <patternFill patternType="gray125"/>
    </fill>
    <fill>
      <patternFill patternType="solid">
        <fgColor rgb="FFF7FBFE"/>
        <bgColor indexed="64"/>
      </patternFill>
    </fill>
    <fill>
      <patternFill patternType="solid">
        <fgColor rgb="FF0000B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15B39E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33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center" vertical="center"/>
    </xf>
    <xf numFmtId="0" fontId="40" fillId="6" borderId="2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64" fontId="38" fillId="4" borderId="22" xfId="1" applyFont="1" applyFill="1" applyBorder="1" applyAlignment="1">
      <alignment horizontal="center" vertical="center" wrapText="1"/>
    </xf>
    <xf numFmtId="164" fontId="41" fillId="2" borderId="21" xfId="1" applyFont="1" applyFill="1" applyBorder="1" applyAlignment="1">
      <alignment horizontal="center" vertical="center" wrapText="1"/>
    </xf>
    <xf numFmtId="9" fontId="41" fillId="2" borderId="3" xfId="2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164" fontId="41" fillId="2" borderId="3" xfId="1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39" fillId="0" borderId="0" xfId="0" applyFont="1"/>
    <xf numFmtId="0" fontId="37" fillId="4" borderId="8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9" fontId="38" fillId="4" borderId="5" xfId="2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/>
    </xf>
    <xf numFmtId="0" fontId="38" fillId="4" borderId="5" xfId="1" applyNumberFormat="1" applyFont="1" applyFill="1" applyBorder="1" applyAlignment="1">
      <alignment horizontal="center" vertical="center" wrapText="1"/>
    </xf>
    <xf numFmtId="164" fontId="38" fillId="4" borderId="5" xfId="1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2" borderId="0" xfId="0" applyFont="1" applyFill="1" applyAlignment="1">
      <alignment horizontal="center" vertical="center"/>
    </xf>
    <xf numFmtId="164" fontId="10" fillId="2" borderId="3" xfId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164" fontId="11" fillId="4" borderId="5" xfId="1" applyFont="1" applyFill="1" applyBorder="1" applyAlignment="1">
      <alignment horizontal="center" vertical="center" wrapText="1"/>
    </xf>
    <xf numFmtId="164" fontId="11" fillId="4" borderId="7" xfId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8" fillId="2" borderId="9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164" fontId="11" fillId="4" borderId="14" xfId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164" fontId="11" fillId="4" borderId="16" xfId="1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164" fontId="11" fillId="4" borderId="18" xfId="1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vertical="center" wrapText="1"/>
    </xf>
    <xf numFmtId="0" fontId="12" fillId="2" borderId="19" xfId="0" applyFont="1" applyFill="1" applyBorder="1" applyAlignment="1">
      <alignment vertical="center" wrapText="1"/>
    </xf>
    <xf numFmtId="0" fontId="16" fillId="4" borderId="20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164" fontId="10" fillId="2" borderId="0" xfId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left" vertical="center" wrapText="1"/>
    </xf>
    <xf numFmtId="164" fontId="10" fillId="2" borderId="10" xfId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1" fillId="0" borderId="0" xfId="0" applyFont="1"/>
    <xf numFmtId="0" fontId="2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0" borderId="0" xfId="0" applyFont="1"/>
    <xf numFmtId="0" fontId="26" fillId="4" borderId="8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/>
    </xf>
    <xf numFmtId="0" fontId="29" fillId="7" borderId="23" xfId="0" applyFont="1" applyFill="1" applyBorder="1" applyAlignment="1">
      <alignment horizontal="center" vertical="center"/>
    </xf>
    <xf numFmtId="0" fontId="31" fillId="7" borderId="23" xfId="0" applyFont="1" applyFill="1" applyBorder="1" applyAlignment="1">
      <alignment horizontal="left" vertical="center"/>
    </xf>
    <xf numFmtId="0" fontId="30" fillId="7" borderId="24" xfId="0" applyFont="1" applyFill="1" applyBorder="1" applyAlignment="1">
      <alignment horizontal="left" vertical="center"/>
    </xf>
    <xf numFmtId="0" fontId="29" fillId="7" borderId="24" xfId="0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31" fillId="7" borderId="24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0" fillId="0" borderId="0" xfId="0" quotePrefix="1"/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0" fillId="7" borderId="0" xfId="0" applyFill="1" applyBorder="1"/>
    <xf numFmtId="0" fontId="17" fillId="7" borderId="0" xfId="0" applyFont="1" applyFill="1" applyBorder="1" applyAlignment="1">
      <alignment horizontal="left" vertical="center"/>
    </xf>
    <xf numFmtId="0" fontId="2" fillId="7" borderId="27" xfId="0" applyFont="1" applyFill="1" applyBorder="1" applyAlignment="1">
      <alignment horizontal="center" vertical="center"/>
    </xf>
    <xf numFmtId="0" fontId="0" fillId="7" borderId="27" xfId="0" applyFill="1" applyBorder="1"/>
    <xf numFmtId="0" fontId="3" fillId="7" borderId="28" xfId="0" applyFont="1" applyFill="1" applyBorder="1" applyAlignment="1">
      <alignment horizontal="left" vertical="center"/>
    </xf>
    <xf numFmtId="0" fontId="2" fillId="7" borderId="28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horizontal="center" vertical="center" wrapText="1"/>
    </xf>
    <xf numFmtId="0" fontId="48" fillId="7" borderId="0" xfId="0" applyFont="1" applyFill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48" fillId="7" borderId="0" xfId="0" applyNumberFormat="1" applyFont="1" applyFill="1" applyAlignment="1">
      <alignment horizontal="center" vertical="center"/>
    </xf>
    <xf numFmtId="0" fontId="46" fillId="2" borderId="26" xfId="0" applyNumberFormat="1" applyFont="1" applyFill="1" applyBorder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45" fillId="2" borderId="26" xfId="0" applyFont="1" applyFill="1" applyBorder="1" applyAlignment="1">
      <alignment horizontal="center" vertical="center"/>
    </xf>
    <xf numFmtId="0" fontId="46" fillId="2" borderId="26" xfId="0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</cellXfs>
  <cellStyles count="3">
    <cellStyle name="Normal" xfId="0" builtinId="0" customBuiltin="1"/>
    <cellStyle name="Porcentagem" xfId="2" builtinId="5"/>
    <cellStyle name="Vírgula" xfId="1" builtinId="3"/>
  </cellStyles>
  <dxfs count="91"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BF"/>
      <color rgb="FFF7FBFE"/>
      <color rgb="FFEE6F6C"/>
      <color rgb="FFFFFFCD"/>
      <color rgb="FF808080"/>
      <color rgb="FF00B23D"/>
      <color rgb="FF96E637"/>
      <color rgb="FFD0D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137160</xdr:colOff>
      <xdr:row>6</xdr:row>
      <xdr:rowOff>30480</xdr:rowOff>
    </xdr:from>
    <xdr:to>
      <xdr:col>14</xdr:col>
      <xdr:colOff>223761</xdr:colOff>
      <xdr:row>9</xdr:row>
      <xdr:rowOff>9313</xdr:rowOff>
    </xdr:to>
    <xdr:pic>
      <xdr:nvPicPr>
        <xdr:cNvPr id="3" name="Gráfico 13">
          <a:extLst>
            <a:ext uri="{FF2B5EF4-FFF2-40B4-BE49-F238E27FC236}">
              <a16:creationId xmlns:a16="http://schemas.microsoft.com/office/drawing/2014/main" id="{0E580C18-9EEB-46C7-A9EA-8C9B39D6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17140" y="30480"/>
          <a:ext cx="2425941" cy="550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373380</xdr:colOff>
      <xdr:row>6</xdr:row>
      <xdr:rowOff>60960</xdr:rowOff>
    </xdr:from>
    <xdr:to>
      <xdr:col>16</xdr:col>
      <xdr:colOff>787641</xdr:colOff>
      <xdr:row>9</xdr:row>
      <xdr:rowOff>16933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72EC1782-1CFB-44AD-B750-909586A1F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71420" y="60960"/>
          <a:ext cx="2425941" cy="550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15240</xdr:colOff>
      <xdr:row>5</xdr:row>
      <xdr:rowOff>30480</xdr:rowOff>
    </xdr:from>
    <xdr:to>
      <xdr:col>14</xdr:col>
      <xdr:colOff>101841</xdr:colOff>
      <xdr:row>8</xdr:row>
      <xdr:rowOff>32173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65377DD0-75F7-42BA-85A0-432821AFF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62860" y="30480"/>
          <a:ext cx="2425941" cy="550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7620</xdr:colOff>
      <xdr:row>5</xdr:row>
      <xdr:rowOff>38100</xdr:rowOff>
    </xdr:from>
    <xdr:to>
      <xdr:col>14</xdr:col>
      <xdr:colOff>94221</xdr:colOff>
      <xdr:row>8</xdr:row>
      <xdr:rowOff>39793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7A3A8D22-8F50-4EDF-89B5-2DC467C9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55240" y="38100"/>
          <a:ext cx="2425941" cy="550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30480</xdr:colOff>
      <xdr:row>5</xdr:row>
      <xdr:rowOff>22860</xdr:rowOff>
    </xdr:from>
    <xdr:to>
      <xdr:col>14</xdr:col>
      <xdr:colOff>117081</xdr:colOff>
      <xdr:row>8</xdr:row>
      <xdr:rowOff>24553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DFF8A282-E404-4C25-A171-2E684C23C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78100" y="22860"/>
          <a:ext cx="2425941" cy="5503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7620</xdr:colOff>
      <xdr:row>5</xdr:row>
      <xdr:rowOff>38100</xdr:rowOff>
    </xdr:from>
    <xdr:to>
      <xdr:col>14</xdr:col>
      <xdr:colOff>94221</xdr:colOff>
      <xdr:row>8</xdr:row>
      <xdr:rowOff>39793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E17A5B02-D552-432A-8221-C76C7E17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55240" y="38100"/>
          <a:ext cx="2425941" cy="5503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45720</xdr:colOff>
      <xdr:row>5</xdr:row>
      <xdr:rowOff>30480</xdr:rowOff>
    </xdr:from>
    <xdr:to>
      <xdr:col>14</xdr:col>
      <xdr:colOff>132321</xdr:colOff>
      <xdr:row>8</xdr:row>
      <xdr:rowOff>32173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CF65B89C-4E4A-4216-8491-5B853B66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93340" y="30480"/>
          <a:ext cx="2425941" cy="550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8AF484-EF55-466C-91B7-525914096985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6O1t3FdpdjunFvvvvw5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2AF3-93A0-4BF9-88D3-BF34E5B86391}">
  <sheetPr codeName="Planilha1"/>
  <dimension ref="A1:X357"/>
  <sheetViews>
    <sheetView showGridLines="0" tabSelected="1" topLeftCell="A7" zoomScaleNormal="100" workbookViewId="0">
      <selection activeCell="D9" sqref="D9"/>
    </sheetView>
  </sheetViews>
  <sheetFormatPr defaultColWidth="12.44140625" defaultRowHeight="15.75" customHeight="1"/>
  <cols>
    <col min="1" max="1" width="3.33203125" style="69" customWidth="1"/>
    <col min="2" max="2" width="43.44140625" style="29" customWidth="1"/>
    <col min="3" max="3" width="14.109375" style="29" customWidth="1"/>
    <col min="4" max="10" width="17.5546875" style="29" bestFit="1" customWidth="1"/>
    <col min="11" max="11" width="18.554687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9"/>
      <c r="B1" s="29" t="str">
        <f>_xll.VIEW("CONS_VC_PRD:STG.100.DataBase_Uploads",F12)</f>
        <v>CONS_VC_PRD:STG.100.DataBase_Uploads:1238482367-298299361</v>
      </c>
      <c r="C1" s="29" t="str">
        <f>_xll.VIEW("CONS_VC_PRD:ALL.015.Region_Assumptions")</f>
        <v>CONS_VC_PRD:ALL.015.Region_Assumptions:1238482367-1481494521</v>
      </c>
      <c r="D1" s="29" t="str">
        <f>_xll.VIEW("CONS_VC_PRD:DFS.120.Financial_Results")</f>
        <v>CONS_VC_PRD:DFS.120.Financial_Results:1238482367-1083526962</v>
      </c>
      <c r="K1" s="29" t="s">
        <v>53</v>
      </c>
      <c r="L1" s="29" t="s">
        <v>49</v>
      </c>
      <c r="M1" s="34" t="str">
        <f>_xll.SUBNM("CONS_VC_PRD:ALL.D.Version","","T3")</f>
        <v>T3</v>
      </c>
      <c r="N1" s="29" t="s">
        <v>54</v>
      </c>
    </row>
    <row r="2" spans="1:19" s="29" customFormat="1" ht="33" hidden="1" customHeight="1">
      <c r="A2" s="69"/>
      <c r="B2" s="29" t="str">
        <f>_xll.VIEW("CONS_VC_PRD:REV.100.Revenue_Consolidated")</f>
        <v>CONS_VC_PRD:REV.100.Revenue_Consolidated:1238482367-226826383</v>
      </c>
      <c r="C2" s="29" t="str">
        <f>_xll.VIEW("CONS_VC_PRD:ALL.010.Economic_Assumptions")</f>
        <v>CONS_VC_PRD:ALL.010.Economic_Assumptions:1238482367145679083</v>
      </c>
      <c r="D2" s="29" t="str">
        <f>_xll.VIEW("CONS_VC_PRD:DFS.140.Indirect_Cash_Flow")</f>
        <v>CONS_VC_PRD:DFS.140.Indirect_Cash_Flow:1238482367-1117995735</v>
      </c>
      <c r="K2" s="29" t="s">
        <v>52</v>
      </c>
      <c r="N2" s="29" t="s">
        <v>55</v>
      </c>
    </row>
    <row r="3" spans="1:19" s="29" customFormat="1" ht="29.25" hidden="1" customHeight="1">
      <c r="A3" s="69"/>
      <c r="B3" s="29" t="str">
        <f>_xll.VIEW("CONS_VC_PRD:DFS.100.Profit_and_Loss")</f>
        <v>CONS_VC_PRD:DFS.100.Profit_and_Loss:123848236720210810</v>
      </c>
      <c r="C3" s="29" t="str">
        <f>_xll.VIEW("CONS_VC_PRD:DFS.160.Working_Capital")</f>
        <v>CONS_VC_PRD:DFS.160.Working_Capital:1238482367-2032607141</v>
      </c>
      <c r="D3" s="29" t="str">
        <f>_xll.VIEW("CONS_VC_PRD:ALL.004.Uploads_Status_Planning")</f>
        <v>CONS_VC_PRD:ALL.004.Uploads_Status_Planning:1238482367-886898250</v>
      </c>
      <c r="G3" s="29" t="s">
        <v>63</v>
      </c>
    </row>
    <row r="4" spans="1:19" s="29" customFormat="1" ht="33" hidden="1" customHeight="1">
      <c r="A4" s="69"/>
      <c r="B4" s="29" t="str">
        <f>_xll.VIEW("CONS_VC_PRD:ALL.001.Actual_Control")</f>
        <v>CONS_VC_PRD:ALL.001.Actual_Control:1238482367-2039581856</v>
      </c>
      <c r="C4" s="29" t="str">
        <f>_xll.VIEW("CONS_VC_PRD:DFS.180.Gross_Debt")</f>
        <v>CONS_VC_PRD:DFS.180.Gross_Debt:1238482367-1307852146</v>
      </c>
    </row>
    <row r="5" spans="1:19" s="29" customFormat="1" ht="30" hidden="1" customHeight="1">
      <c r="A5" s="69"/>
      <c r="C5" t="str">
        <f>_xll.DBRW(Cons_Region!$B$4,Cons_Region!$F$12,Cons_Region!C15,$M$1,$G$3)</f>
        <v>ACTUAL</v>
      </c>
      <c r="D5" t="str">
        <f>_xll.DBRW(Cons_Region!$B$4,Cons_Region!$F$12,Cons_Region!D15,$M$1,$G$3)</f>
        <v/>
      </c>
      <c r="E5" t="str">
        <f>_xll.DBRW(Cons_Region!$B$4,Cons_Region!$F$12,Cons_Region!E15,$M$1,$G$3)</f>
        <v/>
      </c>
      <c r="F5" t="str">
        <f>_xll.DBRW(Cons_Region!$B$4,Cons_Region!$F$12,Cons_Region!F15,$M$1,$G$3)</f>
        <v/>
      </c>
      <c r="G5" t="str">
        <f>_xll.DBRW(Cons_Region!$B$4,Cons_Region!$F$12,Cons_Region!G15,$M$1,$G$3)</f>
        <v/>
      </c>
      <c r="H5" t="str">
        <f>_xll.DBRW(Cons_Region!$B$4,Cons_Region!$F$12,Cons_Region!H15,$M$1,$G$3)</f>
        <v/>
      </c>
      <c r="I5" t="str">
        <f>_xll.DBRW(Cons_Region!$B$4,Cons_Region!$F$12,Cons_Region!I15,$M$1,$G$3)</f>
        <v/>
      </c>
      <c r="J5" t="str">
        <f>_xll.DBRW(Cons_Region!$B$4,Cons_Region!$F$12,Cons_Region!J15,$M$1,$G$3)</f>
        <v/>
      </c>
      <c r="K5" t="str">
        <f>_xll.DBRW(Cons_Region!$B$4,Cons_Region!$F$12,Cons_Region!K15,$M$1,$G$3)</f>
        <v/>
      </c>
      <c r="L5" t="str">
        <f>_xll.DBRW(Cons_Region!$B$4,Cons_Region!$F$12,Cons_Region!L15,$M$1,$G$3)</f>
        <v/>
      </c>
      <c r="M5" t="str">
        <f>_xll.DBRW(Cons_Region!$B$4,Cons_Region!$F$12,Cons_Region!M15,$M$1,$G$3)</f>
        <v/>
      </c>
      <c r="N5" t="str">
        <f>_xll.DBRW(Cons_Region!$B$4,Cons_Region!$F$12,Cons_Region!N15,$M$1,$G$3)</f>
        <v/>
      </c>
    </row>
    <row r="6" spans="1:19" s="29" customFormat="1" ht="19.5" hidden="1" customHeight="1">
      <c r="A6" s="69"/>
    </row>
    <row r="7" spans="1:19" s="29" customFormat="1" ht="15" customHeight="1">
      <c r="A7" s="69"/>
      <c r="B7" s="82" t="s">
        <v>522</v>
      </c>
      <c r="C7" s="82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1:19" s="29" customFormat="1" ht="15" customHeight="1">
      <c r="A8" s="69"/>
      <c r="B8" s="82"/>
      <c r="C8" s="8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1:19" s="29" customFormat="1" ht="15" customHeight="1">
      <c r="A9" s="69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1:19" s="29" customFormat="1" ht="6.6" customHeight="1">
      <c r="A10" s="69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19" s="29" customFormat="1" ht="15" customHeight="1">
      <c r="A11" s="69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81"/>
      <c r="M11" s="81"/>
      <c r="N11" s="78"/>
      <c r="O11" s="78"/>
      <c r="P11" s="78"/>
      <c r="Q11" s="78"/>
      <c r="R11" s="78"/>
      <c r="S11" s="78"/>
    </row>
    <row r="12" spans="1:19" s="29" customFormat="1" ht="21" customHeight="1">
      <c r="A12" s="69"/>
      <c r="B12" s="74"/>
      <c r="C12" s="89" t="str">
        <f>_xll.SUBNM("CONS_VC_PRD:ALL.D.Region","Nível 0","VCBR","MEMBER_NAME")</f>
        <v>VCBR</v>
      </c>
      <c r="D12" s="89"/>
      <c r="E12" s="74"/>
      <c r="F12" s="79" t="str">
        <f>_xll.SUBNM("CONS_VC_PRD:ALL.D.Year","SYS_Picklist","2026","MEMBER_NAME")</f>
        <v>2026</v>
      </c>
      <c r="G12" s="74"/>
      <c r="H12" s="79" t="str">
        <f>_xll.SUBNM("CONS_VC_PRD:ALL.D.Currency","PAX","BRL","Nome alternativo")</f>
        <v>BRL</v>
      </c>
      <c r="I12" s="74"/>
      <c r="J12" s="79" t="s">
        <v>523</v>
      </c>
      <c r="K12" s="79" t="str">
        <f>_xll.DBRW($D$3,$M$1,$C$12,"Financial_Planning","Status")</f>
        <v>Open</v>
      </c>
      <c r="L12" s="74"/>
      <c r="M12" s="74"/>
      <c r="N12" s="74"/>
      <c r="O12" s="74"/>
      <c r="P12" s="74"/>
      <c r="Q12" s="74"/>
      <c r="R12" s="74"/>
      <c r="S12" s="74"/>
    </row>
    <row r="13" spans="1:19" s="29" customFormat="1" ht="15" customHeight="1">
      <c r="A13" s="69"/>
      <c r="B13" s="75"/>
      <c r="C13" s="76"/>
      <c r="D13" s="75"/>
      <c r="E13" s="75"/>
      <c r="F13" s="76"/>
      <c r="G13" s="75"/>
      <c r="H13" s="75"/>
      <c r="I13" s="76"/>
      <c r="J13" s="75"/>
      <c r="K13" s="75"/>
      <c r="L13" s="75"/>
      <c r="M13" s="75"/>
      <c r="N13" s="75"/>
      <c r="O13" s="75"/>
      <c r="P13" s="75"/>
      <c r="Q13" s="75"/>
      <c r="R13" s="75"/>
      <c r="S13" s="75"/>
    </row>
    <row r="14" spans="1:19" s="29" customFormat="1" ht="15" customHeight="1">
      <c r="A14" s="69"/>
      <c r="B14" s="27"/>
      <c r="C14" s="1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80">
        <f>$F$12+1</f>
        <v>2027</v>
      </c>
      <c r="P14" s="80">
        <f>$F$12+2</f>
        <v>2028</v>
      </c>
      <c r="Q14" s="80">
        <f>$F$12+3</f>
        <v>2029</v>
      </c>
      <c r="R14" s="80">
        <f>$F$12+4</f>
        <v>2030</v>
      </c>
      <c r="S14" s="80">
        <f>$F$12+5</f>
        <v>2031</v>
      </c>
    </row>
    <row r="15" spans="1:19" s="29" customFormat="1" ht="45" hidden="1" customHeight="1">
      <c r="A15" s="69"/>
      <c r="B15" s="25"/>
      <c r="C15" s="24" t="s">
        <v>30</v>
      </c>
      <c r="D15" s="24" t="s">
        <v>31</v>
      </c>
      <c r="E15" s="24" t="s">
        <v>32</v>
      </c>
      <c r="F15" s="24" t="s">
        <v>33</v>
      </c>
      <c r="G15" s="24" t="s">
        <v>34</v>
      </c>
      <c r="H15" s="24" t="s">
        <v>35</v>
      </c>
      <c r="I15" s="24" t="s">
        <v>36</v>
      </c>
      <c r="J15" s="24" t="s">
        <v>37</v>
      </c>
      <c r="K15" s="24" t="s">
        <v>38</v>
      </c>
      <c r="L15" s="24" t="s">
        <v>39</v>
      </c>
      <c r="M15" s="24" t="s">
        <v>40</v>
      </c>
      <c r="N15" s="24" t="s">
        <v>41</v>
      </c>
      <c r="O15" s="23" t="s">
        <v>304</v>
      </c>
      <c r="P15" s="23" t="s">
        <v>304</v>
      </c>
      <c r="Q15" s="23" t="s">
        <v>304</v>
      </c>
      <c r="R15" s="23" t="s">
        <v>304</v>
      </c>
      <c r="S15" s="23" t="s">
        <v>304</v>
      </c>
    </row>
    <row r="16" spans="1:19" s="30" customFormat="1" ht="15.75" customHeight="1">
      <c r="A16" s="70"/>
      <c r="B16" s="22"/>
      <c r="C16" s="23" t="str">
        <f t="shared" ref="C16:N16" si="0">$F$12&amp;"."&amp;C15</f>
        <v>2026.01</v>
      </c>
      <c r="D16" s="23" t="str">
        <f t="shared" si="0"/>
        <v>2026.02</v>
      </c>
      <c r="E16" s="23" t="str">
        <f t="shared" si="0"/>
        <v>2026.03</v>
      </c>
      <c r="F16" s="23" t="str">
        <f t="shared" si="0"/>
        <v>2026.04</v>
      </c>
      <c r="G16" s="23" t="str">
        <f t="shared" si="0"/>
        <v>2026.05</v>
      </c>
      <c r="H16" s="23" t="str">
        <f t="shared" si="0"/>
        <v>2026.06</v>
      </c>
      <c r="I16" s="23" t="str">
        <f t="shared" si="0"/>
        <v>2026.07</v>
      </c>
      <c r="J16" s="23" t="str">
        <f t="shared" si="0"/>
        <v>2026.08</v>
      </c>
      <c r="K16" s="23" t="str">
        <f t="shared" si="0"/>
        <v>2026.09</v>
      </c>
      <c r="L16" s="23" t="str">
        <f t="shared" si="0"/>
        <v>2026.10</v>
      </c>
      <c r="M16" s="23" t="str">
        <f t="shared" si="0"/>
        <v>2026.11</v>
      </c>
      <c r="N16" s="23" t="str">
        <f t="shared" si="0"/>
        <v>2026.12</v>
      </c>
      <c r="O16" s="23" t="s">
        <v>304</v>
      </c>
      <c r="P16" s="23" t="s">
        <v>304</v>
      </c>
      <c r="Q16" s="23" t="s">
        <v>304</v>
      </c>
      <c r="R16" s="23" t="s">
        <v>304</v>
      </c>
      <c r="S16" s="23" t="s">
        <v>304</v>
      </c>
    </row>
    <row r="17" spans="1:21" s="29" customFormat="1" ht="15.75" customHeight="1">
      <c r="A17" s="69"/>
      <c r="B17" s="21" t="s">
        <v>0</v>
      </c>
      <c r="C17" s="20">
        <f>_xll.DBRW($C$2,Cons_Region!$F$12,Cons_Region!$C$15,$M$1,$B17,$K$1)</f>
        <v>0</v>
      </c>
      <c r="D17" s="20">
        <f>_xll.DBRW($C$2,Cons_Region!$F$12,Cons_Region!$C$15,$M$1,$B17,$K$1)</f>
        <v>0</v>
      </c>
      <c r="E17" s="20">
        <f>_xll.DBRW($C$2,Cons_Region!$F$12,Cons_Region!$C$15,$M$1,$B17,$K$1)</f>
        <v>0</v>
      </c>
      <c r="F17" s="20">
        <f>_xll.DBRW($C$2,Cons_Region!$F$12,Cons_Region!$C$15,$M$1,$B17,$K$1)</f>
        <v>0</v>
      </c>
      <c r="G17" s="20">
        <f>_xll.DBRW($C$2,Cons_Region!$F$12,Cons_Region!$C$15,$M$1,$B17,$K$1)</f>
        <v>0</v>
      </c>
      <c r="H17" s="20">
        <f>_xll.DBRW($C$2,Cons_Region!$F$12,Cons_Region!$C$15,$M$1,$B17,$K$1)</f>
        <v>0</v>
      </c>
      <c r="I17" s="20">
        <f>_xll.DBRW($C$2,Cons_Region!$F$12,Cons_Region!$C$15,$M$1,$B17,$K$1)</f>
        <v>0</v>
      </c>
      <c r="J17" s="20">
        <f>_xll.DBRW($C$2,Cons_Region!$F$12,Cons_Region!$C$15,$M$1,$B17,$K$1)</f>
        <v>0</v>
      </c>
      <c r="K17" s="20">
        <f>_xll.DBRW($C$2,Cons_Region!$F$12,Cons_Region!$C$15,$M$1,$B17,$K$1)</f>
        <v>0</v>
      </c>
      <c r="L17" s="20">
        <f>_xll.DBRW($C$2,Cons_Region!$F$12,Cons_Region!$C$15,$M$1,$B17,$K$1)</f>
        <v>0</v>
      </c>
      <c r="M17" s="20">
        <f>_xll.DBRW($C$2,Cons_Region!$F$12,Cons_Region!$C$15,$M$1,$B17,$K$1)</f>
        <v>0</v>
      </c>
      <c r="N17" s="20">
        <f>_xll.DBRW($C$2,Cons_Region!$F$12,Cons_Region!$C$15,$M$1,$B17,$K$1)</f>
        <v>0</v>
      </c>
      <c r="O17" s="20">
        <f>_xll.DBRW($C$2,$O$14,$O$16,$M$1,$B17,$K$1)</f>
        <v>0</v>
      </c>
      <c r="P17" s="20">
        <f>_xll.DBRW($C$2,$O$14,$O$16,$M$1,$B17,$K$1)</f>
        <v>0</v>
      </c>
      <c r="Q17" s="20">
        <f>_xll.DBRW($C$2,$O$14,$O$16,$M$1,$B17,$K$1)</f>
        <v>0</v>
      </c>
      <c r="R17" s="20">
        <f>_xll.DBRW($C$2,$O$14,$O$16,$M$1,$B17,$K$1)</f>
        <v>0</v>
      </c>
      <c r="S17" s="20">
        <f>_xll.DBRW($C$2,$O$14,$O$16,$M$1,$B17,$K$1)</f>
        <v>0</v>
      </c>
    </row>
    <row r="18" spans="1:21" s="29" customFormat="1" ht="15.75" customHeight="1">
      <c r="A18" s="69"/>
      <c r="B18" s="21" t="s">
        <v>1</v>
      </c>
      <c r="C18" s="20">
        <f>_xll.DBRW($C$2,Cons_Region!$F$12,Cons_Region!$C$15,$M$1,$B18,$K$1)</f>
        <v>0</v>
      </c>
      <c r="D18" s="20">
        <f>_xll.DBRW($C$2,Cons_Region!$F$12,Cons_Region!$C$15,$M$1,$B18,$K$1)</f>
        <v>0</v>
      </c>
      <c r="E18" s="20">
        <f>_xll.DBRW($C$2,Cons_Region!$F$12,Cons_Region!$C$15,$M$1,$B18,$K$1)</f>
        <v>0</v>
      </c>
      <c r="F18" s="20">
        <f>_xll.DBRW($C$2,Cons_Region!$F$12,Cons_Region!$C$15,$M$1,$B18,$K$1)</f>
        <v>0</v>
      </c>
      <c r="G18" s="20">
        <f>_xll.DBRW($C$2,Cons_Region!$F$12,Cons_Region!$C$15,$M$1,$B18,$K$1)</f>
        <v>0</v>
      </c>
      <c r="H18" s="20">
        <f>_xll.DBRW($C$2,Cons_Region!$F$12,Cons_Region!$C$15,$M$1,$B18,$K$1)</f>
        <v>0</v>
      </c>
      <c r="I18" s="20">
        <f>_xll.DBRW($C$2,Cons_Region!$F$12,Cons_Region!$C$15,$M$1,$B18,$K$1)</f>
        <v>0</v>
      </c>
      <c r="J18" s="20">
        <f>_xll.DBRW($C$2,Cons_Region!$F$12,Cons_Region!$C$15,$M$1,$B18,$K$1)</f>
        <v>0</v>
      </c>
      <c r="K18" s="20">
        <f>_xll.DBRW($C$2,Cons_Region!$F$12,Cons_Region!$C$15,$M$1,$B18,$K$1)</f>
        <v>0</v>
      </c>
      <c r="L18" s="20">
        <f>_xll.DBRW($C$2,Cons_Region!$F$12,Cons_Region!$C$15,$M$1,$B18,$K$1)</f>
        <v>0</v>
      </c>
      <c r="M18" s="20">
        <f>_xll.DBRW($C$2,Cons_Region!$F$12,Cons_Region!$C$15,$M$1,$B18,$K$1)</f>
        <v>0</v>
      </c>
      <c r="N18" s="20">
        <f>_xll.DBRW($C$2,Cons_Region!$F$12,Cons_Region!$C$15,$M$1,$B18,$K$1)</f>
        <v>0</v>
      </c>
      <c r="O18" s="20">
        <f>_xll.DBRW($C$2,$O$14,$O$16,$M$1,$B18,$K$1)</f>
        <v>0</v>
      </c>
      <c r="P18" s="20">
        <f>_xll.DBRW($C$2,$O$14,$O$16,$M$1,$B18,$K$1)</f>
        <v>0</v>
      </c>
      <c r="Q18" s="20">
        <f>_xll.DBRW($C$2,$O$14,$O$16,$M$1,$B18,$K$1)</f>
        <v>0</v>
      </c>
      <c r="R18" s="20">
        <f>_xll.DBRW($C$2,$O$14,$O$16,$M$1,$B18,$K$1)</f>
        <v>0</v>
      </c>
      <c r="S18" s="20">
        <f>_xll.DBRW($C$2,$O$14,$O$16,$M$1,$B18,$K$1)</f>
        <v>0</v>
      </c>
    </row>
    <row r="19" spans="1:21" s="29" customFormat="1" ht="15.75" customHeight="1">
      <c r="A19" s="69"/>
      <c r="B19" s="21" t="s">
        <v>2</v>
      </c>
      <c r="C19" s="20">
        <f>_xll.DBRW($C$2,Cons_Region!$F$12,Cons_Region!$C$15,$M$1,$B19,$K$1)</f>
        <v>0</v>
      </c>
      <c r="D19" s="20">
        <f>_xll.DBRW($C$2,Cons_Region!$F$12,Cons_Region!$C$15,$M$1,$B19,$K$1)</f>
        <v>0</v>
      </c>
      <c r="E19" s="20">
        <f>_xll.DBRW($C$2,Cons_Region!$F$12,Cons_Region!$C$15,$M$1,$B19,$K$1)</f>
        <v>0</v>
      </c>
      <c r="F19" s="20">
        <f>_xll.DBRW($C$2,Cons_Region!$F$12,Cons_Region!$C$15,$M$1,$B19,$K$1)</f>
        <v>0</v>
      </c>
      <c r="G19" s="20">
        <f>_xll.DBRW($C$2,Cons_Region!$F$12,Cons_Region!$C$15,$M$1,$B19,$K$1)</f>
        <v>0</v>
      </c>
      <c r="H19" s="20">
        <f>_xll.DBRW($C$2,Cons_Region!$F$12,Cons_Region!$C$15,$M$1,$B19,$K$1)</f>
        <v>0</v>
      </c>
      <c r="I19" s="20">
        <f>_xll.DBRW($C$2,Cons_Region!$F$12,Cons_Region!$C$15,$M$1,$B19,$K$1)</f>
        <v>0</v>
      </c>
      <c r="J19" s="20">
        <f>_xll.DBRW($C$2,Cons_Region!$F$12,Cons_Region!$C$15,$M$1,$B19,$K$1)</f>
        <v>0</v>
      </c>
      <c r="K19" s="20">
        <f>_xll.DBRW($C$2,Cons_Region!$F$12,Cons_Region!$C$15,$M$1,$B19,$K$1)</f>
        <v>0</v>
      </c>
      <c r="L19" s="20">
        <f>_xll.DBRW($C$2,Cons_Region!$F$12,Cons_Region!$C$15,$M$1,$B19,$K$1)</f>
        <v>0</v>
      </c>
      <c r="M19" s="20">
        <f>_xll.DBRW($C$2,Cons_Region!$F$12,Cons_Region!$C$15,$M$1,$B19,$K$1)</f>
        <v>0</v>
      </c>
      <c r="N19" s="20">
        <f>_xll.DBRW($C$2,Cons_Region!$F$12,Cons_Region!$C$15,$M$1,$B19,$K$1)</f>
        <v>0</v>
      </c>
      <c r="O19" s="20">
        <f>_xll.DBRW($C$2,$O$14,$O$16,$M$1,$B19,$K$1)</f>
        <v>0</v>
      </c>
      <c r="P19" s="20">
        <f>_xll.DBRW($C$2,$O$14,$O$16,$M$1,$B19,$K$1)</f>
        <v>0</v>
      </c>
      <c r="Q19" s="20">
        <f>_xll.DBRW($C$2,$O$14,$O$16,$M$1,$B19,$K$1)</f>
        <v>0</v>
      </c>
      <c r="R19" s="20">
        <f>_xll.DBRW($C$2,$O$14,$O$16,$M$1,$B19,$K$1)</f>
        <v>0</v>
      </c>
      <c r="S19" s="20">
        <f>_xll.DBRW($C$2,$O$14,$O$16,$M$1,$B19,$K$1)</f>
        <v>0</v>
      </c>
      <c r="U19" s="28"/>
    </row>
    <row r="20" spans="1:21" s="29" customFormat="1" ht="15.75" customHeight="1">
      <c r="A20" s="69"/>
      <c r="B20" s="21" t="s">
        <v>3</v>
      </c>
      <c r="C20" s="20">
        <f>_xll.DBRW($C$2,Cons_Region!$F$12,Cons_Region!$C$15,$M$1,$B20,$K$1)</f>
        <v>0</v>
      </c>
      <c r="D20" s="20">
        <f>_xll.DBRW($C$2,Cons_Region!$F$12,Cons_Region!$C$15,$M$1,$B20,$K$1)</f>
        <v>0</v>
      </c>
      <c r="E20" s="20">
        <f>_xll.DBRW($C$2,Cons_Region!$F$12,Cons_Region!$C$15,$M$1,$B20,$K$1)</f>
        <v>0</v>
      </c>
      <c r="F20" s="20">
        <f>_xll.DBRW($C$2,Cons_Region!$F$12,Cons_Region!$C$15,$M$1,$B20,$K$1)</f>
        <v>0</v>
      </c>
      <c r="G20" s="20">
        <f>_xll.DBRW($C$2,Cons_Region!$F$12,Cons_Region!$C$15,$M$1,$B20,$K$1)</f>
        <v>0</v>
      </c>
      <c r="H20" s="20">
        <f>_xll.DBRW($C$2,Cons_Region!$F$12,Cons_Region!$C$15,$M$1,$B20,$K$1)</f>
        <v>0</v>
      </c>
      <c r="I20" s="20">
        <f>_xll.DBRW($C$2,Cons_Region!$F$12,Cons_Region!$C$15,$M$1,$B20,$K$1)</f>
        <v>0</v>
      </c>
      <c r="J20" s="20">
        <f>_xll.DBRW($C$2,Cons_Region!$F$12,Cons_Region!$C$15,$M$1,$B20,$K$1)</f>
        <v>0</v>
      </c>
      <c r="K20" s="20">
        <f>_xll.DBRW($C$2,Cons_Region!$F$12,Cons_Region!$C$15,$M$1,$B20,$K$1)</f>
        <v>0</v>
      </c>
      <c r="L20" s="20">
        <f>_xll.DBRW($C$2,Cons_Region!$F$12,Cons_Region!$C$15,$M$1,$B20,$K$1)</f>
        <v>0</v>
      </c>
      <c r="M20" s="20">
        <f>_xll.DBRW($C$2,Cons_Region!$F$12,Cons_Region!$C$15,$M$1,$B20,$K$1)</f>
        <v>0</v>
      </c>
      <c r="N20" s="20">
        <f>_xll.DBRW($C$2,Cons_Region!$F$12,Cons_Region!$C$15,$M$1,$B20,$K$1)</f>
        <v>0</v>
      </c>
      <c r="O20" s="20">
        <f>_xll.DBRW($C$2,$O$14,$O$16,$M$1,$B20,$K$1)</f>
        <v>0</v>
      </c>
      <c r="P20" s="20">
        <f>_xll.DBRW($C$2,$O$14,$O$16,$M$1,$B20,$K$1)</f>
        <v>0</v>
      </c>
      <c r="Q20" s="20">
        <f>_xll.DBRW($C$2,$O$14,$O$16,$M$1,$B20,$K$1)</f>
        <v>0</v>
      </c>
      <c r="R20" s="20">
        <f>_xll.DBRW($C$2,$O$14,$O$16,$M$1,$B20,$K$1)</f>
        <v>0</v>
      </c>
      <c r="S20" s="20">
        <f>_xll.DBRW($C$2,$O$14,$O$16,$M$1,$B20,$K$1)</f>
        <v>0</v>
      </c>
    </row>
    <row r="21" spans="1:21" s="29" customFormat="1" ht="15.75" customHeight="1">
      <c r="A21" s="69"/>
      <c r="B21" s="21" t="s">
        <v>4</v>
      </c>
      <c r="C21" s="20">
        <f>_xll.DBRW($C$2,Cons_Region!$F$12,Cons_Region!$C$15,$M$1,$B21,$K$1)</f>
        <v>5</v>
      </c>
      <c r="D21" s="20">
        <f>_xll.DBRW($C$2,Cons_Region!$F$12,Cons_Region!$C$15,$M$1,$B21,$K$1)</f>
        <v>5</v>
      </c>
      <c r="E21" s="20">
        <f>_xll.DBRW($C$2,Cons_Region!$F$12,Cons_Region!$C$15,$M$1,$B21,$K$1)</f>
        <v>5</v>
      </c>
      <c r="F21" s="20">
        <f>_xll.DBRW($C$2,Cons_Region!$F$12,Cons_Region!$C$15,$M$1,$B21,$K$1)</f>
        <v>5</v>
      </c>
      <c r="G21" s="20">
        <f>_xll.DBRW($C$2,Cons_Region!$F$12,Cons_Region!$C$15,$M$1,$B21,$K$1)</f>
        <v>5</v>
      </c>
      <c r="H21" s="20">
        <f>_xll.DBRW($C$2,Cons_Region!$F$12,Cons_Region!$C$15,$M$1,$B21,$K$1)</f>
        <v>5</v>
      </c>
      <c r="I21" s="20">
        <f>_xll.DBRW($C$2,Cons_Region!$F$12,Cons_Region!$C$15,$M$1,$B21,$K$1)</f>
        <v>5</v>
      </c>
      <c r="J21" s="20">
        <f>_xll.DBRW($C$2,Cons_Region!$F$12,Cons_Region!$C$15,$M$1,$B21,$K$1)</f>
        <v>5</v>
      </c>
      <c r="K21" s="20">
        <f>_xll.DBRW($C$2,Cons_Region!$F$12,Cons_Region!$C$15,$M$1,$B21,$K$1)</f>
        <v>5</v>
      </c>
      <c r="L21" s="20">
        <f>_xll.DBRW($C$2,Cons_Region!$F$12,Cons_Region!$C$15,$M$1,$B21,$K$1)</f>
        <v>5</v>
      </c>
      <c r="M21" s="20">
        <f>_xll.DBRW($C$2,Cons_Region!$F$12,Cons_Region!$C$15,$M$1,$B21,$K$1)</f>
        <v>5</v>
      </c>
      <c r="N21" s="20">
        <f>_xll.DBRW($C$2,Cons_Region!$F$12,Cons_Region!$C$15,$M$1,$B21,$K$1)</f>
        <v>5</v>
      </c>
      <c r="O21" s="20">
        <f>_xll.DBRW($C$2,$O$14,$O$16,$M$1,$B21,$K$1)</f>
        <v>0</v>
      </c>
      <c r="P21" s="20">
        <f>_xll.DBRW($C$2,$O$14,$O$16,$M$1,$B21,$K$1)</f>
        <v>0</v>
      </c>
      <c r="Q21" s="20">
        <f>_xll.DBRW($C$2,$O$14,$O$16,$M$1,$B21,$K$1)</f>
        <v>0</v>
      </c>
      <c r="R21" s="20">
        <f>_xll.DBRW($C$2,$O$14,$O$16,$M$1,$B21,$K$1)</f>
        <v>0</v>
      </c>
      <c r="S21" s="20">
        <f>_xll.DBRW($C$2,$O$14,$O$16,$M$1,$B21,$K$1)</f>
        <v>0</v>
      </c>
    </row>
    <row r="22" spans="1:21" s="29" customFormat="1" ht="15.75" customHeight="1">
      <c r="A22" s="69"/>
      <c r="B22" s="21" t="s">
        <v>5</v>
      </c>
      <c r="C22" s="20">
        <f>_xll.DBRW($C$2,Cons_Region!$F$12,Cons_Region!$C$15,$M$1,$B22,$K$1)</f>
        <v>0</v>
      </c>
      <c r="D22" s="20">
        <f>_xll.DBRW($C$2,Cons_Region!$F$12,Cons_Region!$C$15,$M$1,$B22,$K$1)</f>
        <v>0</v>
      </c>
      <c r="E22" s="20">
        <f>_xll.DBRW($C$2,Cons_Region!$F$12,Cons_Region!$C$15,$M$1,$B22,$K$1)</f>
        <v>0</v>
      </c>
      <c r="F22" s="20">
        <f>_xll.DBRW($C$2,Cons_Region!$F$12,Cons_Region!$C$15,$M$1,$B22,$K$1)</f>
        <v>0</v>
      </c>
      <c r="G22" s="20">
        <f>_xll.DBRW($C$2,Cons_Region!$F$12,Cons_Region!$C$15,$M$1,$B22,$K$1)</f>
        <v>0</v>
      </c>
      <c r="H22" s="20">
        <f>_xll.DBRW($C$2,Cons_Region!$F$12,Cons_Region!$C$15,$M$1,$B22,$K$1)</f>
        <v>0</v>
      </c>
      <c r="I22" s="20">
        <f>_xll.DBRW($C$2,Cons_Region!$F$12,Cons_Region!$C$15,$M$1,$B22,$K$1)</f>
        <v>0</v>
      </c>
      <c r="J22" s="20">
        <f>_xll.DBRW($C$2,Cons_Region!$F$12,Cons_Region!$C$15,$M$1,$B22,$K$1)</f>
        <v>0</v>
      </c>
      <c r="K22" s="20">
        <f>_xll.DBRW($C$2,Cons_Region!$F$12,Cons_Region!$C$15,$M$1,$B22,$K$1)</f>
        <v>0</v>
      </c>
      <c r="L22" s="20">
        <f>_xll.DBRW($C$2,Cons_Region!$F$12,Cons_Region!$C$15,$M$1,$B22,$K$1)</f>
        <v>0</v>
      </c>
      <c r="M22" s="20">
        <f>_xll.DBRW($C$2,Cons_Region!$F$12,Cons_Region!$C$15,$M$1,$B22,$K$1)</f>
        <v>0</v>
      </c>
      <c r="N22" s="20">
        <f>_xll.DBRW($C$2,Cons_Region!$F$12,Cons_Region!$C$15,$M$1,$B22,$K$1)</f>
        <v>0</v>
      </c>
      <c r="O22" s="20">
        <f>_xll.DBRW($C$2,$O$14,$O$16,$M$1,$B22,$K$1)</f>
        <v>0</v>
      </c>
      <c r="P22" s="20">
        <f>_xll.DBRW($C$2,$O$14,$O$16,$M$1,$B22,$K$1)</f>
        <v>0</v>
      </c>
      <c r="Q22" s="20">
        <f>_xll.DBRW($C$2,$O$14,$O$16,$M$1,$B22,$K$1)</f>
        <v>0</v>
      </c>
      <c r="R22" s="20">
        <f>_xll.DBRW($C$2,$O$14,$O$16,$M$1,$B22,$K$1)</f>
        <v>0</v>
      </c>
      <c r="S22" s="20">
        <f>_xll.DBRW($C$2,$O$14,$O$16,$M$1,$B22,$K$1)</f>
        <v>0</v>
      </c>
    </row>
    <row r="23" spans="1:21" s="29" customFormat="1" ht="15.75" customHeight="1">
      <c r="A23" s="69"/>
      <c r="B23" s="21" t="s">
        <v>6</v>
      </c>
      <c r="C23" s="20">
        <f>_xll.DBRW($C$2,Cons_Region!$F$12,Cons_Region!$C$15,$M$1,$B23,$K$1)</f>
        <v>0</v>
      </c>
      <c r="D23" s="20">
        <f>_xll.DBRW($C$2,Cons_Region!$F$12,Cons_Region!$C$15,$M$1,$B23,$K$1)</f>
        <v>0</v>
      </c>
      <c r="E23" s="20">
        <f>_xll.DBRW($C$2,Cons_Region!$F$12,Cons_Region!$C$15,$M$1,$B23,$K$1)</f>
        <v>0</v>
      </c>
      <c r="F23" s="20">
        <f>_xll.DBRW($C$2,Cons_Region!$F$12,Cons_Region!$C$15,$M$1,$B23,$K$1)</f>
        <v>0</v>
      </c>
      <c r="G23" s="20">
        <f>_xll.DBRW($C$2,Cons_Region!$F$12,Cons_Region!$C$15,$M$1,$B23,$K$1)</f>
        <v>0</v>
      </c>
      <c r="H23" s="20">
        <f>_xll.DBRW($C$2,Cons_Region!$F$12,Cons_Region!$C$15,$M$1,$B23,$K$1)</f>
        <v>0</v>
      </c>
      <c r="I23" s="20">
        <f>_xll.DBRW($C$2,Cons_Region!$F$12,Cons_Region!$C$15,$M$1,$B23,$K$1)</f>
        <v>0</v>
      </c>
      <c r="J23" s="20">
        <f>_xll.DBRW($C$2,Cons_Region!$F$12,Cons_Region!$C$15,$M$1,$B23,$K$1)</f>
        <v>0</v>
      </c>
      <c r="K23" s="20">
        <f>_xll.DBRW($C$2,Cons_Region!$F$12,Cons_Region!$C$15,$M$1,$B23,$K$1)</f>
        <v>0</v>
      </c>
      <c r="L23" s="20">
        <f>_xll.DBRW($C$2,Cons_Region!$F$12,Cons_Region!$C$15,$M$1,$B23,$K$1)</f>
        <v>0</v>
      </c>
      <c r="M23" s="20">
        <f>_xll.DBRW($C$2,Cons_Region!$F$12,Cons_Region!$C$15,$M$1,$B23,$K$1)</f>
        <v>0</v>
      </c>
      <c r="N23" s="20">
        <f>_xll.DBRW($C$2,Cons_Region!$F$12,Cons_Region!$C$15,$M$1,$B23,$K$1)</f>
        <v>0</v>
      </c>
      <c r="O23" s="20">
        <f>_xll.DBRW($C$2,$O$14,$O$16,$M$1,$B23,$K$1)</f>
        <v>0</v>
      </c>
      <c r="P23" s="20">
        <f>_xll.DBRW($C$2,$O$14,$O$16,$M$1,$B23,$K$1)</f>
        <v>0</v>
      </c>
      <c r="Q23" s="20">
        <f>_xll.DBRW($C$2,$O$14,$O$16,$M$1,$B23,$K$1)</f>
        <v>0</v>
      </c>
      <c r="R23" s="20">
        <f>_xll.DBRW($C$2,$O$14,$O$16,$M$1,$B23,$K$1)</f>
        <v>0</v>
      </c>
      <c r="S23" s="20">
        <f>_xll.DBRW($C$2,$O$14,$O$16,$M$1,$B23,$K$1)</f>
        <v>0</v>
      </c>
    </row>
    <row r="24" spans="1:21" s="29" customFormat="1" ht="15.75" customHeight="1">
      <c r="A24" s="69"/>
      <c r="B24" s="21" t="s">
        <v>7</v>
      </c>
      <c r="C24" s="20">
        <f>_xll.DBRW($C$2,Cons_Region!$F$12,Cons_Region!$C$15,$M$1,$B24,$K$1)</f>
        <v>0</v>
      </c>
      <c r="D24" s="20">
        <f>_xll.DBRW($C$2,Cons_Region!$F$12,Cons_Region!$C$15,$M$1,$B24,$K$1)</f>
        <v>0</v>
      </c>
      <c r="E24" s="20">
        <f>_xll.DBRW($C$2,Cons_Region!$F$12,Cons_Region!$C$15,$M$1,$B24,$K$1)</f>
        <v>0</v>
      </c>
      <c r="F24" s="20">
        <f>_xll.DBRW($C$2,Cons_Region!$F$12,Cons_Region!$C$15,$M$1,$B24,$K$1)</f>
        <v>0</v>
      </c>
      <c r="G24" s="20">
        <f>_xll.DBRW($C$2,Cons_Region!$F$12,Cons_Region!$C$15,$M$1,$B24,$K$1)</f>
        <v>0</v>
      </c>
      <c r="H24" s="20">
        <f>_xll.DBRW($C$2,Cons_Region!$F$12,Cons_Region!$C$15,$M$1,$B24,$K$1)</f>
        <v>0</v>
      </c>
      <c r="I24" s="20">
        <f>_xll.DBRW($C$2,Cons_Region!$F$12,Cons_Region!$C$15,$M$1,$B24,$K$1)</f>
        <v>0</v>
      </c>
      <c r="J24" s="20">
        <f>_xll.DBRW($C$2,Cons_Region!$F$12,Cons_Region!$C$15,$M$1,$B24,$K$1)</f>
        <v>0</v>
      </c>
      <c r="K24" s="20">
        <f>_xll.DBRW($C$2,Cons_Region!$F$12,Cons_Region!$C$15,$M$1,$B24,$K$1)</f>
        <v>0</v>
      </c>
      <c r="L24" s="20">
        <f>_xll.DBRW($C$2,Cons_Region!$F$12,Cons_Region!$C$15,$M$1,$B24,$K$1)</f>
        <v>0</v>
      </c>
      <c r="M24" s="20">
        <f>_xll.DBRW($C$2,Cons_Region!$F$12,Cons_Region!$C$15,$M$1,$B24,$K$1)</f>
        <v>0</v>
      </c>
      <c r="N24" s="20">
        <f>_xll.DBRW($C$2,Cons_Region!$F$12,Cons_Region!$C$15,$M$1,$B24,$K$1)</f>
        <v>0</v>
      </c>
      <c r="O24" s="20">
        <f>_xll.DBRW($C$2,$O$14,$O$16,$M$1,$B24,$K$1)</f>
        <v>0</v>
      </c>
      <c r="P24" s="20">
        <f>_xll.DBRW($C$2,$O$14,$O$16,$M$1,$B24,$K$1)</f>
        <v>0</v>
      </c>
      <c r="Q24" s="20">
        <f>_xll.DBRW($C$2,$O$14,$O$16,$M$1,$B24,$K$1)</f>
        <v>0</v>
      </c>
      <c r="R24" s="20">
        <f>_xll.DBRW($C$2,$O$14,$O$16,$M$1,$B24,$K$1)</f>
        <v>0</v>
      </c>
      <c r="S24" s="20">
        <f>_xll.DBRW($C$2,$O$14,$O$16,$M$1,$B24,$K$1)</f>
        <v>0</v>
      </c>
    </row>
    <row r="25" spans="1:21" s="29" customFormat="1" ht="15.75" customHeight="1">
      <c r="A25" s="69"/>
      <c r="B25" s="21" t="s">
        <v>8</v>
      </c>
      <c r="C25" s="20">
        <f>_xll.DBRW($C$2,Cons_Region!$F$12,Cons_Region!$C$15,$M$1,$B25,$K$1)</f>
        <v>0</v>
      </c>
      <c r="D25" s="20">
        <f>_xll.DBRW($C$2,Cons_Region!$F$12,Cons_Region!$C$15,$M$1,$B25,$K$1)</f>
        <v>0</v>
      </c>
      <c r="E25" s="20">
        <f>_xll.DBRW($C$2,Cons_Region!$F$12,Cons_Region!$C$15,$M$1,$B25,$K$1)</f>
        <v>0</v>
      </c>
      <c r="F25" s="20">
        <f>_xll.DBRW($C$2,Cons_Region!$F$12,Cons_Region!$C$15,$M$1,$B25,$K$1)</f>
        <v>0</v>
      </c>
      <c r="G25" s="20">
        <f>_xll.DBRW($C$2,Cons_Region!$F$12,Cons_Region!$C$15,$M$1,$B25,$K$1)</f>
        <v>0</v>
      </c>
      <c r="H25" s="20">
        <f>_xll.DBRW($C$2,Cons_Region!$F$12,Cons_Region!$C$15,$M$1,$B25,$K$1)</f>
        <v>0</v>
      </c>
      <c r="I25" s="20">
        <f>_xll.DBRW($C$2,Cons_Region!$F$12,Cons_Region!$C$15,$M$1,$B25,$K$1)</f>
        <v>0</v>
      </c>
      <c r="J25" s="20">
        <f>_xll.DBRW($C$2,Cons_Region!$F$12,Cons_Region!$C$15,$M$1,$B25,$K$1)</f>
        <v>0</v>
      </c>
      <c r="K25" s="20">
        <f>_xll.DBRW($C$2,Cons_Region!$F$12,Cons_Region!$C$15,$M$1,$B25,$K$1)</f>
        <v>0</v>
      </c>
      <c r="L25" s="20">
        <f>_xll.DBRW($C$2,Cons_Region!$F$12,Cons_Region!$C$15,$M$1,$B25,$K$1)</f>
        <v>0</v>
      </c>
      <c r="M25" s="20">
        <f>_xll.DBRW($C$2,Cons_Region!$F$12,Cons_Region!$C$15,$M$1,$B25,$K$1)</f>
        <v>0</v>
      </c>
      <c r="N25" s="20">
        <f>_xll.DBRW($C$2,Cons_Region!$F$12,Cons_Region!$C$15,$M$1,$B25,$K$1)</f>
        <v>0</v>
      </c>
      <c r="O25" s="20">
        <f>_xll.DBRW($C$2,$O$14,$O$16,$M$1,$B25,$K$1)</f>
        <v>0</v>
      </c>
      <c r="P25" s="20">
        <f>_xll.DBRW($C$2,$O$14,$O$16,$M$1,$B25,$K$1)</f>
        <v>0</v>
      </c>
      <c r="Q25" s="20">
        <f>_xll.DBRW($C$2,$O$14,$O$16,$M$1,$B25,$K$1)</f>
        <v>0</v>
      </c>
      <c r="R25" s="20">
        <f>_xll.DBRW($C$2,$O$14,$O$16,$M$1,$B25,$K$1)</f>
        <v>0</v>
      </c>
      <c r="S25" s="20">
        <f>_xll.DBRW($C$2,$O$14,$O$16,$M$1,$B25,$K$1)</f>
        <v>0</v>
      </c>
    </row>
    <row r="26" spans="1:21" s="29" customFormat="1" ht="15.75" customHeight="1">
      <c r="A26" s="69"/>
      <c r="B26" s="21" t="s">
        <v>9</v>
      </c>
      <c r="C26" s="20">
        <f>_xll.DBRW($C$2,Cons_Region!$F$12,Cons_Region!$C$15,$M$1,$B26,$K$1)</f>
        <v>0</v>
      </c>
      <c r="D26" s="20">
        <f>_xll.DBRW($C$2,Cons_Region!$F$12,Cons_Region!$C$15,$M$1,$B26,$K$1)</f>
        <v>0</v>
      </c>
      <c r="E26" s="20">
        <f>_xll.DBRW($C$2,Cons_Region!$F$12,Cons_Region!$C$15,$M$1,$B26,$K$1)</f>
        <v>0</v>
      </c>
      <c r="F26" s="20">
        <f>_xll.DBRW($C$2,Cons_Region!$F$12,Cons_Region!$C$15,$M$1,$B26,$K$1)</f>
        <v>0</v>
      </c>
      <c r="G26" s="20">
        <f>_xll.DBRW($C$2,Cons_Region!$F$12,Cons_Region!$C$15,$M$1,$B26,$K$1)</f>
        <v>0</v>
      </c>
      <c r="H26" s="20">
        <f>_xll.DBRW($C$2,Cons_Region!$F$12,Cons_Region!$C$15,$M$1,$B26,$K$1)</f>
        <v>0</v>
      </c>
      <c r="I26" s="20">
        <f>_xll.DBRW($C$2,Cons_Region!$F$12,Cons_Region!$C$15,$M$1,$B26,$K$1)</f>
        <v>0</v>
      </c>
      <c r="J26" s="20">
        <f>_xll.DBRW($C$2,Cons_Region!$F$12,Cons_Region!$C$15,$M$1,$B26,$K$1)</f>
        <v>0</v>
      </c>
      <c r="K26" s="20">
        <f>_xll.DBRW($C$2,Cons_Region!$F$12,Cons_Region!$C$15,$M$1,$B26,$K$1)</f>
        <v>0</v>
      </c>
      <c r="L26" s="20">
        <f>_xll.DBRW($C$2,Cons_Region!$F$12,Cons_Region!$C$15,$M$1,$B26,$K$1)</f>
        <v>0</v>
      </c>
      <c r="M26" s="20">
        <f>_xll.DBRW($C$2,Cons_Region!$F$12,Cons_Region!$C$15,$M$1,$B26,$K$1)</f>
        <v>0</v>
      </c>
      <c r="N26" s="20">
        <f>_xll.DBRW($C$2,Cons_Region!$F$12,Cons_Region!$C$15,$M$1,$B26,$K$1)</f>
        <v>0</v>
      </c>
      <c r="O26" s="20">
        <f>_xll.DBRW($C$2,$O$14,$O$16,$M$1,$B26,$K$1)</f>
        <v>0</v>
      </c>
      <c r="P26" s="20">
        <f>_xll.DBRW($C$2,$O$14,$O$16,$M$1,$B26,$K$1)</f>
        <v>0</v>
      </c>
      <c r="Q26" s="20">
        <f>_xll.DBRW($C$2,$O$14,$O$16,$M$1,$B26,$K$1)</f>
        <v>0</v>
      </c>
      <c r="R26" s="20">
        <f>_xll.DBRW($C$2,$O$14,$O$16,$M$1,$B26,$K$1)</f>
        <v>0</v>
      </c>
      <c r="S26" s="20">
        <f>_xll.DBRW($C$2,$O$14,$O$16,$M$1,$B26,$K$1)</f>
        <v>0</v>
      </c>
    </row>
    <row r="27" spans="1:21" s="29" customFormat="1" ht="15.75" customHeight="1">
      <c r="A27" s="69"/>
      <c r="B27" s="21" t="s">
        <v>10</v>
      </c>
      <c r="C27" s="20">
        <f>_xll.DBRW($C$2,Cons_Region!$F$12,Cons_Region!$C$15,$M$1,$B27,$K$1)</f>
        <v>0</v>
      </c>
      <c r="D27" s="20">
        <f>_xll.DBRW($C$2,Cons_Region!$F$12,Cons_Region!$C$15,$M$1,$B27,$K$1)</f>
        <v>0</v>
      </c>
      <c r="E27" s="20">
        <f>_xll.DBRW($C$2,Cons_Region!$F$12,Cons_Region!$C$15,$M$1,$B27,$K$1)</f>
        <v>0</v>
      </c>
      <c r="F27" s="20">
        <f>_xll.DBRW($C$2,Cons_Region!$F$12,Cons_Region!$C$15,$M$1,$B27,$K$1)</f>
        <v>0</v>
      </c>
      <c r="G27" s="20">
        <f>_xll.DBRW($C$2,Cons_Region!$F$12,Cons_Region!$C$15,$M$1,$B27,$K$1)</f>
        <v>0</v>
      </c>
      <c r="H27" s="20">
        <f>_xll.DBRW($C$2,Cons_Region!$F$12,Cons_Region!$C$15,$M$1,$B27,$K$1)</f>
        <v>0</v>
      </c>
      <c r="I27" s="20">
        <f>_xll.DBRW($C$2,Cons_Region!$F$12,Cons_Region!$C$15,$M$1,$B27,$K$1)</f>
        <v>0</v>
      </c>
      <c r="J27" s="20">
        <f>_xll.DBRW($C$2,Cons_Region!$F$12,Cons_Region!$C$15,$M$1,$B27,$K$1)</f>
        <v>0</v>
      </c>
      <c r="K27" s="20">
        <f>_xll.DBRW($C$2,Cons_Region!$F$12,Cons_Region!$C$15,$M$1,$B27,$K$1)</f>
        <v>0</v>
      </c>
      <c r="L27" s="20">
        <f>_xll.DBRW($C$2,Cons_Region!$F$12,Cons_Region!$C$15,$M$1,$B27,$K$1)</f>
        <v>0</v>
      </c>
      <c r="M27" s="20">
        <f>_xll.DBRW($C$2,Cons_Region!$F$12,Cons_Region!$C$15,$M$1,$B27,$K$1)</f>
        <v>0</v>
      </c>
      <c r="N27" s="20">
        <f>_xll.DBRW($C$2,Cons_Region!$F$12,Cons_Region!$C$15,$M$1,$B27,$K$1)</f>
        <v>0</v>
      </c>
      <c r="O27" s="20">
        <f>_xll.DBRW($C$2,$O$14,$O$16,$M$1,$B27,$K$1)</f>
        <v>0</v>
      </c>
      <c r="P27" s="20">
        <f>_xll.DBRW($C$2,$O$14,$O$16,$M$1,$B27,$K$1)</f>
        <v>0</v>
      </c>
      <c r="Q27" s="20">
        <f>_xll.DBRW($C$2,$O$14,$O$16,$M$1,$B27,$K$1)</f>
        <v>0</v>
      </c>
      <c r="R27" s="20">
        <f>_xll.DBRW($C$2,$O$14,$O$16,$M$1,$B27,$K$1)</f>
        <v>0</v>
      </c>
      <c r="S27" s="20">
        <f>_xll.DBRW($C$2,$O$14,$O$16,$M$1,$B27,$K$1)</f>
        <v>0</v>
      </c>
    </row>
    <row r="28" spans="1:21" s="29" customFormat="1" ht="15.75" customHeight="1">
      <c r="A28" s="69"/>
      <c r="B28" s="21" t="s">
        <v>11</v>
      </c>
      <c r="C28" s="20">
        <f>_xll.DBRW($C$2,Cons_Region!$F$12,Cons_Region!$C$15,$M$1,$B28,$K$1)</f>
        <v>0</v>
      </c>
      <c r="D28" s="20">
        <f>_xll.DBRW($C$2,Cons_Region!$F$12,Cons_Region!$C$15,$M$1,$B28,$K$1)</f>
        <v>0</v>
      </c>
      <c r="E28" s="20">
        <f>_xll.DBRW($C$2,Cons_Region!$F$12,Cons_Region!$C$15,$M$1,$B28,$K$1)</f>
        <v>0</v>
      </c>
      <c r="F28" s="20">
        <f>_xll.DBRW($C$2,Cons_Region!$F$12,Cons_Region!$C$15,$M$1,$B28,$K$1)</f>
        <v>0</v>
      </c>
      <c r="G28" s="20">
        <f>_xll.DBRW($C$2,Cons_Region!$F$12,Cons_Region!$C$15,$M$1,$B28,$K$1)</f>
        <v>0</v>
      </c>
      <c r="H28" s="20">
        <f>_xll.DBRW($C$2,Cons_Region!$F$12,Cons_Region!$C$15,$M$1,$B28,$K$1)</f>
        <v>0</v>
      </c>
      <c r="I28" s="20">
        <f>_xll.DBRW($C$2,Cons_Region!$F$12,Cons_Region!$C$15,$M$1,$B28,$K$1)</f>
        <v>0</v>
      </c>
      <c r="J28" s="20">
        <f>_xll.DBRW($C$2,Cons_Region!$F$12,Cons_Region!$C$15,$M$1,$B28,$K$1)</f>
        <v>0</v>
      </c>
      <c r="K28" s="20">
        <f>_xll.DBRW($C$2,Cons_Region!$F$12,Cons_Region!$C$15,$M$1,$B28,$K$1)</f>
        <v>0</v>
      </c>
      <c r="L28" s="20">
        <f>_xll.DBRW($C$2,Cons_Region!$F$12,Cons_Region!$C$15,$M$1,$B28,$K$1)</f>
        <v>0</v>
      </c>
      <c r="M28" s="20">
        <f>_xll.DBRW($C$2,Cons_Region!$F$12,Cons_Region!$C$15,$M$1,$B28,$K$1)</f>
        <v>0</v>
      </c>
      <c r="N28" s="20">
        <f>_xll.DBRW($C$2,Cons_Region!$F$12,Cons_Region!$C$15,$M$1,$B28,$K$1)</f>
        <v>0</v>
      </c>
      <c r="O28" s="20">
        <f>_xll.DBRW($C$2,$O$14,$O$16,$M$1,$B28,$K$1)</f>
        <v>0</v>
      </c>
      <c r="P28" s="20">
        <f>_xll.DBRW($C$2,$O$14,$O$16,$M$1,$B28,$K$1)</f>
        <v>0</v>
      </c>
      <c r="Q28" s="20">
        <f>_xll.DBRW($C$2,$O$14,$O$16,$M$1,$B28,$K$1)</f>
        <v>0</v>
      </c>
      <c r="R28" s="20">
        <f>_xll.DBRW($C$2,$O$14,$O$16,$M$1,$B28,$K$1)</f>
        <v>0</v>
      </c>
      <c r="S28" s="20">
        <f>_xll.DBRW($C$2,$O$14,$O$16,$M$1,$B28,$K$1)</f>
        <v>0</v>
      </c>
    </row>
    <row r="29" spans="1:21" s="29" customFormat="1" ht="15.75" customHeight="1">
      <c r="A29" s="69"/>
      <c r="B29" s="21" t="s">
        <v>12</v>
      </c>
      <c r="C29" s="20">
        <f>_xll.DBRW($C$2,Cons_Region!$F$12,Cons_Region!$C$15,$M$1,$B29,$K$1)</f>
        <v>0</v>
      </c>
      <c r="D29" s="20">
        <f>_xll.DBRW($C$2,Cons_Region!$F$12,Cons_Region!$C$15,$M$1,$B29,$K$1)</f>
        <v>0</v>
      </c>
      <c r="E29" s="20">
        <f>_xll.DBRW($C$2,Cons_Region!$F$12,Cons_Region!$C$15,$M$1,$B29,$K$1)</f>
        <v>0</v>
      </c>
      <c r="F29" s="20">
        <f>_xll.DBRW($C$2,Cons_Region!$F$12,Cons_Region!$C$15,$M$1,$B29,$K$1)</f>
        <v>0</v>
      </c>
      <c r="G29" s="20">
        <f>_xll.DBRW($C$2,Cons_Region!$F$12,Cons_Region!$C$15,$M$1,$B29,$K$1)</f>
        <v>0</v>
      </c>
      <c r="H29" s="20">
        <f>_xll.DBRW($C$2,Cons_Region!$F$12,Cons_Region!$C$15,$M$1,$B29,$K$1)</f>
        <v>0</v>
      </c>
      <c r="I29" s="20">
        <f>_xll.DBRW($C$2,Cons_Region!$F$12,Cons_Region!$C$15,$M$1,$B29,$K$1)</f>
        <v>0</v>
      </c>
      <c r="J29" s="20">
        <f>_xll.DBRW($C$2,Cons_Region!$F$12,Cons_Region!$C$15,$M$1,$B29,$K$1)</f>
        <v>0</v>
      </c>
      <c r="K29" s="20">
        <f>_xll.DBRW($C$2,Cons_Region!$F$12,Cons_Region!$C$15,$M$1,$B29,$K$1)</f>
        <v>0</v>
      </c>
      <c r="L29" s="20">
        <f>_xll.DBRW($C$2,Cons_Region!$F$12,Cons_Region!$C$15,$M$1,$B29,$K$1)</f>
        <v>0</v>
      </c>
      <c r="M29" s="20">
        <f>_xll.DBRW($C$2,Cons_Region!$F$12,Cons_Region!$C$15,$M$1,$B29,$K$1)</f>
        <v>0</v>
      </c>
      <c r="N29" s="20">
        <f>_xll.DBRW($C$2,Cons_Region!$F$12,Cons_Region!$C$15,$M$1,$B29,$K$1)</f>
        <v>0</v>
      </c>
      <c r="O29" s="20">
        <f>_xll.DBRW($C$2,$O$14,$O$16,$M$1,$B29,$K$1)</f>
        <v>0</v>
      </c>
      <c r="P29" s="20">
        <f>_xll.DBRW($C$2,$O$14,$O$16,$M$1,$B29,$K$1)</f>
        <v>0</v>
      </c>
      <c r="Q29" s="20">
        <f>_xll.DBRW($C$2,$O$14,$O$16,$M$1,$B29,$K$1)</f>
        <v>0</v>
      </c>
      <c r="R29" s="20">
        <f>_xll.DBRW($C$2,$O$14,$O$16,$M$1,$B29,$K$1)</f>
        <v>0</v>
      </c>
      <c r="S29" s="20">
        <f>_xll.DBRW($C$2,$O$14,$O$16,$M$1,$B29,$K$1)</f>
        <v>0</v>
      </c>
    </row>
    <row r="30" spans="1:21" s="29" customFormat="1" ht="15.75" customHeight="1">
      <c r="A30" s="69"/>
      <c r="B30" s="21" t="s">
        <v>13</v>
      </c>
      <c r="C30" s="20">
        <f>_xll.DBRW($C$2,Cons_Region!$F$12,Cons_Region!$C$15,$M$1,$B30,$K$1)</f>
        <v>0</v>
      </c>
      <c r="D30" s="20">
        <f>_xll.DBRW($C$2,Cons_Region!$F$12,Cons_Region!$C$15,$M$1,$B30,$K$1)</f>
        <v>0</v>
      </c>
      <c r="E30" s="20">
        <f>_xll.DBRW($C$2,Cons_Region!$F$12,Cons_Region!$C$15,$M$1,$B30,$K$1)</f>
        <v>0</v>
      </c>
      <c r="F30" s="20">
        <f>_xll.DBRW($C$2,Cons_Region!$F$12,Cons_Region!$C$15,$M$1,$B30,$K$1)</f>
        <v>0</v>
      </c>
      <c r="G30" s="20">
        <f>_xll.DBRW($C$2,Cons_Region!$F$12,Cons_Region!$C$15,$M$1,$B30,$K$1)</f>
        <v>0</v>
      </c>
      <c r="H30" s="20">
        <f>_xll.DBRW($C$2,Cons_Region!$F$12,Cons_Region!$C$15,$M$1,$B30,$K$1)</f>
        <v>0</v>
      </c>
      <c r="I30" s="20">
        <f>_xll.DBRW($C$2,Cons_Region!$F$12,Cons_Region!$C$15,$M$1,$B30,$K$1)</f>
        <v>0</v>
      </c>
      <c r="J30" s="20">
        <f>_xll.DBRW($C$2,Cons_Region!$F$12,Cons_Region!$C$15,$M$1,$B30,$K$1)</f>
        <v>0</v>
      </c>
      <c r="K30" s="20">
        <f>_xll.DBRW($C$2,Cons_Region!$F$12,Cons_Region!$C$15,$M$1,$B30,$K$1)</f>
        <v>0</v>
      </c>
      <c r="L30" s="20">
        <f>_xll.DBRW($C$2,Cons_Region!$F$12,Cons_Region!$C$15,$M$1,$B30,$K$1)</f>
        <v>0</v>
      </c>
      <c r="M30" s="20">
        <f>_xll.DBRW($C$2,Cons_Region!$F$12,Cons_Region!$C$15,$M$1,$B30,$K$1)</f>
        <v>0</v>
      </c>
      <c r="N30" s="20">
        <f>_xll.DBRW($C$2,Cons_Region!$F$12,Cons_Region!$C$15,$M$1,$B30,$K$1)</f>
        <v>0</v>
      </c>
      <c r="O30" s="20">
        <f>_xll.DBRW($C$2,$O$14,$O$16,$M$1,$B30,$K$1)</f>
        <v>0</v>
      </c>
      <c r="P30" s="20">
        <f>_xll.DBRW($C$2,$O$14,$O$16,$M$1,$B30,$K$1)</f>
        <v>0</v>
      </c>
      <c r="Q30" s="20">
        <f>_xll.DBRW($C$2,$O$14,$O$16,$M$1,$B30,$K$1)</f>
        <v>0</v>
      </c>
      <c r="R30" s="20">
        <f>_xll.DBRW($C$2,$O$14,$O$16,$M$1,$B30,$K$1)</f>
        <v>0</v>
      </c>
      <c r="S30" s="20">
        <f>_xll.DBRW($C$2,$O$14,$O$16,$M$1,$B30,$K$1)</f>
        <v>0</v>
      </c>
    </row>
    <row r="31" spans="1:21" s="29" customFormat="1" ht="15.75" customHeight="1">
      <c r="A31" s="69"/>
      <c r="B31" s="21" t="s">
        <v>14</v>
      </c>
      <c r="C31" s="19">
        <f>_xll.DBRW($C$2,Cons_Region!$F$12,C$15,$M$1,$B31,$K$1)</f>
        <v>31</v>
      </c>
      <c r="D31" s="19">
        <f>_xll.DBRW($C$2,Cons_Region!$F$12,D$15,$M$1,$B31,$K$1)</f>
        <v>28</v>
      </c>
      <c r="E31" s="19">
        <f>_xll.DBRW($C$2,Cons_Region!$F$12,E$15,$M$1,$B31,$K$1)</f>
        <v>31</v>
      </c>
      <c r="F31" s="19">
        <f>_xll.DBRW($C$2,Cons_Region!$F$12,F$15,$M$1,$B31,$K$1)</f>
        <v>30</v>
      </c>
      <c r="G31" s="19">
        <f>_xll.DBRW($C$2,Cons_Region!$F$12,G$15,$M$1,$B31,$K$1)</f>
        <v>31</v>
      </c>
      <c r="H31" s="19">
        <f>_xll.DBRW($C$2,Cons_Region!$F$12,H$15,$M$1,$B31,$K$1)</f>
        <v>30</v>
      </c>
      <c r="I31" s="19">
        <f>_xll.DBRW($C$2,Cons_Region!$F$12,I$15,$M$1,$B31,$K$1)</f>
        <v>31</v>
      </c>
      <c r="J31" s="19">
        <f>_xll.DBRW($C$2,Cons_Region!$F$12,J$15,$M$1,$B31,$K$1)</f>
        <v>31</v>
      </c>
      <c r="K31" s="19">
        <f>_xll.DBRW($C$2,Cons_Region!$F$12,K$15,$M$1,$B31,$K$1)</f>
        <v>30</v>
      </c>
      <c r="L31" s="19">
        <f>_xll.DBRW($C$2,Cons_Region!$F$12,L$15,$M$1,$B31,$K$1)</f>
        <v>31</v>
      </c>
      <c r="M31" s="19">
        <f>_xll.DBRW($C$2,Cons_Region!$F$12,M$15,$M$1,$B31,$K$1)</f>
        <v>30</v>
      </c>
      <c r="N31" s="19">
        <f>_xll.DBRW($C$2,Cons_Region!$F$12,N$15,$M$1,$B31,$K$1)</f>
        <v>31</v>
      </c>
      <c r="O31" s="20">
        <f>_xll.DBRW($C$2,$O$14,$O$16,$M$1,$B31,$K$1)</f>
        <v>0</v>
      </c>
      <c r="P31" s="20">
        <f>_xll.DBRW($C$2,$O$14,$O$16,$M$1,$B31,$K$1)</f>
        <v>0</v>
      </c>
      <c r="Q31" s="20">
        <f>_xll.DBRW($C$2,$O$14,$O$16,$M$1,$B31,$K$1)</f>
        <v>0</v>
      </c>
      <c r="R31" s="20">
        <f>_xll.DBRW($C$2,$O$14,$O$16,$M$1,$B31,$K$1)</f>
        <v>0</v>
      </c>
      <c r="S31" s="20">
        <f>_xll.DBRW($C$2,$O$14,$O$16,$M$1,$B31,$K$1)</f>
        <v>0</v>
      </c>
    </row>
    <row r="32" spans="1:21" ht="15.75" customHeight="1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19" s="29" customFormat="1" ht="15.75" customHeight="1" thickBot="1">
      <c r="A33" s="69"/>
      <c r="B33" s="18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1:19" s="29" customFormat="1" ht="15.75" customHeight="1" thickTop="1">
      <c r="A34" s="69"/>
      <c r="B34" s="27" t="s">
        <v>47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19" s="29" customFormat="1" ht="15.75" customHeight="1">
      <c r="A35" s="69"/>
      <c r="B35" s="27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1:19" ht="15.75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80">
        <f>$F$12+1</f>
        <v>2027</v>
      </c>
      <c r="P36" s="80">
        <f>$F$12+2</f>
        <v>2028</v>
      </c>
      <c r="Q36" s="80">
        <f>$F$12+3</f>
        <v>2029</v>
      </c>
      <c r="R36" s="80">
        <f>$F$12+4</f>
        <v>2030</v>
      </c>
      <c r="S36" s="80">
        <f>$F$12+5</f>
        <v>2031</v>
      </c>
    </row>
    <row r="37" spans="1:19" s="29" customFormat="1" ht="15.75" customHeight="1">
      <c r="A37" s="69"/>
      <c r="B37" s="22"/>
      <c r="C37" s="23" t="str">
        <f t="shared" ref="C37:N37" si="1">$F$12&amp;"."&amp;C15</f>
        <v>2026.01</v>
      </c>
      <c r="D37" s="23" t="str">
        <f t="shared" si="1"/>
        <v>2026.02</v>
      </c>
      <c r="E37" s="23" t="str">
        <f t="shared" si="1"/>
        <v>2026.03</v>
      </c>
      <c r="F37" s="23" t="str">
        <f t="shared" si="1"/>
        <v>2026.04</v>
      </c>
      <c r="G37" s="23" t="str">
        <f t="shared" si="1"/>
        <v>2026.05</v>
      </c>
      <c r="H37" s="23" t="str">
        <f t="shared" si="1"/>
        <v>2026.06</v>
      </c>
      <c r="I37" s="23" t="str">
        <f t="shared" si="1"/>
        <v>2026.07</v>
      </c>
      <c r="J37" s="23" t="str">
        <f t="shared" si="1"/>
        <v>2026.08</v>
      </c>
      <c r="K37" s="23" t="str">
        <f t="shared" si="1"/>
        <v>2026.09</v>
      </c>
      <c r="L37" s="23" t="str">
        <f t="shared" si="1"/>
        <v>2026.10</v>
      </c>
      <c r="M37" s="23" t="str">
        <f t="shared" si="1"/>
        <v>2026.11</v>
      </c>
      <c r="N37" s="23" t="str">
        <f t="shared" si="1"/>
        <v>2026.12</v>
      </c>
      <c r="O37" s="23" t="s">
        <v>304</v>
      </c>
      <c r="P37" s="23" t="s">
        <v>304</v>
      </c>
      <c r="Q37" s="23" t="s">
        <v>304</v>
      </c>
      <c r="R37" s="23" t="s">
        <v>304</v>
      </c>
      <c r="S37" s="23" t="s">
        <v>304</v>
      </c>
    </row>
    <row r="38" spans="1:19" s="29" customFormat="1" ht="15.75" customHeight="1">
      <c r="A38" s="69"/>
      <c r="B38" s="21" t="s">
        <v>44</v>
      </c>
      <c r="C38" s="17">
        <f>_xll.DBRW($B$2,Cons_Region!$F$12,Cons_Region!C$15,$M$1,Cons_Region!$H$12,Cons_Region!$C$12,$N$2,$K$2,$B$38)</f>
        <v>0</v>
      </c>
      <c r="D38" s="17">
        <f>_xll.DBRW($B$2,Cons_Region!$F$12,Cons_Region!D$15,$M$1,Cons_Region!$H$12,Cons_Region!$C$12,$N$2,$K$2,$B$38)</f>
        <v>0.32460000000000011</v>
      </c>
      <c r="E38" s="17">
        <f>_xll.DBRW($B$2,Cons_Region!$F$12,Cons_Region!E$15,$M$1,Cons_Region!$H$12,Cons_Region!$C$12,$N$2,$K$2,$B$38)</f>
        <v>0.3330999999999999</v>
      </c>
      <c r="F38" s="17">
        <f>_xll.DBRW($B$2,Cons_Region!$F$12,Cons_Region!F$15,$M$1,Cons_Region!$H$12,Cons_Region!$C$12,$N$2,$K$2,$B$38)</f>
        <v>0.33560000000000001</v>
      </c>
      <c r="G38" s="17">
        <f>_xll.DBRW($B$2,Cons_Region!$F$12,Cons_Region!G$15,$M$1,Cons_Region!$H$12,Cons_Region!$C$12,$N$2,$K$2,$B$38)</f>
        <v>0.33490000000000009</v>
      </c>
      <c r="H38" s="17">
        <f>_xll.DBRW($B$2,Cons_Region!$F$12,Cons_Region!H$15,$M$1,Cons_Region!$H$12,Cons_Region!$C$12,$N$2,$K$2,$B$38)</f>
        <v>0.3302999999999997</v>
      </c>
      <c r="I38" s="17">
        <f>_xll.DBRW($B$2,Cons_Region!$F$12,Cons_Region!I$15,$M$1,Cons_Region!$H$12,Cons_Region!$C$12,$N$2,$K$2,$B$38)</f>
        <v>0.33079999999999998</v>
      </c>
      <c r="J38" s="17">
        <f>_xll.DBRW($B$2,Cons_Region!$F$12,Cons_Region!J$15,$M$1,Cons_Region!$H$12,Cons_Region!$C$12,$N$2,$K$2,$B$38)</f>
        <v>0.32690000000000013</v>
      </c>
      <c r="K38" s="17">
        <f>_xll.DBRW($B$2,Cons_Region!$F$12,Cons_Region!K$15,$M$1,Cons_Region!$H$12,Cons_Region!$C$12,$N$2,$K$2,$B$38)</f>
        <v>0.32899999999999996</v>
      </c>
      <c r="L38" s="17">
        <f>_xll.DBRW($B$2,Cons_Region!$F$12,Cons_Region!L$15,$M$1,Cons_Region!$H$12,Cons_Region!$C$12,$N$2,$K$2,$B$38)</f>
        <v>0.3380999999999999</v>
      </c>
      <c r="M38" s="17">
        <f>_xll.DBRW($B$2,Cons_Region!$F$12,Cons_Region!M$15,$M$1,Cons_Region!$H$12,Cons_Region!$C$12,$N$2,$K$2,$B$38)</f>
        <v>0.34659999999999963</v>
      </c>
      <c r="N38" s="17">
        <f>_xll.DBRW($B$2,Cons_Region!$F$12,Cons_Region!N$15,$M$1,Cons_Region!$H$12,Cons_Region!$C$12,$N$2,$K$2,$B$38)</f>
        <v>0.35239999999999988</v>
      </c>
      <c r="O38" s="17">
        <f>_xll.DBRW($B$2,O36,Cons_Region!O$15,$M$1,Cons_Region!$H$12,Cons_Region!$C$12,$N$2,$K$2,$B$38)</f>
        <v>0</v>
      </c>
      <c r="P38" s="17">
        <f>_xll.DBRW($B$2,P36,Cons_Region!P$15,$M$1,Cons_Region!$H$12,Cons_Region!$C$12,$N$2,$K$2,$B$38)</f>
        <v>0</v>
      </c>
      <c r="Q38" s="17">
        <f>_xll.DBRW($B$2,Q36,Cons_Region!Q$15,$M$1,Cons_Region!$H$12,Cons_Region!$C$12,$N$2,$K$2,$B$38)</f>
        <v>0</v>
      </c>
      <c r="R38" s="17">
        <f>_xll.DBRW($B$2,R36,Cons_Region!R$15,$M$1,Cons_Region!$H$12,Cons_Region!$C$12,$N$2,$K$2,$B$38)</f>
        <v>0</v>
      </c>
      <c r="S38" s="17">
        <f>_xll.DBRW($B$2,S36,Cons_Region!S$15,$M$1,Cons_Region!$H$12,Cons_Region!$C$12,$N$2,$K$2,$B$38)</f>
        <v>0</v>
      </c>
    </row>
    <row r="39" spans="1:19" s="29" customFormat="1" ht="15.75" customHeight="1">
      <c r="A39" s="69"/>
      <c r="B39" s="16" t="s">
        <v>17</v>
      </c>
      <c r="C39" s="20">
        <f>_xll.DBRW($B$2,Cons_Region!$F$12,Cons_Region!C$15,$M$1,Cons_Region!$H$12,Cons_Region!$C$12,$N$2,$K$2,$B$39)</f>
        <v>0</v>
      </c>
      <c r="D39" s="20">
        <f>_xll.DBRW($B$2,Cons_Region!$F$12,Cons_Region!D$15,$M$1,Cons_Region!$H$12,Cons_Region!$C$12,$N$2,$K$2,$B$39)</f>
        <v>1595.2140886128027</v>
      </c>
      <c r="E39" s="20">
        <f>_xll.DBRW($B$2,Cons_Region!$F$12,Cons_Region!E$15,$M$1,Cons_Region!$H$12,Cons_Region!$C$12,$N$2,$K$2,$B$39)</f>
        <v>1894.3089239646747</v>
      </c>
      <c r="F39" s="20">
        <f>_xll.DBRW($B$2,Cons_Region!$F$12,Cons_Region!F$15,$M$1,Cons_Region!$H$12,Cons_Region!$C$12,$N$2,$K$2,$B$39)</f>
        <v>1765.301730860429</v>
      </c>
      <c r="G39" s="20">
        <f>_xll.DBRW($B$2,Cons_Region!$F$12,Cons_Region!G$15,$M$1,Cons_Region!$H$12,Cons_Region!$C$12,$N$2,$K$2,$B$39)</f>
        <v>1910.8407932437917</v>
      </c>
      <c r="H39" s="20">
        <f>_xll.DBRW($B$2,Cons_Region!$F$12,Cons_Region!H$15,$M$1,Cons_Region!$H$12,Cons_Region!$C$12,$N$2,$K$2,$B$39)</f>
        <v>1969.8936389835071</v>
      </c>
      <c r="I39" s="20">
        <f>_xll.DBRW($B$2,Cons_Region!$F$12,Cons_Region!I$15,$M$1,Cons_Region!$H$12,Cons_Region!$C$12,$N$2,$K$2,$B$39)</f>
        <v>2129.5650292844848</v>
      </c>
      <c r="J39" s="20">
        <f>_xll.DBRW($B$2,Cons_Region!$F$12,Cons_Region!J$15,$M$1,Cons_Region!$H$12,Cons_Region!$C$12,$N$2,$K$2,$B$39)</f>
        <v>2150.9372444572905</v>
      </c>
      <c r="K39" s="20">
        <f>_xll.DBRW($B$2,Cons_Region!$F$12,Cons_Region!K$15,$M$1,Cons_Region!$H$12,Cons_Region!$C$12,$N$2,$K$2,$B$39)</f>
        <v>2127.9179228269286</v>
      </c>
      <c r="L39" s="20">
        <f>_xll.DBRW($B$2,Cons_Region!$F$12,Cons_Region!L$15,$M$1,Cons_Region!$H$12,Cons_Region!$C$12,$N$2,$K$2,$B$39)</f>
        <v>2046.9142410925974</v>
      </c>
      <c r="M39" s="20">
        <f>_xll.DBRW($B$2,Cons_Region!$F$12,Cons_Region!M$15,$M$1,Cons_Region!$H$12,Cons_Region!$C$12,$N$2,$K$2,$B$39)</f>
        <v>1859.354520136782</v>
      </c>
      <c r="N39" s="20">
        <f>_xll.DBRW($B$2,Cons_Region!$F$12,Cons_Region!N$15,$M$1,Cons_Region!$H$12,Cons_Region!$C$12,$N$2,$K$2,$B$39)</f>
        <v>1664.1683084633582</v>
      </c>
      <c r="O39" s="20">
        <f>_xll.DBRW($B$2,O$36,Cons_Region!O$15,$M$1,Cons_Region!$H$12,Cons_Region!$C$12,$N$2,$K$2,$B$39)</f>
        <v>0</v>
      </c>
      <c r="P39" s="20">
        <f>_xll.DBRW($B$2,P$36,Cons_Region!P$15,$M$1,Cons_Region!$H$12,Cons_Region!$C$12,$N$2,$K$2,$B$39)</f>
        <v>0</v>
      </c>
      <c r="Q39" s="20">
        <f>_xll.DBRW($B$2,Q$36,Cons_Region!Q$15,$M$1,Cons_Region!$H$12,Cons_Region!$C$12,$N$2,$K$2,$B$39)</f>
        <v>0</v>
      </c>
      <c r="R39" s="20">
        <f>_xll.DBRW($B$2,R$36,Cons_Region!R$15,$M$1,Cons_Region!$H$12,Cons_Region!$C$12,$N$2,$K$2,$B$39)</f>
        <v>0</v>
      </c>
      <c r="S39" s="20">
        <f>_xll.DBRW($B$2,S$36,Cons_Region!S$15,$M$1,Cons_Region!$H$12,Cons_Region!$C$12,$N$2,$K$2,$B$39)</f>
        <v>0</v>
      </c>
    </row>
    <row r="40" spans="1:19" s="29" customFormat="1" ht="15.75" customHeight="1">
      <c r="A40" s="69"/>
      <c r="B40" s="21" t="s">
        <v>51</v>
      </c>
      <c r="C40" s="20">
        <f>_xll.DBRW($B$2,Cons_Region!$F$12,Cons_Region!C$15,$M$1,Cons_Region!$H$12,Cons_Region!$C$12,$N$2,$K$2,$B$40)</f>
        <v>0</v>
      </c>
      <c r="D40" s="20">
        <f>_xll.DBRW($B$2,Cons_Region!$F$12,Cons_Region!D$15,$M$1,Cons_Region!$H$12,Cons_Region!$C$12,$N$2,$K$2,$B$40)</f>
        <v>1204.29872309588</v>
      </c>
      <c r="E40" s="20">
        <f>_xll.DBRW($B$2,Cons_Region!$F$12,Cons_Region!E$15,$M$1,Cons_Region!$H$12,Cons_Region!$C$12,$N$2,$K$2,$B$40)</f>
        <v>1420.9803645373001</v>
      </c>
      <c r="F40" s="20">
        <f>_xll.DBRW($B$2,Cons_Region!$F$12,Cons_Region!F$15,$M$1,Cons_Region!$H$12,Cons_Region!$C$12,$N$2,$K$2,$B$40)</f>
        <v>1321.72935823632</v>
      </c>
      <c r="G40" s="20">
        <f>_xll.DBRW($B$2,Cons_Region!$F$12,Cons_Region!G$15,$M$1,Cons_Region!$H$12,Cons_Region!$C$12,$N$2,$K$2,$B$40)</f>
        <v>1431.4486427775801</v>
      </c>
      <c r="H40" s="20">
        <f>_xll.DBRW($B$2,Cons_Region!$F$12,Cons_Region!H$15,$M$1,Cons_Region!$H$12,Cons_Region!$C$12,$N$2,$K$2,$B$40)</f>
        <v>1480.78902426784</v>
      </c>
      <c r="I40" s="20">
        <f>_xll.DBRW($B$2,Cons_Region!$F$12,Cons_Region!I$15,$M$1,Cons_Region!$H$12,Cons_Region!$C$12,$N$2,$K$2,$B$40)</f>
        <v>1600.2141789032798</v>
      </c>
      <c r="J40" s="20">
        <f>_xll.DBRW($B$2,Cons_Region!$F$12,Cons_Region!J$15,$M$1,Cons_Region!$H$12,Cons_Region!$C$12,$N$2,$K$2,$B$40)</f>
        <v>1621.0243759569601</v>
      </c>
      <c r="K40" s="20">
        <f>_xll.DBRW($B$2,Cons_Region!$F$12,Cons_Region!K$15,$M$1,Cons_Region!$H$12,Cons_Region!$C$12,$N$2,$K$2,$B$40)</f>
        <v>1601.14215412109</v>
      </c>
      <c r="L40" s="20">
        <f>_xll.DBRW($B$2,Cons_Region!$F$12,Cons_Region!L$15,$M$1,Cons_Region!$H$12,Cons_Region!$C$12,$N$2,$K$2,$B$40)</f>
        <v>1529.7169427491201</v>
      </c>
      <c r="M40" s="20">
        <f>_xll.DBRW($B$2,Cons_Region!$F$12,Cons_Region!M$15,$M$1,Cons_Region!$H$12,Cons_Region!$C$12,$N$2,$K$2,$B$40)</f>
        <v>1380.7771573865903</v>
      </c>
      <c r="N40" s="20">
        <f>_xll.DBRW($B$2,Cons_Region!$F$12,Cons_Region!N$15,$M$1,Cons_Region!$H$12,Cons_Region!$C$12,$N$2,$K$2,$B$40)</f>
        <v>1230.5296572488601</v>
      </c>
      <c r="O40" s="20">
        <f>_xll.DBRW($B$2,O$36,Cons_Region!O$15,$M$1,Cons_Region!$H$12,Cons_Region!$C$12,$N$2,$K$2,$B$39)</f>
        <v>0</v>
      </c>
      <c r="P40" s="20">
        <f>_xll.DBRW($B$2,P$36,Cons_Region!P$15,$M$1,Cons_Region!$H$12,Cons_Region!$C$12,$N$2,$K$2,$B$39)</f>
        <v>0</v>
      </c>
      <c r="Q40" s="20">
        <f>_xll.DBRW($B$2,Q$36,Cons_Region!Q$15,$M$1,Cons_Region!$H$12,Cons_Region!$C$12,$N$2,$K$2,$B$39)</f>
        <v>0</v>
      </c>
      <c r="R40" s="20">
        <f>_xll.DBRW($B$2,R$36,Cons_Region!R$15,$M$1,Cons_Region!$H$12,Cons_Region!$C$12,$N$2,$K$2,$B$39)</f>
        <v>0</v>
      </c>
      <c r="S40" s="20">
        <f>_xll.DBRW($B$2,S$36,Cons_Region!S$15,$M$1,Cons_Region!$H$12,Cons_Region!$C$12,$N$2,$K$2,$B$39)</f>
        <v>0</v>
      </c>
    </row>
    <row r="41" spans="1:19" ht="15.7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19" ht="15.75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19" s="29" customFormat="1" ht="15.75" customHeight="1" thickBot="1">
      <c r="A43" s="69"/>
      <c r="B43" s="18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19" s="29" customFormat="1" ht="15.75" customHeight="1" thickTop="1">
      <c r="A44" s="69"/>
      <c r="B44" s="27" t="s">
        <v>29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19" s="29" customFormat="1" ht="15.75" customHeight="1">
      <c r="A45" s="69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spans="1:19" s="29" customFormat="1" ht="15.75" customHeight="1">
      <c r="A46" s="69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80">
        <f>$F$12+1</f>
        <v>2027</v>
      </c>
      <c r="P46" s="80">
        <f>$F$12+2</f>
        <v>2028</v>
      </c>
      <c r="Q46" s="80">
        <f>$F$12+3</f>
        <v>2029</v>
      </c>
      <c r="R46" s="80">
        <f>$F$12+4</f>
        <v>2030</v>
      </c>
      <c r="S46" s="80">
        <f>$F$12+5</f>
        <v>2031</v>
      </c>
    </row>
    <row r="47" spans="1:19" s="29" customFormat="1" ht="15.75" customHeight="1">
      <c r="A47" s="69"/>
      <c r="B47" s="22"/>
      <c r="C47" s="23" t="str">
        <f t="shared" ref="C47:N47" si="2">$F$12&amp;"."&amp;C$15</f>
        <v>2026.01</v>
      </c>
      <c r="D47" s="23" t="str">
        <f t="shared" si="2"/>
        <v>2026.02</v>
      </c>
      <c r="E47" s="23" t="str">
        <f t="shared" si="2"/>
        <v>2026.03</v>
      </c>
      <c r="F47" s="23" t="str">
        <f t="shared" si="2"/>
        <v>2026.04</v>
      </c>
      <c r="G47" s="23" t="str">
        <f t="shared" si="2"/>
        <v>2026.05</v>
      </c>
      <c r="H47" s="23" t="str">
        <f t="shared" si="2"/>
        <v>2026.06</v>
      </c>
      <c r="I47" s="23" t="str">
        <f t="shared" si="2"/>
        <v>2026.07</v>
      </c>
      <c r="J47" s="23" t="str">
        <f t="shared" si="2"/>
        <v>2026.08</v>
      </c>
      <c r="K47" s="23" t="str">
        <f t="shared" si="2"/>
        <v>2026.09</v>
      </c>
      <c r="L47" s="23" t="str">
        <f t="shared" si="2"/>
        <v>2026.10</v>
      </c>
      <c r="M47" s="23" t="str">
        <f t="shared" si="2"/>
        <v>2026.11</v>
      </c>
      <c r="N47" s="23" t="str">
        <f t="shared" si="2"/>
        <v>2026.12</v>
      </c>
      <c r="O47" s="23" t="s">
        <v>304</v>
      </c>
      <c r="P47" s="23" t="s">
        <v>304</v>
      </c>
      <c r="Q47" s="23" t="s">
        <v>304</v>
      </c>
      <c r="R47" s="23" t="s">
        <v>304</v>
      </c>
      <c r="S47" s="23" t="s">
        <v>304</v>
      </c>
    </row>
    <row r="48" spans="1:19" s="29" customFormat="1" ht="15.75" customHeight="1">
      <c r="A48" s="69" t="s">
        <v>312</v>
      </c>
      <c r="B48" s="15" t="s">
        <v>19</v>
      </c>
      <c r="C48" s="20">
        <f>_xll.DBRW($B$1,Cons_Region!$F$12,Cons_Region!C$15,$M$1,Cons_Region!$H$12,Cons_Region!$C$12,$N$2,$A48,$L$1,$K$1)</f>
        <v>0</v>
      </c>
      <c r="D48" s="20">
        <f>_xll.DBRW($B$1,Cons_Region!$F$12,Cons_Region!D$15,$M$1,Cons_Region!$H$12,Cons_Region!$C$12,$N$2,$A48,$L$1,$K$1)</f>
        <v>168.80199999999999</v>
      </c>
      <c r="E48" s="20">
        <f>_xll.DBRW($B$1,Cons_Region!$F$12,Cons_Region!E$15,$M$1,Cons_Region!$H$12,Cons_Region!$C$12,$N$2,$A48,$L$1,$K$1)</f>
        <v>205.1198</v>
      </c>
      <c r="F48" s="20">
        <f>_xll.DBRW($B$1,Cons_Region!$F$12,Cons_Region!F$15,$M$1,Cons_Region!$H$12,Cons_Region!$C$12,$N$2,$A48,$L$1,$K$1)</f>
        <v>199.2509</v>
      </c>
      <c r="G48" s="20">
        <f>_xll.DBRW($B$1,Cons_Region!$F$12,Cons_Region!G$15,$M$1,Cons_Region!$H$12,Cons_Region!$C$12,$N$2,$A48,$L$1,$K$1)</f>
        <v>216.52189999999999</v>
      </c>
      <c r="H48" s="20">
        <f>_xll.DBRW($B$1,Cons_Region!$F$12,Cons_Region!H$15,$M$1,Cons_Region!$H$12,Cons_Region!$C$12,$N$2,$A48,$L$1,$K$1)</f>
        <v>222.54750000000001</v>
      </c>
      <c r="I48" s="20">
        <f>_xll.DBRW($B$1,Cons_Region!$F$12,Cons_Region!I$15,$M$1,Cons_Region!$H$12,Cons_Region!$C$12,$N$2,$A48,$L$1,$K$1)</f>
        <v>237.51439999999999</v>
      </c>
      <c r="J48" s="20">
        <f>_xll.DBRW($B$1,Cons_Region!$F$12,Cons_Region!J$15,$M$1,Cons_Region!$H$12,Cons_Region!$C$12,$N$2,$A48,$L$1,$K$1)</f>
        <v>239.95740000000001</v>
      </c>
      <c r="K48" s="20">
        <f>_xll.DBRW($B$1,Cons_Region!$F$12,Cons_Region!K$15,$M$1,Cons_Region!$H$12,Cons_Region!$C$12,$N$2,$A48,$L$1,$K$1)</f>
        <v>237.3854</v>
      </c>
      <c r="L48" s="20">
        <f>_xll.DBRW($B$1,Cons_Region!$F$12,Cons_Region!L$15,$M$1,Cons_Region!$H$12,Cons_Region!$C$12,$N$2,$A48,$L$1,$K$1)</f>
        <v>230.65180000000001</v>
      </c>
      <c r="M48" s="20">
        <f>_xll.DBRW($B$1,Cons_Region!$F$12,Cons_Region!M$15,$M$1,Cons_Region!$H$12,Cons_Region!$C$12,$N$2,$A48,$L$1,$K$1)</f>
        <v>206.94499999999999</v>
      </c>
      <c r="N48" s="20">
        <f>_xll.DBRW($B$1,Cons_Region!$F$12,Cons_Region!N$15,$M$1,Cons_Region!$H$12,Cons_Region!$C$12,$N$2,$A48,$L$1,$K$1)</f>
        <v>185.971</v>
      </c>
      <c r="O48" s="20">
        <f>_xll.DBRW($B$1,O$36,Cons_Region!O$15,$M$1,Cons_Region!$H$12,Cons_Region!$C$12,$N$2,$A48,$L$1,$K$1)</f>
        <v>0</v>
      </c>
      <c r="P48" s="20">
        <f>_xll.DBRW($B$1,P$36,Cons_Region!P$15,$M$1,Cons_Region!$H$12,Cons_Region!$C$12,$N$2,$A48,$L$1,$K$1)</f>
        <v>0</v>
      </c>
      <c r="Q48" s="20">
        <f>_xll.DBRW($B$1,Q$36,Cons_Region!Q$15,$M$1,Cons_Region!$H$12,Cons_Region!$C$12,$N$2,$A48,$L$1,$K$1)</f>
        <v>0</v>
      </c>
      <c r="R48" s="20">
        <f>_xll.DBRW($B$1,R$36,Cons_Region!R$15,$M$1,Cons_Region!$H$12,Cons_Region!$C$12,$N$2,$A48,$L$1,$K$1)</f>
        <v>0</v>
      </c>
      <c r="S48" s="20">
        <f>_xll.DBRW($B$1,S$36,Cons_Region!S$15,$M$1,Cons_Region!$H$12,Cons_Region!$C$12,$N$2,$A48,$L$1,$K$1)</f>
        <v>0</v>
      </c>
    </row>
    <row r="49" spans="1:19" s="29" customFormat="1" ht="15.75" customHeight="1">
      <c r="A49" s="69" t="s">
        <v>313</v>
      </c>
      <c r="B49" s="15" t="s">
        <v>20</v>
      </c>
      <c r="C49" s="20">
        <f>_xll.DBRW($B$1,Cons_Region!$F$12,Cons_Region!C$15,$M$1,Cons_Region!$H$12,Cons_Region!$C$12,$N$2,$A49,$L$1,$K$1)</f>
        <v>0</v>
      </c>
      <c r="D49" s="20">
        <f>_xll.DBRW($B$1,Cons_Region!$F$12,Cons_Region!D$15,$M$1,Cons_Region!$H$12,Cons_Region!$C$12,$N$2,$A49,$L$1,$K$1)</f>
        <v>598.87729999999999</v>
      </c>
      <c r="E49" s="20">
        <f>_xll.DBRW($B$1,Cons_Region!$F$12,Cons_Region!E$15,$M$1,Cons_Region!$H$12,Cons_Region!$C$12,$N$2,$A49,$L$1,$K$1)</f>
        <v>675.24839999999995</v>
      </c>
      <c r="F49" s="20">
        <f>_xll.DBRW($B$1,Cons_Region!$F$12,Cons_Region!F$15,$M$1,Cons_Region!$H$12,Cons_Region!$C$12,$N$2,$A49,$L$1,$K$1)</f>
        <v>594.52480000000003</v>
      </c>
      <c r="G49" s="20">
        <f>_xll.DBRW($B$1,Cons_Region!$F$12,Cons_Region!G$15,$M$1,Cons_Region!$H$12,Cons_Region!$C$12,$N$2,$A49,$L$1,$K$1)</f>
        <v>612.42049999999995</v>
      </c>
      <c r="H49" s="20">
        <f>_xll.DBRW($B$1,Cons_Region!$F$12,Cons_Region!H$15,$M$1,Cons_Region!$H$12,Cons_Region!$C$12,$N$2,$A49,$L$1,$K$1)</f>
        <v>629.71259999999995</v>
      </c>
      <c r="I49" s="20">
        <f>_xll.DBRW($B$1,Cons_Region!$F$12,Cons_Region!I$15,$M$1,Cons_Region!$H$12,Cons_Region!$C$12,$N$2,$A49,$L$1,$K$1)</f>
        <v>680.9529</v>
      </c>
      <c r="J49" s="20">
        <f>_xll.DBRW($B$1,Cons_Region!$F$12,Cons_Region!J$15,$M$1,Cons_Region!$H$12,Cons_Region!$C$12,$N$2,$A49,$L$1,$K$1)</f>
        <v>694.04049999999995</v>
      </c>
      <c r="K49" s="20">
        <f>_xll.DBRW($B$1,Cons_Region!$F$12,Cons_Region!K$15,$M$1,Cons_Region!$H$12,Cons_Region!$C$12,$N$2,$A49,$L$1,$K$1)</f>
        <v>669.3519</v>
      </c>
      <c r="L49" s="20">
        <f>_xll.DBRW($B$1,Cons_Region!$F$12,Cons_Region!L$15,$M$1,Cons_Region!$H$12,Cons_Region!$C$12,$N$2,$A49,$L$1,$K$1)</f>
        <v>621.02409999999998</v>
      </c>
      <c r="M49" s="20">
        <f>_xll.DBRW($B$1,Cons_Region!$F$12,Cons_Region!M$15,$M$1,Cons_Region!$H$12,Cons_Region!$C$12,$N$2,$A49,$L$1,$K$1)</f>
        <v>565.62789999999995</v>
      </c>
      <c r="N49" s="20">
        <f>_xll.DBRW($B$1,Cons_Region!$F$12,Cons_Region!N$15,$M$1,Cons_Region!$H$12,Cons_Region!$C$12,$N$2,$A49,$L$1,$K$1)</f>
        <v>530.31089999999995</v>
      </c>
      <c r="O49" s="20">
        <f>_xll.DBRW($B$1,O$36,Cons_Region!O$15,$M$1,Cons_Region!$H$12,Cons_Region!$C$12,$N$2,$A49,$L$1,$K$1)</f>
        <v>0</v>
      </c>
      <c r="P49" s="20">
        <f>_xll.DBRW($B$1,P$36,Cons_Region!P$15,$M$1,Cons_Region!$H$12,Cons_Region!$C$12,$N$2,$A49,$L$1,$K$1)</f>
        <v>0</v>
      </c>
      <c r="Q49" s="20">
        <f>_xll.DBRW($B$1,Q$36,Cons_Region!Q$15,$M$1,Cons_Region!$H$12,Cons_Region!$C$12,$N$2,$A49,$L$1,$K$1)</f>
        <v>0</v>
      </c>
      <c r="R49" s="20">
        <f>_xll.DBRW($B$1,R$36,Cons_Region!R$15,$M$1,Cons_Region!$H$12,Cons_Region!$C$12,$N$2,$A49,$L$1,$K$1)</f>
        <v>0</v>
      </c>
      <c r="S49" s="20">
        <f>_xll.DBRW($B$1,S$36,Cons_Region!S$15,$M$1,Cons_Region!$H$12,Cons_Region!$C$12,$N$2,$A49,$L$1,$K$1)</f>
        <v>0</v>
      </c>
    </row>
    <row r="50" spans="1:19" s="29" customFormat="1" ht="15.75" customHeight="1">
      <c r="A50" s="69" t="s">
        <v>314</v>
      </c>
      <c r="B50" s="15" t="s">
        <v>21</v>
      </c>
      <c r="C50" s="20">
        <f>_xll.DBRW($B$1,Cons_Region!$F$12,Cons_Region!C$15,$M$1,Cons_Region!$H$12,Cons_Region!$C$12,$N$2,$A50,$L$1,$K$1)</f>
        <v>0</v>
      </c>
      <c r="D50" s="20">
        <f>_xll.DBRW($B$1,Cons_Region!$F$12,Cons_Region!D$15,$M$1,Cons_Region!$H$12,Cons_Region!$C$12,$N$2,$A50,$L$1,$K$1)</f>
        <v>174.4091</v>
      </c>
      <c r="E50" s="20">
        <f>_xll.DBRW($B$1,Cons_Region!$F$12,Cons_Region!E$15,$M$1,Cons_Region!$H$12,Cons_Region!$C$12,$N$2,$A50,$L$1,$K$1)</f>
        <v>212.39510000000001</v>
      </c>
      <c r="F50" s="20">
        <f>_xll.DBRW($B$1,Cons_Region!$F$12,Cons_Region!F$15,$M$1,Cons_Region!$H$12,Cons_Region!$C$12,$N$2,$A50,$L$1,$K$1)</f>
        <v>193.3931</v>
      </c>
      <c r="G50" s="20">
        <f>_xll.DBRW($B$1,Cons_Region!$F$12,Cons_Region!G$15,$M$1,Cons_Region!$H$12,Cons_Region!$C$12,$N$2,$A50,$L$1,$K$1)</f>
        <v>189.37110000000001</v>
      </c>
      <c r="H50" s="20">
        <f>_xll.DBRW($B$1,Cons_Region!$F$12,Cons_Region!H$15,$M$1,Cons_Region!$H$12,Cons_Region!$C$12,$N$2,$A50,$L$1,$K$1)</f>
        <v>189.62010000000001</v>
      </c>
      <c r="I50" s="20">
        <f>_xll.DBRW($B$1,Cons_Region!$F$12,Cons_Region!I$15,$M$1,Cons_Region!$H$12,Cons_Region!$C$12,$N$2,$A50,$L$1,$K$1)</f>
        <v>181.5719</v>
      </c>
      <c r="J50" s="20">
        <f>_xll.DBRW($B$1,Cons_Region!$F$12,Cons_Region!J$15,$M$1,Cons_Region!$H$12,Cons_Region!$C$12,$N$2,$A50,$L$1,$K$1)</f>
        <v>175.1754</v>
      </c>
      <c r="K50" s="20">
        <f>_xll.DBRW($B$1,Cons_Region!$F$12,Cons_Region!K$15,$M$1,Cons_Region!$H$12,Cons_Region!$C$12,$N$2,$A50,$L$1,$K$1)</f>
        <v>173.42320000000001</v>
      </c>
      <c r="L50" s="20">
        <f>_xll.DBRW($B$1,Cons_Region!$F$12,Cons_Region!L$15,$M$1,Cons_Region!$H$12,Cons_Region!$C$12,$N$2,$A50,$L$1,$K$1)</f>
        <v>174.6781</v>
      </c>
      <c r="M50" s="20">
        <f>_xll.DBRW($B$1,Cons_Region!$F$12,Cons_Region!M$15,$M$1,Cons_Region!$H$12,Cons_Region!$C$12,$N$2,$A50,$L$1,$K$1)</f>
        <v>162.63900000000001</v>
      </c>
      <c r="N50" s="20">
        <f>_xll.DBRW($B$1,Cons_Region!$F$12,Cons_Region!N$15,$M$1,Cons_Region!$H$12,Cons_Region!$C$12,$N$2,$A50,$L$1,$K$1)</f>
        <v>152.98400000000001</v>
      </c>
      <c r="O50" s="20">
        <f>_xll.DBRW($B$1,O$36,Cons_Region!O$15,$M$1,Cons_Region!$H$12,Cons_Region!$C$12,$N$2,$A50,$L$1,$K$1)</f>
        <v>0</v>
      </c>
      <c r="P50" s="20">
        <f>_xll.DBRW($B$1,P$36,Cons_Region!P$15,$M$1,Cons_Region!$H$12,Cons_Region!$C$12,$N$2,$A50,$L$1,$K$1)</f>
        <v>0</v>
      </c>
      <c r="Q50" s="20">
        <f>_xll.DBRW($B$1,Q$36,Cons_Region!Q$15,$M$1,Cons_Region!$H$12,Cons_Region!$C$12,$N$2,$A50,$L$1,$K$1)</f>
        <v>0</v>
      </c>
      <c r="R50" s="20">
        <f>_xll.DBRW($B$1,R$36,Cons_Region!R$15,$M$1,Cons_Region!$H$12,Cons_Region!$C$12,$N$2,$A50,$L$1,$K$1)</f>
        <v>0</v>
      </c>
      <c r="S50" s="20">
        <f>_xll.DBRW($B$1,S$36,Cons_Region!S$15,$M$1,Cons_Region!$H$12,Cons_Region!$C$12,$N$2,$A50,$L$1,$K$1)</f>
        <v>0</v>
      </c>
    </row>
    <row r="51" spans="1:19" s="29" customFormat="1" ht="15.75" customHeight="1">
      <c r="A51" s="69" t="s">
        <v>315</v>
      </c>
      <c r="B51" s="15" t="s">
        <v>22</v>
      </c>
      <c r="C51" s="20">
        <f>_xll.DBRW($B$1,Cons_Region!$F$12,Cons_Region!C$15,$M$1,Cons_Region!$H$12,Cons_Region!$C$12,$N$2,$A51,$L$1,$K$1)</f>
        <v>0</v>
      </c>
      <c r="D51" s="20">
        <f>_xll.DBRW($B$1,Cons_Region!$F$12,Cons_Region!D$15,$M$1,Cons_Region!$H$12,Cons_Region!$C$12,$N$2,$A51,$L$1,$K$1)</f>
        <v>117.0107</v>
      </c>
      <c r="E51" s="20">
        <f>_xll.DBRW($B$1,Cons_Region!$F$12,Cons_Region!E$15,$M$1,Cons_Region!$H$12,Cons_Region!$C$12,$N$2,$A51,$L$1,$K$1)</f>
        <v>124.18559999999999</v>
      </c>
      <c r="F51" s="20">
        <f>_xll.DBRW($B$1,Cons_Region!$F$12,Cons_Region!F$15,$M$1,Cons_Region!$H$12,Cons_Region!$C$12,$N$2,$A51,$L$1,$K$1)</f>
        <v>129.2842</v>
      </c>
      <c r="G51" s="20">
        <f>_xll.DBRW($B$1,Cons_Region!$F$12,Cons_Region!G$15,$M$1,Cons_Region!$H$12,Cons_Region!$C$12,$N$2,$A51,$L$1,$K$1)</f>
        <v>147.91489999999999</v>
      </c>
      <c r="H51" s="20">
        <f>_xll.DBRW($B$1,Cons_Region!$F$12,Cons_Region!H$15,$M$1,Cons_Region!$H$12,Cons_Region!$C$12,$N$2,$A51,$L$1,$K$1)</f>
        <v>130.72999999999999</v>
      </c>
      <c r="I51" s="20">
        <f>_xll.DBRW($B$1,Cons_Region!$F$12,Cons_Region!I$15,$M$1,Cons_Region!$H$12,Cons_Region!$C$12,$N$2,$A51,$L$1,$K$1)</f>
        <v>123.315</v>
      </c>
      <c r="J51" s="20">
        <f>_xll.DBRW($B$1,Cons_Region!$F$12,Cons_Region!J$15,$M$1,Cons_Region!$H$12,Cons_Region!$C$12,$N$2,$A51,$L$1,$K$1)</f>
        <v>128.4872</v>
      </c>
      <c r="K51" s="20">
        <f>_xll.DBRW($B$1,Cons_Region!$F$12,Cons_Region!K$15,$M$1,Cons_Region!$H$12,Cons_Region!$C$12,$N$2,$A51,$L$1,$K$1)</f>
        <v>123.1262</v>
      </c>
      <c r="L51" s="20">
        <f>_xll.DBRW($B$1,Cons_Region!$F$12,Cons_Region!L$15,$M$1,Cons_Region!$H$12,Cons_Region!$C$12,$N$2,$A51,$L$1,$K$1)</f>
        <v>136.22559999999999</v>
      </c>
      <c r="M51" s="20">
        <f>_xll.DBRW($B$1,Cons_Region!$F$12,Cons_Region!M$15,$M$1,Cons_Region!$H$12,Cons_Region!$C$12,$N$2,$A51,$L$1,$K$1)</f>
        <v>127.08710000000001</v>
      </c>
      <c r="N51" s="20">
        <f>_xll.DBRW($B$1,Cons_Region!$F$12,Cons_Region!N$15,$M$1,Cons_Region!$H$12,Cons_Region!$C$12,$N$2,$A51,$L$1,$K$1)</f>
        <v>123.54179999999999</v>
      </c>
      <c r="O51" s="20">
        <f>_xll.DBRW($B$1,O$36,Cons_Region!O$15,$M$1,Cons_Region!$H$12,Cons_Region!$C$12,$N$2,$A51,$L$1,$K$1)</f>
        <v>0</v>
      </c>
      <c r="P51" s="20">
        <f>_xll.DBRW($B$1,P$36,Cons_Region!P$15,$M$1,Cons_Region!$H$12,Cons_Region!$C$12,$N$2,$A51,$L$1,$K$1)</f>
        <v>0</v>
      </c>
      <c r="Q51" s="20">
        <f>_xll.DBRW($B$1,Q$36,Cons_Region!Q$15,$M$1,Cons_Region!$H$12,Cons_Region!$C$12,$N$2,$A51,$L$1,$K$1)</f>
        <v>0</v>
      </c>
      <c r="R51" s="20">
        <f>_xll.DBRW($B$1,R$36,Cons_Region!R$15,$M$1,Cons_Region!$H$12,Cons_Region!$C$12,$N$2,$A51,$L$1,$K$1)</f>
        <v>0</v>
      </c>
      <c r="S51" s="20">
        <f>_xll.DBRW($B$1,S$36,Cons_Region!S$15,$M$1,Cons_Region!$H$12,Cons_Region!$C$12,$N$2,$A51,$L$1,$K$1)</f>
        <v>0</v>
      </c>
    </row>
    <row r="52" spans="1:19" s="29" customFormat="1" ht="15.75" customHeight="1">
      <c r="A52" s="69" t="s">
        <v>334</v>
      </c>
      <c r="B52" s="15" t="s">
        <v>23</v>
      </c>
      <c r="C52" s="20">
        <f>_xll.DBRW($B$1,Cons_Region!$F$12,Cons_Region!C$15,$M$1,Cons_Region!$H$12,Cons_Region!$C$12,$N$2,$A52,$L$1,$K$1)</f>
        <v>0</v>
      </c>
      <c r="D52" s="20">
        <f>_xll.DBRW($B$1,Cons_Region!$F$12,Cons_Region!D$15,$M$1,Cons_Region!$H$12,Cons_Region!$C$12,$N$2,$A52,$L$1,$K$1)</f>
        <v>0</v>
      </c>
      <c r="E52" s="20">
        <f>_xll.DBRW($B$1,Cons_Region!$F$12,Cons_Region!E$15,$M$1,Cons_Region!$H$12,Cons_Region!$C$12,$N$2,$A52,$L$1,$K$1)</f>
        <v>0</v>
      </c>
      <c r="F52" s="20">
        <f>_xll.DBRW($B$1,Cons_Region!$F$12,Cons_Region!F$15,$M$1,Cons_Region!$H$12,Cons_Region!$C$12,$N$2,$A52,$L$1,$K$1)</f>
        <v>0</v>
      </c>
      <c r="G52" s="20">
        <f>_xll.DBRW($B$1,Cons_Region!$F$12,Cons_Region!G$15,$M$1,Cons_Region!$H$12,Cons_Region!$C$12,$N$2,$A52,$L$1,$K$1)</f>
        <v>0</v>
      </c>
      <c r="H52" s="20">
        <f>_xll.DBRW($B$1,Cons_Region!$F$12,Cons_Region!H$15,$M$1,Cons_Region!$H$12,Cons_Region!$C$12,$N$2,$A52,$L$1,$K$1)</f>
        <v>0</v>
      </c>
      <c r="I52" s="20">
        <f>_xll.DBRW($B$1,Cons_Region!$F$12,Cons_Region!I$15,$M$1,Cons_Region!$H$12,Cons_Region!$C$12,$N$2,$A52,$L$1,$K$1)</f>
        <v>0</v>
      </c>
      <c r="J52" s="20">
        <f>_xll.DBRW($B$1,Cons_Region!$F$12,Cons_Region!J$15,$M$1,Cons_Region!$H$12,Cons_Region!$C$12,$N$2,$A52,$L$1,$K$1)</f>
        <v>0</v>
      </c>
      <c r="K52" s="20">
        <f>_xll.DBRW($B$1,Cons_Region!$F$12,Cons_Region!K$15,$M$1,Cons_Region!$H$12,Cons_Region!$C$12,$N$2,$A52,$L$1,$K$1)</f>
        <v>0</v>
      </c>
      <c r="L52" s="20">
        <f>_xll.DBRW($B$1,Cons_Region!$F$12,Cons_Region!L$15,$M$1,Cons_Region!$H$12,Cons_Region!$C$12,$N$2,$A52,$L$1,$K$1)</f>
        <v>0</v>
      </c>
      <c r="M52" s="20">
        <f>_xll.DBRW($B$1,Cons_Region!$F$12,Cons_Region!M$15,$M$1,Cons_Region!$H$12,Cons_Region!$C$12,$N$2,$A52,$L$1,$K$1)</f>
        <v>0</v>
      </c>
      <c r="N52" s="20">
        <f>_xll.DBRW($B$1,Cons_Region!$F$12,Cons_Region!N$15,$M$1,Cons_Region!$H$12,Cons_Region!$C$12,$N$2,$A52,$L$1,$K$1)</f>
        <v>0</v>
      </c>
      <c r="O52" s="20">
        <f>_xll.DBRW($B$1,O$36,Cons_Region!O$15,$M$1,Cons_Region!$H$12,Cons_Region!$C$12,$N$2,$A52,$L$1,$K$1)</f>
        <v>0</v>
      </c>
      <c r="P52" s="20">
        <f>_xll.DBRW($B$1,P$36,Cons_Region!P$15,$M$1,Cons_Region!$H$12,Cons_Region!$C$12,$N$2,$A52,$L$1,$K$1)</f>
        <v>0</v>
      </c>
      <c r="Q52" s="20">
        <f>_xll.DBRW($B$1,Q$36,Cons_Region!Q$15,$M$1,Cons_Region!$H$12,Cons_Region!$C$12,$N$2,$A52,$L$1,$K$1)</f>
        <v>0</v>
      </c>
      <c r="R52" s="20">
        <f>_xll.DBRW($B$1,R$36,Cons_Region!R$15,$M$1,Cons_Region!$H$12,Cons_Region!$C$12,$N$2,$A52,$L$1,$K$1)</f>
        <v>0</v>
      </c>
      <c r="S52" s="20">
        <f>_xll.DBRW($B$1,S$36,Cons_Region!S$15,$M$1,Cons_Region!$H$12,Cons_Region!$C$12,$N$2,$A52,$L$1,$K$1)</f>
        <v>0</v>
      </c>
    </row>
    <row r="53" spans="1:19" s="29" customFormat="1" ht="15.75" customHeight="1">
      <c r="A53" s="69" t="s">
        <v>332</v>
      </c>
      <c r="B53" s="15" t="s">
        <v>24</v>
      </c>
      <c r="C53" s="20">
        <f>_xll.DBRW($B$3,Cons_Region!$F$12,Cons_Region!C$15,$M$1,Cons_Region!$H$12,Cons_Region!$C$12,$N$2,$A53,$K$1)</f>
        <v>0</v>
      </c>
      <c r="D53" s="20">
        <f>_xll.DBRW($B$3,Cons_Region!$F$12,Cons_Region!D$15,$M$1,Cons_Region!$H$12,Cons_Region!$C$12,$N$2,$A53,$K$1)</f>
        <v>164.97952309587998</v>
      </c>
      <c r="E53" s="20">
        <f>_xll.DBRW($B$3,Cons_Region!$F$12,Cons_Region!E$15,$M$1,Cons_Region!$H$12,Cons_Region!$C$12,$N$2,$A53,$K$1)</f>
        <v>211.5546645373002</v>
      </c>
      <c r="F53" s="20">
        <f>_xll.DBRW($B$3,Cons_Region!$F$12,Cons_Region!F$15,$M$1,Cons_Region!$H$12,Cons_Region!$C$12,$N$2,$A53,$K$1)</f>
        <v>218.04975823631995</v>
      </c>
      <c r="G53" s="20">
        <f>_xll.DBRW($B$3,Cons_Region!$F$12,Cons_Region!G$15,$M$1,Cons_Region!$H$12,Cons_Region!$C$12,$N$2,$A53,$K$1)</f>
        <v>280.17124277758006</v>
      </c>
      <c r="H53" s="20">
        <f>_xll.DBRW($B$3,Cons_Region!$F$12,Cons_Region!H$15,$M$1,Cons_Region!$H$12,Cons_Region!$C$12,$N$2,$A53,$K$1)</f>
        <v>316.88202426783994</v>
      </c>
      <c r="I53" s="20">
        <f>_xll.DBRW($B$3,Cons_Region!$F$12,Cons_Region!I$15,$M$1,Cons_Region!$H$12,Cons_Region!$C$12,$N$2,$A53,$K$1)</f>
        <v>391.21587890327999</v>
      </c>
      <c r="J53" s="20">
        <f>_xll.DBRW($B$3,Cons_Region!$F$12,Cons_Region!J$15,$M$1,Cons_Region!$H$12,Cons_Region!$C$12,$N$2,$A53,$K$1)</f>
        <v>391.12057595696007</v>
      </c>
      <c r="K53" s="20">
        <f>_xll.DBRW($B$3,Cons_Region!$F$12,Cons_Region!K$15,$M$1,Cons_Region!$H$12,Cons_Region!$C$12,$N$2,$A53,$K$1)</f>
        <v>404.97955412109002</v>
      </c>
      <c r="L53" s="20">
        <f>_xll.DBRW($B$3,Cons_Region!$F$12,Cons_Region!L$15,$M$1,Cons_Region!$H$12,Cons_Region!$C$12,$N$2,$A53,$K$1)</f>
        <v>367.84144274912012</v>
      </c>
      <c r="M53" s="20">
        <f>_xll.DBRW($B$3,Cons_Region!$F$12,Cons_Region!M$15,$M$1,Cons_Region!$H$12,Cons_Region!$C$12,$N$2,$A53,$K$1)</f>
        <v>333.01555738659022</v>
      </c>
      <c r="N53" s="20">
        <f>_xll.DBRW($B$3,Cons_Region!$F$12,Cons_Region!N$15,$M$1,Cons_Region!$H$12,Cons_Region!$C$12,$N$2,$A53,$K$1)</f>
        <v>274.94185724886017</v>
      </c>
      <c r="O53" s="20">
        <f>_xll.DBRW($B$3,O$14,Cons_Region!O$15,$M$1,Cons_Region!$H$12,Cons_Region!$C$12,$N$2,$A53,$K$1)</f>
        <v>0</v>
      </c>
      <c r="P53" s="20">
        <f>_xll.DBRW($B$3,P$14,Cons_Region!P$15,$M$1,Cons_Region!$H$12,Cons_Region!$C$12,$N$2,$A53,$K$1)</f>
        <v>0</v>
      </c>
      <c r="Q53" s="20">
        <f>_xll.DBRW($B$3,Q$14,Cons_Region!Q$15,$M$1,Cons_Region!$H$12,Cons_Region!$C$12,$N$2,$A53,$K$1)</f>
        <v>0</v>
      </c>
      <c r="R53" s="20">
        <f>_xll.DBRW($B$3,R$14,Cons_Region!R$15,$M$1,Cons_Region!$H$12,Cons_Region!$C$12,$N$2,$A53,$K$1)</f>
        <v>0</v>
      </c>
      <c r="S53" s="20">
        <f>_xll.DBRW($B$3,S$14,Cons_Region!S$15,$M$1,Cons_Region!$H$12,Cons_Region!$C$12,$N$2,$A53,$K$1)</f>
        <v>0</v>
      </c>
    </row>
    <row r="54" spans="1:19" ht="15.75" customHeight="1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  <row r="55" spans="1:19" s="29" customFormat="1" ht="15.75" customHeight="1" thickBot="1">
      <c r="A55" s="69"/>
      <c r="B55" s="18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</row>
    <row r="56" spans="1:19" s="29" customFormat="1" ht="21" thickTop="1">
      <c r="A56" s="69"/>
      <c r="B56" s="27" t="s">
        <v>56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1:19" ht="15.75" customHeight="1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80">
        <f>$F$12+1</f>
        <v>2027</v>
      </c>
      <c r="P57" s="80">
        <f>$F$12+2</f>
        <v>2028</v>
      </c>
      <c r="Q57" s="80">
        <f>$F$12+3</f>
        <v>2029</v>
      </c>
      <c r="R57" s="80">
        <f>$F$12+4</f>
        <v>2030</v>
      </c>
      <c r="S57" s="80">
        <f>$F$12+5</f>
        <v>2031</v>
      </c>
    </row>
    <row r="58" spans="1:19" s="29" customFormat="1" ht="15.75" customHeight="1">
      <c r="A58" s="69"/>
      <c r="B58" s="22"/>
      <c r="C58" s="23" t="str">
        <f t="shared" ref="C58:N58" si="3">$F$12&amp;"."&amp;C$15</f>
        <v>2026.01</v>
      </c>
      <c r="D58" s="23" t="str">
        <f t="shared" si="3"/>
        <v>2026.02</v>
      </c>
      <c r="E58" s="23" t="str">
        <f t="shared" si="3"/>
        <v>2026.03</v>
      </c>
      <c r="F58" s="23" t="str">
        <f t="shared" si="3"/>
        <v>2026.04</v>
      </c>
      <c r="G58" s="23" t="str">
        <f t="shared" si="3"/>
        <v>2026.05</v>
      </c>
      <c r="H58" s="23" t="str">
        <f t="shared" si="3"/>
        <v>2026.06</v>
      </c>
      <c r="I58" s="23" t="str">
        <f t="shared" si="3"/>
        <v>2026.07</v>
      </c>
      <c r="J58" s="23" t="str">
        <f t="shared" si="3"/>
        <v>2026.08</v>
      </c>
      <c r="K58" s="23" t="str">
        <f t="shared" si="3"/>
        <v>2026.09</v>
      </c>
      <c r="L58" s="23" t="str">
        <f t="shared" si="3"/>
        <v>2026.10</v>
      </c>
      <c r="M58" s="23" t="str">
        <f t="shared" si="3"/>
        <v>2026.11</v>
      </c>
      <c r="N58" s="23" t="str">
        <f t="shared" si="3"/>
        <v>2026.12</v>
      </c>
      <c r="O58" s="23" t="s">
        <v>304</v>
      </c>
      <c r="P58" s="23" t="s">
        <v>304</v>
      </c>
      <c r="Q58" s="23" t="s">
        <v>304</v>
      </c>
      <c r="R58" s="23" t="s">
        <v>304</v>
      </c>
      <c r="S58" s="23" t="s">
        <v>304</v>
      </c>
    </row>
    <row r="59" spans="1:19" s="29" customFormat="1" ht="29.25" customHeight="1">
      <c r="A59" s="69" t="s">
        <v>331</v>
      </c>
      <c r="B59" s="15" t="s">
        <v>25</v>
      </c>
      <c r="C59" s="20">
        <f>_xll.DBRW($B$1,Cons_Region!$F$12,Cons_Region!C$15,$M$1,Cons_Region!$H$12,Cons_Region!$C$12,$N$2,$A59,$L$1,$K$1)</f>
        <v>0</v>
      </c>
      <c r="D59" s="20">
        <f>_xll.DBRW($B$1,Cons_Region!$F$12,Cons_Region!D$15,$M$1,Cons_Region!$H$12,Cons_Region!$C$12,$N$2,$A59,$L$1,$K$1)</f>
        <v>102.5138</v>
      </c>
      <c r="E59" s="20">
        <f>_xll.DBRW($B$1,Cons_Region!$F$12,Cons_Region!E$15,$M$1,Cons_Region!$H$12,Cons_Region!$C$12,$N$2,$A59,$L$1,$K$1)</f>
        <v>100.0189</v>
      </c>
      <c r="F59" s="20">
        <f>_xll.DBRW($B$1,Cons_Region!$F$12,Cons_Region!F$15,$M$1,Cons_Region!$H$12,Cons_Region!$C$12,$N$2,$A59,$L$1,$K$1)</f>
        <v>98.679900000000004</v>
      </c>
      <c r="G59" s="20">
        <f>_xll.DBRW($B$1,Cons_Region!$F$12,Cons_Region!G$15,$M$1,Cons_Region!$H$12,Cons_Region!$C$12,$N$2,$A59,$L$1,$K$1)</f>
        <v>99.013300000000001</v>
      </c>
      <c r="H59" s="20">
        <f>_xll.DBRW($B$1,Cons_Region!$F$12,Cons_Region!H$15,$M$1,Cons_Region!$H$12,Cons_Region!$C$12,$N$2,$A59,$L$1,$K$1)</f>
        <v>97.09</v>
      </c>
      <c r="I59" s="20">
        <f>_xll.DBRW($B$1,Cons_Region!$F$12,Cons_Region!I$15,$M$1,Cons_Region!$H$12,Cons_Region!$C$12,$N$2,$A59,$L$1,$K$1)</f>
        <v>103.2944</v>
      </c>
      <c r="J59" s="20">
        <f>_xll.DBRW($B$1,Cons_Region!$F$12,Cons_Region!J$15,$M$1,Cons_Region!$H$12,Cons_Region!$C$12,$N$2,$A59,$L$1,$K$1)</f>
        <v>103.3413</v>
      </c>
      <c r="K59" s="20">
        <f>_xll.DBRW($B$1,Cons_Region!$F$12,Cons_Region!K$15,$M$1,Cons_Region!$H$12,Cons_Region!$C$12,$N$2,$A59,$L$1,$K$1)</f>
        <v>103.0331</v>
      </c>
      <c r="L59" s="20">
        <f>_xll.DBRW($B$1,Cons_Region!$F$12,Cons_Region!L$15,$M$1,Cons_Region!$H$12,Cons_Region!$C$12,$N$2,$A59,$L$1,$K$1)</f>
        <v>103.3335</v>
      </c>
      <c r="M59" s="20">
        <f>_xll.DBRW($B$1,Cons_Region!$F$12,Cons_Region!M$15,$M$1,Cons_Region!$H$12,Cons_Region!$C$12,$N$2,$A59,$L$1,$K$1)</f>
        <v>103.7731</v>
      </c>
      <c r="N59" s="20">
        <f>_xll.DBRW($B$1,Cons_Region!$F$12,Cons_Region!N$15,$M$1,Cons_Region!$H$12,Cons_Region!$C$12,$N$2,$A59,$L$1,$K$1)</f>
        <v>104.00320000000001</v>
      </c>
      <c r="O59" s="20">
        <f>_xll.DBRW($B$1,O$36,Cons_Region!O$15,$M$1,Cons_Region!$H$12,Cons_Region!$C$12,$N$2,$A59,$L$1,$K$1)</f>
        <v>0</v>
      </c>
      <c r="P59" s="20">
        <f>_xll.DBRW($B$1,P$36,Cons_Region!P$15,$M$1,Cons_Region!$H$12,Cons_Region!$C$12,$N$2,$A59,$L$1,$K$1)</f>
        <v>0</v>
      </c>
      <c r="Q59" s="20">
        <f>_xll.DBRW($B$1,Q$36,Cons_Region!Q$15,$M$1,Cons_Region!$H$12,Cons_Region!$C$12,$N$2,$A59,$L$1,$K$1)</f>
        <v>0</v>
      </c>
      <c r="R59" s="20">
        <f>_xll.DBRW($B$1,R$36,Cons_Region!R$15,$M$1,Cons_Region!$H$12,Cons_Region!$C$12,$N$2,$A59,$L$1,$K$1)</f>
        <v>0</v>
      </c>
      <c r="S59" s="20">
        <f>_xll.DBRW($B$1,S$36,Cons_Region!S$15,$M$1,Cons_Region!$H$12,Cons_Region!$C$12,$N$2,$A59,$L$1,$K$1)</f>
        <v>0</v>
      </c>
    </row>
    <row r="60" spans="1:19" s="29" customFormat="1" ht="15.75" customHeight="1">
      <c r="A60" s="69" t="s">
        <v>332</v>
      </c>
      <c r="B60" s="15" t="s">
        <v>24</v>
      </c>
      <c r="C60" s="20">
        <f>_xll.DBRW($B$3,Cons_Region!$F$12,Cons_Region!C$15,$M$1,Cons_Region!$H$12,Cons_Region!$C$12,$N$2,$A60,$K$1)</f>
        <v>0</v>
      </c>
      <c r="D60" s="20">
        <f>_xll.DBRW($B$3,Cons_Region!$F$12,Cons_Region!D$15,$M$1,Cons_Region!$H$12,Cons_Region!$C$12,$N$2,$A60,$K$1)</f>
        <v>164.97952309587998</v>
      </c>
      <c r="E60" s="20">
        <f>_xll.DBRW($B$3,Cons_Region!$F$12,Cons_Region!E$15,$M$1,Cons_Region!$H$12,Cons_Region!$C$12,$N$2,$A60,$K$1)</f>
        <v>211.5546645373002</v>
      </c>
      <c r="F60" s="20">
        <f>_xll.DBRW($B$3,Cons_Region!$F$12,Cons_Region!F$15,$M$1,Cons_Region!$H$12,Cons_Region!$C$12,$N$2,$A60,$K$1)</f>
        <v>218.04975823631995</v>
      </c>
      <c r="G60" s="20">
        <f>_xll.DBRW($B$3,Cons_Region!$F$12,Cons_Region!G$15,$M$1,Cons_Region!$H$12,Cons_Region!$C$12,$N$2,$A60,$K$1)</f>
        <v>280.17124277758006</v>
      </c>
      <c r="H60" s="20">
        <f>_xll.DBRW($B$3,Cons_Region!$F$12,Cons_Region!H$15,$M$1,Cons_Region!$H$12,Cons_Region!$C$12,$N$2,$A60,$K$1)</f>
        <v>316.88202426783994</v>
      </c>
      <c r="I60" s="20">
        <f>_xll.DBRW($B$3,Cons_Region!$F$12,Cons_Region!I$15,$M$1,Cons_Region!$H$12,Cons_Region!$C$12,$N$2,$A60,$K$1)</f>
        <v>391.21587890327999</v>
      </c>
      <c r="J60" s="20">
        <f>_xll.DBRW($B$3,Cons_Region!$F$12,Cons_Region!J$15,$M$1,Cons_Region!$H$12,Cons_Region!$C$12,$N$2,$A60,$K$1)</f>
        <v>391.12057595696007</v>
      </c>
      <c r="K60" s="20">
        <f>_xll.DBRW($B$3,Cons_Region!$F$12,Cons_Region!K$15,$M$1,Cons_Region!$H$12,Cons_Region!$C$12,$N$2,$A60,$K$1)</f>
        <v>404.97955412109002</v>
      </c>
      <c r="L60" s="20">
        <f>_xll.DBRW($B$3,Cons_Region!$F$12,Cons_Region!L$15,$M$1,Cons_Region!$H$12,Cons_Region!$C$12,$N$2,$A60,$K$1)</f>
        <v>367.84144274912012</v>
      </c>
      <c r="M60" s="20">
        <f>_xll.DBRW($B$3,Cons_Region!$F$12,Cons_Region!M$15,$M$1,Cons_Region!$H$12,Cons_Region!$C$12,$N$2,$A60,$K$1)</f>
        <v>333.01555738659022</v>
      </c>
      <c r="N60" s="20">
        <f>_xll.DBRW($B$3,Cons_Region!$F$12,Cons_Region!N$15,$M$1,Cons_Region!$H$12,Cons_Region!$C$12,$N$2,$A60,$K$1)</f>
        <v>274.94185724886017</v>
      </c>
      <c r="O60" s="20">
        <f>_xll.DBRW($B$3,O$14,Cons_Region!O$15,$M$1,Cons_Region!$H$12,Cons_Region!$C$12,$N$2,$A60,$K$1)</f>
        <v>0</v>
      </c>
      <c r="P60" s="20">
        <f>_xll.DBRW($B$3,P$14,Cons_Region!P$15,$M$1,Cons_Region!$H$12,Cons_Region!$C$12,$N$2,$A60,$K$1)</f>
        <v>0</v>
      </c>
      <c r="Q60" s="20">
        <f>_xll.DBRW($B$3,Q$14,Cons_Region!Q$15,$M$1,Cons_Region!$H$12,Cons_Region!$C$12,$N$2,$A60,$K$1)</f>
        <v>0</v>
      </c>
      <c r="R60" s="20">
        <f>_xll.DBRW($B$3,R$14,Cons_Region!R$15,$M$1,Cons_Region!$H$12,Cons_Region!$C$12,$N$2,$A60,$K$1)</f>
        <v>0</v>
      </c>
      <c r="S60" s="20">
        <f>_xll.DBRW($B$3,S$14,Cons_Region!S$15,$M$1,Cons_Region!$H$12,Cons_Region!$C$12,$N$2,$A60,$K$1)</f>
        <v>0</v>
      </c>
    </row>
    <row r="61" spans="1:19" s="29" customFormat="1" ht="15.75" customHeight="1">
      <c r="A61" s="69" t="s">
        <v>333</v>
      </c>
      <c r="B61" s="21" t="s">
        <v>56</v>
      </c>
      <c r="C61" s="20">
        <f>_xll.DBRW($B$3,Cons_Region!$F$12,Cons_Region!C$15,$M$1,Cons_Region!$H$12,Cons_Region!$C$12,$N$2,$A61,$K$1)</f>
        <v>0</v>
      </c>
      <c r="D61" s="20">
        <f>_xll.DBRW($B$3,Cons_Region!$F$12,Cons_Region!D$15,$M$1,Cons_Region!$H$12,Cons_Region!$C$12,$N$2,$A61,$K$1)</f>
        <v>62.465723095880051</v>
      </c>
      <c r="E61" s="20">
        <f>_xll.DBRW($B$3,Cons_Region!$F$12,Cons_Region!E$15,$M$1,Cons_Region!$H$12,Cons_Region!$C$12,$N$2,$A61,$K$1)</f>
        <v>111.53576453730015</v>
      </c>
      <c r="F61" s="20">
        <f>_xll.DBRW($B$3,Cons_Region!$F$12,Cons_Region!F$15,$M$1,Cons_Region!$H$12,Cons_Region!$C$12,$N$2,$A61,$K$1)</f>
        <v>119.36985823631997</v>
      </c>
      <c r="G61" s="20">
        <f>_xll.DBRW($B$3,Cons_Region!$F$12,Cons_Region!G$15,$M$1,Cons_Region!$H$12,Cons_Region!$C$12,$N$2,$A61,$K$1)</f>
        <v>181.1579427775801</v>
      </c>
      <c r="H61" s="20">
        <f>_xll.DBRW($B$3,Cons_Region!$F$12,Cons_Region!H$15,$M$1,Cons_Region!$H$12,Cons_Region!$C$12,$N$2,$A61,$K$1)</f>
        <v>219.79202426783991</v>
      </c>
      <c r="I61" s="20">
        <f>_xll.DBRW($B$3,Cons_Region!$F$12,Cons_Region!I$15,$M$1,Cons_Region!$H$12,Cons_Region!$C$12,$N$2,$A61,$K$1)</f>
        <v>287.92147890327999</v>
      </c>
      <c r="J61" s="20">
        <f>_xll.DBRW($B$3,Cons_Region!$F$12,Cons_Region!J$15,$M$1,Cons_Region!$H$12,Cons_Region!$C$12,$N$2,$A61,$K$1)</f>
        <v>287.77927595696002</v>
      </c>
      <c r="K61" s="20">
        <f>_xll.DBRW($B$3,Cons_Region!$F$12,Cons_Region!K$15,$M$1,Cons_Region!$H$12,Cons_Region!$C$12,$N$2,$A61,$K$1)</f>
        <v>301.94645412109003</v>
      </c>
      <c r="L61" s="20">
        <f>_xll.DBRW($B$3,Cons_Region!$F$12,Cons_Region!L$15,$M$1,Cons_Region!$H$12,Cons_Region!$C$12,$N$2,$A61,$K$1)</f>
        <v>264.50794274912016</v>
      </c>
      <c r="M61" s="20">
        <f>_xll.DBRW($B$3,Cons_Region!$F$12,Cons_Region!M$15,$M$1,Cons_Region!$H$12,Cons_Region!$C$12,$N$2,$A61,$K$1)</f>
        <v>229.24245738659022</v>
      </c>
      <c r="N61" s="20">
        <f>_xll.DBRW($B$3,Cons_Region!$F$12,Cons_Region!N$15,$M$1,Cons_Region!$H$12,Cons_Region!$C$12,$N$2,$A61,$K$1)</f>
        <v>170.93865724886015</v>
      </c>
      <c r="O61" s="20">
        <f>_xll.DBRW($B$3,O$14,Cons_Region!O$15,$M$1,Cons_Region!$H$12,Cons_Region!$C$12,$N$2,$A61,$K$1)</f>
        <v>0</v>
      </c>
      <c r="P61" s="20">
        <f>_xll.DBRW($B$3,P$14,Cons_Region!P$15,$M$1,Cons_Region!$H$12,Cons_Region!$C$12,$N$2,$A61,$K$1)</f>
        <v>0</v>
      </c>
      <c r="Q61" s="20">
        <f>_xll.DBRW($B$3,Q$14,Cons_Region!Q$15,$M$1,Cons_Region!$H$12,Cons_Region!$C$12,$N$2,$A61,$K$1)</f>
        <v>0</v>
      </c>
      <c r="R61" s="20">
        <f>_xll.DBRW($B$3,R$14,Cons_Region!R$15,$M$1,Cons_Region!$H$12,Cons_Region!$C$12,$N$2,$A61,$K$1)</f>
        <v>0</v>
      </c>
      <c r="S61" s="20">
        <f>_xll.DBRW($B$3,S$14,Cons_Region!S$15,$M$1,Cons_Region!$H$12,Cons_Region!$C$12,$N$2,$A61,$K$1)</f>
        <v>0</v>
      </c>
    </row>
    <row r="62" spans="1:19" s="29" customFormat="1" ht="15.75" customHeight="1">
      <c r="A62" s="69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25"/>
      <c r="P62" s="25"/>
      <c r="Q62" s="25"/>
      <c r="R62" s="25"/>
      <c r="S62" s="25"/>
    </row>
    <row r="63" spans="1:19" s="29" customFormat="1" ht="15.75" customHeight="1" thickBot="1">
      <c r="A63" s="69"/>
      <c r="B63" s="18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25"/>
      <c r="P63" s="25"/>
      <c r="Q63" s="25"/>
      <c r="R63" s="25"/>
      <c r="S63" s="25"/>
    </row>
    <row r="64" spans="1:19" s="29" customFormat="1" ht="15.75" customHeight="1" thickTop="1">
      <c r="A64" s="69"/>
      <c r="B64" s="27" t="s">
        <v>57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1:19" ht="15.75" customHeight="1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80">
        <f>$F$12+1</f>
        <v>2027</v>
      </c>
      <c r="P65" s="80">
        <f>$F$12+2</f>
        <v>2028</v>
      </c>
      <c r="Q65" s="80">
        <f>$F$12+3</f>
        <v>2029</v>
      </c>
      <c r="R65" s="80">
        <f>$F$12+4</f>
        <v>2030</v>
      </c>
      <c r="S65" s="80">
        <f>$F$12+5</f>
        <v>2031</v>
      </c>
    </row>
    <row r="66" spans="1:19" s="29" customFormat="1" ht="15.75" customHeight="1">
      <c r="A66" s="69"/>
      <c r="B66" s="22"/>
      <c r="C66" s="23" t="str">
        <f t="shared" ref="C66:N66" si="4">$F$12&amp;"."&amp;C$15</f>
        <v>2026.01</v>
      </c>
      <c r="D66" s="23" t="str">
        <f t="shared" si="4"/>
        <v>2026.02</v>
      </c>
      <c r="E66" s="23" t="str">
        <f t="shared" si="4"/>
        <v>2026.03</v>
      </c>
      <c r="F66" s="23" t="str">
        <f t="shared" si="4"/>
        <v>2026.04</v>
      </c>
      <c r="G66" s="23" t="str">
        <f t="shared" si="4"/>
        <v>2026.05</v>
      </c>
      <c r="H66" s="23" t="str">
        <f t="shared" si="4"/>
        <v>2026.06</v>
      </c>
      <c r="I66" s="23" t="str">
        <f t="shared" si="4"/>
        <v>2026.07</v>
      </c>
      <c r="J66" s="23" t="str">
        <f t="shared" si="4"/>
        <v>2026.08</v>
      </c>
      <c r="K66" s="23" t="str">
        <f t="shared" si="4"/>
        <v>2026.09</v>
      </c>
      <c r="L66" s="23" t="str">
        <f t="shared" si="4"/>
        <v>2026.10</v>
      </c>
      <c r="M66" s="23" t="str">
        <f t="shared" si="4"/>
        <v>2026.11</v>
      </c>
      <c r="N66" s="23" t="str">
        <f t="shared" si="4"/>
        <v>2026.12</v>
      </c>
      <c r="O66" s="23" t="s">
        <v>304</v>
      </c>
      <c r="P66" s="23" t="s">
        <v>304</v>
      </c>
      <c r="Q66" s="23" t="s">
        <v>304</v>
      </c>
      <c r="R66" s="23" t="s">
        <v>304</v>
      </c>
      <c r="S66" s="23" t="s">
        <v>304</v>
      </c>
    </row>
    <row r="67" spans="1:19" s="29" customFormat="1" ht="15.75" customHeight="1">
      <c r="A67" s="69" t="s">
        <v>405</v>
      </c>
      <c r="B67" s="13" t="s">
        <v>45</v>
      </c>
      <c r="C67" s="12">
        <f>_xll.DBRW($B$1,Cons_Region!$F$12,Cons_Region!C$15,$M$1,Cons_Region!$H$12,Cons_Region!$C$12,$N$1,$A67,$L$1,$K$1)</f>
        <v>0</v>
      </c>
      <c r="D67" s="12">
        <f>_xll.DBRW($B$1,Cons_Region!$F$12,Cons_Region!D$15,$M$1,Cons_Region!$H$12,Cons_Region!$C$12,$N$1,$A67,$L$1,$K$1)</f>
        <v>-0.83879999999999999</v>
      </c>
      <c r="E67" s="12">
        <f>_xll.DBRW($B$1,Cons_Region!$F$12,Cons_Region!E$15,$M$1,Cons_Region!$H$12,Cons_Region!$C$12,$N$1,$A67,$L$1,$K$1)</f>
        <v>-0.2702</v>
      </c>
      <c r="F67" s="12">
        <f>_xll.DBRW($B$1,Cons_Region!$F$12,Cons_Region!F$15,$M$1,Cons_Region!$H$12,Cons_Region!$C$12,$N$1,$A67,$L$1,$K$1)</f>
        <v>-0.2702</v>
      </c>
      <c r="G67" s="12">
        <f>_xll.DBRW($B$1,Cons_Region!$F$12,Cons_Region!G$15,$M$1,Cons_Region!$H$12,Cons_Region!$C$12,$N$1,$A67,$L$1,$K$1)</f>
        <v>-0.2702</v>
      </c>
      <c r="H67" s="12">
        <f>_xll.DBRW($B$1,Cons_Region!$F$12,Cons_Region!H$15,$M$1,Cons_Region!$H$12,Cons_Region!$C$12,$N$1,$A67,$L$1,$K$1)</f>
        <v>-0.2702</v>
      </c>
      <c r="I67" s="12">
        <f>_xll.DBRW($B$1,Cons_Region!$F$12,Cons_Region!I$15,$M$1,Cons_Region!$H$12,Cons_Region!$C$12,$N$1,$A67,$L$1,$K$1)</f>
        <v>-0.2702</v>
      </c>
      <c r="J67" s="12">
        <f>_xll.DBRW($B$1,Cons_Region!$F$12,Cons_Region!J$15,$M$1,Cons_Region!$H$12,Cons_Region!$C$12,$N$1,$A67,$L$1,$K$1)</f>
        <v>-0.2702</v>
      </c>
      <c r="K67" s="12">
        <f>_xll.DBRW($B$1,Cons_Region!$F$12,Cons_Region!K$15,$M$1,Cons_Region!$H$12,Cons_Region!$C$12,$N$1,$A67,$L$1,$K$1)</f>
        <v>-0.2702</v>
      </c>
      <c r="L67" s="12">
        <f>_xll.DBRW($B$1,Cons_Region!$F$12,Cons_Region!L$15,$M$1,Cons_Region!$H$12,Cons_Region!$C$12,$N$1,$A67,$L$1,$K$1)</f>
        <v>-0.2702</v>
      </c>
      <c r="M67" s="12">
        <f>_xll.DBRW($B$1,Cons_Region!$F$12,Cons_Region!M$15,$M$1,Cons_Region!$H$12,Cons_Region!$C$12,$N$1,$A67,$L$1,$K$1)</f>
        <v>-0.2702</v>
      </c>
      <c r="N67" s="12">
        <f>_xll.DBRW($B$1,Cons_Region!$F$12,Cons_Region!N$15,$M$1,Cons_Region!$H$12,Cons_Region!$C$12,$N$1,$A67,$L$1,$K$1)</f>
        <v>-0.2702</v>
      </c>
      <c r="O67" s="12">
        <f>_xll.DBRW($B$1,O$65,Cons_Region!O$15,$M$1,Cons_Region!$H$12,Cons_Region!$C$12,$N$1,$A67,$L$1,$K$1)</f>
        <v>0</v>
      </c>
      <c r="P67" s="12">
        <f>_xll.DBRW($B$1,P$65,Cons_Region!P$15,$M$1,Cons_Region!$H$12,Cons_Region!$C$12,$N$1,$A67,$L$1,$K$1)</f>
        <v>0</v>
      </c>
      <c r="Q67" s="12">
        <f>_xll.DBRW($B$1,Q$65,Cons_Region!Q$15,$M$1,Cons_Region!$H$12,Cons_Region!$C$12,$N$1,$A67,$L$1,$K$1)</f>
        <v>0</v>
      </c>
      <c r="R67" s="12">
        <f>_xll.DBRW($B$1,R$65,Cons_Region!R$15,$M$1,Cons_Region!$H$12,Cons_Region!$C$12,$N$1,$A67,$L$1,$K$1)</f>
        <v>0</v>
      </c>
      <c r="S67" s="12">
        <f>_xll.DBRW($B$1,S$65,Cons_Region!S$15,$M$1,Cons_Region!$H$12,Cons_Region!$C$12,$N$1,$A67,$L$1,$K$1)</f>
        <v>0</v>
      </c>
    </row>
    <row r="68" spans="1:19" s="29" customFormat="1" ht="15.75" customHeight="1">
      <c r="A68" s="71" t="s">
        <v>345</v>
      </c>
      <c r="B68" s="15" t="s">
        <v>46</v>
      </c>
      <c r="C68" s="20">
        <f>_xll.DBRW($B$1,Cons_Region!$F$12,Cons_Region!C$15,$M$1,Cons_Region!$H$12,Cons_Region!$C$12,$N$1,$A68,$L$1,$K$1)</f>
        <v>0</v>
      </c>
      <c r="D68" s="20">
        <f>_xll.DBRW($B$1,Cons_Region!$F$12,Cons_Region!D$15,$M$1,Cons_Region!$H$12,Cons_Region!$C$12,$N$1,$A68,$L$1,$K$1)</f>
        <v>0</v>
      </c>
      <c r="E68" s="20">
        <f>_xll.DBRW($B$1,Cons_Region!$F$12,Cons_Region!E$15,$M$1,Cons_Region!$H$12,Cons_Region!$C$12,$N$1,$A68,$L$1,$K$1)</f>
        <v>9.4797999999999991</v>
      </c>
      <c r="F68" s="20">
        <f>_xll.DBRW($B$1,Cons_Region!$F$12,Cons_Region!F$15,$M$1,Cons_Region!$H$12,Cons_Region!$C$12,$N$1,$A68,$L$1,$K$1)</f>
        <v>0</v>
      </c>
      <c r="G68" s="20">
        <f>_xll.DBRW($B$1,Cons_Region!$F$12,Cons_Region!G$15,$M$1,Cons_Region!$H$12,Cons_Region!$C$12,$N$1,$A68,$L$1,$K$1)</f>
        <v>0</v>
      </c>
      <c r="H68" s="20">
        <f>_xll.DBRW($B$1,Cons_Region!$F$12,Cons_Region!H$15,$M$1,Cons_Region!$H$12,Cons_Region!$C$12,$N$1,$A68,$L$1,$K$1)</f>
        <v>11.2753</v>
      </c>
      <c r="I68" s="20">
        <f>_xll.DBRW($B$1,Cons_Region!$F$12,Cons_Region!I$15,$M$1,Cons_Region!$H$12,Cons_Region!$C$12,$N$1,$A68,$L$1,$K$1)</f>
        <v>0</v>
      </c>
      <c r="J68" s="20">
        <f>_xll.DBRW($B$1,Cons_Region!$F$12,Cons_Region!J$15,$M$1,Cons_Region!$H$12,Cons_Region!$C$12,$N$1,$A68,$L$1,$K$1)</f>
        <v>0</v>
      </c>
      <c r="K68" s="20">
        <f>_xll.DBRW($B$1,Cons_Region!$F$12,Cons_Region!K$15,$M$1,Cons_Region!$H$12,Cons_Region!$C$12,$N$1,$A68,$L$1,$K$1)</f>
        <v>18.649799999999999</v>
      </c>
      <c r="L68" s="20">
        <f>_xll.DBRW($B$1,Cons_Region!$F$12,Cons_Region!L$15,$M$1,Cons_Region!$H$12,Cons_Region!$C$12,$N$1,$A68,$L$1,$K$1)</f>
        <v>0</v>
      </c>
      <c r="M68" s="20">
        <f>_xll.DBRW($B$1,Cons_Region!$F$12,Cons_Region!M$15,$M$1,Cons_Region!$H$12,Cons_Region!$C$12,$N$1,$A68,$L$1,$K$1)</f>
        <v>0</v>
      </c>
      <c r="N68" s="20">
        <f>_xll.DBRW($B$1,Cons_Region!$F$12,Cons_Region!N$15,$M$1,Cons_Region!$H$12,Cons_Region!$C$12,$N$1,$A68,$L$1,$K$1)</f>
        <v>6.3771000000000004</v>
      </c>
      <c r="O68" s="20">
        <f>_xll.DBRW($B$1,O$65,Cons_Region!O$15,$M$1,Cons_Region!$H$12,Cons_Region!$C$12,$N$1,$A68,$L$1,$K$1)</f>
        <v>0</v>
      </c>
      <c r="P68" s="20">
        <f>_xll.DBRW($B$1,P$65,Cons_Region!P$15,$M$1,Cons_Region!$H$12,Cons_Region!$C$12,$N$1,$A68,$L$1,$K$1)</f>
        <v>0</v>
      </c>
      <c r="Q68" s="20">
        <f>_xll.DBRW($B$1,Q$65,Cons_Region!Q$15,$M$1,Cons_Region!$H$12,Cons_Region!$C$12,$N$1,$A68,$L$1,$K$1)</f>
        <v>0</v>
      </c>
      <c r="R68" s="20">
        <f>_xll.DBRW($B$1,R$65,Cons_Region!R$15,$M$1,Cons_Region!$H$12,Cons_Region!$C$12,$N$1,$A68,$L$1,$K$1)</f>
        <v>0</v>
      </c>
      <c r="S68" s="20">
        <f>_xll.DBRW($B$1,S$65,Cons_Region!S$15,$M$1,Cons_Region!$H$12,Cons_Region!$C$12,$N$1,$A68,$L$1,$K$1)</f>
        <v>0</v>
      </c>
    </row>
    <row r="69" spans="1:19" s="29" customFormat="1" ht="15.75" customHeight="1">
      <c r="A69" s="72" t="s">
        <v>26</v>
      </c>
      <c r="B69" s="15" t="s">
        <v>26</v>
      </c>
      <c r="C69" s="20">
        <f>_xll.DBRW($B$3,Cons_Region!$F$12,Cons_Region!C$15,$M$1,Cons_Region!$H$12,Cons_Region!$C$12,$N$2,$A69,$K$1)</f>
        <v>0</v>
      </c>
      <c r="D69" s="20">
        <f>_xll.DBRW($B$3,Cons_Region!$F$12,Cons_Region!D$15,$M$1,Cons_Region!$H$12,Cons_Region!$C$12,$N$2,$A69,$K$1)</f>
        <v>-44.167700000000004</v>
      </c>
      <c r="E69" s="20">
        <f>_xll.DBRW($B$3,Cons_Region!$F$12,Cons_Region!E$15,$M$1,Cons_Region!$H$12,Cons_Region!$C$12,$N$2,$A69,$K$1)</f>
        <v>8.5255999999999972</v>
      </c>
      <c r="F69" s="20">
        <f>_xll.DBRW($B$3,Cons_Region!$F$12,Cons_Region!F$15,$M$1,Cons_Region!$H$12,Cons_Region!$C$12,$N$2,$A69,$K$1)</f>
        <v>2.1056999999999988</v>
      </c>
      <c r="G69" s="20">
        <f>_xll.DBRW($B$3,Cons_Region!$F$12,Cons_Region!G$15,$M$1,Cons_Region!$H$12,Cons_Region!$C$12,$N$2,$A69,$K$1)</f>
        <v>2.3552000000000017</v>
      </c>
      <c r="H69" s="20">
        <f>_xll.DBRW($B$3,Cons_Region!$F$12,Cons_Region!H$15,$M$1,Cons_Region!$H$12,Cons_Region!$C$12,$N$2,$A69,$K$1)</f>
        <v>-4.3590999999999962</v>
      </c>
      <c r="I69" s="20">
        <f>_xll.DBRW($B$3,Cons_Region!$F$12,Cons_Region!I$15,$M$1,Cons_Region!$H$12,Cons_Region!$C$12,$N$2,$A69,$K$1)</f>
        <v>-3.1509000000000009</v>
      </c>
      <c r="J69" s="20">
        <f>_xll.DBRW($B$3,Cons_Region!$F$12,Cons_Region!J$15,$M$1,Cons_Region!$H$12,Cons_Region!$C$12,$N$2,$A69,$K$1)</f>
        <v>-10.690800000000003</v>
      </c>
      <c r="K69" s="20">
        <f>_xll.DBRW($B$3,Cons_Region!$F$12,Cons_Region!K$15,$M$1,Cons_Region!$H$12,Cons_Region!$C$12,$N$2,$A69,$K$1)</f>
        <v>-10.610099999999999</v>
      </c>
      <c r="L69" s="20">
        <f>_xll.DBRW($B$3,Cons_Region!$F$12,Cons_Region!L$15,$M$1,Cons_Region!$H$12,Cons_Region!$C$12,$N$2,$A69,$K$1)</f>
        <v>-9.5767000000000007</v>
      </c>
      <c r="M69" s="20">
        <f>_xll.DBRW($B$3,Cons_Region!$F$12,Cons_Region!M$15,$M$1,Cons_Region!$H$12,Cons_Region!$C$12,$N$2,$A69,$K$1)</f>
        <v>-8.0323999999999991</v>
      </c>
      <c r="N69" s="20">
        <f>_xll.DBRW($B$3,Cons_Region!$F$12,Cons_Region!N$15,$M$1,Cons_Region!$H$12,Cons_Region!$C$12,$N$2,$A69,$K$1)</f>
        <v>0</v>
      </c>
      <c r="O69" s="20">
        <f>_xll.DBRW($B$3,O$14,Cons_Region!O$15,$M$1,Cons_Region!$H$12,Cons_Region!$C$12,$N$2,$A69,$K$1)</f>
        <v>0</v>
      </c>
      <c r="P69" s="20">
        <f>_xll.DBRW($B$3,P$14,Cons_Region!P$15,$M$1,Cons_Region!$H$12,Cons_Region!$C$12,$N$2,$A69,$K$1)</f>
        <v>0</v>
      </c>
      <c r="Q69" s="20">
        <f>_xll.DBRW($B$3,Q$14,Cons_Region!Q$15,$M$1,Cons_Region!$H$12,Cons_Region!$C$12,$N$2,$A69,$K$1)</f>
        <v>0</v>
      </c>
      <c r="R69" s="20">
        <f>_xll.DBRW($B$3,R$14,Cons_Region!R$15,$M$1,Cons_Region!$H$12,Cons_Region!$C$12,$N$2,$A69,$K$1)</f>
        <v>0</v>
      </c>
      <c r="S69" s="20">
        <f>_xll.DBRW($B$3,S$14,Cons_Region!S$15,$M$1,Cons_Region!$H$12,Cons_Region!$C$12,$N$2,$A69,$K$1)</f>
        <v>0</v>
      </c>
    </row>
    <row r="70" spans="1:19" s="29" customFormat="1" ht="15.75" customHeight="1">
      <c r="A70" s="73" t="s">
        <v>57</v>
      </c>
      <c r="B70" s="21" t="s">
        <v>57</v>
      </c>
      <c r="C70" s="20">
        <f>_xll.DBRW($B$3,Cons_Region!$F$12,Cons_Region!C$15,$M$1,Cons_Region!$H$12,Cons_Region!$C$12,$N$2,$A70,$K$1)</f>
        <v>0</v>
      </c>
      <c r="D70" s="20">
        <f>_xll.DBRW($B$3,Cons_Region!$F$12,Cons_Region!D$15,$M$1,Cons_Region!$H$12,Cons_Region!$C$12,$N$2,$A70,$K$1)</f>
        <v>17.459223095880091</v>
      </c>
      <c r="E70" s="20">
        <f>_xll.DBRW($B$3,Cons_Region!$F$12,Cons_Region!E$15,$M$1,Cons_Region!$H$12,Cons_Region!$C$12,$N$2,$A70,$K$1)</f>
        <v>129.27096453730013</v>
      </c>
      <c r="F70" s="20">
        <f>_xll.DBRW($B$3,Cons_Region!$F$12,Cons_Region!F$15,$M$1,Cons_Region!$H$12,Cons_Region!$C$12,$N$2,$A70,$K$1)</f>
        <v>121.20535823631988</v>
      </c>
      <c r="G70" s="20">
        <f>_xll.DBRW($B$3,Cons_Region!$F$12,Cons_Region!G$15,$M$1,Cons_Region!$H$12,Cons_Region!$C$12,$N$2,$A70,$K$1)</f>
        <v>183.24294277758003</v>
      </c>
      <c r="H70" s="20">
        <f>_xll.DBRW($B$3,Cons_Region!$F$12,Cons_Region!H$15,$M$1,Cons_Region!$H$12,Cons_Region!$C$12,$N$2,$A70,$K$1)</f>
        <v>226.43802426783986</v>
      </c>
      <c r="I70" s="20">
        <f>_xll.DBRW($B$3,Cons_Region!$F$12,Cons_Region!I$15,$M$1,Cons_Region!$H$12,Cons_Region!$C$12,$N$2,$A70,$K$1)</f>
        <v>284.50037890327997</v>
      </c>
      <c r="J70" s="20">
        <f>_xll.DBRW($B$3,Cons_Region!$F$12,Cons_Region!J$15,$M$1,Cons_Region!$H$12,Cons_Region!$C$12,$N$2,$A70,$K$1)</f>
        <v>276.81827595696001</v>
      </c>
      <c r="K70" s="20">
        <f>_xll.DBRW($B$3,Cons_Region!$F$12,Cons_Region!K$15,$M$1,Cons_Region!$H$12,Cons_Region!$C$12,$N$2,$A70,$K$1)</f>
        <v>309.71595412109002</v>
      </c>
      <c r="L70" s="20">
        <f>_xll.DBRW($B$3,Cons_Region!$F$12,Cons_Region!L$15,$M$1,Cons_Region!$H$12,Cons_Region!$C$12,$N$2,$A70,$K$1)</f>
        <v>254.66104274912016</v>
      </c>
      <c r="M70" s="20">
        <f>_xll.DBRW($B$3,Cons_Region!$F$12,Cons_Region!M$15,$M$1,Cons_Region!$H$12,Cons_Region!$C$12,$N$2,$A70,$K$1)</f>
        <v>220.93985738659012</v>
      </c>
      <c r="N70" s="20">
        <f>_xll.DBRW($B$3,Cons_Region!$F$12,Cons_Region!N$15,$M$1,Cons_Region!$H$12,Cons_Region!$C$12,$N$2,$A70,$K$1)</f>
        <v>177.04555724886015</v>
      </c>
      <c r="O70" s="20">
        <f>_xll.DBRW($B$3,O$14,Cons_Region!O$15,$M$1,Cons_Region!$H$12,Cons_Region!$C$12,$N$2,$A70,$K$1)</f>
        <v>0</v>
      </c>
      <c r="P70" s="20">
        <f>_xll.DBRW($B$3,P$14,Cons_Region!P$15,$M$1,Cons_Region!$H$12,Cons_Region!$C$12,$N$2,$A70,$K$1)</f>
        <v>0</v>
      </c>
      <c r="Q70" s="20">
        <f>_xll.DBRW($B$3,Q$14,Cons_Region!Q$15,$M$1,Cons_Region!$H$12,Cons_Region!$C$12,$N$2,$A70,$K$1)</f>
        <v>0</v>
      </c>
      <c r="R70" s="20">
        <f>_xll.DBRW($B$3,R$14,Cons_Region!R$15,$M$1,Cons_Region!$H$12,Cons_Region!$C$12,$N$2,$A70,$K$1)</f>
        <v>0</v>
      </c>
      <c r="S70" s="20">
        <f>_xll.DBRW($B$3,S$14,Cons_Region!S$15,$M$1,Cons_Region!$H$12,Cons_Region!$C$12,$N$2,$A70,$K$1)</f>
        <v>0</v>
      </c>
    </row>
    <row r="71" spans="1:19" ht="15.75" customHeight="1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spans="1:19" s="29" customFormat="1" ht="15.75" customHeight="1" thickBot="1">
      <c r="A72" s="69"/>
      <c r="B72" s="1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spans="1:19" s="29" customFormat="1" ht="15.75" customHeight="1" thickTop="1">
      <c r="A73" s="69"/>
      <c r="B73" s="27" t="s">
        <v>58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19" ht="15.75" customHeight="1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80">
        <f>$F$12+1</f>
        <v>2027</v>
      </c>
      <c r="P74" s="80">
        <f>$F$12+2</f>
        <v>2028</v>
      </c>
      <c r="Q74" s="80">
        <f>$F$12+3</f>
        <v>2029</v>
      </c>
      <c r="R74" s="80">
        <f>$F$12+4</f>
        <v>2030</v>
      </c>
      <c r="S74" s="80">
        <f>$F$12+5</f>
        <v>2031</v>
      </c>
    </row>
    <row r="75" spans="1:19" s="29" customFormat="1" ht="15.75" customHeight="1">
      <c r="A75" s="69"/>
      <c r="B75" s="22"/>
      <c r="C75" s="23" t="str">
        <f t="shared" ref="C75:N75" si="5">$F$12&amp;"."&amp;C$15</f>
        <v>2026.01</v>
      </c>
      <c r="D75" s="23" t="str">
        <f t="shared" si="5"/>
        <v>2026.02</v>
      </c>
      <c r="E75" s="23" t="str">
        <f t="shared" si="5"/>
        <v>2026.03</v>
      </c>
      <c r="F75" s="23" t="str">
        <f t="shared" si="5"/>
        <v>2026.04</v>
      </c>
      <c r="G75" s="23" t="str">
        <f t="shared" si="5"/>
        <v>2026.05</v>
      </c>
      <c r="H75" s="23" t="str">
        <f t="shared" si="5"/>
        <v>2026.06</v>
      </c>
      <c r="I75" s="23" t="str">
        <f t="shared" si="5"/>
        <v>2026.07</v>
      </c>
      <c r="J75" s="23" t="str">
        <f t="shared" si="5"/>
        <v>2026.08</v>
      </c>
      <c r="K75" s="23" t="str">
        <f t="shared" si="5"/>
        <v>2026.09</v>
      </c>
      <c r="L75" s="23" t="str">
        <f t="shared" si="5"/>
        <v>2026.10</v>
      </c>
      <c r="M75" s="23" t="str">
        <f t="shared" si="5"/>
        <v>2026.11</v>
      </c>
      <c r="N75" s="23" t="str">
        <f t="shared" si="5"/>
        <v>2026.12</v>
      </c>
      <c r="O75" s="23" t="s">
        <v>304</v>
      </c>
      <c r="P75" s="23" t="s">
        <v>304</v>
      </c>
      <c r="Q75" s="23" t="s">
        <v>304</v>
      </c>
      <c r="R75" s="23" t="s">
        <v>304</v>
      </c>
      <c r="S75" s="23" t="s">
        <v>304</v>
      </c>
    </row>
    <row r="76" spans="1:19" s="29" customFormat="1" ht="15.75" customHeight="1">
      <c r="A76" s="69" t="s">
        <v>406</v>
      </c>
      <c r="B76" s="13" t="s">
        <v>27</v>
      </c>
      <c r="C76" s="12">
        <f>_xll.DBRW($B$1,Cons_Region!$F$12,Cons_Region!C$15,$M$1,Cons_Region!$H$12,Cons_Region!$C$12,$N$1,$A76,$L$1,$K$1)</f>
        <v>0</v>
      </c>
      <c r="D76" s="12">
        <f>_xll.DBRW($B$1,Cons_Region!$F$12,Cons_Region!D$15,$M$1,Cons_Region!$H$12,Cons_Region!$C$12,$N$1,$A76,$L$1,$K$1)</f>
        <v>0</v>
      </c>
      <c r="E76" s="12">
        <f>_xll.DBRW($B$1,Cons_Region!$F$12,Cons_Region!E$15,$M$1,Cons_Region!$H$12,Cons_Region!$C$12,$N$1,$A76,$L$1,$K$1)</f>
        <v>0</v>
      </c>
      <c r="F76" s="12">
        <f>_xll.DBRW($B$1,Cons_Region!$F$12,Cons_Region!F$15,$M$1,Cons_Region!$H$12,Cons_Region!$C$12,$N$1,$A76,$L$1,$K$1)</f>
        <v>0</v>
      </c>
      <c r="G76" s="12">
        <f>_xll.DBRW($B$1,Cons_Region!$F$12,Cons_Region!G$15,$M$1,Cons_Region!$H$12,Cons_Region!$C$12,$N$1,$A76,$L$1,$K$1)</f>
        <v>0</v>
      </c>
      <c r="H76" s="12">
        <f>_xll.DBRW($B$1,Cons_Region!$F$12,Cons_Region!H$15,$M$1,Cons_Region!$H$12,Cons_Region!$C$12,$N$1,$A76,$L$1,$K$1)</f>
        <v>0</v>
      </c>
      <c r="I76" s="12">
        <f>_xll.DBRW($B$1,Cons_Region!$F$12,Cons_Region!I$15,$M$1,Cons_Region!$H$12,Cons_Region!$C$12,$N$1,$A76,$L$1,$K$1)</f>
        <v>0</v>
      </c>
      <c r="J76" s="12">
        <f>_xll.DBRW($B$1,Cons_Region!$F$12,Cons_Region!J$15,$M$1,Cons_Region!$H$12,Cons_Region!$C$12,$N$1,$A76,$L$1,$K$1)</f>
        <v>0</v>
      </c>
      <c r="K76" s="12">
        <f>_xll.DBRW($B$1,Cons_Region!$F$12,Cons_Region!K$15,$M$1,Cons_Region!$H$12,Cons_Region!$C$12,$N$1,$A76,$L$1,$K$1)</f>
        <v>0</v>
      </c>
      <c r="L76" s="12">
        <f>_xll.DBRW($B$1,Cons_Region!$F$12,Cons_Region!L$15,$M$1,Cons_Region!$H$12,Cons_Region!$C$12,$N$1,$A76,$L$1,$K$1)</f>
        <v>0</v>
      </c>
      <c r="M76" s="12">
        <f>_xll.DBRW($B$1,Cons_Region!$F$12,Cons_Region!M$15,$M$1,Cons_Region!$H$12,Cons_Region!$C$12,$N$1,$A76,$L$1,$K$1)</f>
        <v>0</v>
      </c>
      <c r="N76" s="12">
        <f>_xll.DBRW($B$1,Cons_Region!$F$12,Cons_Region!N$15,$M$1,Cons_Region!$H$12,Cons_Region!$C$12,$N$1,$A76,$L$1,$K$1)</f>
        <v>0</v>
      </c>
      <c r="O76" s="12">
        <f>_xll.DBRW($B$1,O$65,Cons_Region!O$15,$M$1,Cons_Region!$H$12,Cons_Region!$C$12,$N$1,$A76,$L$1,$K$1)</f>
        <v>0</v>
      </c>
      <c r="P76" s="12">
        <f>_xll.DBRW($B$1,P$65,Cons_Region!P$15,$M$1,Cons_Region!$H$12,Cons_Region!$C$12,$N$1,$A76,$L$1,$K$1)</f>
        <v>0</v>
      </c>
      <c r="Q76" s="12">
        <f>_xll.DBRW($B$1,Q$65,Cons_Region!Q$15,$M$1,Cons_Region!$H$12,Cons_Region!$C$12,$N$1,$A76,$L$1,$K$1)</f>
        <v>0</v>
      </c>
      <c r="R76" s="12">
        <f>_xll.DBRW($B$1,R$65,Cons_Region!R$15,$M$1,Cons_Region!$H$12,Cons_Region!$C$12,$N$1,$A76,$L$1,$K$1)</f>
        <v>0</v>
      </c>
      <c r="S76" s="12">
        <f>_xll.DBRW($B$1,S$65,Cons_Region!S$15,$M$1,Cons_Region!$H$12,Cons_Region!$C$12,$N$1,$A76,$L$1,$K$1)</f>
        <v>0</v>
      </c>
    </row>
    <row r="77" spans="1:19" s="29" customFormat="1" ht="15.75" customHeight="1">
      <c r="A77" s="69" t="s">
        <v>408</v>
      </c>
      <c r="B77" s="15" t="s">
        <v>59</v>
      </c>
      <c r="C77" s="17">
        <f>_xll.DBRW($B$3,Cons_Region!$F$12,Cons_Region!C$15,$M$1,Cons_Region!$H$12,Cons_Region!$C$12,$N$2,$A77,$K$1)</f>
        <v>0</v>
      </c>
      <c r="D77" s="17">
        <f>_xll.DBRW($B$3,Cons_Region!$F$12,Cons_Region!D$15,$M$1,Cons_Region!$H$12,Cons_Region!$C$12,$N$2,$A77,$K$1)</f>
        <v>0</v>
      </c>
      <c r="E77" s="17">
        <f>_xll.DBRW($B$3,Cons_Region!$F$12,Cons_Region!E$15,$M$1,Cons_Region!$H$12,Cons_Region!$C$12,$N$2,$A77,$K$1)</f>
        <v>0</v>
      </c>
      <c r="F77" s="17">
        <f>_xll.DBRW($B$3,Cons_Region!$F$12,Cons_Region!F$15,$M$1,Cons_Region!$H$12,Cons_Region!$C$12,$N$2,$A77,$K$1)</f>
        <v>0</v>
      </c>
      <c r="G77" s="17">
        <f>_xll.DBRW($B$3,Cons_Region!$F$12,Cons_Region!G$15,$M$1,Cons_Region!$H$12,Cons_Region!$C$12,$N$2,$A77,$K$1)</f>
        <v>0</v>
      </c>
      <c r="H77" s="17">
        <f>_xll.DBRW($B$3,Cons_Region!$F$12,Cons_Region!H$15,$M$1,Cons_Region!$H$12,Cons_Region!$C$12,$N$2,$A77,$K$1)</f>
        <v>0</v>
      </c>
      <c r="I77" s="17">
        <f>_xll.DBRW($B$3,Cons_Region!$F$12,Cons_Region!I$15,$M$1,Cons_Region!$H$12,Cons_Region!$C$12,$N$2,$A77,$K$1)</f>
        <v>0</v>
      </c>
      <c r="J77" s="17">
        <f>_xll.DBRW($B$3,Cons_Region!$F$12,Cons_Region!J$15,$M$1,Cons_Region!$H$12,Cons_Region!$C$12,$N$2,$A77,$K$1)</f>
        <v>0</v>
      </c>
      <c r="K77" s="17">
        <f>_xll.DBRW($B$3,Cons_Region!$F$12,Cons_Region!K$15,$M$1,Cons_Region!$H$12,Cons_Region!$C$12,$N$2,$A77,$K$1)</f>
        <v>0</v>
      </c>
      <c r="L77" s="17">
        <f>_xll.DBRW($B$3,Cons_Region!$F$12,Cons_Region!L$15,$M$1,Cons_Region!$H$12,Cons_Region!$C$12,$N$2,$A77,$K$1)</f>
        <v>0</v>
      </c>
      <c r="M77" s="17">
        <f>_xll.DBRW($B$3,Cons_Region!$F$12,Cons_Region!M$15,$M$1,Cons_Region!$H$12,Cons_Region!$C$12,$N$2,$A77,$K$1)</f>
        <v>0</v>
      </c>
      <c r="N77" s="17">
        <f>_xll.DBRW($B$3,Cons_Region!$F$12,Cons_Region!N$15,$M$1,Cons_Region!$H$12,Cons_Region!$C$12,$N$2,$A77,$K$1)</f>
        <v>0</v>
      </c>
      <c r="O77" s="20">
        <f>_xll.DBRW($B$3,O$14,Cons_Region!O$15,$M$1,Cons_Region!$H$12,Cons_Region!$C$12,$N$2,$A77,$K$1)</f>
        <v>0</v>
      </c>
      <c r="P77" s="20">
        <f>_xll.DBRW($B$3,P$14,Cons_Region!P$15,$M$1,Cons_Region!$H$12,Cons_Region!$C$12,$N$2,$A77,$K$1)</f>
        <v>0</v>
      </c>
      <c r="Q77" s="20">
        <f>_xll.DBRW($B$3,Q$14,Cons_Region!Q$15,$M$1,Cons_Region!$H$12,Cons_Region!$C$12,$N$2,$A77,$K$1)</f>
        <v>0</v>
      </c>
      <c r="R77" s="20">
        <f>_xll.DBRW($B$3,R$14,Cons_Region!R$15,$M$1,Cons_Region!$H$12,Cons_Region!$C$12,$N$2,$A77,$K$1)</f>
        <v>0</v>
      </c>
      <c r="S77" s="20">
        <f>_xll.DBRW($B$3,S$14,Cons_Region!S$15,$M$1,Cons_Region!$H$12,Cons_Region!$C$12,$N$2,$A77,$K$1)</f>
        <v>0</v>
      </c>
    </row>
    <row r="78" spans="1:19" s="29" customFormat="1" ht="15.75" customHeight="1">
      <c r="A78" s="69" t="s">
        <v>407</v>
      </c>
      <c r="B78" s="11" t="s">
        <v>28</v>
      </c>
      <c r="C78" s="12">
        <f>_xll.DBRW($B$1,Cons_Region!$F$12,Cons_Region!C$15,$M$1,Cons_Region!$H$12,Cons_Region!$C$12,$N$1,$A78,$L$1,$K$1)</f>
        <v>0</v>
      </c>
      <c r="D78" s="12">
        <f>_xll.DBRW($B$1,Cons_Region!$F$12,Cons_Region!D$15,$M$1,Cons_Region!$H$12,Cons_Region!$C$12,$N$1,$A78,$L$1,$K$1)</f>
        <v>0</v>
      </c>
      <c r="E78" s="12">
        <f>_xll.DBRW($B$1,Cons_Region!$F$12,Cons_Region!E$15,$M$1,Cons_Region!$H$12,Cons_Region!$C$12,$N$1,$A78,$L$1,$K$1)</f>
        <v>0</v>
      </c>
      <c r="F78" s="12">
        <f>_xll.DBRW($B$1,Cons_Region!$F$12,Cons_Region!F$15,$M$1,Cons_Region!$H$12,Cons_Region!$C$12,$N$1,$A78,$L$1,$K$1)</f>
        <v>0</v>
      </c>
      <c r="G78" s="12">
        <f>_xll.DBRW($B$1,Cons_Region!$F$12,Cons_Region!G$15,$M$1,Cons_Region!$H$12,Cons_Region!$C$12,$N$1,$A78,$L$1,$K$1)</f>
        <v>0</v>
      </c>
      <c r="H78" s="12">
        <f>_xll.DBRW($B$1,Cons_Region!$F$12,Cons_Region!H$15,$M$1,Cons_Region!$H$12,Cons_Region!$C$12,$N$1,$A78,$L$1,$K$1)</f>
        <v>0</v>
      </c>
      <c r="I78" s="12">
        <f>_xll.DBRW($B$1,Cons_Region!$F$12,Cons_Region!I$15,$M$1,Cons_Region!$H$12,Cons_Region!$C$12,$N$1,$A78,$L$1,$K$1)</f>
        <v>0</v>
      </c>
      <c r="J78" s="12">
        <f>_xll.DBRW($B$1,Cons_Region!$F$12,Cons_Region!J$15,$M$1,Cons_Region!$H$12,Cons_Region!$C$12,$N$1,$A78,$L$1,$K$1)</f>
        <v>0</v>
      </c>
      <c r="K78" s="12">
        <f>_xll.DBRW($B$1,Cons_Region!$F$12,Cons_Region!K$15,$M$1,Cons_Region!$H$12,Cons_Region!$C$12,$N$1,$A78,$L$1,$K$1)</f>
        <v>0</v>
      </c>
      <c r="L78" s="12">
        <f>_xll.DBRW($B$1,Cons_Region!$F$12,Cons_Region!L$15,$M$1,Cons_Region!$H$12,Cons_Region!$C$12,$N$1,$A78,$L$1,$K$1)</f>
        <v>0</v>
      </c>
      <c r="M78" s="12">
        <f>_xll.DBRW($B$1,Cons_Region!$F$12,Cons_Region!M$15,$M$1,Cons_Region!$H$12,Cons_Region!$C$12,$N$1,$A78,$L$1,$K$1)</f>
        <v>0</v>
      </c>
      <c r="N78" s="12">
        <f>_xll.DBRW($B$1,Cons_Region!$F$12,Cons_Region!N$15,$M$1,Cons_Region!$H$12,Cons_Region!$C$12,$N$1,$A78,$L$1,$K$1)</f>
        <v>0</v>
      </c>
      <c r="O78" s="12">
        <f>_xll.DBRW($B$1,O$65,Cons_Region!O$15,$M$1,Cons_Region!$H$12,Cons_Region!$C$12,$N$1,$A78,$L$1,$K$1)</f>
        <v>0</v>
      </c>
      <c r="P78" s="12">
        <f>_xll.DBRW($B$1,P$65,Cons_Region!P$15,$M$1,Cons_Region!$H$12,Cons_Region!$C$12,$N$1,$A78,$L$1,$K$1)</f>
        <v>0</v>
      </c>
      <c r="Q78" s="12">
        <f>_xll.DBRW($B$1,Q$65,Cons_Region!Q$15,$M$1,Cons_Region!$H$12,Cons_Region!$C$12,$N$1,$A78,$L$1,$K$1)</f>
        <v>0</v>
      </c>
      <c r="R78" s="12">
        <f>_xll.DBRW($B$1,R$65,Cons_Region!R$15,$M$1,Cons_Region!$H$12,Cons_Region!$C$12,$N$1,$A78,$L$1,$K$1)</f>
        <v>0</v>
      </c>
      <c r="S78" s="12">
        <f>_xll.DBRW($B$1,S$65,Cons_Region!S$15,$M$1,Cons_Region!$H$12,Cons_Region!$C$12,$N$1,$A78,$L$1,$K$1)</f>
        <v>0</v>
      </c>
    </row>
    <row r="79" spans="1:19" s="29" customFormat="1" ht="15.75" customHeight="1">
      <c r="A79" s="69" t="s">
        <v>409</v>
      </c>
      <c r="B79" s="15" t="s">
        <v>58</v>
      </c>
      <c r="C79" s="20">
        <f>_xll.DBRW($B$3,Cons_Region!$F$12,Cons_Region!C$15,$M$1,Cons_Region!$H$12,Cons_Region!$C$12,$N$2,$A79,$K$1)</f>
        <v>0</v>
      </c>
      <c r="D79" s="20">
        <f>_xll.DBRW($B$3,Cons_Region!$F$12,Cons_Region!D$15,$M$1,Cons_Region!$H$12,Cons_Region!$C$12,$N$2,$A79,$K$1)</f>
        <v>17.459223095880091</v>
      </c>
      <c r="E79" s="20">
        <f>_xll.DBRW($B$3,Cons_Region!$F$12,Cons_Region!E$15,$M$1,Cons_Region!$H$12,Cons_Region!$C$12,$N$2,$A79,$K$1)</f>
        <v>129.27096453730013</v>
      </c>
      <c r="F79" s="20">
        <f>_xll.DBRW($B$3,Cons_Region!$F$12,Cons_Region!F$15,$M$1,Cons_Region!$H$12,Cons_Region!$C$12,$N$2,$A79,$K$1)</f>
        <v>121.20535823631988</v>
      </c>
      <c r="G79" s="20">
        <f>_xll.DBRW($B$3,Cons_Region!$F$12,Cons_Region!G$15,$M$1,Cons_Region!$H$12,Cons_Region!$C$12,$N$2,$A79,$K$1)</f>
        <v>183.24294277758003</v>
      </c>
      <c r="H79" s="20">
        <f>_xll.DBRW($B$3,Cons_Region!$F$12,Cons_Region!H$15,$M$1,Cons_Region!$H$12,Cons_Region!$C$12,$N$2,$A79,$K$1)</f>
        <v>226.43802426783986</v>
      </c>
      <c r="I79" s="20">
        <f>_xll.DBRW($B$3,Cons_Region!$F$12,Cons_Region!I$15,$M$1,Cons_Region!$H$12,Cons_Region!$C$12,$N$2,$A79,$K$1)</f>
        <v>284.50037890327997</v>
      </c>
      <c r="J79" s="20">
        <f>_xll.DBRW($B$3,Cons_Region!$F$12,Cons_Region!J$15,$M$1,Cons_Region!$H$12,Cons_Region!$C$12,$N$2,$A79,$K$1)</f>
        <v>276.81827595696001</v>
      </c>
      <c r="K79" s="20">
        <f>_xll.DBRW($B$3,Cons_Region!$F$12,Cons_Region!K$15,$M$1,Cons_Region!$H$12,Cons_Region!$C$12,$N$2,$A79,$K$1)</f>
        <v>309.71595412109002</v>
      </c>
      <c r="L79" s="20">
        <f>_xll.DBRW($B$3,Cons_Region!$F$12,Cons_Region!L$15,$M$1,Cons_Region!$H$12,Cons_Region!$C$12,$N$2,$A79,$K$1)</f>
        <v>254.66104274912016</v>
      </c>
      <c r="M79" s="20">
        <f>_xll.DBRW($B$3,Cons_Region!$F$12,Cons_Region!M$15,$M$1,Cons_Region!$H$12,Cons_Region!$C$12,$N$2,$A79,$K$1)</f>
        <v>220.93985738659012</v>
      </c>
      <c r="N79" s="20">
        <f>_xll.DBRW($B$3,Cons_Region!$F$12,Cons_Region!N$15,$M$1,Cons_Region!$H$12,Cons_Region!$C$12,$N$2,$A79,$K$1)</f>
        <v>177.04555724886015</v>
      </c>
      <c r="O79" s="20">
        <f>_xll.DBRW($B$3,O$14,Cons_Region!O$15,$M$1,Cons_Region!$H$12,Cons_Region!$C$12,$N$2,$A79,$K$1)</f>
        <v>0</v>
      </c>
      <c r="P79" s="20">
        <f>_xll.DBRW($B$3,P$14,Cons_Region!P$15,$M$1,Cons_Region!$H$12,Cons_Region!$C$12,$N$2,$A79,$K$1)</f>
        <v>0</v>
      </c>
      <c r="Q79" s="20">
        <f>_xll.DBRW($B$3,Q$14,Cons_Region!Q$15,$M$1,Cons_Region!$H$12,Cons_Region!$C$12,$N$2,$A79,$K$1)</f>
        <v>0</v>
      </c>
      <c r="R79" s="20">
        <f>_xll.DBRW($B$3,R$14,Cons_Region!R$15,$M$1,Cons_Region!$H$12,Cons_Region!$C$12,$N$2,$A79,$K$1)</f>
        <v>0</v>
      </c>
      <c r="S79" s="20">
        <f>_xll.DBRW($B$3,S$14,Cons_Region!S$15,$M$1,Cons_Region!$H$12,Cons_Region!$C$12,$N$2,$A79,$K$1)</f>
        <v>0</v>
      </c>
    </row>
    <row r="80" spans="1:19" ht="15.75" customHeight="1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1:19" ht="15.75" customHeigh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1:19" s="29" customFormat="1" ht="15.75" customHeight="1">
      <c r="A82" s="69"/>
      <c r="B82" s="27" t="s">
        <v>61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spans="1:19" ht="15.75" customHeight="1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80">
        <f>$F$12+1</f>
        <v>2027</v>
      </c>
      <c r="P83" s="80">
        <f>$F$12+2</f>
        <v>2028</v>
      </c>
      <c r="Q83" s="80">
        <f>$F$12+3</f>
        <v>2029</v>
      </c>
      <c r="R83" s="80">
        <f>$F$12+4</f>
        <v>2030</v>
      </c>
      <c r="S83" s="80">
        <f>$F$12+5</f>
        <v>2031</v>
      </c>
    </row>
    <row r="84" spans="1:19" s="29" customFormat="1" ht="15.75" customHeight="1">
      <c r="A84" s="69"/>
      <c r="B84" s="22"/>
      <c r="C84" s="23" t="str">
        <f t="shared" ref="C84:N84" si="6">$F$12&amp;"."&amp;C$15</f>
        <v>2026.01</v>
      </c>
      <c r="D84" s="23" t="str">
        <f t="shared" si="6"/>
        <v>2026.02</v>
      </c>
      <c r="E84" s="23" t="str">
        <f t="shared" si="6"/>
        <v>2026.03</v>
      </c>
      <c r="F84" s="23" t="str">
        <f t="shared" si="6"/>
        <v>2026.04</v>
      </c>
      <c r="G84" s="23" t="str">
        <f t="shared" si="6"/>
        <v>2026.05</v>
      </c>
      <c r="H84" s="23" t="str">
        <f t="shared" si="6"/>
        <v>2026.06</v>
      </c>
      <c r="I84" s="23" t="str">
        <f t="shared" si="6"/>
        <v>2026.07</v>
      </c>
      <c r="J84" s="23" t="str">
        <f t="shared" si="6"/>
        <v>2026.08</v>
      </c>
      <c r="K84" s="23" t="str">
        <f t="shared" si="6"/>
        <v>2026.09</v>
      </c>
      <c r="L84" s="23" t="str">
        <f t="shared" si="6"/>
        <v>2026.10</v>
      </c>
      <c r="M84" s="23" t="str">
        <f t="shared" si="6"/>
        <v>2026.11</v>
      </c>
      <c r="N84" s="23" t="str">
        <f t="shared" si="6"/>
        <v>2026.12</v>
      </c>
      <c r="O84" s="23" t="s">
        <v>304</v>
      </c>
      <c r="P84" s="23" t="s">
        <v>304</v>
      </c>
      <c r="Q84" s="23" t="s">
        <v>304</v>
      </c>
      <c r="R84" s="23" t="s">
        <v>304</v>
      </c>
      <c r="S84" s="23" t="s">
        <v>304</v>
      </c>
    </row>
    <row r="85" spans="1:19" s="29" customFormat="1" ht="15.75" customHeight="1">
      <c r="A85" s="69"/>
      <c r="B85" s="11" t="s">
        <v>60</v>
      </c>
      <c r="C85" s="10">
        <f>_xll.DBRW($C$1,Cons_Region!$F$12,Cons_Region!C$15,$M$1,Cons_Region!$C$12,Cons_Region!$B85,$K$1)</f>
        <v>0</v>
      </c>
      <c r="D85" s="10">
        <f>_xll.DBRW($C$1,Cons_Region!$F$12,Cons_Region!D$15,$M$1,Cons_Region!$C$12,Cons_Region!$B85,$K$1)</f>
        <v>0</v>
      </c>
      <c r="E85" s="10">
        <f>_xll.DBRW($C$1,Cons_Region!$F$12,Cons_Region!E$15,$M$1,Cons_Region!$C$12,Cons_Region!$B85,$K$1)</f>
        <v>0</v>
      </c>
      <c r="F85" s="10">
        <f>_xll.DBRW($C$1,Cons_Region!$F$12,Cons_Region!F$15,$M$1,Cons_Region!$C$12,Cons_Region!$B85,$K$1)</f>
        <v>0</v>
      </c>
      <c r="G85" s="10">
        <f>_xll.DBRW($C$1,Cons_Region!$F$12,Cons_Region!G$15,$M$1,Cons_Region!$C$12,Cons_Region!$B85,$K$1)</f>
        <v>0</v>
      </c>
      <c r="H85" s="10">
        <f>_xll.DBRW($C$1,Cons_Region!$F$12,Cons_Region!H$15,$M$1,Cons_Region!$C$12,Cons_Region!$B85,$K$1)</f>
        <v>0</v>
      </c>
      <c r="I85" s="10">
        <f>_xll.DBRW($C$1,Cons_Region!$F$12,Cons_Region!I$15,$M$1,Cons_Region!$C$12,Cons_Region!$B85,$K$1)</f>
        <v>0</v>
      </c>
      <c r="J85" s="10">
        <f>_xll.DBRW($C$1,Cons_Region!$F$12,Cons_Region!J$15,$M$1,Cons_Region!$C$12,Cons_Region!$B85,$K$1)</f>
        <v>0</v>
      </c>
      <c r="K85" s="10">
        <f>_xll.DBRW($C$1,Cons_Region!$F$12,Cons_Region!K$15,$M$1,Cons_Region!$C$12,Cons_Region!$B85,$K$1)</f>
        <v>0</v>
      </c>
      <c r="L85" s="10">
        <f>_xll.DBRW($C$1,Cons_Region!$F$12,Cons_Region!L$15,$M$1,Cons_Region!$C$12,Cons_Region!$B85,$K$1)</f>
        <v>0</v>
      </c>
      <c r="M85" s="10">
        <f>_xll.DBRW($C$1,Cons_Region!$F$12,Cons_Region!M$15,$M$1,Cons_Region!$C$12,Cons_Region!$B85,$K$1)</f>
        <v>0</v>
      </c>
      <c r="N85" s="10">
        <f>_xll.DBRW($C$1,Cons_Region!$F$12,Cons_Region!N$15,$M$1,Cons_Region!$C$12,Cons_Region!$B85,$K$1)</f>
        <v>0</v>
      </c>
      <c r="O85" s="10">
        <f>_xll.DBRW($C$1,O$83,Cons_Region!O$15,$M$1,Cons_Region!$C$12,Cons_Region!$B85,$K$1)</f>
        <v>0</v>
      </c>
      <c r="P85" s="10">
        <f>_xll.DBRW($C$1,P$83,Cons_Region!P$15,$M$1,Cons_Region!$C$12,Cons_Region!$B85,$K$1)</f>
        <v>0</v>
      </c>
      <c r="Q85" s="10">
        <f>_xll.DBRW($C$1,Q$83,Cons_Region!Q$15,$M$1,Cons_Region!$C$12,Cons_Region!$B85,$K$1)</f>
        <v>0</v>
      </c>
      <c r="R85" s="10">
        <f>_xll.DBRW($C$1,R$83,Cons_Region!R$15,$M$1,Cons_Region!$C$12,Cons_Region!$B85,$K$1)</f>
        <v>0</v>
      </c>
      <c r="S85" s="10">
        <f>_xll.DBRW($C$1,S$83,Cons_Region!S$15,$M$1,Cons_Region!$C$12,Cons_Region!$B85,$K$1)</f>
        <v>0</v>
      </c>
    </row>
    <row r="86" spans="1:19" s="29" customFormat="1" ht="15.75" customHeight="1">
      <c r="A86" s="69" t="s">
        <v>410</v>
      </c>
      <c r="B86" s="15" t="s">
        <v>62</v>
      </c>
      <c r="C86" s="20">
        <f>_xll.DBRW($B$3,Cons_Region!$F$12,Cons_Region!C$15,$M$1,Cons_Region!$H$12,Cons_Region!$C$12,$N$2,$A86,$K$1)</f>
        <v>0</v>
      </c>
      <c r="D86" s="20">
        <f>_xll.DBRW($B$3,Cons_Region!$F$12,Cons_Region!D$15,$M$1,Cons_Region!$H$12,Cons_Region!$C$12,$N$2,$A86,$K$1)</f>
        <v>0</v>
      </c>
      <c r="E86" s="20">
        <f>_xll.DBRW($B$3,Cons_Region!$F$12,Cons_Region!E$15,$M$1,Cons_Region!$H$12,Cons_Region!$C$12,$N$2,$A86,$K$1)</f>
        <v>0</v>
      </c>
      <c r="F86" s="20">
        <f>_xll.DBRW($B$3,Cons_Region!$F$12,Cons_Region!F$15,$M$1,Cons_Region!$H$12,Cons_Region!$C$12,$N$2,$A86,$K$1)</f>
        <v>0</v>
      </c>
      <c r="G86" s="20">
        <f>_xll.DBRW($B$3,Cons_Region!$F$12,Cons_Region!G$15,$M$1,Cons_Region!$H$12,Cons_Region!$C$12,$N$2,$A86,$K$1)</f>
        <v>0</v>
      </c>
      <c r="H86" s="20">
        <f>_xll.DBRW($B$3,Cons_Region!$F$12,Cons_Region!H$15,$M$1,Cons_Region!$H$12,Cons_Region!$C$12,$N$2,$A86,$K$1)</f>
        <v>0</v>
      </c>
      <c r="I86" s="20">
        <f>_xll.DBRW($B$3,Cons_Region!$F$12,Cons_Region!I$15,$M$1,Cons_Region!$H$12,Cons_Region!$C$12,$N$2,$A86,$K$1)</f>
        <v>0</v>
      </c>
      <c r="J86" s="20">
        <f>_xll.DBRW($B$3,Cons_Region!$F$12,Cons_Region!J$15,$M$1,Cons_Region!$H$12,Cons_Region!$C$12,$N$2,$A86,$K$1)</f>
        <v>0</v>
      </c>
      <c r="K86" s="20">
        <f>_xll.DBRW($B$3,Cons_Region!$F$12,Cons_Region!K$15,$M$1,Cons_Region!$H$12,Cons_Region!$C$12,$N$2,$A86,$K$1)</f>
        <v>0</v>
      </c>
      <c r="L86" s="20">
        <f>_xll.DBRW($B$3,Cons_Region!$F$12,Cons_Region!L$15,$M$1,Cons_Region!$H$12,Cons_Region!$C$12,$N$2,$A86,$K$1)</f>
        <v>0</v>
      </c>
      <c r="M86" s="20">
        <f>_xll.DBRW($B$3,Cons_Region!$F$12,Cons_Region!M$15,$M$1,Cons_Region!$H$12,Cons_Region!$C$12,$N$2,$A86,$K$1)</f>
        <v>0</v>
      </c>
      <c r="N86" s="20">
        <f>_xll.DBRW($B$3,Cons_Region!$F$12,Cons_Region!N$15,$M$1,Cons_Region!$H$12,Cons_Region!$C$12,$N$2,$A86,$K$1)</f>
        <v>0</v>
      </c>
      <c r="O86" s="20">
        <f>_xll.DBRW($B$3,O$14,Cons_Region!O$15,$M$1,Cons_Region!$H$12,Cons_Region!$C$12,$N$2,$A86,$K$1)</f>
        <v>0</v>
      </c>
      <c r="P86" s="20">
        <f>_xll.DBRW($B$3,P$14,Cons_Region!P$15,$M$1,Cons_Region!$H$12,Cons_Region!$C$12,$N$2,$A86,$K$1)</f>
        <v>0</v>
      </c>
      <c r="Q86" s="20">
        <f>_xll.DBRW($B$3,Q$14,Cons_Region!Q$15,$M$1,Cons_Region!$H$12,Cons_Region!$C$12,$N$2,$A86,$K$1)</f>
        <v>0</v>
      </c>
      <c r="R86" s="20">
        <f>_xll.DBRW($B$3,R$14,Cons_Region!R$15,$M$1,Cons_Region!$H$12,Cons_Region!$C$12,$N$2,$A86,$K$1)</f>
        <v>0</v>
      </c>
      <c r="S86" s="20">
        <f>_xll.DBRW($B$3,S$14,Cons_Region!S$15,$M$1,Cons_Region!$H$12,Cons_Region!$C$12,$N$2,$A86,$K$1)</f>
        <v>0</v>
      </c>
    </row>
    <row r="87" spans="1:19" s="29" customFormat="1" ht="15.75" customHeight="1">
      <c r="A87" s="69" t="s">
        <v>411</v>
      </c>
      <c r="B87" s="15" t="s">
        <v>61</v>
      </c>
      <c r="C87" s="20">
        <f>_xll.DBRW($B$3,Cons_Region!$F$12,Cons_Region!C$15,$M$1,Cons_Region!$H$12,Cons_Region!$C$12,$N$2,$A87,$K$1)</f>
        <v>0</v>
      </c>
      <c r="D87" s="20">
        <f>_xll.DBRW($B$3,Cons_Region!$F$12,Cons_Region!D$15,$M$1,Cons_Region!$H$12,Cons_Region!$C$12,$N$2,$A87,$K$1)</f>
        <v>17.459223095880091</v>
      </c>
      <c r="E87" s="20">
        <f>_xll.DBRW($B$3,Cons_Region!$F$12,Cons_Region!E$15,$M$1,Cons_Region!$H$12,Cons_Region!$C$12,$N$2,$A87,$K$1)</f>
        <v>129.27096453730013</v>
      </c>
      <c r="F87" s="20">
        <f>_xll.DBRW($B$3,Cons_Region!$F$12,Cons_Region!F$15,$M$1,Cons_Region!$H$12,Cons_Region!$C$12,$N$2,$A87,$K$1)</f>
        <v>121.20535823631988</v>
      </c>
      <c r="G87" s="20">
        <f>_xll.DBRW($B$3,Cons_Region!$F$12,Cons_Region!G$15,$M$1,Cons_Region!$H$12,Cons_Region!$C$12,$N$2,$A87,$K$1)</f>
        <v>183.24294277758003</v>
      </c>
      <c r="H87" s="20">
        <f>_xll.DBRW($B$3,Cons_Region!$F$12,Cons_Region!H$15,$M$1,Cons_Region!$H$12,Cons_Region!$C$12,$N$2,$A87,$K$1)</f>
        <v>226.43802426783986</v>
      </c>
      <c r="I87" s="20">
        <f>_xll.DBRW($B$3,Cons_Region!$F$12,Cons_Region!I$15,$M$1,Cons_Region!$H$12,Cons_Region!$C$12,$N$2,$A87,$K$1)</f>
        <v>284.50037890327997</v>
      </c>
      <c r="J87" s="20">
        <f>_xll.DBRW($B$3,Cons_Region!$F$12,Cons_Region!J$15,$M$1,Cons_Region!$H$12,Cons_Region!$C$12,$N$2,$A87,$K$1)</f>
        <v>276.81827595696001</v>
      </c>
      <c r="K87" s="20">
        <f>_xll.DBRW($B$3,Cons_Region!$F$12,Cons_Region!K$15,$M$1,Cons_Region!$H$12,Cons_Region!$C$12,$N$2,$A87,$K$1)</f>
        <v>309.71595412109002</v>
      </c>
      <c r="L87" s="20">
        <f>_xll.DBRW($B$3,Cons_Region!$F$12,Cons_Region!L$15,$M$1,Cons_Region!$H$12,Cons_Region!$C$12,$N$2,$A87,$K$1)</f>
        <v>254.66104274912016</v>
      </c>
      <c r="M87" s="20">
        <f>_xll.DBRW($B$3,Cons_Region!$F$12,Cons_Region!M$15,$M$1,Cons_Region!$H$12,Cons_Region!$C$12,$N$2,$A87,$K$1)</f>
        <v>220.93985738659012</v>
      </c>
      <c r="N87" s="20">
        <f>_xll.DBRW($B$3,Cons_Region!$F$12,Cons_Region!N$15,$M$1,Cons_Region!$H$12,Cons_Region!$C$12,$N$2,$A87,$K$1)</f>
        <v>177.04555724886015</v>
      </c>
      <c r="O87" s="20">
        <f>_xll.DBRW($B$3,O$14,Cons_Region!O$15,$M$1,Cons_Region!$H$12,Cons_Region!$C$12,$N$2,$A87,$K$1)</f>
        <v>0</v>
      </c>
      <c r="P87" s="20">
        <f>_xll.DBRW($B$3,P$14,Cons_Region!P$15,$M$1,Cons_Region!$H$12,Cons_Region!$C$12,$N$2,$A87,$K$1)</f>
        <v>0</v>
      </c>
      <c r="Q87" s="20">
        <f>_xll.DBRW($B$3,Q$14,Cons_Region!Q$15,$M$1,Cons_Region!$H$12,Cons_Region!$C$12,$N$2,$A87,$K$1)</f>
        <v>0</v>
      </c>
      <c r="R87" s="20">
        <f>_xll.DBRW($B$3,R$14,Cons_Region!R$15,$M$1,Cons_Region!$H$12,Cons_Region!$C$12,$N$2,$A87,$K$1)</f>
        <v>0</v>
      </c>
      <c r="S87" s="20">
        <f>_xll.DBRW($B$3,S$14,Cons_Region!S$15,$M$1,Cons_Region!$H$12,Cons_Region!$C$12,$N$2,$A87,$K$1)</f>
        <v>0</v>
      </c>
    </row>
    <row r="88" spans="1:19" ht="15.75" customHeight="1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 s="29" customFormat="1" ht="15.75" customHeight="1" thickBot="1">
      <c r="A89" s="69"/>
      <c r="B89" s="1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spans="1:19" s="29" customFormat="1" ht="15.75" customHeight="1" thickTop="1">
      <c r="A90" s="69"/>
      <c r="B90" s="27" t="s">
        <v>64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</row>
    <row r="91" spans="1:19" ht="15.75" customHeight="1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80">
        <f>$F$12+1</f>
        <v>2027</v>
      </c>
      <c r="P91" s="80">
        <f>$F$12+2</f>
        <v>2028</v>
      </c>
      <c r="Q91" s="80">
        <f>$F$12+3</f>
        <v>2029</v>
      </c>
      <c r="R91" s="80">
        <f>$F$12+4</f>
        <v>2030</v>
      </c>
      <c r="S91" s="80">
        <f>$F$12+5</f>
        <v>2031</v>
      </c>
    </row>
    <row r="92" spans="1:19" s="29" customFormat="1" ht="15.75" customHeight="1">
      <c r="A92" s="69"/>
      <c r="B92" s="22"/>
      <c r="C92" s="23" t="str">
        <f t="shared" ref="C92:N92" si="7">$F$12&amp;"."&amp;C$15</f>
        <v>2026.01</v>
      </c>
      <c r="D92" s="23" t="str">
        <f t="shared" si="7"/>
        <v>2026.02</v>
      </c>
      <c r="E92" s="23" t="str">
        <f t="shared" si="7"/>
        <v>2026.03</v>
      </c>
      <c r="F92" s="23" t="str">
        <f t="shared" si="7"/>
        <v>2026.04</v>
      </c>
      <c r="G92" s="23" t="str">
        <f t="shared" si="7"/>
        <v>2026.05</v>
      </c>
      <c r="H92" s="23" t="str">
        <f t="shared" si="7"/>
        <v>2026.06</v>
      </c>
      <c r="I92" s="23" t="str">
        <f t="shared" si="7"/>
        <v>2026.07</v>
      </c>
      <c r="J92" s="23" t="str">
        <f t="shared" si="7"/>
        <v>2026.08</v>
      </c>
      <c r="K92" s="23" t="str">
        <f t="shared" si="7"/>
        <v>2026.09</v>
      </c>
      <c r="L92" s="23" t="str">
        <f t="shared" si="7"/>
        <v>2026.10</v>
      </c>
      <c r="M92" s="23" t="str">
        <f t="shared" si="7"/>
        <v>2026.11</v>
      </c>
      <c r="N92" s="23" t="str">
        <f t="shared" si="7"/>
        <v>2026.12</v>
      </c>
      <c r="O92" s="23" t="s">
        <v>304</v>
      </c>
      <c r="P92" s="23" t="s">
        <v>304</v>
      </c>
      <c r="Q92" s="23" t="s">
        <v>304</v>
      </c>
      <c r="R92" s="23" t="s">
        <v>304</v>
      </c>
      <c r="S92" s="23" t="s">
        <v>304</v>
      </c>
    </row>
    <row r="93" spans="1:19" s="29" customFormat="1" ht="15.75" customHeight="1">
      <c r="A93" s="69" t="s">
        <v>412</v>
      </c>
      <c r="B93" s="11" t="s">
        <v>264</v>
      </c>
      <c r="C93" s="12">
        <f>_xll.DBRW($B$1,Cons_Region!$F$12,Cons_Region!C$15,$M$1,Cons_Region!$H$12,Cons_Region!$C$12,$N$1,$A93,$L$1,$K$1)</f>
        <v>0</v>
      </c>
      <c r="D93" s="12">
        <f>_xll.DBRW($B$1,Cons_Region!$F$12,Cons_Region!D$15,$M$1,Cons_Region!$H$12,Cons_Region!$C$12,$N$1,$A93,$L$1,$K$1)</f>
        <v>18.817699999999999</v>
      </c>
      <c r="E93" s="12">
        <f>_xll.DBRW($B$1,Cons_Region!$F$12,Cons_Region!E$15,$M$1,Cons_Region!$H$12,Cons_Region!$C$12,$N$1,$A93,$L$1,$K$1)</f>
        <v>19.9162</v>
      </c>
      <c r="F93" s="12">
        <f>_xll.DBRW($B$1,Cons_Region!$F$12,Cons_Region!F$15,$M$1,Cons_Region!$H$12,Cons_Region!$C$12,$N$1,$A93,$L$1,$K$1)</f>
        <v>18.977900000000002</v>
      </c>
      <c r="G93" s="12">
        <f>_xll.DBRW($B$1,Cons_Region!$F$12,Cons_Region!G$15,$M$1,Cons_Region!$H$12,Cons_Region!$C$12,$N$1,$A93,$L$1,$K$1)</f>
        <v>20.2775</v>
      </c>
      <c r="H93" s="12">
        <f>_xll.DBRW($B$1,Cons_Region!$F$12,Cons_Region!H$15,$M$1,Cons_Region!$H$12,Cons_Region!$C$12,$N$1,$A93,$L$1,$K$1)</f>
        <v>20.052</v>
      </c>
      <c r="I93" s="12">
        <f>_xll.DBRW($B$1,Cons_Region!$F$12,Cons_Region!I$15,$M$1,Cons_Region!$H$12,Cons_Region!$C$12,$N$1,$A93,$L$1,$K$1)</f>
        <v>18.8443</v>
      </c>
      <c r="J93" s="12">
        <f>_xll.DBRW($B$1,Cons_Region!$F$12,Cons_Region!J$15,$M$1,Cons_Region!$H$12,Cons_Region!$C$12,$N$1,$A93,$L$1,$K$1)</f>
        <v>19.779800000000002</v>
      </c>
      <c r="K93" s="12">
        <f>_xll.DBRW($B$1,Cons_Region!$F$12,Cons_Region!K$15,$M$1,Cons_Region!$H$12,Cons_Region!$C$12,$N$1,$A93,$L$1,$K$1)</f>
        <v>18.881799999999998</v>
      </c>
      <c r="L93" s="12">
        <f>_xll.DBRW($B$1,Cons_Region!$F$12,Cons_Region!L$15,$M$1,Cons_Region!$H$12,Cons_Region!$C$12,$N$1,$A93,$L$1,$K$1)</f>
        <v>19.1236</v>
      </c>
      <c r="M93" s="12">
        <f>_xll.DBRW($B$1,Cons_Region!$F$12,Cons_Region!M$15,$M$1,Cons_Region!$H$12,Cons_Region!$C$12,$N$1,$A93,$L$1,$K$1)</f>
        <v>20.2285</v>
      </c>
      <c r="N93" s="12">
        <f>_xll.DBRW($B$1,Cons_Region!$F$12,Cons_Region!N$15,$M$1,Cons_Region!$H$12,Cons_Region!$C$12,$N$1,$A93,$L$1,$K$1)</f>
        <v>0</v>
      </c>
      <c r="O93" s="12">
        <f>_xll.DBRW($B$1,O$65,Cons_Region!O$15,$M$1,Cons_Region!$H$12,Cons_Region!$C$12,$N$1,$A93,$L$1,$K$1)</f>
        <v>0</v>
      </c>
      <c r="P93" s="12">
        <f>_xll.DBRW($B$1,P$65,Cons_Region!P$15,$M$1,Cons_Region!$H$12,Cons_Region!$C$12,$N$1,$A93,$L$1,$K$1)</f>
        <v>0</v>
      </c>
      <c r="Q93" s="12">
        <f>_xll.DBRW($B$1,Q$65,Cons_Region!Q$15,$M$1,Cons_Region!$H$12,Cons_Region!$C$12,$N$1,$A93,$L$1,$K$1)</f>
        <v>0</v>
      </c>
      <c r="R93" s="12">
        <f>_xll.DBRW($B$1,R$65,Cons_Region!R$15,$M$1,Cons_Region!$H$12,Cons_Region!$C$12,$N$1,$A93,$L$1,$K$1)</f>
        <v>0</v>
      </c>
      <c r="S93" s="12">
        <f>_xll.DBRW($B$1,S$65,Cons_Region!S$15,$M$1,Cons_Region!$H$12,Cons_Region!$C$12,$N$1,$A93,$L$1,$K$1)</f>
        <v>0</v>
      </c>
    </row>
    <row r="94" spans="1:19" s="29" customFormat="1" ht="33.75" customHeight="1">
      <c r="A94" s="69" t="s">
        <v>413</v>
      </c>
      <c r="B94" s="11" t="s">
        <v>265</v>
      </c>
      <c r="C94" s="12">
        <f>_xll.DBRW($B$1,Cons_Region!$F$12,Cons_Region!C$15,$M$1,Cons_Region!$H$12,Cons_Region!$C$12,$N$1,$A94,$L$1,$K$1)</f>
        <v>0</v>
      </c>
      <c r="D94" s="12">
        <f>_xll.DBRW($B$1,Cons_Region!$F$12,Cons_Region!D$15,$M$1,Cons_Region!$H$12,Cons_Region!$C$12,$N$1,$A94,$L$1,$K$1)</f>
        <v>0</v>
      </c>
      <c r="E94" s="12">
        <f>_xll.DBRW($B$1,Cons_Region!$F$12,Cons_Region!E$15,$M$1,Cons_Region!$H$12,Cons_Region!$C$12,$N$1,$A94,$L$1,$K$1)</f>
        <v>0</v>
      </c>
      <c r="F94" s="12">
        <f>_xll.DBRW($B$1,Cons_Region!$F$12,Cons_Region!F$15,$M$1,Cons_Region!$H$12,Cons_Region!$C$12,$N$1,$A94,$L$1,$K$1)</f>
        <v>0</v>
      </c>
      <c r="G94" s="12">
        <f>_xll.DBRW($B$1,Cons_Region!$F$12,Cons_Region!G$15,$M$1,Cons_Region!$H$12,Cons_Region!$C$12,$N$1,$A94,$L$1,$K$1)</f>
        <v>0</v>
      </c>
      <c r="H94" s="12">
        <f>_xll.DBRW($B$1,Cons_Region!$F$12,Cons_Region!H$15,$M$1,Cons_Region!$H$12,Cons_Region!$C$12,$N$1,$A94,$L$1,$K$1)</f>
        <v>0</v>
      </c>
      <c r="I94" s="12">
        <f>_xll.DBRW($B$1,Cons_Region!$F$12,Cons_Region!I$15,$M$1,Cons_Region!$H$12,Cons_Region!$C$12,$N$1,$A94,$L$1,$K$1)</f>
        <v>0</v>
      </c>
      <c r="J94" s="12">
        <f>_xll.DBRW($B$1,Cons_Region!$F$12,Cons_Region!J$15,$M$1,Cons_Region!$H$12,Cons_Region!$C$12,$N$1,$A94,$L$1,$K$1)</f>
        <v>0</v>
      </c>
      <c r="K94" s="12">
        <f>_xll.DBRW($B$1,Cons_Region!$F$12,Cons_Region!K$15,$M$1,Cons_Region!$H$12,Cons_Region!$C$12,$N$1,$A94,$L$1,$K$1)</f>
        <v>0</v>
      </c>
      <c r="L94" s="12">
        <f>_xll.DBRW($B$1,Cons_Region!$F$12,Cons_Region!L$15,$M$1,Cons_Region!$H$12,Cons_Region!$C$12,$N$1,$A94,$L$1,$K$1)</f>
        <v>0</v>
      </c>
      <c r="M94" s="12">
        <f>_xll.DBRW($B$1,Cons_Region!$F$12,Cons_Region!M$15,$M$1,Cons_Region!$H$12,Cons_Region!$C$12,$N$1,$A94,$L$1,$K$1)</f>
        <v>0</v>
      </c>
      <c r="N94" s="12">
        <f>_xll.DBRW($B$1,Cons_Region!$F$12,Cons_Region!N$15,$M$1,Cons_Region!$H$12,Cons_Region!$C$12,$N$1,$A94,$L$1,$K$1)</f>
        <v>0</v>
      </c>
      <c r="O94" s="12">
        <f>_xll.DBRW($B$1,O$65,Cons_Region!O$15,$M$1,Cons_Region!$H$12,Cons_Region!$C$12,$N$1,$A94,$L$1,$K$1)</f>
        <v>0</v>
      </c>
      <c r="P94" s="12">
        <f>_xll.DBRW($B$1,P$65,Cons_Region!P$15,$M$1,Cons_Region!$H$12,Cons_Region!$C$12,$N$1,$A94,$L$1,$K$1)</f>
        <v>0</v>
      </c>
      <c r="Q94" s="12">
        <f>_xll.DBRW($B$1,Q$65,Cons_Region!Q$15,$M$1,Cons_Region!$H$12,Cons_Region!$C$12,$N$1,$A94,$L$1,$K$1)</f>
        <v>0</v>
      </c>
      <c r="R94" s="12">
        <f>_xll.DBRW($B$1,R$65,Cons_Region!R$15,$M$1,Cons_Region!$H$12,Cons_Region!$C$12,$N$1,$A94,$L$1,$K$1)</f>
        <v>0</v>
      </c>
      <c r="S94" s="12">
        <f>_xll.DBRW($B$1,S$65,Cons_Region!S$15,$M$1,Cons_Region!$H$12,Cons_Region!$C$12,$N$1,$A94,$L$1,$K$1)</f>
        <v>0</v>
      </c>
    </row>
    <row r="95" spans="1:19" s="29" customFormat="1" ht="15.75" customHeight="1">
      <c r="A95" s="69" t="s">
        <v>414</v>
      </c>
      <c r="B95" s="13" t="s">
        <v>259</v>
      </c>
      <c r="C95" s="12">
        <f>_xll.DBRW($B$1,Cons_Region!$F$12,Cons_Region!C$15,$M$1,Cons_Region!$H$12,Cons_Region!$C$12,$N$1,$A95,$L$1,$K$1)</f>
        <v>0</v>
      </c>
      <c r="D95" s="12">
        <f>_xll.DBRW($B$1,Cons_Region!$F$12,Cons_Region!D$15,$M$1,Cons_Region!$H$12,Cons_Region!$C$12,$N$1,$A95,$L$1,$K$1)</f>
        <v>0</v>
      </c>
      <c r="E95" s="12">
        <f>_xll.DBRW($B$1,Cons_Region!$F$12,Cons_Region!E$15,$M$1,Cons_Region!$H$12,Cons_Region!$C$12,$N$1,$A95,$L$1,$K$1)</f>
        <v>0</v>
      </c>
      <c r="F95" s="12">
        <f>_xll.DBRW($B$1,Cons_Region!$F$12,Cons_Region!F$15,$M$1,Cons_Region!$H$12,Cons_Region!$C$12,$N$1,$A95,$L$1,$K$1)</f>
        <v>0</v>
      </c>
      <c r="G95" s="12">
        <f>_xll.DBRW($B$1,Cons_Region!$F$12,Cons_Region!G$15,$M$1,Cons_Region!$H$12,Cons_Region!$C$12,$N$1,$A95,$L$1,$K$1)</f>
        <v>0</v>
      </c>
      <c r="H95" s="12">
        <f>_xll.DBRW($B$1,Cons_Region!$F$12,Cons_Region!H$15,$M$1,Cons_Region!$H$12,Cons_Region!$C$12,$N$1,$A95,$L$1,$K$1)</f>
        <v>0</v>
      </c>
      <c r="I95" s="12">
        <f>_xll.DBRW($B$1,Cons_Region!$F$12,Cons_Region!I$15,$M$1,Cons_Region!$H$12,Cons_Region!$C$12,$N$1,$A95,$L$1,$K$1)</f>
        <v>0</v>
      </c>
      <c r="J95" s="12">
        <f>_xll.DBRW($B$1,Cons_Region!$F$12,Cons_Region!J$15,$M$1,Cons_Region!$H$12,Cons_Region!$C$12,$N$1,$A95,$L$1,$K$1)</f>
        <v>0</v>
      </c>
      <c r="K95" s="12">
        <f>_xll.DBRW($B$1,Cons_Region!$F$12,Cons_Region!K$15,$M$1,Cons_Region!$H$12,Cons_Region!$C$12,$N$1,$A95,$L$1,$K$1)</f>
        <v>0</v>
      </c>
      <c r="L95" s="12">
        <f>_xll.DBRW($B$1,Cons_Region!$F$12,Cons_Region!L$15,$M$1,Cons_Region!$H$12,Cons_Region!$C$12,$N$1,$A95,$L$1,$K$1)</f>
        <v>0</v>
      </c>
      <c r="M95" s="12">
        <f>_xll.DBRW($B$1,Cons_Region!$F$12,Cons_Region!M$15,$M$1,Cons_Region!$H$12,Cons_Region!$C$12,$N$1,$A95,$L$1,$K$1)</f>
        <v>0</v>
      </c>
      <c r="N95" s="12">
        <f>_xll.DBRW($B$1,Cons_Region!$F$12,Cons_Region!N$15,$M$1,Cons_Region!$H$12,Cons_Region!$C$12,$N$1,$A95,$L$1,$K$1)</f>
        <v>0</v>
      </c>
      <c r="O95" s="12">
        <f>_xll.DBRW($B$1,O$65,Cons_Region!O$15,$M$1,Cons_Region!$H$12,Cons_Region!$C$12,$N$1,$A95,$L$1,$K$1)</f>
        <v>0</v>
      </c>
      <c r="P95" s="12">
        <f>_xll.DBRW($B$1,P$65,Cons_Region!P$15,$M$1,Cons_Region!$H$12,Cons_Region!$C$12,$N$1,$A95,$L$1,$K$1)</f>
        <v>0</v>
      </c>
      <c r="Q95" s="12">
        <f>_xll.DBRW($B$1,Q$65,Cons_Region!Q$15,$M$1,Cons_Region!$H$12,Cons_Region!$C$12,$N$1,$A95,$L$1,$K$1)</f>
        <v>0</v>
      </c>
      <c r="R95" s="12">
        <f>_xll.DBRW($B$1,R$65,Cons_Region!R$15,$M$1,Cons_Region!$H$12,Cons_Region!$C$12,$N$1,$A95,$L$1,$K$1)</f>
        <v>0</v>
      </c>
      <c r="S95" s="12">
        <f>_xll.DBRW($B$1,S$65,Cons_Region!S$15,$M$1,Cons_Region!$H$12,Cons_Region!$C$12,$N$1,$A95,$L$1,$K$1)</f>
        <v>0</v>
      </c>
    </row>
    <row r="96" spans="1:19" s="29" customFormat="1" ht="15.75" customHeight="1">
      <c r="A96" s="69" t="s">
        <v>415</v>
      </c>
      <c r="B96" s="11" t="s">
        <v>260</v>
      </c>
      <c r="C96" s="12">
        <f>_xll.DBRW($B$1,Cons_Region!$F$12,Cons_Region!C$15,$M$1,Cons_Region!$H$12,Cons_Region!$C$12,$N$1,$A96,$L$1,$K$1)</f>
        <v>0</v>
      </c>
      <c r="D96" s="12">
        <f>_xll.DBRW($B$1,Cons_Region!$F$12,Cons_Region!D$15,$M$1,Cons_Region!$H$12,Cons_Region!$C$12,$N$1,$A96,$L$1,$K$1)</f>
        <v>0</v>
      </c>
      <c r="E96" s="12">
        <f>_xll.DBRW($B$1,Cons_Region!$F$12,Cons_Region!E$15,$M$1,Cons_Region!$H$12,Cons_Region!$C$12,$N$1,$A96,$L$1,$K$1)</f>
        <v>0</v>
      </c>
      <c r="F96" s="12">
        <f>_xll.DBRW($B$1,Cons_Region!$F$12,Cons_Region!F$15,$M$1,Cons_Region!$H$12,Cons_Region!$C$12,$N$1,$A96,$L$1,$K$1)</f>
        <v>0</v>
      </c>
      <c r="G96" s="12">
        <f>_xll.DBRW($B$1,Cons_Region!$F$12,Cons_Region!G$15,$M$1,Cons_Region!$H$12,Cons_Region!$C$12,$N$1,$A96,$L$1,$K$1)</f>
        <v>0</v>
      </c>
      <c r="H96" s="12">
        <f>_xll.DBRW($B$1,Cons_Region!$F$12,Cons_Region!H$15,$M$1,Cons_Region!$H$12,Cons_Region!$C$12,$N$1,$A96,$L$1,$K$1)</f>
        <v>0</v>
      </c>
      <c r="I96" s="12">
        <f>_xll.DBRW($B$1,Cons_Region!$F$12,Cons_Region!I$15,$M$1,Cons_Region!$H$12,Cons_Region!$C$12,$N$1,$A96,$L$1,$K$1)</f>
        <v>0</v>
      </c>
      <c r="J96" s="12">
        <f>_xll.DBRW($B$1,Cons_Region!$F$12,Cons_Region!J$15,$M$1,Cons_Region!$H$12,Cons_Region!$C$12,$N$1,$A96,$L$1,$K$1)</f>
        <v>0</v>
      </c>
      <c r="K96" s="12">
        <f>_xll.DBRW($B$1,Cons_Region!$F$12,Cons_Region!K$15,$M$1,Cons_Region!$H$12,Cons_Region!$C$12,$N$1,$A96,$L$1,$K$1)</f>
        <v>0</v>
      </c>
      <c r="L96" s="12">
        <f>_xll.DBRW($B$1,Cons_Region!$F$12,Cons_Region!L$15,$M$1,Cons_Region!$H$12,Cons_Region!$C$12,$N$1,$A96,$L$1,$K$1)</f>
        <v>0</v>
      </c>
      <c r="M96" s="12">
        <f>_xll.DBRW($B$1,Cons_Region!$F$12,Cons_Region!M$15,$M$1,Cons_Region!$H$12,Cons_Region!$C$12,$N$1,$A96,$L$1,$K$1)</f>
        <v>0</v>
      </c>
      <c r="N96" s="12">
        <f>_xll.DBRW($B$1,Cons_Region!$F$12,Cons_Region!N$15,$M$1,Cons_Region!$H$12,Cons_Region!$C$12,$N$1,$A96,$L$1,$K$1)</f>
        <v>0</v>
      </c>
      <c r="O96" s="12">
        <f>_xll.DBRW($B$1,O$65,Cons_Region!O$15,$M$1,Cons_Region!$H$12,Cons_Region!$C$12,$N$1,$A96,$L$1,$K$1)</f>
        <v>0</v>
      </c>
      <c r="P96" s="12">
        <f>_xll.DBRW($B$1,P$65,Cons_Region!P$15,$M$1,Cons_Region!$H$12,Cons_Region!$C$12,$N$1,$A96,$L$1,$K$1)</f>
        <v>0</v>
      </c>
      <c r="Q96" s="12">
        <f>_xll.DBRW($B$1,Q$65,Cons_Region!Q$15,$M$1,Cons_Region!$H$12,Cons_Region!$C$12,$N$1,$A96,$L$1,$K$1)</f>
        <v>0</v>
      </c>
      <c r="R96" s="12">
        <f>_xll.DBRW($B$1,R$65,Cons_Region!R$15,$M$1,Cons_Region!$H$12,Cons_Region!$C$12,$N$1,$A96,$L$1,$K$1)</f>
        <v>0</v>
      </c>
      <c r="S96" s="12">
        <f>_xll.DBRW($B$1,S$65,Cons_Region!S$15,$M$1,Cons_Region!$H$12,Cons_Region!$C$12,$N$1,$A96,$L$1,$K$1)</f>
        <v>0</v>
      </c>
    </row>
    <row r="97" spans="1:19" s="29" customFormat="1" ht="15.75" customHeight="1">
      <c r="A97" s="69" t="s">
        <v>416</v>
      </c>
      <c r="B97" s="11" t="s">
        <v>261</v>
      </c>
      <c r="C97" s="12">
        <f>_xll.DBRW($B$1,Cons_Region!$F$12,Cons_Region!C$15,$M$1,Cons_Region!$H$12,Cons_Region!$C$12,$N$1,$A97,$L$1,$K$1)</f>
        <v>0</v>
      </c>
      <c r="D97" s="12">
        <f>_xll.DBRW($B$1,Cons_Region!$F$12,Cons_Region!D$15,$M$1,Cons_Region!$H$12,Cons_Region!$C$12,$N$1,$A97,$L$1,$K$1)</f>
        <v>0</v>
      </c>
      <c r="E97" s="12">
        <f>_xll.DBRW($B$1,Cons_Region!$F$12,Cons_Region!E$15,$M$1,Cons_Region!$H$12,Cons_Region!$C$12,$N$1,$A97,$L$1,$K$1)</f>
        <v>0</v>
      </c>
      <c r="F97" s="12">
        <f>_xll.DBRW($B$1,Cons_Region!$F$12,Cons_Region!F$15,$M$1,Cons_Region!$H$12,Cons_Region!$C$12,$N$1,$A97,$L$1,$K$1)</f>
        <v>0</v>
      </c>
      <c r="G97" s="12">
        <f>_xll.DBRW($B$1,Cons_Region!$F$12,Cons_Region!G$15,$M$1,Cons_Region!$H$12,Cons_Region!$C$12,$N$1,$A97,$L$1,$K$1)</f>
        <v>0</v>
      </c>
      <c r="H97" s="12">
        <f>_xll.DBRW($B$1,Cons_Region!$F$12,Cons_Region!H$15,$M$1,Cons_Region!$H$12,Cons_Region!$C$12,$N$1,$A97,$L$1,$K$1)</f>
        <v>0</v>
      </c>
      <c r="I97" s="12">
        <f>_xll.DBRW($B$1,Cons_Region!$F$12,Cons_Region!I$15,$M$1,Cons_Region!$H$12,Cons_Region!$C$12,$N$1,$A97,$L$1,$K$1)</f>
        <v>0</v>
      </c>
      <c r="J97" s="12">
        <f>_xll.DBRW($B$1,Cons_Region!$F$12,Cons_Region!J$15,$M$1,Cons_Region!$H$12,Cons_Region!$C$12,$N$1,$A97,$L$1,$K$1)</f>
        <v>0</v>
      </c>
      <c r="K97" s="12">
        <f>_xll.DBRW($B$1,Cons_Region!$F$12,Cons_Region!K$15,$M$1,Cons_Region!$H$12,Cons_Region!$C$12,$N$1,$A97,$L$1,$K$1)</f>
        <v>0</v>
      </c>
      <c r="L97" s="12">
        <f>_xll.DBRW($B$1,Cons_Region!$F$12,Cons_Region!L$15,$M$1,Cons_Region!$H$12,Cons_Region!$C$12,$N$1,$A97,$L$1,$K$1)</f>
        <v>0</v>
      </c>
      <c r="M97" s="12">
        <f>_xll.DBRW($B$1,Cons_Region!$F$12,Cons_Region!M$15,$M$1,Cons_Region!$H$12,Cons_Region!$C$12,$N$1,$A97,$L$1,$K$1)</f>
        <v>0</v>
      </c>
      <c r="N97" s="12">
        <f>_xll.DBRW($B$1,Cons_Region!$F$12,Cons_Region!N$15,$M$1,Cons_Region!$H$12,Cons_Region!$C$12,$N$1,$A97,$L$1,$K$1)</f>
        <v>0</v>
      </c>
      <c r="O97" s="12">
        <f>_xll.DBRW($B$1,O$65,Cons_Region!O$15,$M$1,Cons_Region!$H$12,Cons_Region!$C$12,$N$1,$A97,$L$1,$K$1)</f>
        <v>0</v>
      </c>
      <c r="P97" s="12">
        <f>_xll.DBRW($B$1,P$65,Cons_Region!P$15,$M$1,Cons_Region!$H$12,Cons_Region!$C$12,$N$1,$A97,$L$1,$K$1)</f>
        <v>0</v>
      </c>
      <c r="Q97" s="12">
        <f>_xll.DBRW($B$1,Q$65,Cons_Region!Q$15,$M$1,Cons_Region!$H$12,Cons_Region!$C$12,$N$1,$A97,$L$1,$K$1)</f>
        <v>0</v>
      </c>
      <c r="R97" s="12">
        <f>_xll.DBRW($B$1,R$65,Cons_Region!R$15,$M$1,Cons_Region!$H$12,Cons_Region!$C$12,$N$1,$A97,$L$1,$K$1)</f>
        <v>0</v>
      </c>
      <c r="S97" s="12">
        <f>_xll.DBRW($B$1,S$65,Cons_Region!S$15,$M$1,Cons_Region!$H$12,Cons_Region!$C$12,$N$1,$A97,$L$1,$K$1)</f>
        <v>0</v>
      </c>
    </row>
    <row r="98" spans="1:19" s="29" customFormat="1" ht="15.75" customHeight="1">
      <c r="A98" s="69" t="s">
        <v>417</v>
      </c>
      <c r="B98" s="11" t="s">
        <v>65</v>
      </c>
      <c r="C98" s="12">
        <f>_xll.DBRW($B$1,Cons_Region!$F$12,Cons_Region!C$15,$M$1,Cons_Region!$H$12,Cons_Region!$C$12,$N$1,$A98,$L$1,$K$1)</f>
        <v>0</v>
      </c>
      <c r="D98" s="12">
        <f>_xll.DBRW($B$1,Cons_Region!$F$12,Cons_Region!D$15,$M$1,Cons_Region!$H$12,Cons_Region!$C$12,$N$1,$A98,$L$1,$K$1)</f>
        <v>89.240099999999998</v>
      </c>
      <c r="E98" s="12">
        <f>_xll.DBRW($B$1,Cons_Region!$F$12,Cons_Region!E$15,$M$1,Cons_Region!$H$12,Cons_Region!$C$12,$N$1,$A98,$L$1,$K$1)</f>
        <v>86.500299999999996</v>
      </c>
      <c r="F98" s="12">
        <f>_xll.DBRW($B$1,Cons_Region!$F$12,Cons_Region!F$15,$M$1,Cons_Region!$H$12,Cons_Region!$C$12,$N$1,$A98,$L$1,$K$1)</f>
        <v>93.502899999999997</v>
      </c>
      <c r="G98" s="12">
        <f>_xll.DBRW($B$1,Cons_Region!$F$12,Cons_Region!G$15,$M$1,Cons_Region!$H$12,Cons_Region!$C$12,$N$1,$A98,$L$1,$K$1)</f>
        <v>89.064400000000006</v>
      </c>
      <c r="H98" s="12">
        <f>_xll.DBRW($B$1,Cons_Region!$F$12,Cons_Region!H$15,$M$1,Cons_Region!$H$12,Cons_Region!$C$12,$N$1,$A98,$L$1,$K$1)</f>
        <v>83.815200000000004</v>
      </c>
      <c r="I98" s="12">
        <f>_xll.DBRW($B$1,Cons_Region!$F$12,Cons_Region!I$15,$M$1,Cons_Region!$H$12,Cons_Region!$C$12,$N$1,$A98,$L$1,$K$1)</f>
        <v>78.322199999999995</v>
      </c>
      <c r="J98" s="12">
        <f>_xll.DBRW($B$1,Cons_Region!$F$12,Cons_Region!J$15,$M$1,Cons_Region!$H$12,Cons_Region!$C$12,$N$1,$A98,$L$1,$K$1)</f>
        <v>77.483400000000003</v>
      </c>
      <c r="K98" s="12">
        <f>_xll.DBRW($B$1,Cons_Region!$F$12,Cons_Region!K$15,$M$1,Cons_Region!$H$12,Cons_Region!$C$12,$N$1,$A98,$L$1,$K$1)</f>
        <v>78.418700000000001</v>
      </c>
      <c r="L98" s="12">
        <f>_xll.DBRW($B$1,Cons_Region!$F$12,Cons_Region!L$15,$M$1,Cons_Region!$H$12,Cons_Region!$C$12,$N$1,$A98,$L$1,$K$1)</f>
        <v>86.334800000000001</v>
      </c>
      <c r="M98" s="12">
        <f>_xll.DBRW($B$1,Cons_Region!$F$12,Cons_Region!M$15,$M$1,Cons_Region!$H$12,Cons_Region!$C$12,$N$1,$A98,$L$1,$K$1)</f>
        <v>92.018500000000003</v>
      </c>
      <c r="N98" s="12">
        <f>_xll.DBRW($B$1,Cons_Region!$F$12,Cons_Region!N$15,$M$1,Cons_Region!$H$12,Cons_Region!$C$12,$N$1,$A98,$L$1,$K$1)</f>
        <v>0</v>
      </c>
      <c r="O98" s="12">
        <f>_xll.DBRW($B$1,O$65,Cons_Region!O$15,$M$1,Cons_Region!$H$12,Cons_Region!$C$12,$N$1,$A98,$L$1,$K$1)</f>
        <v>0</v>
      </c>
      <c r="P98" s="12">
        <f>_xll.DBRW($B$1,P$65,Cons_Region!P$15,$M$1,Cons_Region!$H$12,Cons_Region!$C$12,$N$1,$A98,$L$1,$K$1)</f>
        <v>0</v>
      </c>
      <c r="Q98" s="12">
        <f>_xll.DBRW($B$1,Q$65,Cons_Region!Q$15,$M$1,Cons_Region!$H$12,Cons_Region!$C$12,$N$1,$A98,$L$1,$K$1)</f>
        <v>0</v>
      </c>
      <c r="R98" s="12">
        <f>_xll.DBRW($B$1,R$65,Cons_Region!R$15,$M$1,Cons_Region!$H$12,Cons_Region!$C$12,$N$1,$A98,$L$1,$K$1)</f>
        <v>0</v>
      </c>
      <c r="S98" s="12">
        <f>_xll.DBRW($B$1,S$65,Cons_Region!S$15,$M$1,Cons_Region!$H$12,Cons_Region!$C$12,$N$1,$A98,$L$1,$K$1)</f>
        <v>0</v>
      </c>
    </row>
    <row r="99" spans="1:19" s="29" customFormat="1" ht="15.75" customHeight="1">
      <c r="A99" s="69" t="s">
        <v>418</v>
      </c>
      <c r="B99" s="13" t="s">
        <v>262</v>
      </c>
      <c r="C99" s="12">
        <f>_xll.DBRW($B$1,Cons_Region!$F$12,Cons_Region!C$15,$M$1,Cons_Region!$H$12,Cons_Region!$C$12,$N$1,$A99,$L$1,$K$1)</f>
        <v>0</v>
      </c>
      <c r="D99" s="12">
        <f>_xll.DBRW($B$1,Cons_Region!$F$12,Cons_Region!D$15,$M$1,Cons_Region!$H$12,Cons_Region!$C$12,$N$1,$A99,$L$1,$K$1)</f>
        <v>0</v>
      </c>
      <c r="E99" s="12">
        <f>_xll.DBRW($B$1,Cons_Region!$F$12,Cons_Region!E$15,$M$1,Cons_Region!$H$12,Cons_Region!$C$12,$N$1,$A99,$L$1,$K$1)</f>
        <v>0</v>
      </c>
      <c r="F99" s="12">
        <f>_xll.DBRW($B$1,Cons_Region!$F$12,Cons_Region!F$15,$M$1,Cons_Region!$H$12,Cons_Region!$C$12,$N$1,$A99,$L$1,$K$1)</f>
        <v>0</v>
      </c>
      <c r="G99" s="12">
        <f>_xll.DBRW($B$1,Cons_Region!$F$12,Cons_Region!G$15,$M$1,Cons_Region!$H$12,Cons_Region!$C$12,$N$1,$A99,$L$1,$K$1)</f>
        <v>0</v>
      </c>
      <c r="H99" s="12">
        <f>_xll.DBRW($B$1,Cons_Region!$F$12,Cons_Region!H$15,$M$1,Cons_Region!$H$12,Cons_Region!$C$12,$N$1,$A99,$L$1,$K$1)</f>
        <v>0</v>
      </c>
      <c r="I99" s="12">
        <f>_xll.DBRW($B$1,Cons_Region!$F$12,Cons_Region!I$15,$M$1,Cons_Region!$H$12,Cons_Region!$C$12,$N$1,$A99,$L$1,$K$1)</f>
        <v>0</v>
      </c>
      <c r="J99" s="12">
        <f>_xll.DBRW($B$1,Cons_Region!$F$12,Cons_Region!J$15,$M$1,Cons_Region!$H$12,Cons_Region!$C$12,$N$1,$A99,$L$1,$K$1)</f>
        <v>0</v>
      </c>
      <c r="K99" s="12">
        <f>_xll.DBRW($B$1,Cons_Region!$F$12,Cons_Region!K$15,$M$1,Cons_Region!$H$12,Cons_Region!$C$12,$N$1,$A99,$L$1,$K$1)</f>
        <v>0</v>
      </c>
      <c r="L99" s="12">
        <f>_xll.DBRW($B$1,Cons_Region!$F$12,Cons_Region!L$15,$M$1,Cons_Region!$H$12,Cons_Region!$C$12,$N$1,$A99,$L$1,$K$1)</f>
        <v>0</v>
      </c>
      <c r="M99" s="12">
        <f>_xll.DBRW($B$1,Cons_Region!$F$12,Cons_Region!M$15,$M$1,Cons_Region!$H$12,Cons_Region!$C$12,$N$1,$A99,$L$1,$K$1)</f>
        <v>0</v>
      </c>
      <c r="N99" s="12">
        <f>_xll.DBRW($B$1,Cons_Region!$F$12,Cons_Region!N$15,$M$1,Cons_Region!$H$12,Cons_Region!$C$12,$N$1,$A99,$L$1,$K$1)</f>
        <v>0</v>
      </c>
      <c r="O99" s="12">
        <f>_xll.DBRW($B$1,O$65,Cons_Region!O$15,$M$1,Cons_Region!$H$12,Cons_Region!$C$12,$N$1,$A99,$L$1,$K$1)</f>
        <v>0</v>
      </c>
      <c r="P99" s="12">
        <f>_xll.DBRW($B$1,P$65,Cons_Region!P$15,$M$1,Cons_Region!$H$12,Cons_Region!$C$12,$N$1,$A99,$L$1,$K$1)</f>
        <v>0</v>
      </c>
      <c r="Q99" s="12">
        <f>_xll.DBRW($B$1,Q$65,Cons_Region!Q$15,$M$1,Cons_Region!$H$12,Cons_Region!$C$12,$N$1,$A99,$L$1,$K$1)</f>
        <v>0</v>
      </c>
      <c r="R99" s="12">
        <f>_xll.DBRW($B$1,R$65,Cons_Region!R$15,$M$1,Cons_Region!$H$12,Cons_Region!$C$12,$N$1,$A99,$L$1,$K$1)</f>
        <v>0</v>
      </c>
      <c r="S99" s="12">
        <f>_xll.DBRW($B$1,S$65,Cons_Region!S$15,$M$1,Cons_Region!$H$12,Cons_Region!$C$12,$N$1,$A99,$L$1,$K$1)</f>
        <v>0</v>
      </c>
    </row>
    <row r="100" spans="1:19" s="29" customFormat="1" ht="15.75" customHeight="1">
      <c r="A100" s="69" t="s">
        <v>419</v>
      </c>
      <c r="B100" s="13" t="s">
        <v>263</v>
      </c>
      <c r="C100" s="12">
        <f>_xll.DBRW($B$1,Cons_Region!$F$12,Cons_Region!C$15,$M$1,Cons_Region!$H$12,Cons_Region!$C$12,$N$1,$A100,$L$1,$K$1)</f>
        <v>0</v>
      </c>
      <c r="D100" s="12">
        <f>_xll.DBRW($B$1,Cons_Region!$F$12,Cons_Region!D$15,$M$1,Cons_Region!$H$12,Cons_Region!$C$12,$N$1,$A100,$L$1,$K$1)</f>
        <v>2.2722000000000002</v>
      </c>
      <c r="E100" s="12">
        <f>_xll.DBRW($B$1,Cons_Region!$F$12,Cons_Region!E$15,$M$1,Cons_Region!$H$12,Cons_Region!$C$12,$N$1,$A100,$L$1,$K$1)</f>
        <v>1.9215</v>
      </c>
      <c r="F100" s="12">
        <f>_xll.DBRW($B$1,Cons_Region!$F$12,Cons_Region!F$15,$M$1,Cons_Region!$H$12,Cons_Region!$C$12,$N$1,$A100,$L$1,$K$1)</f>
        <v>1.9738</v>
      </c>
      <c r="G100" s="12">
        <f>_xll.DBRW($B$1,Cons_Region!$F$12,Cons_Region!G$15,$M$1,Cons_Region!$H$12,Cons_Region!$C$12,$N$1,$A100,$L$1,$K$1)</f>
        <v>1.8309</v>
      </c>
      <c r="H100" s="12">
        <f>_xll.DBRW($B$1,Cons_Region!$F$12,Cons_Region!H$15,$M$1,Cons_Region!$H$12,Cons_Region!$C$12,$N$1,$A100,$L$1,$K$1)</f>
        <v>1.4998</v>
      </c>
      <c r="I100" s="12">
        <f>_xll.DBRW($B$1,Cons_Region!$F$12,Cons_Region!I$15,$M$1,Cons_Region!$H$12,Cons_Region!$C$12,$N$1,$A100,$L$1,$K$1)</f>
        <v>1.3398000000000001</v>
      </c>
      <c r="J100" s="12">
        <f>_xll.DBRW($B$1,Cons_Region!$F$12,Cons_Region!J$15,$M$1,Cons_Region!$H$12,Cons_Region!$C$12,$N$1,$A100,$L$1,$K$1)</f>
        <v>1.2502</v>
      </c>
      <c r="K100" s="12">
        <f>_xll.DBRW($B$1,Cons_Region!$F$12,Cons_Region!K$15,$M$1,Cons_Region!$H$12,Cons_Region!$C$12,$N$1,$A100,$L$1,$K$1)</f>
        <v>1.1404000000000001</v>
      </c>
      <c r="L100" s="12">
        <f>_xll.DBRW($B$1,Cons_Region!$F$12,Cons_Region!L$15,$M$1,Cons_Region!$H$12,Cons_Region!$C$12,$N$1,$A100,$L$1,$K$1)</f>
        <v>1.1912</v>
      </c>
      <c r="M100" s="12">
        <f>_xll.DBRW($B$1,Cons_Region!$F$12,Cons_Region!M$15,$M$1,Cons_Region!$H$12,Cons_Region!$C$12,$N$1,$A100,$L$1,$K$1)</f>
        <v>1.1486000000000001</v>
      </c>
      <c r="N100" s="12">
        <f>_xll.DBRW($B$1,Cons_Region!$F$12,Cons_Region!N$15,$M$1,Cons_Region!$H$12,Cons_Region!$C$12,$N$1,$A100,$L$1,$K$1)</f>
        <v>0</v>
      </c>
      <c r="O100" s="12">
        <f>_xll.DBRW($B$1,O$65,Cons_Region!O$15,$M$1,Cons_Region!$H$12,Cons_Region!$C$12,$N$1,$A100,$L$1,$K$1)</f>
        <v>0</v>
      </c>
      <c r="P100" s="12">
        <f>_xll.DBRW($B$1,P$65,Cons_Region!P$15,$M$1,Cons_Region!$H$12,Cons_Region!$C$12,$N$1,$A100,$L$1,$K$1)</f>
        <v>0</v>
      </c>
      <c r="Q100" s="12">
        <f>_xll.DBRW($B$1,Q$65,Cons_Region!Q$15,$M$1,Cons_Region!$H$12,Cons_Region!$C$12,$N$1,$A100,$L$1,$K$1)</f>
        <v>0</v>
      </c>
      <c r="R100" s="12">
        <f>_xll.DBRW($B$1,R$65,Cons_Region!R$15,$M$1,Cons_Region!$H$12,Cons_Region!$C$12,$N$1,$A100,$L$1,$K$1)</f>
        <v>0</v>
      </c>
      <c r="S100" s="12">
        <f>_xll.DBRW($B$1,S$65,Cons_Region!S$15,$M$1,Cons_Region!$H$12,Cons_Region!$C$12,$N$1,$A100,$L$1,$K$1)</f>
        <v>0</v>
      </c>
    </row>
    <row r="101" spans="1:19" ht="15.75" customHeight="1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spans="1:19" s="29" customFormat="1" ht="15.75" customHeight="1">
      <c r="A102" s="69"/>
      <c r="B102" s="27" t="s">
        <v>66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1:19" ht="15.75" customHeight="1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80">
        <f>$F$12+1</f>
        <v>2027</v>
      </c>
      <c r="P103" s="80">
        <f>$F$12+2</f>
        <v>2028</v>
      </c>
      <c r="Q103" s="80">
        <f>$F$12+3</f>
        <v>2029</v>
      </c>
      <c r="R103" s="80">
        <f>$F$12+4</f>
        <v>2030</v>
      </c>
      <c r="S103" s="80">
        <f>$F$12+5</f>
        <v>2031</v>
      </c>
    </row>
    <row r="104" spans="1:19" s="29" customFormat="1" ht="15.75" customHeight="1">
      <c r="A104" s="69"/>
      <c r="B104" s="22"/>
      <c r="C104" s="23" t="str">
        <f t="shared" ref="C104:N104" si="8">$F$12&amp;"."&amp;C$15</f>
        <v>2026.01</v>
      </c>
      <c r="D104" s="23" t="str">
        <f t="shared" si="8"/>
        <v>2026.02</v>
      </c>
      <c r="E104" s="23" t="str">
        <f t="shared" si="8"/>
        <v>2026.03</v>
      </c>
      <c r="F104" s="23" t="str">
        <f t="shared" si="8"/>
        <v>2026.04</v>
      </c>
      <c r="G104" s="23" t="str">
        <f t="shared" si="8"/>
        <v>2026.05</v>
      </c>
      <c r="H104" s="23" t="str">
        <f t="shared" si="8"/>
        <v>2026.06</v>
      </c>
      <c r="I104" s="23" t="str">
        <f t="shared" si="8"/>
        <v>2026.07</v>
      </c>
      <c r="J104" s="23" t="str">
        <f t="shared" si="8"/>
        <v>2026.08</v>
      </c>
      <c r="K104" s="23" t="str">
        <f t="shared" si="8"/>
        <v>2026.09</v>
      </c>
      <c r="L104" s="23" t="str">
        <f t="shared" si="8"/>
        <v>2026.10</v>
      </c>
      <c r="M104" s="23" t="str">
        <f t="shared" si="8"/>
        <v>2026.11</v>
      </c>
      <c r="N104" s="23" t="str">
        <f t="shared" si="8"/>
        <v>2026.12</v>
      </c>
      <c r="O104" s="23" t="s">
        <v>304</v>
      </c>
      <c r="P104" s="23" t="s">
        <v>304</v>
      </c>
      <c r="Q104" s="23" t="s">
        <v>304</v>
      </c>
      <c r="R104" s="23" t="s">
        <v>304</v>
      </c>
      <c r="S104" s="23" t="s">
        <v>304</v>
      </c>
    </row>
    <row r="105" spans="1:19" s="29" customFormat="1" ht="15.75" customHeight="1">
      <c r="A105" s="69" t="s">
        <v>420</v>
      </c>
      <c r="B105" s="13" t="s">
        <v>67</v>
      </c>
      <c r="C105" s="12">
        <f>_xll.DBRW($B$1,Cons_Region!$F$12,Cons_Region!C$15,$M$1,Cons_Region!$H$12,Cons_Region!$C$12,$N$1,$A105,$L$1,$K$1)</f>
        <v>0</v>
      </c>
      <c r="D105" s="12">
        <f>_xll.DBRW($B$1,Cons_Region!$F$12,Cons_Region!D$15,$M$1,Cons_Region!$H$12,Cons_Region!$C$12,$N$1,$A105,$L$1,$K$1)</f>
        <v>103.2521</v>
      </c>
      <c r="E105" s="12">
        <f>_xll.DBRW($B$1,Cons_Region!$F$12,Cons_Region!E$15,$M$1,Cons_Region!$H$12,Cons_Region!$C$12,$N$1,$A105,$L$1,$K$1)</f>
        <v>105.2088</v>
      </c>
      <c r="F105" s="12">
        <f>_xll.DBRW($B$1,Cons_Region!$F$12,Cons_Region!F$15,$M$1,Cons_Region!$H$12,Cons_Region!$C$12,$N$1,$A105,$L$1,$K$1)</f>
        <v>123.7089</v>
      </c>
      <c r="G105" s="12">
        <f>_xll.DBRW($B$1,Cons_Region!$F$12,Cons_Region!G$15,$M$1,Cons_Region!$H$12,Cons_Region!$C$12,$N$1,$A105,$L$1,$K$1)</f>
        <v>127.7015</v>
      </c>
      <c r="H105" s="12">
        <f>_xll.DBRW($B$1,Cons_Region!$F$12,Cons_Region!H$15,$M$1,Cons_Region!$H$12,Cons_Region!$C$12,$N$1,$A105,$L$1,$K$1)</f>
        <v>125.3896</v>
      </c>
      <c r="I105" s="12">
        <f>_xll.DBRW($B$1,Cons_Region!$F$12,Cons_Region!I$15,$M$1,Cons_Region!$H$12,Cons_Region!$C$12,$N$1,$A105,$L$1,$K$1)</f>
        <v>118.1795</v>
      </c>
      <c r="J105" s="12">
        <f>_xll.DBRW($B$1,Cons_Region!$F$12,Cons_Region!J$15,$M$1,Cons_Region!$H$12,Cons_Region!$C$12,$N$1,$A105,$L$1,$K$1)</f>
        <v>110.27679999999999</v>
      </c>
      <c r="K105" s="12">
        <f>_xll.DBRW($B$1,Cons_Region!$F$12,Cons_Region!K$15,$M$1,Cons_Region!$H$12,Cons_Region!$C$12,$N$1,$A105,$L$1,$K$1)</f>
        <v>110.82689999999999</v>
      </c>
      <c r="L105" s="12">
        <f>_xll.DBRW($B$1,Cons_Region!$F$12,Cons_Region!L$15,$M$1,Cons_Region!$H$12,Cons_Region!$C$12,$N$1,$A105,$L$1,$K$1)</f>
        <v>123.54810000000001</v>
      </c>
      <c r="M105" s="12">
        <f>_xll.DBRW($B$1,Cons_Region!$F$12,Cons_Region!M$15,$M$1,Cons_Region!$H$12,Cons_Region!$C$12,$N$1,$A105,$L$1,$K$1)</f>
        <v>133.27180000000001</v>
      </c>
      <c r="N105" s="12">
        <f>_xll.DBRW($B$1,Cons_Region!$F$12,Cons_Region!N$15,$M$1,Cons_Region!$H$12,Cons_Region!$C$12,$N$1,$A105,$L$1,$K$1)</f>
        <v>0</v>
      </c>
      <c r="O105" s="12">
        <f>_xll.DBRW($B$1,O$65,Cons_Region!O$15,$M$1,Cons_Region!$H$12,Cons_Region!$C$12,$N$1,$A105,$L$1,$K$1)</f>
        <v>0</v>
      </c>
      <c r="P105" s="12">
        <f>_xll.DBRW($B$1,P$65,Cons_Region!P$15,$M$1,Cons_Region!$H$12,Cons_Region!$C$12,$N$1,$A105,$L$1,$K$1)</f>
        <v>0</v>
      </c>
      <c r="Q105" s="12">
        <f>_xll.DBRW($B$1,Q$65,Cons_Region!Q$15,$M$1,Cons_Region!$H$12,Cons_Region!$C$12,$N$1,$A105,$L$1,$K$1)</f>
        <v>0</v>
      </c>
      <c r="R105" s="12">
        <f>_xll.DBRW($B$1,R$65,Cons_Region!R$15,$M$1,Cons_Region!$H$12,Cons_Region!$C$12,$N$1,$A105,$L$1,$K$1)</f>
        <v>0</v>
      </c>
      <c r="S105" s="12">
        <f>_xll.DBRW($B$1,S$65,Cons_Region!S$15,$M$1,Cons_Region!$H$12,Cons_Region!$C$12,$N$1,$A105,$L$1,$K$1)</f>
        <v>0</v>
      </c>
    </row>
    <row r="106" spans="1:19" s="29" customFormat="1" ht="15.75" customHeight="1">
      <c r="A106" s="69" t="s">
        <v>421</v>
      </c>
      <c r="B106" s="13" t="s">
        <v>86</v>
      </c>
      <c r="C106" s="10">
        <f>_xll.DBRW($B$1,Cons_Region!$F$12,Cons_Region!C$15,$M$1,Cons_Region!$H$12,Cons_Region!$C$12,$N$1,$A106,$L$1,$K$1)</f>
        <v>0</v>
      </c>
      <c r="D106" s="10">
        <f>_xll.DBRW($B$1,Cons_Region!$F$12,Cons_Region!D$15,$M$1,Cons_Region!$H$12,Cons_Region!$C$12,$N$1,$A106,$L$1,$K$1)</f>
        <v>7.9699999999999993E-2</v>
      </c>
      <c r="E106" s="10">
        <f>_xll.DBRW($B$1,Cons_Region!$F$12,Cons_Region!E$15,$M$1,Cons_Region!$H$12,Cons_Region!$C$12,$N$1,$A106,$L$1,$K$1)</f>
        <v>4.6800000000000001E-2</v>
      </c>
      <c r="F106" s="10">
        <f>_xll.DBRW($B$1,Cons_Region!$F$12,Cons_Region!F$15,$M$1,Cons_Region!$H$12,Cons_Region!$C$12,$N$1,$A106,$L$1,$K$1)</f>
        <v>4.3999999999999997E-2</v>
      </c>
      <c r="G106" s="10">
        <f>_xll.DBRW($B$1,Cons_Region!$F$12,Cons_Region!G$15,$M$1,Cons_Region!$H$12,Cons_Region!$C$12,$N$1,$A106,$L$1,$K$1)</f>
        <v>5.6300000000000003E-2</v>
      </c>
      <c r="H106" s="10">
        <f>_xll.DBRW($B$1,Cons_Region!$F$12,Cons_Region!H$15,$M$1,Cons_Region!$H$12,Cons_Region!$C$12,$N$1,$A106,$L$1,$K$1)</f>
        <v>4.9700000000000001E-2</v>
      </c>
      <c r="I106" s="10">
        <f>_xll.DBRW($B$1,Cons_Region!$F$12,Cons_Region!I$15,$M$1,Cons_Region!$H$12,Cons_Region!$C$12,$N$1,$A106,$L$1,$K$1)</f>
        <v>6.8099999999999994E-2</v>
      </c>
      <c r="J106" s="10">
        <f>_xll.DBRW($B$1,Cons_Region!$F$12,Cons_Region!J$15,$M$1,Cons_Region!$H$12,Cons_Region!$C$12,$N$1,$A106,$L$1,$K$1)</f>
        <v>5.5100000000000003E-2</v>
      </c>
      <c r="K106" s="10">
        <f>_xll.DBRW($B$1,Cons_Region!$F$12,Cons_Region!K$15,$M$1,Cons_Region!$H$12,Cons_Region!$C$12,$N$1,$A106,$L$1,$K$1)</f>
        <v>4.1399999999999999E-2</v>
      </c>
      <c r="L106" s="10">
        <f>_xll.DBRW($B$1,Cons_Region!$F$12,Cons_Region!L$15,$M$1,Cons_Region!$H$12,Cons_Region!$C$12,$N$1,$A106,$L$1,$K$1)</f>
        <v>6.1400000000000003E-2</v>
      </c>
      <c r="M106" s="10">
        <f>_xll.DBRW($B$1,Cons_Region!$F$12,Cons_Region!M$15,$M$1,Cons_Region!$H$12,Cons_Region!$C$12,$N$1,$A106,$L$1,$K$1)</f>
        <v>4.0800000000000003E-2</v>
      </c>
      <c r="N106" s="10">
        <f>_xll.DBRW($B$1,Cons_Region!$F$12,Cons_Region!N$15,$M$1,Cons_Region!$H$12,Cons_Region!$C$12,$N$1,$A106,$L$1,$K$1)</f>
        <v>0</v>
      </c>
      <c r="O106" s="10">
        <f>_xll.DBRW($B$1,O$65,Cons_Region!O$15,$M$1,Cons_Region!$H$12,Cons_Region!$C$12,$N$1,$A106,$L$1,$K$1)</f>
        <v>0</v>
      </c>
      <c r="P106" s="10">
        <f>_xll.DBRW($B$1,P$65,Cons_Region!P$15,$M$1,Cons_Region!$H$12,Cons_Region!$C$12,$N$1,$A106,$L$1,$K$1)</f>
        <v>0</v>
      </c>
      <c r="Q106" s="10">
        <f>_xll.DBRW($B$1,Q$65,Cons_Region!Q$15,$M$1,Cons_Region!$H$12,Cons_Region!$C$12,$N$1,$A106,$L$1,$K$1)</f>
        <v>0</v>
      </c>
      <c r="R106" s="10">
        <f>_xll.DBRW($B$1,R$65,Cons_Region!R$15,$M$1,Cons_Region!$H$12,Cons_Region!$C$12,$N$1,$A106,$L$1,$K$1)</f>
        <v>0</v>
      </c>
      <c r="S106" s="10">
        <f>_xll.DBRW($B$1,S$65,Cons_Region!S$15,$M$1,Cons_Region!$H$12,Cons_Region!$C$12,$N$1,$A106,$L$1,$K$1)</f>
        <v>0</v>
      </c>
    </row>
    <row r="107" spans="1:19" s="29" customFormat="1" ht="15.75" customHeight="1">
      <c r="A107" s="69" t="s">
        <v>422</v>
      </c>
      <c r="B107" s="13" t="s">
        <v>87</v>
      </c>
      <c r="C107" s="12">
        <f>_xll.DBRW($B$1,Cons_Region!$F$12,Cons_Region!C$15,$M$1,Cons_Region!$H$12,Cons_Region!$C$12,$N$1,$A107,$L$1,$K$1)</f>
        <v>0</v>
      </c>
      <c r="D107" s="12">
        <f>_xll.DBRW($B$1,Cons_Region!$F$12,Cons_Region!D$15,$M$1,Cons_Region!$H$12,Cons_Region!$C$12,$N$1,$A107,$L$1,$K$1)</f>
        <v>0</v>
      </c>
      <c r="E107" s="12">
        <f>_xll.DBRW($B$1,Cons_Region!$F$12,Cons_Region!E$15,$M$1,Cons_Region!$H$12,Cons_Region!$C$12,$N$1,$A107,$L$1,$K$1)</f>
        <v>0</v>
      </c>
      <c r="F107" s="12">
        <f>_xll.DBRW($B$1,Cons_Region!$F$12,Cons_Region!F$15,$M$1,Cons_Region!$H$12,Cons_Region!$C$12,$N$1,$A107,$L$1,$K$1)</f>
        <v>0</v>
      </c>
      <c r="G107" s="12">
        <f>_xll.DBRW($B$1,Cons_Region!$F$12,Cons_Region!G$15,$M$1,Cons_Region!$H$12,Cons_Region!$C$12,$N$1,$A107,$L$1,$K$1)</f>
        <v>0</v>
      </c>
      <c r="H107" s="12">
        <f>_xll.DBRW($B$1,Cons_Region!$F$12,Cons_Region!H$15,$M$1,Cons_Region!$H$12,Cons_Region!$C$12,$N$1,$A107,$L$1,$K$1)</f>
        <v>0</v>
      </c>
      <c r="I107" s="12">
        <f>_xll.DBRW($B$1,Cons_Region!$F$12,Cons_Region!I$15,$M$1,Cons_Region!$H$12,Cons_Region!$C$12,$N$1,$A107,$L$1,$K$1)</f>
        <v>0</v>
      </c>
      <c r="J107" s="12">
        <f>_xll.DBRW($B$1,Cons_Region!$F$12,Cons_Region!J$15,$M$1,Cons_Region!$H$12,Cons_Region!$C$12,$N$1,$A107,$L$1,$K$1)</f>
        <v>0</v>
      </c>
      <c r="K107" s="12">
        <f>_xll.DBRW($B$1,Cons_Region!$F$12,Cons_Region!K$15,$M$1,Cons_Region!$H$12,Cons_Region!$C$12,$N$1,$A107,$L$1,$K$1)</f>
        <v>0</v>
      </c>
      <c r="L107" s="12">
        <f>_xll.DBRW($B$1,Cons_Region!$F$12,Cons_Region!L$15,$M$1,Cons_Region!$H$12,Cons_Region!$C$12,$N$1,$A107,$L$1,$K$1)</f>
        <v>0</v>
      </c>
      <c r="M107" s="12">
        <f>_xll.DBRW($B$1,Cons_Region!$F$12,Cons_Region!M$15,$M$1,Cons_Region!$H$12,Cons_Region!$C$12,$N$1,$A107,$L$1,$K$1)</f>
        <v>0</v>
      </c>
      <c r="N107" s="12">
        <f>_xll.DBRW($B$1,Cons_Region!$F$12,Cons_Region!N$15,$M$1,Cons_Region!$H$12,Cons_Region!$C$12,$N$1,$A107,$L$1,$K$1)</f>
        <v>0</v>
      </c>
      <c r="O107" s="12">
        <f>_xll.DBRW($B$1,O$65,Cons_Region!O$15,$M$1,Cons_Region!$H$12,Cons_Region!$C$12,$N$1,$A107,$L$1,$K$1)</f>
        <v>0</v>
      </c>
      <c r="P107" s="12">
        <f>_xll.DBRW($B$1,P$65,Cons_Region!P$15,$M$1,Cons_Region!$H$12,Cons_Region!$C$12,$N$1,$A107,$L$1,$K$1)</f>
        <v>0</v>
      </c>
      <c r="Q107" s="12">
        <f>_xll.DBRW($B$1,Q$65,Cons_Region!Q$15,$M$1,Cons_Region!$H$12,Cons_Region!$C$12,$N$1,$A107,$L$1,$K$1)</f>
        <v>0</v>
      </c>
      <c r="R107" s="12">
        <f>_xll.DBRW($B$1,R$65,Cons_Region!R$15,$M$1,Cons_Region!$H$12,Cons_Region!$C$12,$N$1,$A107,$L$1,$K$1)</f>
        <v>0</v>
      </c>
      <c r="S107" s="12">
        <f>_xll.DBRW($B$1,S$65,Cons_Region!S$15,$M$1,Cons_Region!$H$12,Cons_Region!$C$12,$N$1,$A107,$L$1,$K$1)</f>
        <v>0</v>
      </c>
    </row>
    <row r="108" spans="1:19" s="29" customFormat="1" ht="15.75" customHeight="1">
      <c r="A108" s="69" t="s">
        <v>423</v>
      </c>
      <c r="B108" s="13" t="s">
        <v>88</v>
      </c>
      <c r="C108" s="12">
        <f>_xll.DBRW($B$1,Cons_Region!$F$12,Cons_Region!C$15,$M$1,Cons_Region!$H$12,Cons_Region!$C$12,$N$1,$A108,$L$1,$K$1)</f>
        <v>0</v>
      </c>
      <c r="D108" s="12">
        <f>_xll.DBRW($B$1,Cons_Region!$F$12,Cons_Region!D$15,$M$1,Cons_Region!$H$12,Cons_Region!$C$12,$N$1,$A108,$L$1,$K$1)</f>
        <v>11.0928</v>
      </c>
      <c r="E108" s="12">
        <f>_xll.DBRW($B$1,Cons_Region!$F$12,Cons_Region!E$15,$M$1,Cons_Region!$H$12,Cons_Region!$C$12,$N$1,$A108,$L$1,$K$1)</f>
        <v>11.341200000000001</v>
      </c>
      <c r="F108" s="12">
        <f>_xll.DBRW($B$1,Cons_Region!$F$12,Cons_Region!F$15,$M$1,Cons_Region!$H$12,Cons_Region!$C$12,$N$1,$A108,$L$1,$K$1)</f>
        <v>13.398400000000001</v>
      </c>
      <c r="G108" s="12">
        <f>_xll.DBRW($B$1,Cons_Region!$F$12,Cons_Region!G$15,$M$1,Cons_Region!$H$12,Cons_Region!$C$12,$N$1,$A108,$L$1,$K$1)</f>
        <v>14.489699999999999</v>
      </c>
      <c r="H108" s="12">
        <f>_xll.DBRW($B$1,Cons_Region!$F$12,Cons_Region!H$15,$M$1,Cons_Region!$H$12,Cons_Region!$C$12,$N$1,$A108,$L$1,$K$1)</f>
        <v>16.063500000000001</v>
      </c>
      <c r="I108" s="12">
        <f>_xll.DBRW($B$1,Cons_Region!$F$12,Cons_Region!I$15,$M$1,Cons_Region!$H$12,Cons_Region!$C$12,$N$1,$A108,$L$1,$K$1)</f>
        <v>15.012</v>
      </c>
      <c r="J108" s="12">
        <f>_xll.DBRW($B$1,Cons_Region!$F$12,Cons_Region!J$15,$M$1,Cons_Region!$H$12,Cons_Region!$C$12,$N$1,$A108,$L$1,$K$1)</f>
        <v>15.8001</v>
      </c>
      <c r="K108" s="12">
        <f>_xll.DBRW($B$1,Cons_Region!$F$12,Cons_Region!K$15,$M$1,Cons_Region!$H$12,Cons_Region!$C$12,$N$1,$A108,$L$1,$K$1)</f>
        <v>16.711500000000001</v>
      </c>
      <c r="L108" s="12">
        <f>_xll.DBRW($B$1,Cons_Region!$F$12,Cons_Region!L$15,$M$1,Cons_Region!$H$12,Cons_Region!$C$12,$N$1,$A108,$L$1,$K$1)</f>
        <v>19.5244</v>
      </c>
      <c r="M108" s="12">
        <f>_xll.DBRW($B$1,Cons_Region!$F$12,Cons_Region!M$15,$M$1,Cons_Region!$H$12,Cons_Region!$C$12,$N$1,$A108,$L$1,$K$1)</f>
        <v>19.849499999999999</v>
      </c>
      <c r="N108" s="12">
        <f>_xll.DBRW($B$1,Cons_Region!$F$12,Cons_Region!N$15,$M$1,Cons_Region!$H$12,Cons_Region!$C$12,$N$1,$A108,$L$1,$K$1)</f>
        <v>0</v>
      </c>
      <c r="O108" s="12">
        <f>_xll.DBRW($B$1,O$65,Cons_Region!O$15,$M$1,Cons_Region!$H$12,Cons_Region!$C$12,$N$1,$A108,$L$1,$K$1)</f>
        <v>0</v>
      </c>
      <c r="P108" s="12">
        <f>_xll.DBRW($B$1,P$65,Cons_Region!P$15,$M$1,Cons_Region!$H$12,Cons_Region!$C$12,$N$1,$A108,$L$1,$K$1)</f>
        <v>0</v>
      </c>
      <c r="Q108" s="12">
        <f>_xll.DBRW($B$1,Q$65,Cons_Region!Q$15,$M$1,Cons_Region!$H$12,Cons_Region!$C$12,$N$1,$A108,$L$1,$K$1)</f>
        <v>0</v>
      </c>
      <c r="R108" s="12">
        <f>_xll.DBRW($B$1,R$65,Cons_Region!R$15,$M$1,Cons_Region!$H$12,Cons_Region!$C$12,$N$1,$A108,$L$1,$K$1)</f>
        <v>0</v>
      </c>
      <c r="S108" s="12">
        <f>_xll.DBRW($B$1,S$65,Cons_Region!S$15,$M$1,Cons_Region!$H$12,Cons_Region!$C$12,$N$1,$A108,$L$1,$K$1)</f>
        <v>0</v>
      </c>
    </row>
    <row r="109" spans="1:19" ht="15.75" customHeight="1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</row>
    <row r="110" spans="1:19" s="29" customFormat="1" ht="15.75" customHeight="1" thickBot="1">
      <c r="A110" s="69"/>
      <c r="B110" s="1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</row>
    <row r="111" spans="1:19" s="29" customFormat="1" ht="15.75" customHeight="1" thickTop="1">
      <c r="A111" s="69"/>
      <c r="B111" s="27" t="s">
        <v>68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</row>
    <row r="112" spans="1:19" ht="15.75" customHeight="1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80">
        <f>$F$12+1</f>
        <v>2027</v>
      </c>
      <c r="P112" s="80">
        <f>$F$12+2</f>
        <v>2028</v>
      </c>
      <c r="Q112" s="80">
        <f>$F$12+3</f>
        <v>2029</v>
      </c>
      <c r="R112" s="80">
        <f>$F$12+4</f>
        <v>2030</v>
      </c>
      <c r="S112" s="80">
        <f>$F$12+5</f>
        <v>2031</v>
      </c>
    </row>
    <row r="113" spans="1:19" s="29" customFormat="1" ht="15.75" customHeight="1">
      <c r="A113" s="69"/>
      <c r="B113" s="22"/>
      <c r="C113" s="23" t="str">
        <f t="shared" ref="C113:N113" si="9">$F$12&amp;"."&amp;C$15</f>
        <v>2026.01</v>
      </c>
      <c r="D113" s="23" t="str">
        <f t="shared" si="9"/>
        <v>2026.02</v>
      </c>
      <c r="E113" s="23" t="str">
        <f t="shared" si="9"/>
        <v>2026.03</v>
      </c>
      <c r="F113" s="23" t="str">
        <f t="shared" si="9"/>
        <v>2026.04</v>
      </c>
      <c r="G113" s="23" t="str">
        <f t="shared" si="9"/>
        <v>2026.05</v>
      </c>
      <c r="H113" s="23" t="str">
        <f t="shared" si="9"/>
        <v>2026.06</v>
      </c>
      <c r="I113" s="23" t="str">
        <f t="shared" si="9"/>
        <v>2026.07</v>
      </c>
      <c r="J113" s="23" t="str">
        <f t="shared" si="9"/>
        <v>2026.08</v>
      </c>
      <c r="K113" s="23" t="str">
        <f t="shared" si="9"/>
        <v>2026.09</v>
      </c>
      <c r="L113" s="23" t="str">
        <f t="shared" si="9"/>
        <v>2026.10</v>
      </c>
      <c r="M113" s="23" t="str">
        <f t="shared" si="9"/>
        <v>2026.11</v>
      </c>
      <c r="N113" s="23" t="str">
        <f t="shared" si="9"/>
        <v>2026.12</v>
      </c>
      <c r="O113" s="23" t="s">
        <v>304</v>
      </c>
      <c r="P113" s="23" t="s">
        <v>304</v>
      </c>
      <c r="Q113" s="23" t="s">
        <v>304</v>
      </c>
      <c r="R113" s="23" t="s">
        <v>304</v>
      </c>
      <c r="S113" s="23" t="s">
        <v>304</v>
      </c>
    </row>
    <row r="114" spans="1:19" s="29" customFormat="1" ht="15.75" customHeight="1">
      <c r="A114" s="69" t="s">
        <v>425</v>
      </c>
      <c r="B114" s="15" t="s">
        <v>290</v>
      </c>
      <c r="C114" s="20">
        <f>_xll.DBRW($C$3,Cons_Region!$F$12,Cons_Region!C$15,$M$1,Cons_Region!$H$12,Cons_Region!$C$12,$A114,$K$1)</f>
        <v>0</v>
      </c>
      <c r="D114" s="20">
        <f>_xll.DBRW($C$3,Cons_Region!$F$12,Cons_Region!D$15,$M$1,Cons_Region!$H$12,Cons_Region!$C$12,$A114,$K$1)</f>
        <v>3110.2419909701839</v>
      </c>
      <c r="E114" s="20">
        <f>_xll.DBRW($C$3,Cons_Region!$F$12,Cons_Region!E$15,$M$1,Cons_Region!$H$12,Cons_Region!$C$12,$A114,$K$1)</f>
        <v>3218.5980375284962</v>
      </c>
      <c r="F114" s="20">
        <f>_xll.DBRW($C$3,Cons_Region!$F$12,Cons_Region!F$15,$M$1,Cons_Region!$H$12,Cons_Region!$C$12,$A114,$K$1)</f>
        <v>3085.8621732129482</v>
      </c>
      <c r="G114" s="20">
        <f>_xll.DBRW($C$3,Cons_Region!$F$12,Cons_Region!G$15,$M$1,Cons_Region!$H$12,Cons_Region!$C$12,$A114,$K$1)</f>
        <v>3122.2740959210014</v>
      </c>
      <c r="H114" s="20">
        <f>_xll.DBRW($C$3,Cons_Region!$F$12,Cons_Region!H$15,$M$1,Cons_Region!$H$12,Cons_Region!$C$12,$A114,$K$1)</f>
        <v>3174.4747080054913</v>
      </c>
      <c r="I114" s="20">
        <f>_xll.DBRW($C$3,Cons_Region!$F$12,Cons_Region!I$15,$M$1,Cons_Region!$H$12,Cons_Region!$C$12,$A114,$K$1)</f>
        <v>3107.0026687729351</v>
      </c>
      <c r="J114" s="20">
        <f>_xll.DBRW($C$3,Cons_Region!$F$12,Cons_Region!J$15,$M$1,Cons_Region!$H$12,Cons_Region!$C$12,$A114,$K$1)</f>
        <v>3193.8976751173172</v>
      </c>
      <c r="K114" s="20">
        <f>_xll.DBRW($C$3,Cons_Region!$F$12,Cons_Region!K$15,$M$1,Cons_Region!$H$12,Cons_Region!$C$12,$A114,$K$1)</f>
        <v>3169.8434691651778</v>
      </c>
      <c r="L114" s="20">
        <f>_xll.DBRW($C$3,Cons_Region!$F$12,Cons_Region!L$15,$M$1,Cons_Region!$H$12,Cons_Region!$C$12,$A114,$K$1)</f>
        <v>3070.9240288267065</v>
      </c>
      <c r="M114" s="20">
        <f>_xll.DBRW($C$3,Cons_Region!$F$12,Cons_Region!M$15,$M$1,Cons_Region!$H$12,Cons_Region!$C$12,$A114,$K$1)</f>
        <v>3059.8612809522001</v>
      </c>
      <c r="N114" s="20">
        <f>_xll.DBRW($C$3,Cons_Region!$F$12,Cons_Region!N$15,$M$1,Cons_Region!$H$12,Cons_Region!$C$12,$A114,$K$1)</f>
        <v>0</v>
      </c>
      <c r="O114" s="20">
        <f>_xll.DBRW($C$3,O$14,Cons_Region!O$15,$M$1,Cons_Region!$H$12,Cons_Region!$C$12,$A114,$K$1)</f>
        <v>0</v>
      </c>
      <c r="P114" s="20">
        <f>_xll.DBRW($C$3,P$14,Cons_Region!P$15,$M$1,Cons_Region!$H$12,Cons_Region!$C$12,$A114,$K$1)</f>
        <v>0</v>
      </c>
      <c r="Q114" s="20">
        <f>_xll.DBRW($C$3,Q$14,Cons_Region!Q$15,$M$1,Cons_Region!$H$12,Cons_Region!$C$12,$A114,$K$1)</f>
        <v>0</v>
      </c>
      <c r="R114" s="20">
        <f>_xll.DBRW($C$3,R$14,Cons_Region!R$15,$M$1,Cons_Region!$H$12,Cons_Region!$C$12,$A114,$K$1)</f>
        <v>0</v>
      </c>
      <c r="S114" s="20">
        <f>_xll.DBRW($C$3,S$14,Cons_Region!S$15,$M$1,Cons_Region!$H$12,Cons_Region!$C$12,$A114,$K$1)</f>
        <v>0</v>
      </c>
    </row>
    <row r="115" spans="1:19" s="29" customFormat="1" ht="15.75" customHeight="1">
      <c r="A115" s="69" t="s">
        <v>426</v>
      </c>
      <c r="B115" s="15" t="s">
        <v>69</v>
      </c>
      <c r="C115" s="20">
        <f>_xll.DBRW($C$3,Cons_Region!$F$12,Cons_Region!C$15,$M$1,Cons_Region!$H$12,Cons_Region!$C$12,$A115,$K$1)</f>
        <v>0</v>
      </c>
      <c r="D115" s="20">
        <f>_xll.DBRW($C$3,Cons_Region!$F$12,Cons_Region!D$15,$M$1,Cons_Region!$H$12,Cons_Region!$C$12,$A115,$K$1)</f>
        <v>1072.0807198317548</v>
      </c>
      <c r="E115" s="20">
        <f>_xll.DBRW($C$3,Cons_Region!$F$12,Cons_Region!E$15,$M$1,Cons_Region!$H$12,Cons_Region!$C$12,$A115,$K$1)</f>
        <v>1217.0140448859761</v>
      </c>
      <c r="F115" s="20">
        <f>_xll.DBRW($C$3,Cons_Region!$F$12,Cons_Region!F$15,$M$1,Cons_Region!$H$12,Cons_Region!$C$12,$A115,$K$1)</f>
        <v>1116.7239906032046</v>
      </c>
      <c r="G115" s="20">
        <f>_xll.DBRW($C$3,Cons_Region!$F$12,Cons_Region!G$15,$M$1,Cons_Region!$H$12,Cons_Region!$C$12,$A115,$K$1)</f>
        <v>1249.9056188709994</v>
      </c>
      <c r="H115" s="20">
        <f>_xll.DBRW($C$3,Cons_Region!$F$12,Cons_Region!H$15,$M$1,Cons_Region!$H$12,Cons_Region!$C$12,$A115,$K$1)</f>
        <v>1316.6769082965761</v>
      </c>
      <c r="I115" s="20">
        <f>_xll.DBRW($C$3,Cons_Region!$F$12,Cons_Region!I$15,$M$1,Cons_Region!$H$12,Cons_Region!$C$12,$A115,$K$1)</f>
        <v>1294.5213639143749</v>
      </c>
      <c r="J115" s="20">
        <f>_xll.DBRW($C$3,Cons_Region!$F$12,Cons_Region!J$15,$M$1,Cons_Region!$H$12,Cons_Region!$C$12,$A115,$K$1)</f>
        <v>1372.4228550940747</v>
      </c>
      <c r="K115" s="20">
        <f>_xll.DBRW($C$3,Cons_Region!$F$12,Cons_Region!K$15,$M$1,Cons_Region!$H$12,Cons_Region!$C$12,$A115,$K$1)</f>
        <v>1339.2973545077832</v>
      </c>
      <c r="L115" s="20">
        <f>_xll.DBRW($C$3,Cons_Region!$F$12,Cons_Region!L$15,$M$1,Cons_Region!$H$12,Cons_Region!$C$12,$A115,$K$1)</f>
        <v>1262.7215864825289</v>
      </c>
      <c r="M115" s="20">
        <f>_xll.DBRW($C$3,Cons_Region!$F$12,Cons_Region!M$15,$M$1,Cons_Region!$H$12,Cons_Region!$C$12,$A115,$K$1)</f>
        <v>1253.7317636862299</v>
      </c>
      <c r="N115" s="20">
        <f>_xll.DBRW($C$3,Cons_Region!$F$12,Cons_Region!N$15,$M$1,Cons_Region!$H$12,Cons_Region!$C$12,$A115,$K$1)</f>
        <v>0</v>
      </c>
      <c r="O115" s="20">
        <f>_xll.DBRW($C$3,O$14,Cons_Region!O$15,$M$1,Cons_Region!$H$12,Cons_Region!$C$12,$A115,$K$1)</f>
        <v>0</v>
      </c>
      <c r="P115" s="20">
        <f>_xll.DBRW($C$3,P$14,Cons_Region!P$15,$M$1,Cons_Region!$H$12,Cons_Region!$C$12,$A115,$K$1)</f>
        <v>0</v>
      </c>
      <c r="Q115" s="20">
        <f>_xll.DBRW($C$3,Q$14,Cons_Region!Q$15,$M$1,Cons_Region!$H$12,Cons_Region!$C$12,$A115,$K$1)</f>
        <v>0</v>
      </c>
      <c r="R115" s="20">
        <f>_xll.DBRW($C$3,R$14,Cons_Region!R$15,$M$1,Cons_Region!$H$12,Cons_Region!$C$12,$A115,$K$1)</f>
        <v>0</v>
      </c>
      <c r="S115" s="20">
        <f>_xll.DBRW($C$3,S$14,Cons_Region!S$15,$M$1,Cons_Region!$H$12,Cons_Region!$C$12,$A115,$K$1)</f>
        <v>0</v>
      </c>
    </row>
    <row r="116" spans="1:19" s="29" customFormat="1" ht="15.75" customHeight="1">
      <c r="A116" s="69" t="s">
        <v>427</v>
      </c>
      <c r="B116" s="15" t="s">
        <v>70</v>
      </c>
      <c r="C116" s="20">
        <f>_xll.DBRW($C$3,Cons_Region!$F$12,Cons_Region!C$15,$M$1,Cons_Region!$H$12,Cons_Region!$C$12,$A116,$K$1)</f>
        <v>0</v>
      </c>
      <c r="D116" s="20">
        <f>_xll.DBRW($C$3,Cons_Region!$F$12,Cons_Region!D$15,$M$1,Cons_Region!$H$12,Cons_Region!$C$12,$A116,$K$1)</f>
        <v>0</v>
      </c>
      <c r="E116" s="20">
        <f>_xll.DBRW($C$3,Cons_Region!$F$12,Cons_Region!E$15,$M$1,Cons_Region!$H$12,Cons_Region!$C$12,$A116,$K$1)</f>
        <v>0</v>
      </c>
      <c r="F116" s="20">
        <f>_xll.DBRW($C$3,Cons_Region!$F$12,Cons_Region!F$15,$M$1,Cons_Region!$H$12,Cons_Region!$C$12,$A116,$K$1)</f>
        <v>0</v>
      </c>
      <c r="G116" s="20">
        <f>_xll.DBRW($C$3,Cons_Region!$F$12,Cons_Region!G$15,$M$1,Cons_Region!$H$12,Cons_Region!$C$12,$A116,$K$1)</f>
        <v>0</v>
      </c>
      <c r="H116" s="20">
        <f>_xll.DBRW($C$3,Cons_Region!$F$12,Cons_Region!H$15,$M$1,Cons_Region!$H$12,Cons_Region!$C$12,$A116,$K$1)</f>
        <v>0</v>
      </c>
      <c r="I116" s="20">
        <f>_xll.DBRW($C$3,Cons_Region!$F$12,Cons_Region!I$15,$M$1,Cons_Region!$H$12,Cons_Region!$C$12,$A116,$K$1)</f>
        <v>0</v>
      </c>
      <c r="J116" s="20">
        <f>_xll.DBRW($C$3,Cons_Region!$F$12,Cons_Region!J$15,$M$1,Cons_Region!$H$12,Cons_Region!$C$12,$A116,$K$1)</f>
        <v>0</v>
      </c>
      <c r="K116" s="20">
        <f>_xll.DBRW($C$3,Cons_Region!$F$12,Cons_Region!K$15,$M$1,Cons_Region!$H$12,Cons_Region!$C$12,$A116,$K$1)</f>
        <v>0</v>
      </c>
      <c r="L116" s="20">
        <f>_xll.DBRW($C$3,Cons_Region!$F$12,Cons_Region!L$15,$M$1,Cons_Region!$H$12,Cons_Region!$C$12,$A116,$K$1)</f>
        <v>0</v>
      </c>
      <c r="M116" s="20">
        <f>_xll.DBRW($C$3,Cons_Region!$F$12,Cons_Region!M$15,$M$1,Cons_Region!$H$12,Cons_Region!$C$12,$A116,$K$1)</f>
        <v>0</v>
      </c>
      <c r="N116" s="20">
        <f>_xll.DBRW($C$3,Cons_Region!$F$12,Cons_Region!N$15,$M$1,Cons_Region!$H$12,Cons_Region!$C$12,$A116,$K$1)</f>
        <v>0</v>
      </c>
      <c r="O116" s="20">
        <f>_xll.DBRW($C$3,O$14,Cons_Region!O$15,$M$1,Cons_Region!$H$12,Cons_Region!$C$12,$A116,$K$1)</f>
        <v>0</v>
      </c>
      <c r="P116" s="20">
        <f>_xll.DBRW($C$3,P$14,Cons_Region!P$15,$M$1,Cons_Region!$H$12,Cons_Region!$C$12,$A116,$K$1)</f>
        <v>0</v>
      </c>
      <c r="Q116" s="20">
        <f>_xll.DBRW($C$3,Q$14,Cons_Region!Q$15,$M$1,Cons_Region!$H$12,Cons_Region!$C$12,$A116,$K$1)</f>
        <v>0</v>
      </c>
      <c r="R116" s="20">
        <f>_xll.DBRW($C$3,R$14,Cons_Region!R$15,$M$1,Cons_Region!$H$12,Cons_Region!$C$12,$A116,$K$1)</f>
        <v>0</v>
      </c>
      <c r="S116" s="20">
        <f>_xll.DBRW($C$3,S$14,Cons_Region!S$15,$M$1,Cons_Region!$H$12,Cons_Region!$C$12,$A116,$K$1)</f>
        <v>0</v>
      </c>
    </row>
    <row r="117" spans="1:19" s="29" customFormat="1" ht="15.75" customHeight="1">
      <c r="A117" s="69" t="s">
        <v>428</v>
      </c>
      <c r="B117" s="15" t="s">
        <v>71</v>
      </c>
      <c r="C117" s="20">
        <f>_xll.DBRW($C$3,Cons_Region!$F$12,Cons_Region!C$15,$M$1,Cons_Region!$H$12,Cons_Region!$C$12,$A117,$K$1)</f>
        <v>0</v>
      </c>
      <c r="D117" s="20">
        <f>_xll.DBRW($C$3,Cons_Region!$F$12,Cons_Region!D$15,$M$1,Cons_Region!$H$12,Cons_Region!$C$12,$A117,$K$1)</f>
        <v>0</v>
      </c>
      <c r="E117" s="20">
        <f>_xll.DBRW($C$3,Cons_Region!$F$12,Cons_Region!E$15,$M$1,Cons_Region!$H$12,Cons_Region!$C$12,$A117,$K$1)</f>
        <v>0</v>
      </c>
      <c r="F117" s="20">
        <f>_xll.DBRW($C$3,Cons_Region!$F$12,Cons_Region!F$15,$M$1,Cons_Region!$H$12,Cons_Region!$C$12,$A117,$K$1)</f>
        <v>0</v>
      </c>
      <c r="G117" s="20">
        <f>_xll.DBRW($C$3,Cons_Region!$F$12,Cons_Region!G$15,$M$1,Cons_Region!$H$12,Cons_Region!$C$12,$A117,$K$1)</f>
        <v>0</v>
      </c>
      <c r="H117" s="20">
        <f>_xll.DBRW($C$3,Cons_Region!$F$12,Cons_Region!H$15,$M$1,Cons_Region!$H$12,Cons_Region!$C$12,$A117,$K$1)</f>
        <v>0</v>
      </c>
      <c r="I117" s="20">
        <f>_xll.DBRW($C$3,Cons_Region!$F$12,Cons_Region!I$15,$M$1,Cons_Region!$H$12,Cons_Region!$C$12,$A117,$K$1)</f>
        <v>0</v>
      </c>
      <c r="J117" s="20">
        <f>_xll.DBRW($C$3,Cons_Region!$F$12,Cons_Region!J$15,$M$1,Cons_Region!$H$12,Cons_Region!$C$12,$A117,$K$1)</f>
        <v>0</v>
      </c>
      <c r="K117" s="20">
        <f>_xll.DBRW($C$3,Cons_Region!$F$12,Cons_Region!K$15,$M$1,Cons_Region!$H$12,Cons_Region!$C$12,$A117,$K$1)</f>
        <v>0</v>
      </c>
      <c r="L117" s="20">
        <f>_xll.DBRW($C$3,Cons_Region!$F$12,Cons_Region!L$15,$M$1,Cons_Region!$H$12,Cons_Region!$C$12,$A117,$K$1)</f>
        <v>0</v>
      </c>
      <c r="M117" s="20">
        <f>_xll.DBRW($C$3,Cons_Region!$F$12,Cons_Region!M$15,$M$1,Cons_Region!$H$12,Cons_Region!$C$12,$A117,$K$1)</f>
        <v>0</v>
      </c>
      <c r="N117" s="20">
        <f>_xll.DBRW($C$3,Cons_Region!$F$12,Cons_Region!N$15,$M$1,Cons_Region!$H$12,Cons_Region!$C$12,$A117,$K$1)</f>
        <v>0</v>
      </c>
      <c r="O117" s="20">
        <f>_xll.DBRW($C$3,O$14,Cons_Region!O$15,$M$1,Cons_Region!$H$12,Cons_Region!$C$12,$A117,$K$1)</f>
        <v>0</v>
      </c>
      <c r="P117" s="20">
        <f>_xll.DBRW($C$3,P$14,Cons_Region!P$15,$M$1,Cons_Region!$H$12,Cons_Region!$C$12,$A117,$K$1)</f>
        <v>0</v>
      </c>
      <c r="Q117" s="20">
        <f>_xll.DBRW($C$3,Q$14,Cons_Region!Q$15,$M$1,Cons_Region!$H$12,Cons_Region!$C$12,$A117,$K$1)</f>
        <v>0</v>
      </c>
      <c r="R117" s="20">
        <f>_xll.DBRW($C$3,R$14,Cons_Region!R$15,$M$1,Cons_Region!$H$12,Cons_Region!$C$12,$A117,$K$1)</f>
        <v>0</v>
      </c>
      <c r="S117" s="20">
        <f>_xll.DBRW($C$3,S$14,Cons_Region!S$15,$M$1,Cons_Region!$H$12,Cons_Region!$C$12,$A117,$K$1)</f>
        <v>0</v>
      </c>
    </row>
    <row r="118" spans="1:19" s="29" customFormat="1" ht="15.75" customHeight="1">
      <c r="A118" s="69" t="s">
        <v>429</v>
      </c>
      <c r="B118" s="15" t="s">
        <v>72</v>
      </c>
      <c r="C118" s="20">
        <f>_xll.DBRW($C$3,Cons_Region!$F$12,Cons_Region!C$15,$M$1,Cons_Region!$H$12,Cons_Region!$C$12,$A118,$K$1)</f>
        <v>0</v>
      </c>
      <c r="D118" s="20">
        <f>_xll.DBRW($C$3,Cons_Region!$F$12,Cons_Region!D$15,$M$1,Cons_Region!$H$12,Cons_Region!$C$12,$A118,$K$1)</f>
        <v>0</v>
      </c>
      <c r="E118" s="20">
        <f>_xll.DBRW($C$3,Cons_Region!$F$12,Cons_Region!E$15,$M$1,Cons_Region!$H$12,Cons_Region!$C$12,$A118,$K$1)</f>
        <v>0</v>
      </c>
      <c r="F118" s="20">
        <f>_xll.DBRW($C$3,Cons_Region!$F$12,Cons_Region!F$15,$M$1,Cons_Region!$H$12,Cons_Region!$C$12,$A118,$K$1)</f>
        <v>0</v>
      </c>
      <c r="G118" s="20">
        <f>_xll.DBRW($C$3,Cons_Region!$F$12,Cons_Region!G$15,$M$1,Cons_Region!$H$12,Cons_Region!$C$12,$A118,$K$1)</f>
        <v>0</v>
      </c>
      <c r="H118" s="20">
        <f>_xll.DBRW($C$3,Cons_Region!$F$12,Cons_Region!H$15,$M$1,Cons_Region!$H$12,Cons_Region!$C$12,$A118,$K$1)</f>
        <v>0</v>
      </c>
      <c r="I118" s="20">
        <f>_xll.DBRW($C$3,Cons_Region!$F$12,Cons_Region!I$15,$M$1,Cons_Region!$H$12,Cons_Region!$C$12,$A118,$K$1)</f>
        <v>0</v>
      </c>
      <c r="J118" s="20">
        <f>_xll.DBRW($C$3,Cons_Region!$F$12,Cons_Region!J$15,$M$1,Cons_Region!$H$12,Cons_Region!$C$12,$A118,$K$1)</f>
        <v>0</v>
      </c>
      <c r="K118" s="20">
        <f>_xll.DBRW($C$3,Cons_Region!$F$12,Cons_Region!K$15,$M$1,Cons_Region!$H$12,Cons_Region!$C$12,$A118,$K$1)</f>
        <v>0</v>
      </c>
      <c r="L118" s="20">
        <f>_xll.DBRW($C$3,Cons_Region!$F$12,Cons_Region!L$15,$M$1,Cons_Region!$H$12,Cons_Region!$C$12,$A118,$K$1)</f>
        <v>0</v>
      </c>
      <c r="M118" s="20">
        <f>_xll.DBRW($C$3,Cons_Region!$F$12,Cons_Region!M$15,$M$1,Cons_Region!$H$12,Cons_Region!$C$12,$A118,$K$1)</f>
        <v>0</v>
      </c>
      <c r="N118" s="20">
        <f>_xll.DBRW($C$3,Cons_Region!$F$12,Cons_Region!N$15,$M$1,Cons_Region!$H$12,Cons_Region!$C$12,$A118,$K$1)</f>
        <v>0</v>
      </c>
      <c r="O118" s="20">
        <f>_xll.DBRW($C$3,O$14,Cons_Region!O$15,$M$1,Cons_Region!$H$12,Cons_Region!$C$12,$A118,$K$1)</f>
        <v>0</v>
      </c>
      <c r="P118" s="20">
        <f>_xll.DBRW($C$3,P$14,Cons_Region!P$15,$M$1,Cons_Region!$H$12,Cons_Region!$C$12,$A118,$K$1)</f>
        <v>0</v>
      </c>
      <c r="Q118" s="20">
        <f>_xll.DBRW($C$3,Q$14,Cons_Region!Q$15,$M$1,Cons_Region!$H$12,Cons_Region!$C$12,$A118,$K$1)</f>
        <v>0</v>
      </c>
      <c r="R118" s="20">
        <f>_xll.DBRW($C$3,R$14,Cons_Region!R$15,$M$1,Cons_Region!$H$12,Cons_Region!$C$12,$A118,$K$1)</f>
        <v>0</v>
      </c>
      <c r="S118" s="20">
        <f>_xll.DBRW($C$3,S$14,Cons_Region!S$15,$M$1,Cons_Region!$H$12,Cons_Region!$C$12,$A118,$K$1)</f>
        <v>0</v>
      </c>
    </row>
    <row r="119" spans="1:19" s="29" customFormat="1" ht="15.75" customHeight="1">
      <c r="A119" s="69" t="s">
        <v>430</v>
      </c>
      <c r="B119" s="15" t="s">
        <v>258</v>
      </c>
      <c r="C119" s="20">
        <f>_xll.DBRW($C$3,Cons_Region!$F$12,Cons_Region!C$15,$M$1,Cons_Region!$H$12,Cons_Region!$C$12,$A119,$K$1)</f>
        <v>0</v>
      </c>
      <c r="D119" s="20">
        <f>_xll.DBRW($C$3,Cons_Region!$F$12,Cons_Region!D$15,$M$1,Cons_Region!$H$12,Cons_Region!$C$12,$A119,$K$1)</f>
        <v>0</v>
      </c>
      <c r="E119" s="20">
        <f>_xll.DBRW($C$3,Cons_Region!$F$12,Cons_Region!E$15,$M$1,Cons_Region!$H$12,Cons_Region!$C$12,$A119,$K$1)</f>
        <v>0</v>
      </c>
      <c r="F119" s="20">
        <f>_xll.DBRW($C$3,Cons_Region!$F$12,Cons_Region!F$15,$M$1,Cons_Region!$H$12,Cons_Region!$C$12,$A119,$K$1)</f>
        <v>0</v>
      </c>
      <c r="G119" s="20">
        <f>_xll.DBRW($C$3,Cons_Region!$F$12,Cons_Region!G$15,$M$1,Cons_Region!$H$12,Cons_Region!$C$12,$A119,$K$1)</f>
        <v>0</v>
      </c>
      <c r="H119" s="20">
        <f>_xll.DBRW($C$3,Cons_Region!$F$12,Cons_Region!H$15,$M$1,Cons_Region!$H$12,Cons_Region!$C$12,$A119,$K$1)</f>
        <v>0</v>
      </c>
      <c r="I119" s="20">
        <f>_xll.DBRW($C$3,Cons_Region!$F$12,Cons_Region!I$15,$M$1,Cons_Region!$H$12,Cons_Region!$C$12,$A119,$K$1)</f>
        <v>0</v>
      </c>
      <c r="J119" s="20">
        <f>_xll.DBRW($C$3,Cons_Region!$F$12,Cons_Region!J$15,$M$1,Cons_Region!$H$12,Cons_Region!$C$12,$A119,$K$1)</f>
        <v>0</v>
      </c>
      <c r="K119" s="20">
        <f>_xll.DBRW($C$3,Cons_Region!$F$12,Cons_Region!K$15,$M$1,Cons_Region!$H$12,Cons_Region!$C$12,$A119,$K$1)</f>
        <v>0</v>
      </c>
      <c r="L119" s="20">
        <f>_xll.DBRW($C$3,Cons_Region!$F$12,Cons_Region!L$15,$M$1,Cons_Region!$H$12,Cons_Region!$C$12,$A119,$K$1)</f>
        <v>0</v>
      </c>
      <c r="M119" s="20">
        <f>_xll.DBRW($C$3,Cons_Region!$F$12,Cons_Region!M$15,$M$1,Cons_Region!$H$12,Cons_Region!$C$12,$A119,$K$1)</f>
        <v>0</v>
      </c>
      <c r="N119" s="20">
        <f>_xll.DBRW($C$3,Cons_Region!$F$12,Cons_Region!N$15,$M$1,Cons_Region!$H$12,Cons_Region!$C$12,$A119,$K$1)</f>
        <v>0</v>
      </c>
      <c r="O119" s="20">
        <f>_xll.DBRW($C$3,O$14,Cons_Region!O$15,$M$1,Cons_Region!$H$12,Cons_Region!$C$12,$A119,$K$1)</f>
        <v>0</v>
      </c>
      <c r="P119" s="20">
        <f>_xll.DBRW($C$3,P$14,Cons_Region!P$15,$M$1,Cons_Region!$H$12,Cons_Region!$C$12,$A119,$K$1)</f>
        <v>0</v>
      </c>
      <c r="Q119" s="20">
        <f>_xll.DBRW($C$3,Q$14,Cons_Region!Q$15,$M$1,Cons_Region!$H$12,Cons_Region!$C$12,$A119,$K$1)</f>
        <v>0</v>
      </c>
      <c r="R119" s="20">
        <f>_xll.DBRW($C$3,R$14,Cons_Region!R$15,$M$1,Cons_Region!$H$12,Cons_Region!$C$12,$A119,$K$1)</f>
        <v>0</v>
      </c>
      <c r="S119" s="20">
        <f>_xll.DBRW($C$3,S$14,Cons_Region!S$15,$M$1,Cons_Region!$H$12,Cons_Region!$C$12,$A119,$K$1)</f>
        <v>0</v>
      </c>
    </row>
    <row r="120" spans="1:19" s="29" customFormat="1" ht="15.75" customHeight="1">
      <c r="A120" s="69" t="s">
        <v>431</v>
      </c>
      <c r="B120" s="15" t="s">
        <v>73</v>
      </c>
      <c r="C120" s="20">
        <f>_xll.DBRW($C$3,Cons_Region!$F$12,Cons_Region!C$15,$M$1,Cons_Region!$H$12,Cons_Region!$C$12,$A120,$K$1)</f>
        <v>0</v>
      </c>
      <c r="D120" s="20">
        <f>_xll.DBRW($C$3,Cons_Region!$F$12,Cons_Region!D$15,$M$1,Cons_Region!$H$12,Cons_Region!$C$12,$A120,$K$1)</f>
        <v>1908.7096478474998</v>
      </c>
      <c r="E120" s="20">
        <f>_xll.DBRW($C$3,Cons_Region!$F$12,Cons_Region!E$15,$M$1,Cons_Region!$H$12,Cons_Region!$C$12,$A120,$K$1)</f>
        <v>1884.1673927264512</v>
      </c>
      <c r="F120" s="20">
        <f>_xll.DBRW($C$3,Cons_Region!$F$12,Cons_Region!F$15,$M$1,Cons_Region!$H$12,Cons_Region!$C$12,$A120,$K$1)</f>
        <v>1852.9930973973333</v>
      </c>
      <c r="G120" s="20">
        <f>_xll.DBRW($C$3,Cons_Region!$F$12,Cons_Region!G$15,$M$1,Cons_Region!$H$12,Cons_Region!$C$12,$A120,$K$1)</f>
        <v>1759.5117542</v>
      </c>
      <c r="H120" s="20">
        <f>_xll.DBRW($C$3,Cons_Region!$F$12,Cons_Region!H$15,$M$1,Cons_Region!$H$12,Cons_Region!$C$12,$A120,$K$1)</f>
        <v>1759.3162503840001</v>
      </c>
      <c r="I120" s="20">
        <f>_xll.DBRW($C$3,Cons_Region!$F$12,Cons_Region!I$15,$M$1,Cons_Region!$H$12,Cons_Region!$C$12,$A120,$K$1)</f>
        <v>1720.4428782058064</v>
      </c>
      <c r="J120" s="20">
        <f>_xll.DBRW($C$3,Cons_Region!$F$12,Cons_Region!J$15,$M$1,Cons_Region!$H$12,Cons_Region!$C$12,$A120,$K$1)</f>
        <v>1734.7296025064518</v>
      </c>
      <c r="K120" s="20">
        <f>_xll.DBRW($C$3,Cons_Region!$F$12,Cons_Region!K$15,$M$1,Cons_Region!$H$12,Cons_Region!$C$12,$A120,$K$1)</f>
        <v>1749.6568613510001</v>
      </c>
      <c r="L120" s="20">
        <f>_xll.DBRW($C$3,Cons_Region!$F$12,Cons_Region!L$15,$M$1,Cons_Region!$H$12,Cons_Region!$C$12,$A120,$K$1)</f>
        <v>1729.5481118929031</v>
      </c>
      <c r="M120" s="20">
        <f>_xll.DBRW($C$3,Cons_Region!$F$12,Cons_Region!M$15,$M$1,Cons_Region!$H$12,Cons_Region!$C$12,$A120,$K$1)</f>
        <v>1734.9410305383333</v>
      </c>
      <c r="N120" s="20">
        <f>_xll.DBRW($C$3,Cons_Region!$F$12,Cons_Region!N$15,$M$1,Cons_Region!$H$12,Cons_Region!$C$12,$A120,$K$1)</f>
        <v>0</v>
      </c>
      <c r="O120" s="20">
        <f>_xll.DBRW($C$3,O$14,Cons_Region!O$15,$M$1,Cons_Region!$H$12,Cons_Region!$C$12,$A120,$K$1)</f>
        <v>0</v>
      </c>
      <c r="P120" s="20">
        <f>_xll.DBRW($C$3,P$14,Cons_Region!P$15,$M$1,Cons_Region!$H$12,Cons_Region!$C$12,$A120,$K$1)</f>
        <v>0</v>
      </c>
      <c r="Q120" s="20">
        <f>_xll.DBRW($C$3,Q$14,Cons_Region!Q$15,$M$1,Cons_Region!$H$12,Cons_Region!$C$12,$A120,$K$1)</f>
        <v>0</v>
      </c>
      <c r="R120" s="20">
        <f>_xll.DBRW($C$3,R$14,Cons_Region!R$15,$M$1,Cons_Region!$H$12,Cons_Region!$C$12,$A120,$K$1)</f>
        <v>0</v>
      </c>
      <c r="S120" s="20">
        <f>_xll.DBRW($C$3,S$14,Cons_Region!S$15,$M$1,Cons_Region!$H$12,Cons_Region!$C$12,$A120,$K$1)</f>
        <v>0</v>
      </c>
    </row>
    <row r="121" spans="1:19" s="29" customFormat="1" ht="15.75" customHeight="1">
      <c r="A121" s="69" t="s">
        <v>432</v>
      </c>
      <c r="B121" s="15" t="s">
        <v>74</v>
      </c>
      <c r="C121" s="20">
        <f>_xll.DBRW($C$3,Cons_Region!$F$12,Cons_Region!C$15,$M$1,Cons_Region!$H$12,Cons_Region!$C$12,$A121,$K$1)</f>
        <v>0</v>
      </c>
      <c r="D121" s="20">
        <f>_xll.DBRW($C$3,Cons_Region!$F$12,Cons_Region!D$15,$M$1,Cons_Region!$H$12,Cons_Region!$C$12,$A121,$K$1)</f>
        <v>0</v>
      </c>
      <c r="E121" s="20">
        <f>_xll.DBRW($C$3,Cons_Region!$F$12,Cons_Region!E$15,$M$1,Cons_Region!$H$12,Cons_Region!$C$12,$A121,$K$1)</f>
        <v>0</v>
      </c>
      <c r="F121" s="20">
        <f>_xll.DBRW($C$3,Cons_Region!$F$12,Cons_Region!F$15,$M$1,Cons_Region!$H$12,Cons_Region!$C$12,$A121,$K$1)</f>
        <v>0</v>
      </c>
      <c r="G121" s="20">
        <f>_xll.DBRW($C$3,Cons_Region!$F$12,Cons_Region!G$15,$M$1,Cons_Region!$H$12,Cons_Region!$C$12,$A121,$K$1)</f>
        <v>0</v>
      </c>
      <c r="H121" s="20">
        <f>_xll.DBRW($C$3,Cons_Region!$F$12,Cons_Region!H$15,$M$1,Cons_Region!$H$12,Cons_Region!$C$12,$A121,$K$1)</f>
        <v>0</v>
      </c>
      <c r="I121" s="20">
        <f>_xll.DBRW($C$3,Cons_Region!$F$12,Cons_Region!I$15,$M$1,Cons_Region!$H$12,Cons_Region!$C$12,$A121,$K$1)</f>
        <v>0</v>
      </c>
      <c r="J121" s="20">
        <f>_xll.DBRW($C$3,Cons_Region!$F$12,Cons_Region!J$15,$M$1,Cons_Region!$H$12,Cons_Region!$C$12,$A121,$K$1)</f>
        <v>0</v>
      </c>
      <c r="K121" s="20">
        <f>_xll.DBRW($C$3,Cons_Region!$F$12,Cons_Region!K$15,$M$1,Cons_Region!$H$12,Cons_Region!$C$12,$A121,$K$1)</f>
        <v>0</v>
      </c>
      <c r="L121" s="20">
        <f>_xll.DBRW($C$3,Cons_Region!$F$12,Cons_Region!L$15,$M$1,Cons_Region!$H$12,Cons_Region!$C$12,$A121,$K$1)</f>
        <v>0</v>
      </c>
      <c r="M121" s="20">
        <f>_xll.DBRW($C$3,Cons_Region!$F$12,Cons_Region!M$15,$M$1,Cons_Region!$H$12,Cons_Region!$C$12,$A121,$K$1)</f>
        <v>0</v>
      </c>
      <c r="N121" s="20">
        <f>_xll.DBRW($C$3,Cons_Region!$F$12,Cons_Region!N$15,$M$1,Cons_Region!$H$12,Cons_Region!$C$12,$A121,$K$1)</f>
        <v>0</v>
      </c>
      <c r="O121" s="20">
        <f>_xll.DBRW($C$3,O$14,Cons_Region!O$15,$M$1,Cons_Region!$H$12,Cons_Region!$C$12,$A121,$K$1)</f>
        <v>0</v>
      </c>
      <c r="P121" s="20">
        <f>_xll.DBRW($C$3,P$14,Cons_Region!P$15,$M$1,Cons_Region!$H$12,Cons_Region!$C$12,$A121,$K$1)</f>
        <v>0</v>
      </c>
      <c r="Q121" s="20">
        <f>_xll.DBRW($C$3,Q$14,Cons_Region!Q$15,$M$1,Cons_Region!$H$12,Cons_Region!$C$12,$A121,$K$1)</f>
        <v>0</v>
      </c>
      <c r="R121" s="20">
        <f>_xll.DBRW($C$3,R$14,Cons_Region!R$15,$M$1,Cons_Region!$H$12,Cons_Region!$C$12,$A121,$K$1)</f>
        <v>0</v>
      </c>
      <c r="S121" s="20">
        <f>_xll.DBRW($C$3,S$14,Cons_Region!S$15,$M$1,Cons_Region!$H$12,Cons_Region!$C$12,$A121,$K$1)</f>
        <v>0</v>
      </c>
    </row>
    <row r="122" spans="1:19" s="29" customFormat="1" ht="15.75" customHeight="1">
      <c r="A122" s="69" t="s">
        <v>433</v>
      </c>
      <c r="B122" s="15" t="s">
        <v>75</v>
      </c>
      <c r="C122" s="20">
        <f>_xll.DBRW($C$3,Cons_Region!$F$12,Cons_Region!C$15,$M$1,Cons_Region!$H$12,Cons_Region!$C$12,$A122,$K$1)</f>
        <v>0</v>
      </c>
      <c r="D122" s="20">
        <f>_xll.DBRW($C$3,Cons_Region!$F$12,Cons_Region!D$15,$M$1,Cons_Region!$H$12,Cons_Region!$C$12,$A122,$K$1)</f>
        <v>129.45162329092895</v>
      </c>
      <c r="E122" s="20">
        <f>_xll.DBRW($C$3,Cons_Region!$F$12,Cons_Region!E$15,$M$1,Cons_Region!$H$12,Cons_Region!$C$12,$A122,$K$1)</f>
        <v>117.41659991606846</v>
      </c>
      <c r="F122" s="20">
        <f>_xll.DBRW($C$3,Cons_Region!$F$12,Cons_Region!F$15,$M$1,Cons_Region!$H$12,Cons_Region!$C$12,$A122,$K$1)</f>
        <v>116.14508521241048</v>
      </c>
      <c r="G122" s="20">
        <f>_xll.DBRW($C$3,Cons_Region!$F$12,Cons_Region!G$15,$M$1,Cons_Region!$H$12,Cons_Region!$C$12,$A122,$K$1)</f>
        <v>112.85672285000187</v>
      </c>
      <c r="H122" s="20">
        <f>_xll.DBRW($C$3,Cons_Region!$F$12,Cons_Region!H$15,$M$1,Cons_Region!$H$12,Cons_Region!$C$12,$A122,$K$1)</f>
        <v>98.481549324915463</v>
      </c>
      <c r="I122" s="20">
        <f>_xll.DBRW($C$3,Cons_Region!$F$12,Cons_Region!I$15,$M$1,Cons_Region!$H$12,Cons_Region!$C$12,$A122,$K$1)</f>
        <v>92.038426652753316</v>
      </c>
      <c r="J122" s="20">
        <f>_xll.DBRW($C$3,Cons_Region!$F$12,Cons_Region!J$15,$M$1,Cons_Region!$H$12,Cons_Region!$C$12,$A122,$K$1)</f>
        <v>86.745217516790461</v>
      </c>
      <c r="K122" s="20">
        <f>_xll.DBRW($C$3,Cons_Region!$F$12,Cons_Region!K$15,$M$1,Cons_Region!$H$12,Cons_Region!$C$12,$A122,$K$1)</f>
        <v>80.889253306394323</v>
      </c>
      <c r="L122" s="20">
        <f>_xll.DBRW($C$3,Cons_Region!$F$12,Cons_Region!L$15,$M$1,Cons_Region!$H$12,Cons_Region!$C$12,$A122,$K$1)</f>
        <v>78.654330451274262</v>
      </c>
      <c r="M122" s="20">
        <f>_xll.DBRW($C$3,Cons_Region!$F$12,Cons_Region!M$15,$M$1,Cons_Region!$H$12,Cons_Region!$C$12,$A122,$K$1)</f>
        <v>71.188486727636928</v>
      </c>
      <c r="N122" s="20">
        <f>_xll.DBRW($C$3,Cons_Region!$F$12,Cons_Region!N$15,$M$1,Cons_Region!$H$12,Cons_Region!$C$12,$A122,$K$1)</f>
        <v>0</v>
      </c>
      <c r="O122" s="20">
        <f>_xll.DBRW($C$3,O$14,Cons_Region!O$15,$M$1,Cons_Region!$H$12,Cons_Region!$C$12,$A122,$K$1)</f>
        <v>0</v>
      </c>
      <c r="P122" s="20">
        <f>_xll.DBRW($C$3,P$14,Cons_Region!P$15,$M$1,Cons_Region!$H$12,Cons_Region!$C$12,$A122,$K$1)</f>
        <v>0</v>
      </c>
      <c r="Q122" s="20">
        <f>_xll.DBRW($C$3,Q$14,Cons_Region!Q$15,$M$1,Cons_Region!$H$12,Cons_Region!$C$12,$A122,$K$1)</f>
        <v>0</v>
      </c>
      <c r="R122" s="20">
        <f>_xll.DBRW($C$3,R$14,Cons_Region!R$15,$M$1,Cons_Region!$H$12,Cons_Region!$C$12,$A122,$K$1)</f>
        <v>0</v>
      </c>
      <c r="S122" s="20">
        <f>_xll.DBRW($C$3,S$14,Cons_Region!S$15,$M$1,Cons_Region!$H$12,Cons_Region!$C$12,$A122,$K$1)</f>
        <v>0</v>
      </c>
    </row>
    <row r="123" spans="1:19" ht="15.75" customHeight="1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</row>
    <row r="124" spans="1:19" s="29" customFormat="1" ht="15.75" customHeight="1" thickBot="1">
      <c r="A124" s="69"/>
      <c r="B124" s="18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</row>
    <row r="125" spans="1:19" s="29" customFormat="1" ht="15.75" customHeight="1" thickTop="1">
      <c r="A125" s="69"/>
      <c r="B125" s="27" t="s">
        <v>76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1:19" ht="15.75" customHeight="1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80">
        <f>$F$12+1</f>
        <v>2027</v>
      </c>
      <c r="P126" s="80">
        <f>$F$12+2</f>
        <v>2028</v>
      </c>
      <c r="Q126" s="80">
        <f>$F$12+3</f>
        <v>2029</v>
      </c>
      <c r="R126" s="80">
        <f>$F$12+4</f>
        <v>2030</v>
      </c>
      <c r="S126" s="80">
        <f>$F$12+5</f>
        <v>2031</v>
      </c>
    </row>
    <row r="127" spans="1:19" s="29" customFormat="1" ht="15.75" customHeight="1">
      <c r="A127" s="69"/>
      <c r="B127" s="22"/>
      <c r="C127" s="23" t="str">
        <f t="shared" ref="C127:N127" si="10">$F$12&amp;"."&amp;C$15</f>
        <v>2026.01</v>
      </c>
      <c r="D127" s="23" t="str">
        <f t="shared" si="10"/>
        <v>2026.02</v>
      </c>
      <c r="E127" s="23" t="str">
        <f t="shared" si="10"/>
        <v>2026.03</v>
      </c>
      <c r="F127" s="23" t="str">
        <f t="shared" si="10"/>
        <v>2026.04</v>
      </c>
      <c r="G127" s="23" t="str">
        <f t="shared" si="10"/>
        <v>2026.05</v>
      </c>
      <c r="H127" s="23" t="str">
        <f t="shared" si="10"/>
        <v>2026.06</v>
      </c>
      <c r="I127" s="23" t="str">
        <f t="shared" si="10"/>
        <v>2026.07</v>
      </c>
      <c r="J127" s="23" t="str">
        <f t="shared" si="10"/>
        <v>2026.08</v>
      </c>
      <c r="K127" s="23" t="str">
        <f t="shared" si="10"/>
        <v>2026.09</v>
      </c>
      <c r="L127" s="23" t="str">
        <f t="shared" si="10"/>
        <v>2026.10</v>
      </c>
      <c r="M127" s="23" t="str">
        <f t="shared" si="10"/>
        <v>2026.11</v>
      </c>
      <c r="N127" s="23" t="str">
        <f t="shared" si="10"/>
        <v>2026.12</v>
      </c>
      <c r="O127" s="23" t="s">
        <v>304</v>
      </c>
      <c r="P127" s="23" t="s">
        <v>304</v>
      </c>
      <c r="Q127" s="23" t="s">
        <v>304</v>
      </c>
      <c r="R127" s="23" t="s">
        <v>304</v>
      </c>
      <c r="S127" s="23" t="s">
        <v>304</v>
      </c>
    </row>
    <row r="128" spans="1:19" s="29" customFormat="1" ht="15.75" customHeight="1">
      <c r="A128" s="69" t="s">
        <v>424</v>
      </c>
      <c r="B128" s="15" t="s">
        <v>291</v>
      </c>
      <c r="C128" s="20">
        <f>_xll.DBRW($C$3,Cons_Region!$F$12,Cons_Region!C$15,$M$1,Cons_Region!$H$12,Cons_Region!$C$12,$A128,$K$1)</f>
        <v>0</v>
      </c>
      <c r="D128" s="20">
        <f>_xll.DBRW($C$3,Cons_Region!$F$12,Cons_Region!D$15,$M$1,Cons_Region!$H$12,Cons_Region!$C$12,$A128,$K$1)</f>
        <v>2610.741545561099</v>
      </c>
      <c r="E128" s="20">
        <f>_xll.DBRW($C$3,Cons_Region!$F$12,Cons_Region!E$15,$M$1,Cons_Region!$H$12,Cons_Region!$C$12,$A128,$K$1)</f>
        <v>2682.9217626126033</v>
      </c>
      <c r="F128" s="20">
        <f>_xll.DBRW($C$3,Cons_Region!$F$12,Cons_Region!F$15,$M$1,Cons_Region!$H$12,Cons_Region!$C$12,$A128,$K$1)</f>
        <v>2861.6510324983979</v>
      </c>
      <c r="G128" s="20">
        <f>_xll.DBRW($C$3,Cons_Region!$F$12,Cons_Region!G$15,$M$1,Cons_Region!$H$12,Cons_Region!$C$12,$A128,$K$1)</f>
        <v>2978.1626949519264</v>
      </c>
      <c r="H128" s="20">
        <f>_xll.DBRW($C$3,Cons_Region!$F$12,Cons_Region!H$15,$M$1,Cons_Region!$H$12,Cons_Region!$C$12,$A128,$K$1)</f>
        <v>3144.2872763531113</v>
      </c>
      <c r="I128" s="20">
        <f>_xll.DBRW($C$3,Cons_Region!$F$12,Cons_Region!I$15,$M$1,Cons_Region!$H$12,Cons_Region!$C$12,$A128,$K$1)</f>
        <v>3122.6163772978298</v>
      </c>
      <c r="J128" s="20">
        <f>_xll.DBRW($C$3,Cons_Region!$F$12,Cons_Region!J$15,$M$1,Cons_Region!$H$12,Cons_Region!$C$12,$A128,$K$1)</f>
        <v>3001.2624286632927</v>
      </c>
      <c r="K128" s="20">
        <f>_xll.DBRW($C$3,Cons_Region!$F$12,Cons_Region!K$15,$M$1,Cons_Region!$H$12,Cons_Region!$C$12,$A128,$K$1)</f>
        <v>3008.4950241726133</v>
      </c>
      <c r="L128" s="20">
        <f>_xll.DBRW($C$3,Cons_Region!$F$12,Cons_Region!L$15,$M$1,Cons_Region!$H$12,Cons_Region!$C$12,$A128,$K$1)</f>
        <v>3070.1167377973766</v>
      </c>
      <c r="M128" s="20">
        <f>_xll.DBRW($C$3,Cons_Region!$F$12,Cons_Region!M$15,$M$1,Cons_Region!$H$12,Cons_Region!$C$12,$A128,$K$1)</f>
        <v>3050.9351145137061</v>
      </c>
      <c r="N128" s="20">
        <f>_xll.DBRW($C$3,Cons_Region!$F$12,Cons_Region!N$15,$M$1,Cons_Region!$H$12,Cons_Region!$C$12,$A128,$K$1)</f>
        <v>0</v>
      </c>
      <c r="O128" s="20">
        <f>_xll.DBRW($C$3,O$14,Cons_Region!O$15,$M$1,Cons_Region!$H$12,Cons_Region!$C$12,$A128,$K$1)</f>
        <v>0</v>
      </c>
      <c r="P128" s="20">
        <f>_xll.DBRW($C$3,P$14,Cons_Region!P$15,$M$1,Cons_Region!$H$12,Cons_Region!$C$12,$A128,$K$1)</f>
        <v>0</v>
      </c>
      <c r="Q128" s="20">
        <f>_xll.DBRW($C$3,Q$14,Cons_Region!Q$15,$M$1,Cons_Region!$H$12,Cons_Region!$C$12,$A128,$K$1)</f>
        <v>0</v>
      </c>
      <c r="R128" s="20">
        <f>_xll.DBRW($C$3,R$14,Cons_Region!R$15,$M$1,Cons_Region!$H$12,Cons_Region!$C$12,$A128,$K$1)</f>
        <v>0</v>
      </c>
      <c r="S128" s="20">
        <f>_xll.DBRW($C$3,S$14,Cons_Region!S$15,$M$1,Cons_Region!$H$12,Cons_Region!$C$12,$A128,$K$1)</f>
        <v>0</v>
      </c>
    </row>
    <row r="129" spans="1:19" s="29" customFormat="1" ht="15.75" customHeight="1">
      <c r="A129" s="69" t="s">
        <v>434</v>
      </c>
      <c r="B129" s="15" t="s">
        <v>77</v>
      </c>
      <c r="C129" s="20">
        <f>_xll.DBRW($C$3,Cons_Region!$F$12,Cons_Region!C$15,$M$1,Cons_Region!$H$12,Cons_Region!$C$12,$A129,$K$1)</f>
        <v>0</v>
      </c>
      <c r="D129" s="20">
        <f>_xll.DBRW($C$3,Cons_Region!$F$12,Cons_Region!D$15,$M$1,Cons_Region!$H$12,Cons_Region!$C$12,$A129,$K$1)</f>
        <v>2208.4049595474999</v>
      </c>
      <c r="E129" s="20">
        <f>_xll.DBRW($C$3,Cons_Region!$F$12,Cons_Region!E$15,$M$1,Cons_Region!$H$12,Cons_Region!$C$12,$A129,$K$1)</f>
        <v>2291.6798021264512</v>
      </c>
      <c r="F129" s="20">
        <f>_xll.DBRW($C$3,Cons_Region!$F$12,Cons_Region!F$15,$M$1,Cons_Region!$H$12,Cons_Region!$C$12,$A129,$K$1)</f>
        <v>2451.6003010240001</v>
      </c>
      <c r="G129" s="20">
        <f>_xll.DBRW($C$3,Cons_Region!$F$12,Cons_Region!G$15,$M$1,Cons_Region!$H$12,Cons_Region!$C$12,$A129,$K$1)</f>
        <v>2522.80698325</v>
      </c>
      <c r="H129" s="20">
        <f>_xll.DBRW($C$3,Cons_Region!$F$12,Cons_Region!H$15,$M$1,Cons_Region!$H$12,Cons_Region!$C$12,$A129,$K$1)</f>
        <v>2631.9803676319998</v>
      </c>
      <c r="I129" s="20">
        <f>_xll.DBRW($C$3,Cons_Region!$F$12,Cons_Region!I$15,$M$1,Cons_Region!$H$12,Cons_Region!$C$12,$A129,$K$1)</f>
        <v>2595.9572014693549</v>
      </c>
      <c r="J129" s="20">
        <f>_xll.DBRW($C$3,Cons_Region!$F$12,Cons_Region!J$15,$M$1,Cons_Region!$H$12,Cons_Region!$C$12,$A129,$K$1)</f>
        <v>2468.9214648516127</v>
      </c>
      <c r="K129" s="20">
        <f>_xll.DBRW($C$3,Cons_Region!$F$12,Cons_Region!K$15,$M$1,Cons_Region!$H$12,Cons_Region!$C$12,$A129,$K$1)</f>
        <v>2472.7398695369998</v>
      </c>
      <c r="L129" s="20">
        <f>_xll.DBRW($C$3,Cons_Region!$F$12,Cons_Region!L$15,$M$1,Cons_Region!$H$12,Cons_Region!$C$12,$A129,$K$1)</f>
        <v>2475.0434712648389</v>
      </c>
      <c r="M129" s="20">
        <f>_xll.DBRW($C$3,Cons_Region!$F$12,Cons_Region!M$15,$M$1,Cons_Region!$H$12,Cons_Region!$C$12,$A129,$K$1)</f>
        <v>2512.7416121073334</v>
      </c>
      <c r="N129" s="20">
        <f>_xll.DBRW($C$3,Cons_Region!$F$12,Cons_Region!N$15,$M$1,Cons_Region!$H$12,Cons_Region!$C$12,$A129,$K$1)</f>
        <v>0</v>
      </c>
      <c r="O129" s="20">
        <f>_xll.DBRW($C$3,O$14,Cons_Region!O$15,$M$1,Cons_Region!$H$12,Cons_Region!$C$12,$A129,$K$1)</f>
        <v>0</v>
      </c>
      <c r="P129" s="20">
        <f>_xll.DBRW($C$3,P$14,Cons_Region!P$15,$M$1,Cons_Region!$H$12,Cons_Region!$C$12,$A129,$K$1)</f>
        <v>0</v>
      </c>
      <c r="Q129" s="20">
        <f>_xll.DBRW($C$3,Q$14,Cons_Region!Q$15,$M$1,Cons_Region!$H$12,Cons_Region!$C$12,$A129,$K$1)</f>
        <v>0</v>
      </c>
      <c r="R129" s="20">
        <f>_xll.DBRW($C$3,R$14,Cons_Region!R$15,$M$1,Cons_Region!$H$12,Cons_Region!$C$12,$A129,$K$1)</f>
        <v>0</v>
      </c>
      <c r="S129" s="20">
        <f>_xll.DBRW($C$3,S$14,Cons_Region!S$15,$M$1,Cons_Region!$H$12,Cons_Region!$C$12,$A129,$K$1)</f>
        <v>0</v>
      </c>
    </row>
    <row r="130" spans="1:19" s="29" customFormat="1" ht="15.75" customHeight="1">
      <c r="A130" s="69" t="s">
        <v>435</v>
      </c>
      <c r="B130" s="15" t="s">
        <v>78</v>
      </c>
      <c r="C130" s="20">
        <f>_xll.DBRW($C$3,Cons_Region!$F$12,Cons_Region!C$15,$M$1,Cons_Region!$H$12,Cons_Region!$C$12,$A130,$K$1)</f>
        <v>0</v>
      </c>
      <c r="D130" s="20">
        <f>_xll.DBRW($C$3,Cons_Region!$F$12,Cons_Region!D$15,$M$1,Cons_Region!$H$12,Cons_Region!$C$12,$A130,$K$1)</f>
        <v>95.982608230741619</v>
      </c>
      <c r="E130" s="20">
        <f>_xll.DBRW($C$3,Cons_Region!$F$12,Cons_Region!E$15,$M$1,Cons_Region!$H$12,Cons_Region!$C$12,$A130,$K$1)</f>
        <v>66.501881060345653</v>
      </c>
      <c r="F130" s="20">
        <f>_xll.DBRW($C$3,Cons_Region!$F$12,Cons_Region!F$15,$M$1,Cons_Region!$H$12,Cons_Region!$C$12,$A130,$K$1)</f>
        <v>58.156091762398077</v>
      </c>
      <c r="G130" s="20">
        <f>_xll.DBRW($C$3,Cons_Region!$F$12,Cons_Region!G$15,$M$1,Cons_Region!$H$12,Cons_Region!$C$12,$A130,$K$1)</f>
        <v>80.59055858837776</v>
      </c>
      <c r="H130" s="20">
        <f>_xll.DBRW($C$3,Cons_Region!$F$12,Cons_Region!H$15,$M$1,Cons_Region!$H$12,Cons_Region!$C$12,$A130,$K$1)</f>
        <v>73.595214506111645</v>
      </c>
      <c r="I130" s="20">
        <f>_xll.DBRW($C$3,Cons_Region!$F$12,Cons_Region!I$15,$M$1,Cons_Region!$H$12,Cons_Region!$C$12,$A130,$K$1)</f>
        <v>108.97458558331334</v>
      </c>
      <c r="J130" s="20">
        <f>_xll.DBRW($C$3,Cons_Region!$F$12,Cons_Region!J$15,$M$1,Cons_Region!$H$12,Cons_Region!$C$12,$A130,$K$1)</f>
        <v>89.318443115228504</v>
      </c>
      <c r="K130" s="20">
        <f>_xll.DBRW($C$3,Cons_Region!$F$12,Cons_Region!K$15,$M$1,Cons_Region!$H$12,Cons_Region!$C$12,$A130,$K$1)</f>
        <v>66.287285180613125</v>
      </c>
      <c r="L130" s="20">
        <f>_xll.DBRW($C$3,Cons_Region!$F$12,Cons_Region!L$15,$M$1,Cons_Region!$H$12,Cons_Region!$C$12,$A130,$K$1)</f>
        <v>93.924620284795978</v>
      </c>
      <c r="M130" s="20">
        <f>_xll.DBRW($C$3,Cons_Region!$F$12,Cons_Region!M$15,$M$1,Cons_Region!$H$12,Cons_Region!$C$12,$A130,$K$1)</f>
        <v>56.335708021372888</v>
      </c>
      <c r="N130" s="20">
        <f>_xll.DBRW($C$3,Cons_Region!$F$12,Cons_Region!N$15,$M$1,Cons_Region!$H$12,Cons_Region!$C$12,$A130,$K$1)</f>
        <v>0</v>
      </c>
      <c r="O130" s="20">
        <f>_xll.DBRW($C$3,O$14,Cons_Region!O$15,$M$1,Cons_Region!$H$12,Cons_Region!$C$12,$A130,$K$1)</f>
        <v>0</v>
      </c>
      <c r="P130" s="20">
        <f>_xll.DBRW($C$3,P$14,Cons_Region!P$15,$M$1,Cons_Region!$H$12,Cons_Region!$C$12,$A130,$K$1)</f>
        <v>0</v>
      </c>
      <c r="Q130" s="20">
        <f>_xll.DBRW($C$3,Q$14,Cons_Region!Q$15,$M$1,Cons_Region!$H$12,Cons_Region!$C$12,$A130,$K$1)</f>
        <v>0</v>
      </c>
      <c r="R130" s="20">
        <f>_xll.DBRW($C$3,R$14,Cons_Region!R$15,$M$1,Cons_Region!$H$12,Cons_Region!$C$12,$A130,$K$1)</f>
        <v>0</v>
      </c>
      <c r="S130" s="20">
        <f>_xll.DBRW($C$3,S$14,Cons_Region!S$15,$M$1,Cons_Region!$H$12,Cons_Region!$C$12,$A130,$K$1)</f>
        <v>0</v>
      </c>
    </row>
    <row r="131" spans="1:19" s="29" customFormat="1" ht="15.75" customHeight="1">
      <c r="A131" s="69" t="s">
        <v>436</v>
      </c>
      <c r="B131" s="15" t="s">
        <v>79</v>
      </c>
      <c r="C131" s="20">
        <f>_xll.DBRW($C$3,Cons_Region!$F$12,Cons_Region!C$15,$M$1,Cons_Region!$H$12,Cons_Region!$C$12,$A131,$K$1)</f>
        <v>0</v>
      </c>
      <c r="D131" s="20">
        <f>_xll.DBRW($C$3,Cons_Region!$F$12,Cons_Region!D$15,$M$1,Cons_Region!$H$12,Cons_Region!$C$12,$A131,$K$1)</f>
        <v>0</v>
      </c>
      <c r="E131" s="20">
        <f>_xll.DBRW($C$3,Cons_Region!$F$12,Cons_Region!E$15,$M$1,Cons_Region!$H$12,Cons_Region!$C$12,$A131,$K$1)</f>
        <v>0</v>
      </c>
      <c r="F131" s="20">
        <f>_xll.DBRW($C$3,Cons_Region!$F$12,Cons_Region!F$15,$M$1,Cons_Region!$H$12,Cons_Region!$C$12,$A131,$K$1)</f>
        <v>0</v>
      </c>
      <c r="G131" s="20">
        <f>_xll.DBRW($C$3,Cons_Region!$F$12,Cons_Region!G$15,$M$1,Cons_Region!$H$12,Cons_Region!$C$12,$A131,$K$1)</f>
        <v>0</v>
      </c>
      <c r="H131" s="20">
        <f>_xll.DBRW($C$3,Cons_Region!$F$12,Cons_Region!H$15,$M$1,Cons_Region!$H$12,Cons_Region!$C$12,$A131,$K$1)</f>
        <v>0</v>
      </c>
      <c r="I131" s="20">
        <f>_xll.DBRW($C$3,Cons_Region!$F$12,Cons_Region!I$15,$M$1,Cons_Region!$H$12,Cons_Region!$C$12,$A131,$K$1)</f>
        <v>0</v>
      </c>
      <c r="J131" s="20">
        <f>_xll.DBRW($C$3,Cons_Region!$F$12,Cons_Region!J$15,$M$1,Cons_Region!$H$12,Cons_Region!$C$12,$A131,$K$1)</f>
        <v>0</v>
      </c>
      <c r="K131" s="20">
        <f>_xll.DBRW($C$3,Cons_Region!$F$12,Cons_Region!K$15,$M$1,Cons_Region!$H$12,Cons_Region!$C$12,$A131,$K$1)</f>
        <v>0</v>
      </c>
      <c r="L131" s="20">
        <f>_xll.DBRW($C$3,Cons_Region!$F$12,Cons_Region!L$15,$M$1,Cons_Region!$H$12,Cons_Region!$C$12,$A131,$K$1)</f>
        <v>0</v>
      </c>
      <c r="M131" s="20">
        <f>_xll.DBRW($C$3,Cons_Region!$F$12,Cons_Region!M$15,$M$1,Cons_Region!$H$12,Cons_Region!$C$12,$A131,$K$1)</f>
        <v>0</v>
      </c>
      <c r="N131" s="20">
        <f>_xll.DBRW($C$3,Cons_Region!$F$12,Cons_Region!N$15,$M$1,Cons_Region!$H$12,Cons_Region!$C$12,$A131,$K$1)</f>
        <v>0</v>
      </c>
      <c r="O131" s="20">
        <f>_xll.DBRW($C$3,O$14,Cons_Region!O$15,$M$1,Cons_Region!$H$12,Cons_Region!$C$12,$A131,$K$1)</f>
        <v>0</v>
      </c>
      <c r="P131" s="20">
        <f>_xll.DBRW($C$3,P$14,Cons_Region!P$15,$M$1,Cons_Region!$H$12,Cons_Region!$C$12,$A131,$K$1)</f>
        <v>0</v>
      </c>
      <c r="Q131" s="20">
        <f>_xll.DBRW($C$3,Q$14,Cons_Region!Q$15,$M$1,Cons_Region!$H$12,Cons_Region!$C$12,$A131,$K$1)</f>
        <v>0</v>
      </c>
      <c r="R131" s="20">
        <f>_xll.DBRW($C$3,R$14,Cons_Region!R$15,$M$1,Cons_Region!$H$12,Cons_Region!$C$12,$A131,$K$1)</f>
        <v>0</v>
      </c>
      <c r="S131" s="20">
        <f>_xll.DBRW($C$3,S$14,Cons_Region!S$15,$M$1,Cons_Region!$H$12,Cons_Region!$C$12,$A131,$K$1)</f>
        <v>0</v>
      </c>
    </row>
    <row r="132" spans="1:19" s="29" customFormat="1" ht="15.75" customHeight="1">
      <c r="A132" s="69" t="s">
        <v>437</v>
      </c>
      <c r="B132" s="15" t="s">
        <v>80</v>
      </c>
      <c r="C132" s="20">
        <f>_xll.DBRW($C$3,Cons_Region!$F$12,Cons_Region!C$15,$M$1,Cons_Region!$H$12,Cons_Region!$C$12,$A132,$K$1)</f>
        <v>0</v>
      </c>
      <c r="D132" s="20">
        <f>_xll.DBRW($C$3,Cons_Region!$F$12,Cons_Region!D$15,$M$1,Cons_Region!$H$12,Cons_Region!$C$12,$A132,$K$1)</f>
        <v>306.3539777828571</v>
      </c>
      <c r="E132" s="20">
        <f>_xll.DBRW($C$3,Cons_Region!$F$12,Cons_Region!E$15,$M$1,Cons_Region!$H$12,Cons_Region!$C$12,$A132,$K$1)</f>
        <v>324.74007942580641</v>
      </c>
      <c r="F132" s="20">
        <f>_xll.DBRW($C$3,Cons_Region!$F$12,Cons_Region!F$15,$M$1,Cons_Region!$H$12,Cons_Region!$C$12,$A132,$K$1)</f>
        <v>351.89463971200001</v>
      </c>
      <c r="G132" s="20">
        <f>_xll.DBRW($C$3,Cons_Region!$F$12,Cons_Region!G$15,$M$1,Cons_Region!$H$12,Cons_Region!$C$12,$A132,$K$1)</f>
        <v>374.76515311354837</v>
      </c>
      <c r="H132" s="20">
        <f>_xll.DBRW($C$3,Cons_Region!$F$12,Cons_Region!H$15,$M$1,Cons_Region!$H$12,Cons_Region!$C$12,$A132,$K$1)</f>
        <v>438.71169421500002</v>
      </c>
      <c r="I132" s="20">
        <f>_xll.DBRW($C$3,Cons_Region!$F$12,Cons_Region!I$15,$M$1,Cons_Region!$H$12,Cons_Region!$C$12,$A132,$K$1)</f>
        <v>417.68459024516136</v>
      </c>
      <c r="J132" s="20">
        <f>_xll.DBRW($C$3,Cons_Region!$F$12,Cons_Region!J$15,$M$1,Cons_Region!$H$12,Cons_Region!$C$12,$A132,$K$1)</f>
        <v>443.02252069645158</v>
      </c>
      <c r="K132" s="20">
        <f>_xll.DBRW($C$3,Cons_Region!$F$12,Cons_Region!K$15,$M$1,Cons_Region!$H$12,Cons_Region!$C$12,$A132,$K$1)</f>
        <v>469.46786945500008</v>
      </c>
      <c r="L132" s="20">
        <f>_xll.DBRW($C$3,Cons_Region!$F$12,Cons_Region!L$15,$M$1,Cons_Region!$H$12,Cons_Region!$C$12,$A132,$K$1)</f>
        <v>501.14864624774191</v>
      </c>
      <c r="M132" s="20">
        <f>_xll.DBRW($C$3,Cons_Region!$F$12,Cons_Region!M$15,$M$1,Cons_Region!$H$12,Cons_Region!$C$12,$A132,$K$1)</f>
        <v>481.85779438499992</v>
      </c>
      <c r="N132" s="20">
        <f>_xll.DBRW($C$3,Cons_Region!$F$12,Cons_Region!N$15,$M$1,Cons_Region!$H$12,Cons_Region!$C$12,$A132,$K$1)</f>
        <v>0</v>
      </c>
      <c r="O132" s="20">
        <f>_xll.DBRW($C$3,O$14,Cons_Region!O$15,$M$1,Cons_Region!$H$12,Cons_Region!$C$12,$A132,$K$1)</f>
        <v>0</v>
      </c>
      <c r="P132" s="20">
        <f>_xll.DBRW($C$3,P$14,Cons_Region!P$15,$M$1,Cons_Region!$H$12,Cons_Region!$C$12,$A132,$K$1)</f>
        <v>0</v>
      </c>
      <c r="Q132" s="20">
        <f>_xll.DBRW($C$3,Q$14,Cons_Region!Q$15,$M$1,Cons_Region!$H$12,Cons_Region!$C$12,$A132,$K$1)</f>
        <v>0</v>
      </c>
      <c r="R132" s="20">
        <f>_xll.DBRW($C$3,R$14,Cons_Region!R$15,$M$1,Cons_Region!$H$12,Cons_Region!$C$12,$A132,$K$1)</f>
        <v>0</v>
      </c>
      <c r="S132" s="20">
        <f>_xll.DBRW($C$3,S$14,Cons_Region!S$15,$M$1,Cons_Region!$H$12,Cons_Region!$C$12,$A132,$K$1)</f>
        <v>0</v>
      </c>
    </row>
    <row r="133" spans="1:19" ht="15.75" customHeight="1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</row>
    <row r="134" spans="1:19" ht="15.75" customHeight="1" thickBot="1">
      <c r="B134" s="18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</row>
    <row r="135" spans="1:19" s="29" customFormat="1" ht="15.75" customHeight="1" thickTop="1">
      <c r="A135" s="69"/>
      <c r="B135" s="27" t="s">
        <v>81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</row>
    <row r="136" spans="1:19" ht="15.75" customHeight="1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80">
        <f>$F$12+1</f>
        <v>2027</v>
      </c>
      <c r="P136" s="80">
        <f>$F$12+2</f>
        <v>2028</v>
      </c>
      <c r="Q136" s="80">
        <f>$F$12+3</f>
        <v>2029</v>
      </c>
      <c r="R136" s="80">
        <f>$F$12+4</f>
        <v>2030</v>
      </c>
      <c r="S136" s="80">
        <f>$F$12+5</f>
        <v>2031</v>
      </c>
    </row>
    <row r="137" spans="1:19" s="29" customFormat="1" ht="15.75" customHeight="1">
      <c r="A137" s="69"/>
      <c r="B137" s="22"/>
      <c r="C137" s="23" t="str">
        <f t="shared" ref="C137:N137" si="11">$F$12&amp;"."&amp;C$15</f>
        <v>2026.01</v>
      </c>
      <c r="D137" s="23" t="str">
        <f t="shared" si="11"/>
        <v>2026.02</v>
      </c>
      <c r="E137" s="23" t="str">
        <f t="shared" si="11"/>
        <v>2026.03</v>
      </c>
      <c r="F137" s="23" t="str">
        <f t="shared" si="11"/>
        <v>2026.04</v>
      </c>
      <c r="G137" s="23" t="str">
        <f t="shared" si="11"/>
        <v>2026.05</v>
      </c>
      <c r="H137" s="23" t="str">
        <f t="shared" si="11"/>
        <v>2026.06</v>
      </c>
      <c r="I137" s="23" t="str">
        <f t="shared" si="11"/>
        <v>2026.07</v>
      </c>
      <c r="J137" s="23" t="str">
        <f t="shared" si="11"/>
        <v>2026.08</v>
      </c>
      <c r="K137" s="23" t="str">
        <f t="shared" si="11"/>
        <v>2026.09</v>
      </c>
      <c r="L137" s="23" t="str">
        <f t="shared" si="11"/>
        <v>2026.10</v>
      </c>
      <c r="M137" s="23" t="str">
        <f t="shared" si="11"/>
        <v>2026.11</v>
      </c>
      <c r="N137" s="23" t="str">
        <f t="shared" si="11"/>
        <v>2026.12</v>
      </c>
      <c r="O137" s="23" t="s">
        <v>304</v>
      </c>
      <c r="P137" s="23" t="s">
        <v>304</v>
      </c>
      <c r="Q137" s="23" t="s">
        <v>304</v>
      </c>
      <c r="R137" s="23" t="s">
        <v>304</v>
      </c>
      <c r="S137" s="23" t="s">
        <v>304</v>
      </c>
    </row>
    <row r="138" spans="1:19" s="29" customFormat="1" ht="15.75" customHeight="1">
      <c r="A138" s="69" t="s">
        <v>438</v>
      </c>
      <c r="B138" s="15" t="s">
        <v>82</v>
      </c>
      <c r="C138" s="9">
        <f>_xll.DBRW($B$1,Cons_Region!$F$12,Cons_Region!C$15,$M$1,Cons_Region!$H$12,Cons_Region!$C$12,$N$1,$A138,$L$1,$K$1)</f>
        <v>0</v>
      </c>
      <c r="D138" s="20">
        <f>_xll.DBRW($C$3,Cons_Region!$F$12,Cons_Region!D$15,$M$1,Cons_Region!$H$12,Cons_Region!$C$12,$A138,$K$1)</f>
        <v>0</v>
      </c>
      <c r="E138" s="20">
        <f>_xll.DBRW($C$3,Cons_Region!$F$12,Cons_Region!E$15,$M$1,Cons_Region!$H$12,Cons_Region!$C$12,$A138,$K$1)</f>
        <v>499.50044540908493</v>
      </c>
      <c r="F138" s="20">
        <f>_xll.DBRW($C$3,Cons_Region!$F$12,Cons_Region!F$15,$M$1,Cons_Region!$H$12,Cons_Region!$C$12,$A138,$K$1)</f>
        <v>535.67627491589292</v>
      </c>
      <c r="G138" s="20">
        <f>_xll.DBRW($C$3,Cons_Region!$F$12,Cons_Region!G$15,$M$1,Cons_Region!$H$12,Cons_Region!$C$12,$A138,$K$1)</f>
        <v>224.21114071455031</v>
      </c>
      <c r="H138" s="20">
        <f>_xll.DBRW($C$3,Cons_Region!$F$12,Cons_Region!H$15,$M$1,Cons_Region!$H$12,Cons_Region!$C$12,$A138,$K$1)</f>
        <v>144.11140096907502</v>
      </c>
      <c r="I138" s="20">
        <f>_xll.DBRW($C$3,Cons_Region!$F$12,Cons_Region!I$15,$M$1,Cons_Region!$H$12,Cons_Region!$C$12,$A138,$K$1)</f>
        <v>30.187431652379928</v>
      </c>
      <c r="J138" s="20">
        <f>_xll.DBRW($C$3,Cons_Region!$F$12,Cons_Region!J$15,$M$1,Cons_Region!$H$12,Cons_Region!$C$12,$A138,$K$1)</f>
        <v>-15.613708524894719</v>
      </c>
      <c r="K138" s="20">
        <f>_xll.DBRW($C$3,Cons_Region!$F$12,Cons_Region!K$15,$M$1,Cons_Region!$H$12,Cons_Region!$C$12,$A138,$K$1)</f>
        <v>192.63524645402458</v>
      </c>
      <c r="L138" s="20">
        <f>_xll.DBRW($C$3,Cons_Region!$F$12,Cons_Region!L$15,$M$1,Cons_Region!$H$12,Cons_Region!$C$12,$A138,$K$1)</f>
        <v>161.34844499256451</v>
      </c>
      <c r="M138" s="20">
        <f>_xll.DBRW($C$3,Cons_Region!$F$12,Cons_Region!M$15,$M$1,Cons_Region!$H$12,Cons_Region!$C$12,$A138,$K$1)</f>
        <v>0.80729102932991736</v>
      </c>
      <c r="N138" s="20">
        <f>_xll.DBRW($C$3,Cons_Region!$F$12,Cons_Region!N$15,$M$1,Cons_Region!$H$12,Cons_Region!$C$12,$A138,$K$1)</f>
        <v>8.926166438493965</v>
      </c>
      <c r="O138" s="20">
        <f>_xll.DBRW($C$3,O$14,Cons_Region!O$15,$M$1,Cons_Region!$H$12,Cons_Region!$C$12,$A138,$K$1)</f>
        <v>0</v>
      </c>
      <c r="P138" s="20">
        <f>_xll.DBRW($C$3,P$14,Cons_Region!P$15,$M$1,Cons_Region!$H$12,Cons_Region!$C$12,$A138,$K$1)</f>
        <v>0</v>
      </c>
      <c r="Q138" s="20">
        <f>_xll.DBRW($C$3,Q$14,Cons_Region!Q$15,$M$1,Cons_Region!$H$12,Cons_Region!$C$12,$A138,$K$1)</f>
        <v>0</v>
      </c>
      <c r="R138" s="20">
        <f>_xll.DBRW($C$3,R$14,Cons_Region!R$15,$M$1,Cons_Region!$H$12,Cons_Region!$C$12,$A138,$K$1)</f>
        <v>0</v>
      </c>
      <c r="S138" s="20">
        <f>_xll.DBRW($C$3,S$14,Cons_Region!S$15,$M$1,Cons_Region!$H$12,Cons_Region!$C$12,$A138,$K$1)</f>
        <v>0</v>
      </c>
    </row>
    <row r="139" spans="1:19" s="29" customFormat="1" ht="15.75" customHeight="1">
      <c r="A139" s="69" t="s">
        <v>439</v>
      </c>
      <c r="B139" s="15" t="s">
        <v>83</v>
      </c>
      <c r="C139" s="8">
        <f>_xll.DBRW($C$3,Cons_Region!$F$12,Cons_Region!C$15,$M$1,Cons_Region!$H$12,Cons_Region!$C$12,$A139,$K$1)</f>
        <v>0</v>
      </c>
      <c r="D139" s="20">
        <f>_xll.DBRW($C$3,Cons_Region!$F$12,Cons_Region!D$15,$M$1,Cons_Region!$H$12,Cons_Region!$C$12,$A139,$K$1)</f>
        <v>499.50044540908493</v>
      </c>
      <c r="E139" s="20">
        <f>_xll.DBRW($C$3,Cons_Region!$F$12,Cons_Region!E$15,$M$1,Cons_Region!$H$12,Cons_Region!$C$12,$A139,$K$1)</f>
        <v>535.67627491589292</v>
      </c>
      <c r="F139" s="20">
        <f>_xll.DBRW($C$3,Cons_Region!$F$12,Cons_Region!F$15,$M$1,Cons_Region!$H$12,Cons_Region!$C$12,$A139,$K$1)</f>
        <v>224.21114071455031</v>
      </c>
      <c r="G139" s="20">
        <f>_xll.DBRW($C$3,Cons_Region!$F$12,Cons_Region!G$15,$M$1,Cons_Region!$H$12,Cons_Region!$C$12,$A139,$K$1)</f>
        <v>144.11140096907502</v>
      </c>
      <c r="H139" s="20">
        <f>_xll.DBRW($C$3,Cons_Region!$F$12,Cons_Region!H$15,$M$1,Cons_Region!$H$12,Cons_Region!$C$12,$A139,$K$1)</f>
        <v>30.187431652379928</v>
      </c>
      <c r="I139" s="20">
        <f>_xll.DBRW($C$3,Cons_Region!$F$12,Cons_Region!I$15,$M$1,Cons_Region!$H$12,Cons_Region!$C$12,$A139,$K$1)</f>
        <v>-15.613708524894719</v>
      </c>
      <c r="J139" s="20">
        <f>_xll.DBRW($C$3,Cons_Region!$F$12,Cons_Region!J$15,$M$1,Cons_Region!$H$12,Cons_Region!$C$12,$A139,$K$1)</f>
        <v>192.63524645402458</v>
      </c>
      <c r="K139" s="20">
        <f>_xll.DBRW($C$3,Cons_Region!$F$12,Cons_Region!K$15,$M$1,Cons_Region!$H$12,Cons_Region!$C$12,$A139,$K$1)</f>
        <v>161.34844499256451</v>
      </c>
      <c r="L139" s="20">
        <f>_xll.DBRW($C$3,Cons_Region!$F$12,Cons_Region!L$15,$M$1,Cons_Region!$H$12,Cons_Region!$C$12,$A139,$K$1)</f>
        <v>0.80729102932991736</v>
      </c>
      <c r="M139" s="20">
        <f>_xll.DBRW($C$3,Cons_Region!$F$12,Cons_Region!M$15,$M$1,Cons_Region!$H$12,Cons_Region!$C$12,$A139,$K$1)</f>
        <v>8.926166438493965</v>
      </c>
      <c r="N139" s="20">
        <f>_xll.DBRW($C$3,Cons_Region!$F$12,Cons_Region!N$15,$M$1,Cons_Region!$H$12,Cons_Region!$C$12,$A139,$K$1)</f>
        <v>0</v>
      </c>
      <c r="O139" s="20">
        <f>_xll.DBRW($C$3,O$14,Cons_Region!O$15,$M$1,Cons_Region!$H$12,Cons_Region!$C$12,$A139,$K$1)</f>
        <v>0</v>
      </c>
      <c r="P139" s="20">
        <f>_xll.DBRW($C$3,P$14,Cons_Region!P$15,$M$1,Cons_Region!$H$12,Cons_Region!$C$12,$A139,$K$1)</f>
        <v>0</v>
      </c>
      <c r="Q139" s="20">
        <f>_xll.DBRW($C$3,Q$14,Cons_Region!Q$15,$M$1,Cons_Region!$H$12,Cons_Region!$C$12,$A139,$K$1)</f>
        <v>0</v>
      </c>
      <c r="R139" s="20">
        <f>_xll.DBRW($C$3,R$14,Cons_Region!R$15,$M$1,Cons_Region!$H$12,Cons_Region!$C$12,$A139,$K$1)</f>
        <v>0</v>
      </c>
      <c r="S139" s="20">
        <f>_xll.DBRW($C$3,S$14,Cons_Region!S$15,$M$1,Cons_Region!$H$12,Cons_Region!$C$12,$A139,$K$1)</f>
        <v>0</v>
      </c>
    </row>
    <row r="140" spans="1:19" s="29" customFormat="1" ht="15.75" customHeight="1">
      <c r="A140" s="69" t="s">
        <v>440</v>
      </c>
      <c r="B140" s="13" t="s">
        <v>84</v>
      </c>
      <c r="C140" s="12">
        <f>_xll.DBRW($B$1,Cons_Region!$F$12,Cons_Region!C$15,$M$1,Cons_Region!$H$12,Cons_Region!$C$12,$N$1,$A140,$L$1,$K$1)</f>
        <v>0</v>
      </c>
      <c r="D140" s="12">
        <f>_xll.DBRW($B$1,Cons_Region!$F$12,Cons_Region!D$15,$M$1,Cons_Region!$H$12,Cons_Region!$C$12,$N$1,$A140,$L$1,$K$1)</f>
        <v>-40.856499999999997</v>
      </c>
      <c r="E140" s="12">
        <f>_xll.DBRW($B$1,Cons_Region!$F$12,Cons_Region!E$15,$M$1,Cons_Region!$H$12,Cons_Region!$C$12,$N$1,$A140,$L$1,$K$1)</f>
        <v>-36.693199999999997</v>
      </c>
      <c r="F140" s="12">
        <f>_xll.DBRW($B$1,Cons_Region!$F$12,Cons_Region!F$15,$M$1,Cons_Region!$H$12,Cons_Region!$C$12,$N$1,$A140,$L$1,$K$1)</f>
        <v>18.427600000000002</v>
      </c>
      <c r="G140" s="12">
        <f>_xll.DBRW($B$1,Cons_Region!$F$12,Cons_Region!G$15,$M$1,Cons_Region!$H$12,Cons_Region!$C$12,$N$1,$A140,$L$1,$K$1)</f>
        <v>7.5338000000000003</v>
      </c>
      <c r="H140" s="12">
        <f>_xll.DBRW($B$1,Cons_Region!$F$12,Cons_Region!H$15,$M$1,Cons_Region!$H$12,Cons_Region!$C$12,$N$1,$A140,$L$1,$K$1)</f>
        <v>-18.810300000000002</v>
      </c>
      <c r="I140" s="12">
        <f>_xll.DBRW($B$1,Cons_Region!$F$12,Cons_Region!I$15,$M$1,Cons_Region!$H$12,Cons_Region!$C$12,$N$1,$A140,$L$1,$K$1)</f>
        <v>-36.794600000000003</v>
      </c>
      <c r="J140" s="12">
        <f>_xll.DBRW($B$1,Cons_Region!$F$12,Cons_Region!J$15,$M$1,Cons_Region!$H$12,Cons_Region!$C$12,$N$1,$A140,$L$1,$K$1)</f>
        <v>-24.499400000000001</v>
      </c>
      <c r="K140" s="12">
        <f>_xll.DBRW($B$1,Cons_Region!$F$12,Cons_Region!K$15,$M$1,Cons_Region!$H$12,Cons_Region!$C$12,$N$1,$A140,$L$1,$K$1)</f>
        <v>5.0983000000000001</v>
      </c>
      <c r="L140" s="12">
        <f>_xll.DBRW($B$1,Cons_Region!$F$12,Cons_Region!L$15,$M$1,Cons_Region!$H$12,Cons_Region!$C$12,$N$1,$A140,$L$1,$K$1)</f>
        <v>26.5944</v>
      </c>
      <c r="M140" s="12">
        <f>_xll.DBRW($B$1,Cons_Region!$F$12,Cons_Region!M$15,$M$1,Cons_Region!$H$12,Cons_Region!$C$12,$N$1,$A140,$L$1,$K$1)</f>
        <v>20.000499999999999</v>
      </c>
      <c r="N140" s="12">
        <f>_xll.DBRW($B$1,Cons_Region!$F$12,Cons_Region!N$15,$M$1,Cons_Region!$H$12,Cons_Region!$C$12,$N$1,$A140,$L$1,$K$1)</f>
        <v>0</v>
      </c>
      <c r="O140" s="12">
        <f>_xll.DBRW($B$1,O$14,Cons_Region!O$15,$M$1,Cons_Region!$H$12,Cons_Region!$C$12,$N$1,$A140,$L$1,$K$1)</f>
        <v>0</v>
      </c>
      <c r="P140" s="12">
        <f>_xll.DBRW($B$1,P$14,Cons_Region!P$15,$M$1,Cons_Region!$H$12,Cons_Region!$C$12,$N$1,$A140,$L$1,$K$1)</f>
        <v>0</v>
      </c>
      <c r="Q140" s="12">
        <f>_xll.DBRW($B$1,Q$14,Cons_Region!Q$15,$M$1,Cons_Region!$H$12,Cons_Region!$C$12,$N$1,$A140,$L$1,$K$1)</f>
        <v>0</v>
      </c>
      <c r="R140" s="12">
        <f>_xll.DBRW($B$1,R$14,Cons_Region!R$15,$M$1,Cons_Region!$H$12,Cons_Region!$C$12,$N$1,$A140,$L$1,$K$1)</f>
        <v>0</v>
      </c>
      <c r="S140" s="12">
        <f>_xll.DBRW($B$1,S$14,Cons_Region!S$15,$M$1,Cons_Region!$H$12,Cons_Region!$C$12,$N$1,$A140,$L$1,$K$1)</f>
        <v>0</v>
      </c>
    </row>
    <row r="141" spans="1:19" s="29" customFormat="1" ht="15.75" customHeight="1">
      <c r="A141" s="69" t="s">
        <v>441</v>
      </c>
      <c r="B141" s="15" t="s">
        <v>85</v>
      </c>
      <c r="C141" s="20">
        <f>_xll.DBRW($C$3,Cons_Region!$F$12,Cons_Region!C$15,$M$1,Cons_Region!$H$12,Cons_Region!$C$12,$A141,$K$1)</f>
        <v>0</v>
      </c>
      <c r="D141" s="20">
        <f>_xll.DBRW($C$3,Cons_Region!$F$12,Cons_Region!D$15,$M$1,Cons_Region!$H$12,Cons_Region!$C$12,$A141,$K$1)</f>
        <v>-540.35694540908491</v>
      </c>
      <c r="E141" s="20">
        <f>_xll.DBRW($C$3,Cons_Region!$F$12,Cons_Region!E$15,$M$1,Cons_Region!$H$12,Cons_Region!$C$12,$A141,$K$1)</f>
        <v>-72.869029506807976</v>
      </c>
      <c r="F141" s="20">
        <f>_xll.DBRW($C$3,Cons_Region!$F$12,Cons_Region!F$15,$M$1,Cons_Region!$H$12,Cons_Region!$C$12,$A141,$K$1)</f>
        <v>329.89273420134259</v>
      </c>
      <c r="G141" s="20">
        <f>_xll.DBRW($C$3,Cons_Region!$F$12,Cons_Region!G$15,$M$1,Cons_Region!$H$12,Cons_Region!$C$12,$A141,$K$1)</f>
        <v>87.633539745475289</v>
      </c>
      <c r="H141" s="20">
        <f>_xll.DBRW($C$3,Cons_Region!$F$12,Cons_Region!H$15,$M$1,Cons_Region!$H$12,Cons_Region!$C$12,$A141,$K$1)</f>
        <v>95.113669316695095</v>
      </c>
      <c r="I141" s="20">
        <f>_xll.DBRW($C$3,Cons_Region!$F$12,Cons_Region!I$15,$M$1,Cons_Region!$H$12,Cons_Region!$C$12,$A141,$K$1)</f>
        <v>9.0065401772746441</v>
      </c>
      <c r="J141" s="20">
        <f>_xll.DBRW($C$3,Cons_Region!$F$12,Cons_Region!J$15,$M$1,Cons_Region!$H$12,Cons_Region!$C$12,$A141,$K$1)</f>
        <v>-232.74835497891931</v>
      </c>
      <c r="K141" s="20">
        <f>_xll.DBRW($C$3,Cons_Region!$F$12,Cons_Region!K$15,$M$1,Cons_Region!$H$12,Cons_Region!$C$12,$A141,$K$1)</f>
        <v>36.385101461460074</v>
      </c>
      <c r="L141" s="20">
        <f>_xll.DBRW($C$3,Cons_Region!$F$12,Cons_Region!L$15,$M$1,Cons_Region!$H$12,Cons_Region!$C$12,$A141,$K$1)</f>
        <v>187.1355539632346</v>
      </c>
      <c r="M141" s="20">
        <f>_xll.DBRW($C$3,Cons_Region!$F$12,Cons_Region!M$15,$M$1,Cons_Region!$H$12,Cons_Region!$C$12,$A141,$K$1)</f>
        <v>11.881624590835951</v>
      </c>
      <c r="N141" s="20">
        <f>_xll.DBRW($C$3,Cons_Region!$F$12,Cons_Region!N$15,$M$1,Cons_Region!$H$12,Cons_Region!$C$12,$A141,$K$1)</f>
        <v>8.926166438493965</v>
      </c>
      <c r="O141" s="20">
        <f>_xll.DBRW($C$3,O$14,Cons_Region!O$15,$M$1,Cons_Region!$H$12,Cons_Region!$C$12,$A141,$K$1)</f>
        <v>0</v>
      </c>
      <c r="P141" s="20">
        <f>_xll.DBRW($C$3,P$14,Cons_Region!P$15,$M$1,Cons_Region!$H$12,Cons_Region!$C$12,$A141,$K$1)</f>
        <v>0</v>
      </c>
      <c r="Q141" s="20">
        <f>_xll.DBRW($C$3,Q$14,Cons_Region!Q$15,$M$1,Cons_Region!$H$12,Cons_Region!$C$12,$A141,$K$1)</f>
        <v>0</v>
      </c>
      <c r="R141" s="20">
        <f>_xll.DBRW($C$3,R$14,Cons_Region!R$15,$M$1,Cons_Region!$H$12,Cons_Region!$C$12,$A141,$K$1)</f>
        <v>0</v>
      </c>
      <c r="S141" s="20">
        <f>_xll.DBRW($C$3,S$14,Cons_Region!S$15,$M$1,Cons_Region!$H$12,Cons_Region!$C$12,$A141,$K$1)</f>
        <v>0</v>
      </c>
    </row>
    <row r="142" spans="1:19" ht="15.75" customHeight="1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</row>
    <row r="143" spans="1:19" ht="15.75" customHeight="1" thickBot="1">
      <c r="B143" s="1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</row>
    <row r="144" spans="1:19" ht="15.75" customHeight="1" thickTop="1" thickBot="1">
      <c r="B144" s="27" t="s">
        <v>89</v>
      </c>
      <c r="C144" s="25"/>
      <c r="D144" s="25"/>
      <c r="E144" s="25"/>
      <c r="F144" s="7" t="s">
        <v>50</v>
      </c>
      <c r="G144" s="6" t="str">
        <f>_xll.SUBNM("CONS_VC_PRD:ALL.D.Currency","PAX","BRL Conv.","Nome alternativo")</f>
        <v>BRL Conv.</v>
      </c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</row>
    <row r="145" spans="1:19" ht="15.75" customHeight="1" thickTop="1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</row>
    <row r="146" spans="1:19" ht="15.75" customHeight="1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80">
        <f>$F$12+1</f>
        <v>2027</v>
      </c>
      <c r="P146" s="80">
        <f>$F$12+2</f>
        <v>2028</v>
      </c>
      <c r="Q146" s="80">
        <f>$F$12+3</f>
        <v>2029</v>
      </c>
      <c r="R146" s="80">
        <f>$F$12+4</f>
        <v>2030</v>
      </c>
      <c r="S146" s="80">
        <f>$F$12+5</f>
        <v>2031</v>
      </c>
    </row>
    <row r="147" spans="1:19" ht="15.75" customHeight="1">
      <c r="B147" s="22"/>
      <c r="C147" s="23" t="str">
        <f t="shared" ref="C147:N147" si="12">$F$12&amp;"."&amp;C$15</f>
        <v>2026.01</v>
      </c>
      <c r="D147" s="23" t="str">
        <f t="shared" si="12"/>
        <v>2026.02</v>
      </c>
      <c r="E147" s="23" t="str">
        <f t="shared" si="12"/>
        <v>2026.03</v>
      </c>
      <c r="F147" s="23" t="str">
        <f t="shared" si="12"/>
        <v>2026.04</v>
      </c>
      <c r="G147" s="23" t="str">
        <f t="shared" si="12"/>
        <v>2026.05</v>
      </c>
      <c r="H147" s="23" t="str">
        <f t="shared" si="12"/>
        <v>2026.06</v>
      </c>
      <c r="I147" s="23" t="str">
        <f t="shared" si="12"/>
        <v>2026.07</v>
      </c>
      <c r="J147" s="23" t="str">
        <f t="shared" si="12"/>
        <v>2026.08</v>
      </c>
      <c r="K147" s="23" t="str">
        <f t="shared" si="12"/>
        <v>2026.09</v>
      </c>
      <c r="L147" s="23" t="str">
        <f t="shared" si="12"/>
        <v>2026.10</v>
      </c>
      <c r="M147" s="23" t="str">
        <f t="shared" si="12"/>
        <v>2026.11</v>
      </c>
      <c r="N147" s="23" t="str">
        <f t="shared" si="12"/>
        <v>2026.12</v>
      </c>
      <c r="O147" s="23" t="s">
        <v>304</v>
      </c>
      <c r="P147" s="23" t="s">
        <v>304</v>
      </c>
      <c r="Q147" s="23" t="s">
        <v>304</v>
      </c>
      <c r="R147" s="23" t="s">
        <v>304</v>
      </c>
      <c r="S147" s="23" t="s">
        <v>304</v>
      </c>
    </row>
    <row r="148" spans="1:19" ht="15.75" customHeight="1">
      <c r="A148" s="69" t="s">
        <v>442</v>
      </c>
      <c r="B148" s="15" t="s">
        <v>275</v>
      </c>
      <c r="C148" s="20">
        <f>_xll.DBRW($C$4,Cons_Region!$F$12,Cons_Region!C$15,$M$1,$G$144,Cons_Region!$C$12,$A148,$K$1)</f>
        <v>0</v>
      </c>
      <c r="D148" s="20">
        <f>_xll.DBRW($C$4,Cons_Region!$F$12,Cons_Region!D$15,$M$1,$G$144,Cons_Region!$C$12,$A148,$K$1)</f>
        <v>0</v>
      </c>
      <c r="E148" s="20">
        <f>_xll.DBRW($C$4,Cons_Region!$F$12,Cons_Region!E$15,$M$1,$G$144,Cons_Region!$C$12,$A148,$K$1)</f>
        <v>15.472494999999999</v>
      </c>
      <c r="F148" s="20">
        <f>_xll.DBRW($C$4,Cons_Region!$F$12,Cons_Region!F$15,$M$1,$G$144,Cons_Region!$C$12,$A148,$K$1)</f>
        <v>17.493420000000039</v>
      </c>
      <c r="G148" s="20">
        <f>_xll.DBRW($C$4,Cons_Region!$F$12,Cons_Region!G$15,$M$1,$G$144,Cons_Region!$C$12,$A148,$K$1)</f>
        <v>153.83894800000002</v>
      </c>
      <c r="H148" s="20">
        <f>_xll.DBRW($C$4,Cons_Region!$F$12,Cons_Region!H$15,$M$1,$G$144,Cons_Region!$C$12,$A148,$K$1)</f>
        <v>146.28606000000002</v>
      </c>
      <c r="I148" s="20">
        <f>_xll.DBRW($C$4,Cons_Region!$F$12,Cons_Region!I$15,$M$1,$G$144,Cons_Region!$C$12,$A148,$K$1)</f>
        <v>210.57080500000001</v>
      </c>
      <c r="J148" s="20">
        <f>_xll.DBRW($C$4,Cons_Region!$F$12,Cons_Region!J$15,$M$1,$G$144,Cons_Region!$C$12,$A148,$K$1)</f>
        <v>196.68455200000002</v>
      </c>
      <c r="K148" s="20">
        <f>_xll.DBRW($C$4,Cons_Region!$F$12,Cons_Region!K$15,$M$1,$G$144,Cons_Region!$C$12,$A148,$K$1)</f>
        <v>202.71244500000003</v>
      </c>
      <c r="L148" s="20">
        <f>_xll.DBRW($C$4,Cons_Region!$F$12,Cons_Region!L$15,$M$1,$G$144,Cons_Region!$C$12,$A148,$K$1)</f>
        <v>305.31360500000005</v>
      </c>
      <c r="M148" s="20">
        <f>_xll.DBRW($C$4,Cons_Region!$F$12,Cons_Region!M$15,$M$1,$G$144,Cons_Region!$C$12,$A148,$K$1)</f>
        <v>449.49479200000002</v>
      </c>
      <c r="N148" s="20">
        <f>_xll.DBRW($C$4,Cons_Region!$F$12,Cons_Region!N$15,$M$1,$G$144,Cons_Region!$C$12,$A148,$K$1)</f>
        <v>458.23960799999998</v>
      </c>
      <c r="O148" s="20">
        <f>_xll.DBRW($C$4,O$14,Cons_Region!O$15,$M$1,$G$144,Cons_Region!$C$12,$A148,$K$1)</f>
        <v>0</v>
      </c>
      <c r="P148" s="20">
        <f>_xll.DBRW($C$4,P$14,Cons_Region!P$15,$M$1,$G$144,Cons_Region!$C$12,$A148,$K$1)</f>
        <v>0</v>
      </c>
      <c r="Q148" s="20">
        <f>_xll.DBRW($C$4,Q$14,Cons_Region!Q$15,$M$1,$G$144,Cons_Region!$C$12,$A148,$K$1)</f>
        <v>0</v>
      </c>
      <c r="R148" s="20">
        <f>_xll.DBRW($C$4,R$14,Cons_Region!R$15,$M$1,$G$144,Cons_Region!$C$12,$A148,$K$1)</f>
        <v>0</v>
      </c>
      <c r="S148" s="20">
        <f>_xll.DBRW($C$4,S$14,Cons_Region!S$15,$M$1,$G$144,Cons_Region!$C$12,$A148,$K$1)</f>
        <v>0</v>
      </c>
    </row>
    <row r="149" spans="1:19" ht="15.75" customHeight="1">
      <c r="A149" s="69" t="s">
        <v>443</v>
      </c>
      <c r="B149" s="15" t="s">
        <v>276</v>
      </c>
      <c r="C149" s="20">
        <f>_xll.DBRW($C$4,Cons_Region!$F$12,Cons_Region!C$15,$M$1,$G$144,Cons_Region!$C$12,$A149,$K$1)</f>
        <v>0</v>
      </c>
      <c r="D149" s="20">
        <f>_xll.DBRW($C$4,Cons_Region!$F$12,Cons_Region!D$15,$M$1,$G$144,Cons_Region!$C$12,$A149,$K$1)</f>
        <v>-1.5581</v>
      </c>
      <c r="E149" s="20">
        <f>_xll.DBRW($C$4,Cons_Region!$F$12,Cons_Region!E$15,$M$1,$G$144,Cons_Region!$C$12,$A149,$K$1)</f>
        <v>-1020</v>
      </c>
      <c r="F149" s="20">
        <f>_xll.DBRW($C$4,Cons_Region!$F$12,Cons_Region!F$15,$M$1,$G$144,Cons_Region!$C$12,$A149,$K$1)</f>
        <v>0</v>
      </c>
      <c r="G149" s="20">
        <f>_xll.DBRW($C$4,Cons_Region!$F$12,Cons_Region!G$15,$M$1,$G$144,Cons_Region!$C$12,$A149,$K$1)</f>
        <v>0</v>
      </c>
      <c r="H149" s="20">
        <f>_xll.DBRW($C$4,Cons_Region!$F$12,Cons_Region!H$15,$M$1,$G$144,Cons_Region!$C$12,$A149,$K$1)</f>
        <v>0</v>
      </c>
      <c r="I149" s="20">
        <f>_xll.DBRW($C$4,Cons_Region!$F$12,Cons_Region!I$15,$M$1,$G$144,Cons_Region!$C$12,$A149,$K$1)</f>
        <v>0</v>
      </c>
      <c r="J149" s="20">
        <f>_xll.DBRW($C$4,Cons_Region!$F$12,Cons_Region!J$15,$M$1,$G$144,Cons_Region!$C$12,$A149,$K$1)</f>
        <v>0</v>
      </c>
      <c r="K149" s="20">
        <f>_xll.DBRW($C$4,Cons_Region!$F$12,Cons_Region!K$15,$M$1,$G$144,Cons_Region!$C$12,$A149,$K$1)</f>
        <v>-54.3</v>
      </c>
      <c r="L149" s="20">
        <f>_xll.DBRW($C$4,Cons_Region!$F$12,Cons_Region!L$15,$M$1,$G$144,Cons_Region!$C$12,$A149,$K$1)</f>
        <v>0</v>
      </c>
      <c r="M149" s="20">
        <f>_xll.DBRW($C$4,Cons_Region!$F$12,Cons_Region!M$15,$M$1,$G$144,Cons_Region!$C$12,$A149,$K$1)</f>
        <v>0</v>
      </c>
      <c r="N149" s="20">
        <f>_xll.DBRW($C$4,Cons_Region!$F$12,Cons_Region!N$15,$M$1,$G$144,Cons_Region!$C$12,$A149,$K$1)</f>
        <v>0</v>
      </c>
      <c r="O149" s="20">
        <f>_xll.DBRW($C$4,O$14,Cons_Region!O$15,$M$1,$G$144,Cons_Region!$C$12,$A149,$K$1)</f>
        <v>0</v>
      </c>
      <c r="P149" s="20">
        <f>_xll.DBRW($C$4,P$14,Cons_Region!P$15,$M$1,$G$144,Cons_Region!$C$12,$A149,$K$1)</f>
        <v>0</v>
      </c>
      <c r="Q149" s="20">
        <f>_xll.DBRW($C$4,Q$14,Cons_Region!Q$15,$M$1,$G$144,Cons_Region!$C$12,$A149,$K$1)</f>
        <v>0</v>
      </c>
      <c r="R149" s="20">
        <f>_xll.DBRW($C$4,R$14,Cons_Region!R$15,$M$1,$G$144,Cons_Region!$C$12,$A149,$K$1)</f>
        <v>0</v>
      </c>
      <c r="S149" s="20">
        <f>_xll.DBRW($C$4,S$14,Cons_Region!S$15,$M$1,$G$144,Cons_Region!$C$12,$A149,$K$1)</f>
        <v>0</v>
      </c>
    </row>
    <row r="150" spans="1:19" ht="15.75" customHeight="1">
      <c r="A150" s="69" t="s">
        <v>444</v>
      </c>
      <c r="B150" s="15" t="s">
        <v>277</v>
      </c>
      <c r="C150" s="20">
        <f>_xll.DBRW($C$4,Cons_Region!$F$12,Cons_Region!C$15,$M$1,$G$144,Cons_Region!$C$12,$A150,$K$1)</f>
        <v>0</v>
      </c>
      <c r="D150" s="20">
        <f>_xll.DBRW($C$4,Cons_Region!$F$12,Cons_Region!D$15,$M$1,$G$144,Cons_Region!$C$12,$A150,$K$1)</f>
        <v>0</v>
      </c>
      <c r="E150" s="20">
        <f>_xll.DBRW($C$4,Cons_Region!$F$12,Cons_Region!E$15,$M$1,$G$144,Cons_Region!$C$12,$A150,$K$1)</f>
        <v>0</v>
      </c>
      <c r="F150" s="20">
        <f>_xll.DBRW($C$4,Cons_Region!$F$12,Cons_Region!F$15,$M$1,$G$144,Cons_Region!$C$12,$A150,$K$1)</f>
        <v>0</v>
      </c>
      <c r="G150" s="20">
        <f>_xll.DBRW($C$4,Cons_Region!$F$12,Cons_Region!G$15,$M$1,$G$144,Cons_Region!$C$12,$A150,$K$1)</f>
        <v>0</v>
      </c>
      <c r="H150" s="20">
        <f>_xll.DBRW($C$4,Cons_Region!$F$12,Cons_Region!H$15,$M$1,$G$144,Cons_Region!$C$12,$A150,$K$1)</f>
        <v>0</v>
      </c>
      <c r="I150" s="20">
        <f>_xll.DBRW($C$4,Cons_Region!$F$12,Cons_Region!I$15,$M$1,$G$144,Cons_Region!$C$12,$A150,$K$1)</f>
        <v>0</v>
      </c>
      <c r="J150" s="20">
        <f>_xll.DBRW($C$4,Cons_Region!$F$12,Cons_Region!J$15,$M$1,$G$144,Cons_Region!$C$12,$A150,$K$1)</f>
        <v>0</v>
      </c>
      <c r="K150" s="20">
        <f>_xll.DBRW($C$4,Cons_Region!$F$12,Cons_Region!K$15,$M$1,$G$144,Cons_Region!$C$12,$A150,$K$1)</f>
        <v>0</v>
      </c>
      <c r="L150" s="20">
        <f>_xll.DBRW($C$4,Cons_Region!$F$12,Cons_Region!L$15,$M$1,$G$144,Cons_Region!$C$12,$A150,$K$1)</f>
        <v>0</v>
      </c>
      <c r="M150" s="20">
        <f>_xll.DBRW($C$4,Cons_Region!$F$12,Cons_Region!M$15,$M$1,$G$144,Cons_Region!$C$12,$A150,$K$1)</f>
        <v>0</v>
      </c>
      <c r="N150" s="20">
        <f>_xll.DBRW($C$4,Cons_Region!$F$12,Cons_Region!N$15,$M$1,$G$144,Cons_Region!$C$12,$A150,$K$1)</f>
        <v>0</v>
      </c>
      <c r="O150" s="20">
        <f>_xll.DBRW($C$4,O$14,Cons_Region!O$15,$M$1,$G$144,Cons_Region!$C$12,$A150,$K$1)</f>
        <v>0</v>
      </c>
      <c r="P150" s="20">
        <f>_xll.DBRW($C$4,P$14,Cons_Region!P$15,$M$1,$G$144,Cons_Region!$C$12,$A150,$K$1)</f>
        <v>0</v>
      </c>
      <c r="Q150" s="20">
        <f>_xll.DBRW($C$4,Q$14,Cons_Region!Q$15,$M$1,$G$144,Cons_Region!$C$12,$A150,$K$1)</f>
        <v>0</v>
      </c>
      <c r="R150" s="20">
        <f>_xll.DBRW($C$4,R$14,Cons_Region!R$15,$M$1,$G$144,Cons_Region!$C$12,$A150,$K$1)</f>
        <v>0</v>
      </c>
      <c r="S150" s="20">
        <f>_xll.DBRW($C$4,S$14,Cons_Region!S$15,$M$1,$G$144,Cons_Region!$C$12,$A150,$K$1)</f>
        <v>0</v>
      </c>
    </row>
    <row r="151" spans="1:19" ht="15.75" customHeight="1">
      <c r="A151" s="69" t="s">
        <v>445</v>
      </c>
      <c r="B151" s="15" t="s">
        <v>278</v>
      </c>
      <c r="C151" s="20">
        <f>_xll.DBRW($C$4,Cons_Region!$F$12,Cons_Region!C$15,$M$1,$G$144,Cons_Region!$C$12,$A151,$K$1)</f>
        <v>0</v>
      </c>
      <c r="D151" s="20">
        <f>_xll.DBRW($C$4,Cons_Region!$F$12,Cons_Region!D$15,$M$1,$G$144,Cons_Region!$C$12,$A151,$K$1)</f>
        <v>14.8436</v>
      </c>
      <c r="E151" s="20">
        <f>_xll.DBRW($C$4,Cons_Region!$F$12,Cons_Region!E$15,$M$1,$G$144,Cons_Region!$C$12,$A151,$K$1)</f>
        <v>893.85900000000004</v>
      </c>
      <c r="F151" s="20">
        <f>_xll.DBRW($C$4,Cons_Region!$F$12,Cons_Region!F$15,$M$1,$G$144,Cons_Region!$C$12,$A151,$K$1)</f>
        <v>13.8787</v>
      </c>
      <c r="G151" s="20">
        <f>_xll.DBRW($C$4,Cons_Region!$F$12,Cons_Region!G$15,$M$1,$G$144,Cons_Region!$C$12,$A151,$K$1)</f>
        <v>13.9328</v>
      </c>
      <c r="H151" s="20">
        <f>_xll.DBRW($C$4,Cons_Region!$F$12,Cons_Region!H$15,$M$1,$G$144,Cons_Region!$C$12,$A151,$K$1)</f>
        <v>14.842700000000001</v>
      </c>
      <c r="I151" s="20">
        <f>_xll.DBRW($C$4,Cons_Region!$F$12,Cons_Region!I$15,$M$1,$G$144,Cons_Region!$C$12,$A151,$K$1)</f>
        <v>67.596278999999996</v>
      </c>
      <c r="J151" s="20">
        <f>_xll.DBRW($C$4,Cons_Region!$F$12,Cons_Region!J$15,$M$1,$G$144,Cons_Region!$C$12,$A151,$K$1)</f>
        <v>15.2033</v>
      </c>
      <c r="K151" s="20">
        <f>_xll.DBRW($C$4,Cons_Region!$F$12,Cons_Region!K$15,$M$1,$G$144,Cons_Region!$C$12,$A151,$K$1)</f>
        <v>16.501200000000001</v>
      </c>
      <c r="L151" s="20">
        <f>_xll.DBRW($C$4,Cons_Region!$F$12,Cons_Region!L$15,$M$1,$G$144,Cons_Region!$C$12,$A151,$K$1)</f>
        <v>14.1572</v>
      </c>
      <c r="M151" s="20">
        <f>_xll.DBRW($C$4,Cons_Region!$F$12,Cons_Region!M$15,$M$1,$G$144,Cons_Region!$C$12,$A151,$K$1)</f>
        <v>15.626899999999999</v>
      </c>
      <c r="N151" s="20">
        <f>_xll.DBRW($C$4,Cons_Region!$F$12,Cons_Region!N$15,$M$1,$G$144,Cons_Region!$C$12,$A151,$K$1)</f>
        <v>0</v>
      </c>
      <c r="O151" s="20">
        <f>_xll.DBRW($C$4,O$14,Cons_Region!O$15,$M$1,$G$144,Cons_Region!$C$12,$A151,$K$1)</f>
        <v>0</v>
      </c>
      <c r="P151" s="20">
        <f>_xll.DBRW($C$4,P$14,Cons_Region!P$15,$M$1,$G$144,Cons_Region!$C$12,$A151,$K$1)</f>
        <v>0</v>
      </c>
      <c r="Q151" s="20">
        <f>_xll.DBRW($C$4,Q$14,Cons_Region!Q$15,$M$1,$G$144,Cons_Region!$C$12,$A151,$K$1)</f>
        <v>0</v>
      </c>
      <c r="R151" s="20">
        <f>_xll.DBRW($C$4,R$14,Cons_Region!R$15,$M$1,$G$144,Cons_Region!$C$12,$A151,$K$1)</f>
        <v>0</v>
      </c>
      <c r="S151" s="20">
        <f>_xll.DBRW($C$4,S$14,Cons_Region!S$15,$M$1,$G$144,Cons_Region!$C$12,$A151,$K$1)</f>
        <v>0</v>
      </c>
    </row>
    <row r="152" spans="1:19" ht="15.75" customHeight="1">
      <c r="A152" s="69" t="s">
        <v>446</v>
      </c>
      <c r="B152" s="15" t="s">
        <v>279</v>
      </c>
      <c r="C152" s="20">
        <f>_xll.DBRW($C$4,Cons_Region!$F$12,Cons_Region!C$15,$M$1,$G$144,Cons_Region!$C$12,$A152,$K$1)</f>
        <v>0</v>
      </c>
      <c r="D152" s="20">
        <f>_xll.DBRW($C$4,Cons_Region!$F$12,Cons_Region!D$15,$M$1,$G$144,Cons_Region!$C$12,$A152,$K$1)</f>
        <v>12.9039</v>
      </c>
      <c r="E152" s="20">
        <f>_xll.DBRW($C$4,Cons_Region!$F$12,Cons_Region!E$15,$M$1,$G$144,Cons_Region!$C$12,$A152,$K$1)</f>
        <v>123.349</v>
      </c>
      <c r="F152" s="20">
        <f>_xll.DBRW($C$4,Cons_Region!$F$12,Cons_Region!F$15,$M$1,$G$144,Cons_Region!$C$12,$A152,$K$1)</f>
        <v>144.89108400000001</v>
      </c>
      <c r="G152" s="20">
        <f>_xll.DBRW($C$4,Cons_Region!$F$12,Cons_Region!G$15,$M$1,$G$144,Cons_Region!$C$12,$A152,$K$1)</f>
        <v>0.86040000000000005</v>
      </c>
      <c r="H152" s="20">
        <f>_xll.DBRW($C$4,Cons_Region!$F$12,Cons_Region!H$15,$M$1,$G$144,Cons_Region!$C$12,$A152,$K$1)</f>
        <v>71.628299999999996</v>
      </c>
      <c r="I152" s="20">
        <f>_xll.DBRW($C$4,Cons_Region!$F$12,Cons_Region!I$15,$M$1,$G$144,Cons_Region!$C$12,$A152,$K$1)</f>
        <v>25.376271999999997</v>
      </c>
      <c r="J152" s="20">
        <f>_xll.DBRW($C$4,Cons_Region!$F$12,Cons_Region!J$15,$M$1,$G$144,Cons_Region!$C$12,$A152,$K$1)</f>
        <v>14.876799999999999</v>
      </c>
      <c r="K152" s="20">
        <f>_xll.DBRW($C$4,Cons_Region!$F$12,Cons_Region!K$15,$M$1,$G$144,Cons_Region!$C$12,$A152,$K$1)</f>
        <v>149.7379</v>
      </c>
      <c r="L152" s="20">
        <f>_xll.DBRW($C$4,Cons_Region!$F$12,Cons_Region!L$15,$M$1,$G$144,Cons_Region!$C$12,$A152,$K$1)</f>
        <v>139.72967200000002</v>
      </c>
      <c r="M152" s="20">
        <f>_xll.DBRW($C$4,Cons_Region!$F$12,Cons_Region!M$15,$M$1,$G$144,Cons_Region!$C$12,$A152,$K$1)</f>
        <v>2.3994</v>
      </c>
      <c r="N152" s="20">
        <f>_xll.DBRW($C$4,Cons_Region!$F$12,Cons_Region!N$15,$M$1,$G$144,Cons_Region!$C$12,$A152,$K$1)</f>
        <v>0</v>
      </c>
      <c r="O152" s="20">
        <f>_xll.DBRW($C$4,O$14,Cons_Region!O$15,$M$1,$G$144,Cons_Region!$C$12,$A152,$K$1)</f>
        <v>0</v>
      </c>
      <c r="P152" s="20">
        <f>_xll.DBRW($C$4,P$14,Cons_Region!P$15,$M$1,$G$144,Cons_Region!$C$12,$A152,$K$1)</f>
        <v>0</v>
      </c>
      <c r="Q152" s="20">
        <f>_xll.DBRW($C$4,Q$14,Cons_Region!Q$15,$M$1,$G$144,Cons_Region!$C$12,$A152,$K$1)</f>
        <v>0</v>
      </c>
      <c r="R152" s="20">
        <f>_xll.DBRW($C$4,R$14,Cons_Region!R$15,$M$1,$G$144,Cons_Region!$C$12,$A152,$K$1)</f>
        <v>0</v>
      </c>
      <c r="S152" s="20">
        <f>_xll.DBRW($C$4,S$14,Cons_Region!S$15,$M$1,$G$144,Cons_Region!$C$12,$A152,$K$1)</f>
        <v>0</v>
      </c>
    </row>
    <row r="153" spans="1:19" ht="15.75" customHeight="1">
      <c r="A153" s="69" t="s">
        <v>447</v>
      </c>
      <c r="B153" s="15" t="s">
        <v>280</v>
      </c>
      <c r="C153" s="20">
        <f>_xll.DBRW($C$4,Cons_Region!$F$12,Cons_Region!C$15,$M$1,$G$144,Cons_Region!$C$12,$A153,$K$1)</f>
        <v>0</v>
      </c>
      <c r="D153" s="20">
        <f>_xll.DBRW($C$4,Cons_Region!$F$12,Cons_Region!D$15,$M$1,$G$144,Cons_Region!$C$12,$A153,$K$1)</f>
        <v>-10.621547000000001</v>
      </c>
      <c r="E153" s="20">
        <f>_xll.DBRW($C$4,Cons_Region!$F$12,Cons_Region!E$15,$M$1,$G$144,Cons_Region!$C$12,$A153,$K$1)</f>
        <v>4.6698880000000003</v>
      </c>
      <c r="F153" s="20">
        <f>_xll.DBRW($C$4,Cons_Region!$F$12,Cons_Region!F$15,$M$1,$G$144,Cons_Region!$C$12,$A153,$K$1)</f>
        <v>-22.662695999999997</v>
      </c>
      <c r="G153" s="20">
        <f>_xll.DBRW($C$4,Cons_Region!$F$12,Cons_Region!G$15,$M$1,$G$144,Cons_Region!$C$12,$A153,$K$1)</f>
        <v>-22.733599999999999</v>
      </c>
      <c r="H153" s="20">
        <f>_xll.DBRW($C$4,Cons_Region!$F$12,Cons_Region!H$15,$M$1,$G$144,Cons_Region!$C$12,$A153,$K$1)</f>
        <v>-22.489650000000001</v>
      </c>
      <c r="I153" s="20">
        <f>_xll.DBRW($C$4,Cons_Region!$F$12,Cons_Region!I$15,$M$1,$G$144,Cons_Region!$C$12,$A153,$K$1)</f>
        <v>-107.242138</v>
      </c>
      <c r="J153" s="20">
        <f>_xll.DBRW($C$4,Cons_Region!$F$12,Cons_Region!J$15,$M$1,$G$144,Cons_Region!$C$12,$A153,$K$1)</f>
        <v>-24.468311</v>
      </c>
      <c r="K153" s="20">
        <f>_xll.DBRW($C$4,Cons_Region!$F$12,Cons_Region!K$15,$M$1,$G$144,Cons_Region!$C$12,$A153,$K$1)</f>
        <v>-9.745470000000001</v>
      </c>
      <c r="L153" s="20">
        <f>_xll.DBRW($C$4,Cons_Region!$F$12,Cons_Region!L$15,$M$1,$G$144,Cons_Region!$C$12,$A153,$K$1)</f>
        <v>-9.9051559999999998</v>
      </c>
      <c r="M153" s="20">
        <f>_xll.DBRW($C$4,Cons_Region!$F$12,Cons_Region!M$15,$M$1,$G$144,Cons_Region!$C$12,$A153,$K$1)</f>
        <v>-9.6857980000000001</v>
      </c>
      <c r="N153" s="20">
        <f>_xll.DBRW($C$4,Cons_Region!$F$12,Cons_Region!N$15,$M$1,$G$144,Cons_Region!$C$12,$A153,$K$1)</f>
        <v>0</v>
      </c>
      <c r="O153" s="20">
        <f>_xll.DBRW($C$4,O$14,Cons_Region!O$15,$M$1,$G$144,Cons_Region!$C$12,$A153,$K$1)</f>
        <v>0</v>
      </c>
      <c r="P153" s="20">
        <f>_xll.DBRW($C$4,P$14,Cons_Region!P$15,$M$1,$G$144,Cons_Region!$C$12,$A153,$K$1)</f>
        <v>0</v>
      </c>
      <c r="Q153" s="20">
        <f>_xll.DBRW($C$4,Q$14,Cons_Region!Q$15,$M$1,$G$144,Cons_Region!$C$12,$A153,$K$1)</f>
        <v>0</v>
      </c>
      <c r="R153" s="20">
        <f>_xll.DBRW($C$4,R$14,Cons_Region!R$15,$M$1,$G$144,Cons_Region!$C$12,$A153,$K$1)</f>
        <v>0</v>
      </c>
      <c r="S153" s="20">
        <f>_xll.DBRW($C$4,S$14,Cons_Region!S$15,$M$1,$G$144,Cons_Region!$C$12,$A153,$K$1)</f>
        <v>0</v>
      </c>
    </row>
    <row r="154" spans="1:19" ht="15.75" customHeight="1">
      <c r="A154" s="69" t="s">
        <v>448</v>
      </c>
      <c r="B154" s="15" t="s">
        <v>281</v>
      </c>
      <c r="C154" s="20">
        <f>_xll.DBRW($C$4,Cons_Region!$F$12,Cons_Region!C$15,$M$1,$G$144,Cons_Region!$C$12,$A154,$K$1)</f>
        <v>0</v>
      </c>
      <c r="D154" s="20">
        <f>_xll.DBRW($C$4,Cons_Region!$F$12,Cons_Region!D$15,$M$1,$G$144,Cons_Region!$C$12,$A154,$K$1)</f>
        <v>0</v>
      </c>
      <c r="E154" s="20">
        <f>_xll.DBRW($C$4,Cons_Region!$F$12,Cons_Region!E$15,$M$1,$G$144,Cons_Region!$C$12,$A154,$K$1)</f>
        <v>0</v>
      </c>
      <c r="F154" s="20">
        <f>_xll.DBRW($C$4,Cons_Region!$F$12,Cons_Region!F$15,$M$1,$G$144,Cons_Region!$C$12,$A154,$K$1)</f>
        <v>0</v>
      </c>
      <c r="G154" s="20">
        <f>_xll.DBRW($C$4,Cons_Region!$F$12,Cons_Region!G$15,$M$1,$G$144,Cons_Region!$C$12,$A154,$K$1)</f>
        <v>0</v>
      </c>
      <c r="H154" s="20">
        <f>_xll.DBRW($C$4,Cons_Region!$F$12,Cons_Region!H$15,$M$1,$G$144,Cons_Region!$C$12,$A154,$K$1)</f>
        <v>0</v>
      </c>
      <c r="I154" s="20">
        <f>_xll.DBRW($C$4,Cons_Region!$F$12,Cons_Region!I$15,$M$1,$G$144,Cons_Region!$C$12,$A154,$K$1)</f>
        <v>0</v>
      </c>
      <c r="J154" s="20">
        <f>_xll.DBRW($C$4,Cons_Region!$F$12,Cons_Region!J$15,$M$1,$G$144,Cons_Region!$C$12,$A154,$K$1)</f>
        <v>0</v>
      </c>
      <c r="K154" s="20">
        <f>_xll.DBRW($C$4,Cons_Region!$F$12,Cons_Region!K$15,$M$1,$G$144,Cons_Region!$C$12,$A154,$K$1)</f>
        <v>0</v>
      </c>
      <c r="L154" s="20">
        <f>_xll.DBRW($C$4,Cons_Region!$F$12,Cons_Region!L$15,$M$1,$G$144,Cons_Region!$C$12,$A154,$K$1)</f>
        <v>0</v>
      </c>
      <c r="M154" s="20">
        <f>_xll.DBRW($C$4,Cons_Region!$F$12,Cons_Region!M$15,$M$1,$G$144,Cons_Region!$C$12,$A154,$K$1)</f>
        <v>0</v>
      </c>
      <c r="N154" s="20">
        <f>_xll.DBRW($C$4,Cons_Region!$F$12,Cons_Region!N$15,$M$1,$G$144,Cons_Region!$C$12,$A154,$K$1)</f>
        <v>0</v>
      </c>
      <c r="O154" s="20">
        <f>_xll.DBRW($C$4,O$14,Cons_Region!O$15,$M$1,$G$144,Cons_Region!$C$12,$A154,$K$1)</f>
        <v>0</v>
      </c>
      <c r="P154" s="20">
        <f>_xll.DBRW($C$4,P$14,Cons_Region!P$15,$M$1,$G$144,Cons_Region!$C$12,$A154,$K$1)</f>
        <v>0</v>
      </c>
      <c r="Q154" s="20">
        <f>_xll.DBRW($C$4,Q$14,Cons_Region!Q$15,$M$1,$G$144,Cons_Region!$C$12,$A154,$K$1)</f>
        <v>0</v>
      </c>
      <c r="R154" s="20">
        <f>_xll.DBRW($C$4,R$14,Cons_Region!R$15,$M$1,$G$144,Cons_Region!$C$12,$A154,$K$1)</f>
        <v>0</v>
      </c>
      <c r="S154" s="20">
        <f>_xll.DBRW($C$4,S$14,Cons_Region!S$15,$M$1,$G$144,Cons_Region!$C$12,$A154,$K$1)</f>
        <v>0</v>
      </c>
    </row>
    <row r="155" spans="1:19" ht="15.75" customHeight="1">
      <c r="A155" s="69" t="s">
        <v>449</v>
      </c>
      <c r="B155" s="15" t="s">
        <v>282</v>
      </c>
      <c r="C155" s="20">
        <f>_xll.DBRW($C$4,Cons_Region!$F$12,Cons_Region!C$15,$M$1,$G$144,Cons_Region!$C$12,$A155,$K$1)</f>
        <v>0</v>
      </c>
      <c r="D155" s="20">
        <f>_xll.DBRW($C$4,Cons_Region!$F$12,Cons_Region!D$15,$M$1,$G$144,Cons_Region!$C$12,$A155,$K$1)</f>
        <v>-9.5357999999999166E-2</v>
      </c>
      <c r="E155" s="20">
        <f>_xll.DBRW($C$4,Cons_Region!$F$12,Cons_Region!E$15,$M$1,$G$144,Cons_Region!$C$12,$A155,$K$1)</f>
        <v>0.1430370000000174</v>
      </c>
      <c r="F155" s="20">
        <f>_xll.DBRW($C$4,Cons_Region!$F$12,Cons_Region!F$15,$M$1,$G$144,Cons_Region!$C$12,$A155,$K$1)</f>
        <v>0.23843999999996868</v>
      </c>
      <c r="G155" s="20">
        <f>_xll.DBRW($C$4,Cons_Region!$F$12,Cons_Region!G$15,$M$1,$G$144,Cons_Region!$C$12,$A155,$K$1)</f>
        <v>0.38751200000001518</v>
      </c>
      <c r="H155" s="20">
        <f>_xll.DBRW($C$4,Cons_Region!$F$12,Cons_Region!H$15,$M$1,$G$144,Cons_Region!$C$12,$A155,$K$1)</f>
        <v>0.30339499999999475</v>
      </c>
      <c r="I155" s="20">
        <f>_xll.DBRW($C$4,Cons_Region!$F$12,Cons_Region!I$15,$M$1,$G$144,Cons_Region!$C$12,$A155,$K$1)</f>
        <v>0.383334000000076</v>
      </c>
      <c r="J155" s="20">
        <f>_xll.DBRW($C$4,Cons_Region!$F$12,Cons_Region!J$15,$M$1,$G$144,Cons_Region!$C$12,$A155,$K$1)</f>
        <v>0.41610399999999004</v>
      </c>
      <c r="K155" s="20">
        <f>_xll.DBRW($C$4,Cons_Region!$F$12,Cons_Region!K$15,$M$1,$G$144,Cons_Region!$C$12,$A155,$K$1)</f>
        <v>0.40753000000000839</v>
      </c>
      <c r="L155" s="20">
        <f>_xll.DBRW($C$4,Cons_Region!$F$12,Cons_Region!L$15,$M$1,$G$144,Cons_Region!$C$12,$A155,$K$1)</f>
        <v>0.19947099999990314</v>
      </c>
      <c r="M155" s="20">
        <f>_xll.DBRW($C$4,Cons_Region!$F$12,Cons_Region!M$15,$M$1,$G$144,Cons_Region!$C$12,$A155,$K$1)</f>
        <v>0.40431399999994255</v>
      </c>
      <c r="N155" s="20">
        <f>_xll.DBRW($C$4,Cons_Region!$F$12,Cons_Region!N$15,$M$1,$G$144,Cons_Region!$C$12,$A155,$K$1)</f>
        <v>0.39875200000000177</v>
      </c>
      <c r="O155" s="20">
        <f>_xll.DBRW($C$4,O$14,Cons_Region!O$15,$M$1,$G$144,Cons_Region!$C$12,$A155,$K$1)</f>
        <v>0</v>
      </c>
      <c r="P155" s="20">
        <f>_xll.DBRW($C$4,P$14,Cons_Region!P$15,$M$1,$G$144,Cons_Region!$C$12,$A155,$K$1)</f>
        <v>0</v>
      </c>
      <c r="Q155" s="20">
        <f>_xll.DBRW($C$4,Q$14,Cons_Region!Q$15,$M$1,$G$144,Cons_Region!$C$12,$A155,$K$1)</f>
        <v>0</v>
      </c>
      <c r="R155" s="20">
        <f>_xll.DBRW($C$4,R$14,Cons_Region!R$15,$M$1,$G$144,Cons_Region!$C$12,$A155,$K$1)</f>
        <v>0</v>
      </c>
      <c r="S155" s="20">
        <f>_xll.DBRW($C$4,S$14,Cons_Region!S$15,$M$1,$G$144,Cons_Region!$C$12,$A155,$K$1)</f>
        <v>0</v>
      </c>
    </row>
    <row r="156" spans="1:19" ht="15.75" customHeight="1">
      <c r="A156" s="69" t="s">
        <v>450</v>
      </c>
      <c r="B156" s="15" t="s">
        <v>283</v>
      </c>
      <c r="C156" s="20">
        <f>_xll.DBRW($C$4,Cons_Region!$F$12,Cons_Region!C$15,$M$1,$G$144,Cons_Region!$C$12,$A156,$K$1)</f>
        <v>0</v>
      </c>
      <c r="D156" s="20">
        <f>_xll.DBRW($C$4,Cons_Region!$F$12,Cons_Region!D$15,$M$1,$G$144,Cons_Region!$C$12,$A156,$K$1)</f>
        <v>0</v>
      </c>
      <c r="E156" s="20">
        <f>_xll.DBRW($C$4,Cons_Region!$F$12,Cons_Region!E$15,$M$1,$G$144,Cons_Region!$C$12,$A156,$K$1)</f>
        <v>0</v>
      </c>
      <c r="F156" s="20">
        <f>_xll.DBRW($C$4,Cons_Region!$F$12,Cons_Region!F$15,$M$1,$G$144,Cons_Region!$C$12,$A156,$K$1)</f>
        <v>0</v>
      </c>
      <c r="G156" s="20">
        <f>_xll.DBRW($C$4,Cons_Region!$F$12,Cons_Region!G$15,$M$1,$G$144,Cons_Region!$C$12,$A156,$K$1)</f>
        <v>0</v>
      </c>
      <c r="H156" s="20">
        <f>_xll.DBRW($C$4,Cons_Region!$F$12,Cons_Region!H$15,$M$1,$G$144,Cons_Region!$C$12,$A156,$K$1)</f>
        <v>0</v>
      </c>
      <c r="I156" s="20">
        <f>_xll.DBRW($C$4,Cons_Region!$F$12,Cons_Region!I$15,$M$1,$G$144,Cons_Region!$C$12,$A156,$K$1)</f>
        <v>0</v>
      </c>
      <c r="J156" s="20">
        <f>_xll.DBRW($C$4,Cons_Region!$F$12,Cons_Region!J$15,$M$1,$G$144,Cons_Region!$C$12,$A156,$K$1)</f>
        <v>0</v>
      </c>
      <c r="K156" s="20">
        <f>_xll.DBRW($C$4,Cons_Region!$F$12,Cons_Region!K$15,$M$1,$G$144,Cons_Region!$C$12,$A156,$K$1)</f>
        <v>0</v>
      </c>
      <c r="L156" s="20">
        <f>_xll.DBRW($C$4,Cons_Region!$F$12,Cons_Region!L$15,$M$1,$G$144,Cons_Region!$C$12,$A156,$K$1)</f>
        <v>0</v>
      </c>
      <c r="M156" s="20">
        <f>_xll.DBRW($C$4,Cons_Region!$F$12,Cons_Region!M$15,$M$1,$G$144,Cons_Region!$C$12,$A156,$K$1)</f>
        <v>0</v>
      </c>
      <c r="N156" s="20">
        <f>_xll.DBRW($C$4,Cons_Region!$F$12,Cons_Region!N$15,$M$1,$G$144,Cons_Region!$C$12,$A156,$K$1)</f>
        <v>0</v>
      </c>
      <c r="O156" s="20">
        <f>_xll.DBRW($C$4,O$14,Cons_Region!O$15,$M$1,$G$144,Cons_Region!$C$12,$A156,$K$1)</f>
        <v>0</v>
      </c>
      <c r="P156" s="20">
        <f>_xll.DBRW($C$4,P$14,Cons_Region!P$15,$M$1,$G$144,Cons_Region!$C$12,$A156,$K$1)</f>
        <v>0</v>
      </c>
      <c r="Q156" s="20">
        <f>_xll.DBRW($C$4,Q$14,Cons_Region!Q$15,$M$1,$G$144,Cons_Region!$C$12,$A156,$K$1)</f>
        <v>0</v>
      </c>
      <c r="R156" s="20">
        <f>_xll.DBRW($C$4,R$14,Cons_Region!R$15,$M$1,$G$144,Cons_Region!$C$12,$A156,$K$1)</f>
        <v>0</v>
      </c>
      <c r="S156" s="20">
        <f>_xll.DBRW($C$4,S$14,Cons_Region!S$15,$M$1,$G$144,Cons_Region!$C$12,$A156,$K$1)</f>
        <v>0</v>
      </c>
    </row>
    <row r="157" spans="1:19" ht="15.75" customHeight="1">
      <c r="A157" s="69" t="s">
        <v>451</v>
      </c>
      <c r="B157" s="15" t="s">
        <v>284</v>
      </c>
      <c r="C157" s="20">
        <f>_xll.DBRW($C$4,Cons_Region!$F$12,Cons_Region!C$15,$M$1,$G$144,Cons_Region!$C$12,$A157,$K$1)</f>
        <v>0</v>
      </c>
      <c r="D157" s="20">
        <f>_xll.DBRW($C$4,Cons_Region!$F$12,Cons_Region!D$15,$M$1,$G$144,Cons_Region!$C$12,$A157,$K$1)</f>
        <v>15.472494999999999</v>
      </c>
      <c r="E157" s="20">
        <f>_xll.DBRW($C$4,Cons_Region!$F$12,Cons_Region!E$15,$M$1,$G$144,Cons_Region!$C$12,$A157,$K$1)</f>
        <v>17.493420000000039</v>
      </c>
      <c r="F157" s="20">
        <f>_xll.DBRW($C$4,Cons_Region!$F$12,Cons_Region!F$15,$M$1,$G$144,Cons_Region!$C$12,$A157,$K$1)</f>
        <v>153.83894800000002</v>
      </c>
      <c r="G157" s="20">
        <f>_xll.DBRW($C$4,Cons_Region!$F$12,Cons_Region!G$15,$M$1,$G$144,Cons_Region!$C$12,$A157,$K$1)</f>
        <v>146.28606000000002</v>
      </c>
      <c r="H157" s="20">
        <f>_xll.DBRW($C$4,Cons_Region!$F$12,Cons_Region!H$15,$M$1,$G$144,Cons_Region!$C$12,$A157,$K$1)</f>
        <v>210.57080500000001</v>
      </c>
      <c r="I157" s="20">
        <f>_xll.DBRW($C$4,Cons_Region!$F$12,Cons_Region!I$15,$M$1,$G$144,Cons_Region!$C$12,$A157,$K$1)</f>
        <v>196.68455200000002</v>
      </c>
      <c r="J157" s="20">
        <f>_xll.DBRW($C$4,Cons_Region!$F$12,Cons_Region!J$15,$M$1,$G$144,Cons_Region!$C$12,$A157,$K$1)</f>
        <v>202.71244500000003</v>
      </c>
      <c r="K157" s="20">
        <f>_xll.DBRW($C$4,Cons_Region!$F$12,Cons_Region!K$15,$M$1,$G$144,Cons_Region!$C$12,$A157,$K$1)</f>
        <v>305.31360500000005</v>
      </c>
      <c r="L157" s="20">
        <f>_xll.DBRW($C$4,Cons_Region!$F$12,Cons_Region!L$15,$M$1,$G$144,Cons_Region!$C$12,$A157,$K$1)</f>
        <v>449.49479200000002</v>
      </c>
      <c r="M157" s="20">
        <f>_xll.DBRW($C$4,Cons_Region!$F$12,Cons_Region!M$15,$M$1,$G$144,Cons_Region!$C$12,$A157,$K$1)</f>
        <v>458.23960799999998</v>
      </c>
      <c r="N157" s="20">
        <f>_xll.DBRW($C$4,Cons_Region!$F$12,Cons_Region!N$15,$M$1,$G$144,Cons_Region!$C$12,$A157,$K$1)</f>
        <v>458.63835999999998</v>
      </c>
      <c r="O157" s="20">
        <f>_xll.DBRW($C$4,O$14,Cons_Region!O$15,$M$1,$G$144,Cons_Region!$C$12,$A157,$K$1)</f>
        <v>0</v>
      </c>
      <c r="P157" s="20">
        <f>_xll.DBRW($C$4,P$14,Cons_Region!P$15,$M$1,$G$144,Cons_Region!$C$12,$A157,$K$1)</f>
        <v>0</v>
      </c>
      <c r="Q157" s="20">
        <f>_xll.DBRW($C$4,Q$14,Cons_Region!Q$15,$M$1,$G$144,Cons_Region!$C$12,$A157,$K$1)</f>
        <v>0</v>
      </c>
      <c r="R157" s="20">
        <f>_xll.DBRW($C$4,R$14,Cons_Region!R$15,$M$1,$G$144,Cons_Region!$C$12,$A157,$K$1)</f>
        <v>0</v>
      </c>
      <c r="S157" s="20">
        <f>_xll.DBRW($C$4,S$14,Cons_Region!S$15,$M$1,$G$144,Cons_Region!$C$12,$A157,$K$1)</f>
        <v>0</v>
      </c>
    </row>
    <row r="158" spans="1:19" ht="15.75" customHeight="1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1:19" ht="15.75" customHeight="1" thickBot="1">
      <c r="B159" s="25"/>
      <c r="C159" s="25"/>
      <c r="D159" s="25"/>
      <c r="E159" s="25"/>
      <c r="F159" s="7" t="s">
        <v>50</v>
      </c>
      <c r="G159" s="6" t="str">
        <f>_xll.SUBNM("CONS_VC_PRD:ALL.D.Currency","Local","BRL","Nome alternativo")</f>
        <v>BRL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</row>
    <row r="160" spans="1:19" ht="15.75" customHeight="1" thickTop="1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80">
        <f>$F$12+1</f>
        <v>2027</v>
      </c>
      <c r="P160" s="80">
        <f>$F$12+2</f>
        <v>2028</v>
      </c>
      <c r="Q160" s="80">
        <f>$F$12+3</f>
        <v>2029</v>
      </c>
      <c r="R160" s="80">
        <f>$F$12+4</f>
        <v>2030</v>
      </c>
      <c r="S160" s="80">
        <f>$F$12+5</f>
        <v>2031</v>
      </c>
    </row>
    <row r="161" spans="1:19" ht="15.75" customHeight="1">
      <c r="B161" s="5" t="s">
        <v>303</v>
      </c>
      <c r="C161" s="23" t="str">
        <f t="shared" ref="C161:N161" si="13">$F$12&amp;"."&amp;C$15</f>
        <v>2026.01</v>
      </c>
      <c r="D161" s="23" t="str">
        <f t="shared" si="13"/>
        <v>2026.02</v>
      </c>
      <c r="E161" s="23" t="str">
        <f t="shared" si="13"/>
        <v>2026.03</v>
      </c>
      <c r="F161" s="23" t="str">
        <f t="shared" si="13"/>
        <v>2026.04</v>
      </c>
      <c r="G161" s="23" t="str">
        <f t="shared" si="13"/>
        <v>2026.05</v>
      </c>
      <c r="H161" s="23" t="str">
        <f t="shared" si="13"/>
        <v>2026.06</v>
      </c>
      <c r="I161" s="23" t="str">
        <f t="shared" si="13"/>
        <v>2026.07</v>
      </c>
      <c r="J161" s="23" t="str">
        <f t="shared" si="13"/>
        <v>2026.08</v>
      </c>
      <c r="K161" s="23" t="str">
        <f t="shared" si="13"/>
        <v>2026.09</v>
      </c>
      <c r="L161" s="23" t="str">
        <f t="shared" si="13"/>
        <v>2026.10</v>
      </c>
      <c r="M161" s="23" t="str">
        <f t="shared" si="13"/>
        <v>2026.11</v>
      </c>
      <c r="N161" s="23" t="str">
        <f t="shared" si="13"/>
        <v>2026.12</v>
      </c>
      <c r="O161" s="23" t="s">
        <v>304</v>
      </c>
      <c r="P161" s="23" t="s">
        <v>304</v>
      </c>
      <c r="Q161" s="23" t="s">
        <v>304</v>
      </c>
      <c r="R161" s="23" t="s">
        <v>304</v>
      </c>
      <c r="S161" s="23" t="s">
        <v>304</v>
      </c>
    </row>
    <row r="162" spans="1:19" ht="15.75" customHeight="1">
      <c r="A162" s="69" t="s">
        <v>452</v>
      </c>
      <c r="B162" s="13" t="s">
        <v>90</v>
      </c>
      <c r="C162" s="12">
        <f>_xll.DBRW($B$1,Cons_Region!$F$12,Cons_Region!C$15,$M$1,$G$159,Cons_Region!$C$12,$N$1,$A162,$L$1,$K$1)</f>
        <v>0</v>
      </c>
      <c r="D162" s="12">
        <f>_xll.DBRW($B$1,Cons_Region!$F$12,Cons_Region!D$15,$M$1,$G$159,Cons_Region!$C$12,$N$1,$A162,$L$1,$K$1)</f>
        <v>0</v>
      </c>
      <c r="E162" s="12">
        <f>_xll.DBRW($B$1,Cons_Region!$F$12,Cons_Region!E$15,$M$1,$G$159,Cons_Region!$C$12,$N$1,$A162,$L$1,$K$1)</f>
        <v>0</v>
      </c>
      <c r="F162" s="12">
        <f>_xll.DBRW($B$1,Cons_Region!$F$12,Cons_Region!F$15,$M$1,$G$159,Cons_Region!$C$12,$N$1,$A162,$L$1,$K$1)</f>
        <v>0</v>
      </c>
      <c r="G162" s="12">
        <f>_xll.DBRW($B$1,Cons_Region!$F$12,Cons_Region!G$15,$M$1,$G$159,Cons_Region!$C$12,$N$1,$A162,$L$1,$K$1)</f>
        <v>0</v>
      </c>
      <c r="H162" s="12">
        <f>_xll.DBRW($B$1,Cons_Region!$F$12,Cons_Region!H$15,$M$1,$G$159,Cons_Region!$C$12,$N$1,$A162,$L$1,$K$1)</f>
        <v>0</v>
      </c>
      <c r="I162" s="12">
        <f>_xll.DBRW($B$1,Cons_Region!$F$12,Cons_Region!I$15,$M$1,$G$159,Cons_Region!$C$12,$N$1,$A162,$L$1,$K$1)</f>
        <v>0</v>
      </c>
      <c r="J162" s="12">
        <f>_xll.DBRW($B$1,Cons_Region!$F$12,Cons_Region!J$15,$M$1,$G$159,Cons_Region!$C$12,$N$1,$A162,$L$1,$K$1)</f>
        <v>0</v>
      </c>
      <c r="K162" s="12">
        <f>_xll.DBRW($B$1,Cons_Region!$F$12,Cons_Region!K$15,$M$1,$G$159,Cons_Region!$C$12,$N$1,$A162,$L$1,$K$1)</f>
        <v>0</v>
      </c>
      <c r="L162" s="12">
        <f>_xll.DBRW($B$1,Cons_Region!$F$12,Cons_Region!L$15,$M$1,$G$159,Cons_Region!$C$12,$N$1,$A162,$L$1,$K$1)</f>
        <v>0</v>
      </c>
      <c r="M162" s="12">
        <f>_xll.DBRW($B$1,Cons_Region!$F$12,Cons_Region!M$15,$M$1,$G$159,Cons_Region!$C$12,$N$1,$A162,$L$1,$K$1)</f>
        <v>0</v>
      </c>
      <c r="N162" s="12">
        <f>_xll.DBRW($B$1,Cons_Region!$F$12,Cons_Region!N$15,$M$1,$G$159,Cons_Region!$C$12,$N$1,$A162,$L$1,$K$1)</f>
        <v>0</v>
      </c>
      <c r="O162" s="12">
        <f>_xll.DBRW($B$1,O$14,Cons_Region!O$15,$M$1,Cons_Region!$H$12,Cons_Region!$C$12,$N$1,$A162,$L$1,$K$1)</f>
        <v>0</v>
      </c>
      <c r="P162" s="12">
        <f>_xll.DBRW($B$1,P$14,Cons_Region!P$15,$M$1,Cons_Region!$H$12,Cons_Region!$C$12,$N$1,$A162,$L$1,$K$1)</f>
        <v>0</v>
      </c>
      <c r="Q162" s="12">
        <f>_xll.DBRW($B$1,Q$14,Cons_Region!Q$15,$M$1,Cons_Region!$H$12,Cons_Region!$C$12,$N$1,$A162,$L$1,$K$1)</f>
        <v>0</v>
      </c>
      <c r="R162" s="12">
        <f>_xll.DBRW($B$1,R$14,Cons_Region!R$15,$M$1,Cons_Region!$H$12,Cons_Region!$C$12,$N$1,$A162,$L$1,$K$1)</f>
        <v>0</v>
      </c>
      <c r="S162" s="12">
        <f>_xll.DBRW($B$1,S$14,Cons_Region!S$15,$M$1,Cons_Region!$H$12,Cons_Region!$C$12,$N$1,$A162,$L$1,$K$1)</f>
        <v>0</v>
      </c>
    </row>
    <row r="163" spans="1:19" ht="15.75" customHeight="1">
      <c r="A163" s="69" t="s">
        <v>454</v>
      </c>
      <c r="B163" s="13" t="s">
        <v>91</v>
      </c>
      <c r="C163" s="12">
        <f>_xll.DBRW($B$1,Cons_Region!$F$12,Cons_Region!C$15,$M$1,$G$159,Cons_Region!$C$12,$N$1,$A163,$L$1,$K$1)</f>
        <v>0</v>
      </c>
      <c r="D163" s="12">
        <f>_xll.DBRW($B$1,Cons_Region!$F$12,Cons_Region!D$15,$M$1,$G$159,Cons_Region!$C$12,$N$1,$A163,$L$1,$K$1)</f>
        <v>-1.5581</v>
      </c>
      <c r="E163" s="12">
        <f>_xll.DBRW($B$1,Cons_Region!$F$12,Cons_Region!E$15,$M$1,$G$159,Cons_Region!$C$12,$N$1,$A163,$L$1,$K$1)</f>
        <v>-1020</v>
      </c>
      <c r="F163" s="12">
        <f>_xll.DBRW($B$1,Cons_Region!$F$12,Cons_Region!F$15,$M$1,$G$159,Cons_Region!$C$12,$N$1,$A163,$L$1,$K$1)</f>
        <v>0</v>
      </c>
      <c r="G163" s="12">
        <f>_xll.DBRW($B$1,Cons_Region!$F$12,Cons_Region!G$15,$M$1,$G$159,Cons_Region!$C$12,$N$1,$A163,$L$1,$K$1)</f>
        <v>0</v>
      </c>
      <c r="H163" s="12">
        <f>_xll.DBRW($B$1,Cons_Region!$F$12,Cons_Region!H$15,$M$1,$G$159,Cons_Region!$C$12,$N$1,$A163,$L$1,$K$1)</f>
        <v>0</v>
      </c>
      <c r="I163" s="12">
        <f>_xll.DBRW($B$1,Cons_Region!$F$12,Cons_Region!I$15,$M$1,$G$159,Cons_Region!$C$12,$N$1,$A163,$L$1,$K$1)</f>
        <v>0</v>
      </c>
      <c r="J163" s="12">
        <f>_xll.DBRW($B$1,Cons_Region!$F$12,Cons_Region!J$15,$M$1,$G$159,Cons_Region!$C$12,$N$1,$A163,$L$1,$K$1)</f>
        <v>0</v>
      </c>
      <c r="K163" s="12">
        <f>_xll.DBRW($B$1,Cons_Region!$F$12,Cons_Region!K$15,$M$1,$G$159,Cons_Region!$C$12,$N$1,$A163,$L$1,$K$1)</f>
        <v>-54.3</v>
      </c>
      <c r="L163" s="12">
        <f>_xll.DBRW($B$1,Cons_Region!$F$12,Cons_Region!L$15,$M$1,$G$159,Cons_Region!$C$12,$N$1,$A163,$L$1,$K$1)</f>
        <v>0</v>
      </c>
      <c r="M163" s="12">
        <f>_xll.DBRW($B$1,Cons_Region!$F$12,Cons_Region!M$15,$M$1,$G$159,Cons_Region!$C$12,$N$1,$A163,$L$1,$K$1)</f>
        <v>0</v>
      </c>
      <c r="N163" s="12">
        <f>_xll.DBRW($B$1,Cons_Region!$F$12,Cons_Region!N$15,$M$1,$G$159,Cons_Region!$C$12,$N$1,$A163,$L$1,$K$1)</f>
        <v>0</v>
      </c>
      <c r="O163" s="12">
        <f>_xll.DBRW($B$1,O$14,Cons_Region!O$15,$M$1,Cons_Region!$H$12,Cons_Region!$C$12,$N$1,$A163,$L$1,$K$1)</f>
        <v>0</v>
      </c>
      <c r="P163" s="12">
        <f>_xll.DBRW($B$1,P$14,Cons_Region!P$15,$M$1,Cons_Region!$H$12,Cons_Region!$C$12,$N$1,$A163,$L$1,$K$1)</f>
        <v>0</v>
      </c>
      <c r="Q163" s="12">
        <f>_xll.DBRW($B$1,Q$14,Cons_Region!Q$15,$M$1,Cons_Region!$H$12,Cons_Region!$C$12,$N$1,$A163,$L$1,$K$1)</f>
        <v>0</v>
      </c>
      <c r="R163" s="12">
        <f>_xll.DBRW($B$1,R$14,Cons_Region!R$15,$M$1,Cons_Region!$H$12,Cons_Region!$C$12,$N$1,$A163,$L$1,$K$1)</f>
        <v>0</v>
      </c>
      <c r="S163" s="12">
        <f>_xll.DBRW($B$1,S$14,Cons_Region!S$15,$M$1,Cons_Region!$H$12,Cons_Region!$C$12,$N$1,$A163,$L$1,$K$1)</f>
        <v>0</v>
      </c>
    </row>
    <row r="164" spans="1:19" ht="15.75" customHeight="1">
      <c r="A164" s="69" t="s">
        <v>453</v>
      </c>
      <c r="B164" s="13" t="s">
        <v>92</v>
      </c>
      <c r="C164" s="12">
        <f>_xll.DBRW($B$1,Cons_Region!$F$12,Cons_Region!C$15,$M$1,$G$159,Cons_Region!$C$12,$N$1,$A164,$L$1,$K$1)</f>
        <v>0</v>
      </c>
      <c r="D164" s="12">
        <f>_xll.DBRW($B$1,Cons_Region!$F$12,Cons_Region!D$15,$M$1,$G$159,Cons_Region!$C$12,$N$1,$A164,$L$1,$K$1)</f>
        <v>-58.5899</v>
      </c>
      <c r="E164" s="12">
        <f>_xll.DBRW($B$1,Cons_Region!$F$12,Cons_Region!E$15,$M$1,$G$159,Cons_Region!$C$12,$N$1,$A164,$L$1,$K$1)</f>
        <v>-69.917900000000003</v>
      </c>
      <c r="F164" s="12">
        <f>_xll.DBRW($B$1,Cons_Region!$F$12,Cons_Region!F$15,$M$1,$G$159,Cons_Region!$C$12,$N$1,$A164,$L$1,$K$1)</f>
        <v>-65.272400000000005</v>
      </c>
      <c r="G164" s="12">
        <f>_xll.DBRW($B$1,Cons_Region!$F$12,Cons_Region!G$15,$M$1,$G$159,Cons_Region!$C$12,$N$1,$A164,$L$1,$K$1)</f>
        <v>-62.8553</v>
      </c>
      <c r="H164" s="12">
        <f>_xll.DBRW($B$1,Cons_Region!$F$12,Cons_Region!H$15,$M$1,$G$159,Cons_Region!$C$12,$N$1,$A164,$L$1,$K$1)</f>
        <v>-65.262900000000002</v>
      </c>
      <c r="I164" s="12">
        <f>_xll.DBRW($B$1,Cons_Region!$F$12,Cons_Region!I$15,$M$1,$G$159,Cons_Region!$C$12,$N$1,$A164,$L$1,$K$1)</f>
        <v>-69.938100000000006</v>
      </c>
      <c r="J164" s="12">
        <f>_xll.DBRW($B$1,Cons_Region!$F$12,Cons_Region!J$15,$M$1,$G$159,Cons_Region!$C$12,$N$1,$A164,$L$1,$K$1)</f>
        <v>-63.491399999999999</v>
      </c>
      <c r="K164" s="12">
        <f>_xll.DBRW($B$1,Cons_Region!$F$12,Cons_Region!K$15,$M$1,$G$159,Cons_Region!$C$12,$N$1,$A164,$L$1,$K$1)</f>
        <v>-62.110599999999998</v>
      </c>
      <c r="L164" s="12">
        <f>_xll.DBRW($B$1,Cons_Region!$F$12,Cons_Region!L$15,$M$1,$G$159,Cons_Region!$C$12,$N$1,$A164,$L$1,$K$1)</f>
        <v>-61.021599999999999</v>
      </c>
      <c r="M164" s="12">
        <f>_xll.DBRW($B$1,Cons_Region!$F$12,Cons_Region!M$15,$M$1,$G$159,Cons_Region!$C$12,$N$1,$A164,$L$1,$K$1)</f>
        <v>-55.609299999999998</v>
      </c>
      <c r="N164" s="12">
        <f>_xll.DBRW($B$1,Cons_Region!$F$12,Cons_Region!N$15,$M$1,$G$159,Cons_Region!$C$12,$N$1,$A164,$L$1,$K$1)</f>
        <v>0</v>
      </c>
      <c r="O164" s="12">
        <f>_xll.DBRW($B$1,O$14,Cons_Region!O$15,$M$1,Cons_Region!$H$12,Cons_Region!$C$12,$N$1,$A164,$L$1,$K$1)</f>
        <v>0</v>
      </c>
      <c r="P164" s="12">
        <f>_xll.DBRW($B$1,P$14,Cons_Region!P$15,$M$1,Cons_Region!$H$12,Cons_Region!$C$12,$N$1,$A164,$L$1,$K$1)</f>
        <v>0</v>
      </c>
      <c r="Q164" s="12">
        <f>_xll.DBRW($B$1,Q$14,Cons_Region!Q$15,$M$1,Cons_Region!$H$12,Cons_Region!$C$12,$N$1,$A164,$L$1,$K$1)</f>
        <v>0</v>
      </c>
      <c r="R164" s="12">
        <f>_xll.DBRW($B$1,R$14,Cons_Region!R$15,$M$1,Cons_Region!$H$12,Cons_Region!$C$12,$N$1,$A164,$L$1,$K$1)</f>
        <v>0</v>
      </c>
      <c r="S164" s="12">
        <f>_xll.DBRW($B$1,S$14,Cons_Region!S$15,$M$1,Cons_Region!$H$12,Cons_Region!$C$12,$N$1,$A164,$L$1,$K$1)</f>
        <v>0</v>
      </c>
    </row>
    <row r="165" spans="1:19" ht="15.75" customHeight="1">
      <c r="A165" s="69" t="s">
        <v>455</v>
      </c>
      <c r="B165" s="13" t="s">
        <v>93</v>
      </c>
      <c r="C165" s="12">
        <f>_xll.DBRW($B$1,Cons_Region!$F$12,Cons_Region!C$15,$M$1,$G$159,Cons_Region!$C$12,$N$1,$A165,$L$1,$K$1)</f>
        <v>0</v>
      </c>
      <c r="D165" s="12">
        <f>_xll.DBRW($B$1,Cons_Region!$F$12,Cons_Region!D$15,$M$1,$G$159,Cons_Region!$C$12,$N$1,$A165,$L$1,$K$1)</f>
        <v>-6.6473000000000004</v>
      </c>
      <c r="E165" s="12">
        <f>_xll.DBRW($B$1,Cons_Region!$F$12,Cons_Region!E$15,$M$1,$G$159,Cons_Region!$C$12,$N$1,$A165,$L$1,$K$1)</f>
        <v>-9.3856999999999999</v>
      </c>
      <c r="F165" s="12">
        <f>_xll.DBRW($B$1,Cons_Region!$F$12,Cons_Region!F$15,$M$1,$G$159,Cons_Region!$C$12,$N$1,$A165,$L$1,$K$1)</f>
        <v>-7.9771999999999998</v>
      </c>
      <c r="G165" s="12">
        <f>_xll.DBRW($B$1,Cons_Region!$F$12,Cons_Region!G$15,$M$1,$G$159,Cons_Region!$C$12,$N$1,$A165,$L$1,$K$1)</f>
        <v>-7.9950000000000001</v>
      </c>
      <c r="H165" s="12">
        <f>_xll.DBRW($B$1,Cons_Region!$F$12,Cons_Region!H$15,$M$1,$G$159,Cons_Region!$C$12,$N$1,$A165,$L$1,$K$1)</f>
        <v>-6.7961999999999998</v>
      </c>
      <c r="I165" s="12">
        <f>_xll.DBRW($B$1,Cons_Region!$F$12,Cons_Region!I$15,$M$1,$G$159,Cons_Region!$C$12,$N$1,$A165,$L$1,$K$1)</f>
        <v>-6.1550000000000002</v>
      </c>
      <c r="J165" s="12">
        <f>_xll.DBRW($B$1,Cons_Region!$F$12,Cons_Region!J$15,$M$1,$G$159,Cons_Region!$C$12,$N$1,$A165,$L$1,$K$1)</f>
        <v>-5.8059000000000003</v>
      </c>
      <c r="K165" s="12">
        <f>_xll.DBRW($B$1,Cons_Region!$F$12,Cons_Region!K$15,$M$1,$G$159,Cons_Region!$C$12,$N$1,$A165,$L$1,$K$1)</f>
        <v>-7.3137999999999996</v>
      </c>
      <c r="L165" s="12">
        <f>_xll.DBRW($B$1,Cons_Region!$F$12,Cons_Region!L$15,$M$1,$G$159,Cons_Region!$C$12,$N$1,$A165,$L$1,$K$1)</f>
        <v>-7.2988999999999997</v>
      </c>
      <c r="M165" s="12">
        <f>_xll.DBRW($B$1,Cons_Region!$F$12,Cons_Region!M$15,$M$1,$G$159,Cons_Region!$C$12,$N$1,$A165,$L$1,$K$1)</f>
        <v>-7.4385000000000003</v>
      </c>
      <c r="N165" s="12">
        <f>_xll.DBRW($B$1,Cons_Region!$F$12,Cons_Region!N$15,$M$1,$G$159,Cons_Region!$C$12,$N$1,$A165,$L$1,$K$1)</f>
        <v>0</v>
      </c>
      <c r="O165" s="12">
        <f>_xll.DBRW($B$1,O$14,Cons_Region!O$15,$M$1,Cons_Region!$H$12,Cons_Region!$C$12,$N$1,$A165,$L$1,$K$1)</f>
        <v>0</v>
      </c>
      <c r="P165" s="12">
        <f>_xll.DBRW($B$1,P$14,Cons_Region!P$15,$M$1,Cons_Region!$H$12,Cons_Region!$C$12,$N$1,$A165,$L$1,$K$1)</f>
        <v>0</v>
      </c>
      <c r="Q165" s="12">
        <f>_xll.DBRW($B$1,Q$14,Cons_Region!Q$15,$M$1,Cons_Region!$H$12,Cons_Region!$C$12,$N$1,$A165,$L$1,$K$1)</f>
        <v>0</v>
      </c>
      <c r="R165" s="12">
        <f>_xll.DBRW($B$1,R$14,Cons_Region!R$15,$M$1,Cons_Region!$H$12,Cons_Region!$C$12,$N$1,$A165,$L$1,$K$1)</f>
        <v>0</v>
      </c>
      <c r="S165" s="12">
        <f>_xll.DBRW($B$1,S$14,Cons_Region!S$15,$M$1,Cons_Region!$H$12,Cons_Region!$C$12,$N$1,$A165,$L$1,$K$1)</f>
        <v>0</v>
      </c>
    </row>
    <row r="166" spans="1:19" ht="15.75" customHeight="1">
      <c r="A166" s="69" t="s">
        <v>456</v>
      </c>
      <c r="B166" s="13" t="s">
        <v>94</v>
      </c>
      <c r="C166" s="12">
        <f>_xll.DBRW($B$1,Cons_Region!$F$12,Cons_Region!C$15,$M$1,$G$159,Cons_Region!$C$12,$N$1,$A166,$L$1,$K$1)</f>
        <v>0</v>
      </c>
      <c r="D166" s="12">
        <f>_xll.DBRW($B$1,Cons_Region!$F$12,Cons_Region!D$15,$M$1,$G$159,Cons_Region!$C$12,$N$1,$A166,$L$1,$K$1)</f>
        <v>14.8436</v>
      </c>
      <c r="E166" s="12">
        <f>_xll.DBRW($B$1,Cons_Region!$F$12,Cons_Region!E$15,$M$1,$G$159,Cons_Region!$C$12,$N$1,$A166,$L$1,$K$1)</f>
        <v>893.85900000000004</v>
      </c>
      <c r="F166" s="12">
        <f>_xll.DBRW($B$1,Cons_Region!$F$12,Cons_Region!F$15,$M$1,$G$159,Cons_Region!$C$12,$N$1,$A166,$L$1,$K$1)</f>
        <v>13.8787</v>
      </c>
      <c r="G166" s="12">
        <f>_xll.DBRW($B$1,Cons_Region!$F$12,Cons_Region!G$15,$M$1,$G$159,Cons_Region!$C$12,$N$1,$A166,$L$1,$K$1)</f>
        <v>13.9328</v>
      </c>
      <c r="H166" s="12">
        <f>_xll.DBRW($B$1,Cons_Region!$F$12,Cons_Region!H$15,$M$1,$G$159,Cons_Region!$C$12,$N$1,$A166,$L$1,$K$1)</f>
        <v>14.842700000000001</v>
      </c>
      <c r="I166" s="12">
        <f>_xll.DBRW($B$1,Cons_Region!$F$12,Cons_Region!I$15,$M$1,$G$159,Cons_Region!$C$12,$N$1,$A166,$L$1,$K$1)</f>
        <v>14.629200000000001</v>
      </c>
      <c r="J166" s="12">
        <f>_xll.DBRW($B$1,Cons_Region!$F$12,Cons_Region!J$15,$M$1,$G$159,Cons_Region!$C$12,$N$1,$A166,$L$1,$K$1)</f>
        <v>15.2033</v>
      </c>
      <c r="K166" s="12">
        <f>_xll.DBRW($B$1,Cons_Region!$F$12,Cons_Region!K$15,$M$1,$G$159,Cons_Region!$C$12,$N$1,$A166,$L$1,$K$1)</f>
        <v>16.501200000000001</v>
      </c>
      <c r="L166" s="12">
        <f>_xll.DBRW($B$1,Cons_Region!$F$12,Cons_Region!L$15,$M$1,$G$159,Cons_Region!$C$12,$N$1,$A166,$L$1,$K$1)</f>
        <v>14.1572</v>
      </c>
      <c r="M166" s="12">
        <f>_xll.DBRW($B$1,Cons_Region!$F$12,Cons_Region!M$15,$M$1,$G$159,Cons_Region!$C$12,$N$1,$A166,$L$1,$K$1)</f>
        <v>15.626899999999999</v>
      </c>
      <c r="N166" s="12">
        <f>_xll.DBRW($B$1,Cons_Region!$F$12,Cons_Region!N$15,$M$1,$G$159,Cons_Region!$C$12,$N$1,$A166,$L$1,$K$1)</f>
        <v>0</v>
      </c>
      <c r="O166" s="12">
        <f>_xll.DBRW($B$1,O$14,Cons_Region!O$15,$M$1,Cons_Region!$H$12,Cons_Region!$C$12,$N$1,$A166,$L$1,$K$1)</f>
        <v>0</v>
      </c>
      <c r="P166" s="12">
        <f>_xll.DBRW($B$1,P$14,Cons_Region!P$15,$M$1,Cons_Region!$H$12,Cons_Region!$C$12,$N$1,$A166,$L$1,$K$1)</f>
        <v>0</v>
      </c>
      <c r="Q166" s="12">
        <f>_xll.DBRW($B$1,Q$14,Cons_Region!Q$15,$M$1,Cons_Region!$H$12,Cons_Region!$C$12,$N$1,$A166,$L$1,$K$1)</f>
        <v>0</v>
      </c>
      <c r="R166" s="12">
        <f>_xll.DBRW($B$1,R$14,Cons_Region!R$15,$M$1,Cons_Region!$H$12,Cons_Region!$C$12,$N$1,$A166,$L$1,$K$1)</f>
        <v>0</v>
      </c>
      <c r="S166" s="12">
        <f>_xll.DBRW($B$1,S$14,Cons_Region!S$15,$M$1,Cons_Region!$H$12,Cons_Region!$C$12,$N$1,$A166,$L$1,$K$1)</f>
        <v>0</v>
      </c>
    </row>
    <row r="167" spans="1:19" ht="15.75" customHeight="1">
      <c r="B167" s="4" t="s">
        <v>95</v>
      </c>
      <c r="C167" s="12" t="e">
        <f>_xll.DBRW($B$1,Cons_Region!$F$12,Cons_Region!C$15,$M$1,$G$159,Cons_Region!$C$12,$N$1,Cons_Region!$B167,$L$1,$K$1)</f>
        <v>#NUM!</v>
      </c>
      <c r="D167" s="12" t="e">
        <f>_xll.DBRW($B$1,Cons_Region!$F$12,Cons_Region!D$15,$M$1,$G$159,Cons_Region!$C$12,$N$1,Cons_Region!$B167,$L$1,$K$1)</f>
        <v>#NUM!</v>
      </c>
      <c r="E167" s="12" t="e">
        <f>_xll.DBRW($B$1,Cons_Region!$F$12,Cons_Region!E$15,$M$1,$G$159,Cons_Region!$C$12,$N$1,Cons_Region!$B167,$L$1,$K$1)</f>
        <v>#NUM!</v>
      </c>
      <c r="F167" s="12" t="e">
        <f>_xll.DBRW($B$1,Cons_Region!$F$12,Cons_Region!F$15,$M$1,$G$159,Cons_Region!$C$12,$N$1,Cons_Region!$B167,$L$1,$K$1)</f>
        <v>#NUM!</v>
      </c>
      <c r="G167" s="12" t="e">
        <f>_xll.DBRW($B$1,Cons_Region!$F$12,Cons_Region!G$15,$M$1,$G$159,Cons_Region!$C$12,$N$1,Cons_Region!$B167,$L$1,$K$1)</f>
        <v>#NUM!</v>
      </c>
      <c r="H167" s="12" t="e">
        <f>_xll.DBRW($B$1,Cons_Region!$F$12,Cons_Region!H$15,$M$1,$G$159,Cons_Region!$C$12,$N$1,Cons_Region!$B167,$L$1,$K$1)</f>
        <v>#NUM!</v>
      </c>
      <c r="I167" s="12" t="e">
        <f>_xll.DBRW($B$1,Cons_Region!$F$12,Cons_Region!I$15,$M$1,$G$159,Cons_Region!$C$12,$N$1,Cons_Region!$B167,$L$1,$K$1)</f>
        <v>#NUM!</v>
      </c>
      <c r="J167" s="12" t="e">
        <f>_xll.DBRW($B$1,Cons_Region!$F$12,Cons_Region!J$15,$M$1,$G$159,Cons_Region!$C$12,$N$1,Cons_Region!$B167,$L$1,$K$1)</f>
        <v>#NUM!</v>
      </c>
      <c r="K167" s="12" t="e">
        <f>_xll.DBRW($B$1,Cons_Region!$F$12,Cons_Region!K$15,$M$1,$G$159,Cons_Region!$C$12,$N$1,Cons_Region!$B167,$L$1,$K$1)</f>
        <v>#NUM!</v>
      </c>
      <c r="L167" s="12" t="e">
        <f>_xll.DBRW($B$1,Cons_Region!$F$12,Cons_Region!L$15,$M$1,$G$159,Cons_Region!$C$12,$N$1,Cons_Region!$B167,$L$1,$K$1)</f>
        <v>#NUM!</v>
      </c>
      <c r="M167" s="12" t="e">
        <f>_xll.DBRW($B$1,Cons_Region!$F$12,Cons_Region!M$15,$M$1,$G$159,Cons_Region!$C$12,$N$1,Cons_Region!$B167,$L$1,$K$1)</f>
        <v>#NUM!</v>
      </c>
      <c r="N167" s="12" t="e">
        <f>_xll.DBRW($B$1,Cons_Region!$F$12,Cons_Region!N$15,$M$1,$G$159,Cons_Region!$C$12,$N$1,Cons_Region!$B167,$L$1,$K$1)</f>
        <v>#NUM!</v>
      </c>
      <c r="O167" s="12" t="e">
        <f>_xll.DBRW($B$1,O$14,Cons_Region!O$15,$M$1,Cons_Region!$H$12,Cons_Region!$C$12,$N$1,$A167,$L$1,$K$1)</f>
        <v>#VALUE!</v>
      </c>
      <c r="P167" s="12" t="e">
        <f>_xll.DBRW($B$1,P$14,Cons_Region!P$15,$M$1,Cons_Region!$H$12,Cons_Region!$C$12,$N$1,$A167,$L$1,$K$1)</f>
        <v>#VALUE!</v>
      </c>
      <c r="Q167" s="12" t="e">
        <f>_xll.DBRW($B$1,Q$14,Cons_Region!Q$15,$M$1,Cons_Region!$H$12,Cons_Region!$C$12,$N$1,$A167,$L$1,$K$1)</f>
        <v>#VALUE!</v>
      </c>
      <c r="R167" s="12" t="e">
        <f>_xll.DBRW($B$1,R$14,Cons_Region!R$15,$M$1,Cons_Region!$H$12,Cons_Region!$C$12,$N$1,$A167,$L$1,$K$1)</f>
        <v>#VALUE!</v>
      </c>
      <c r="S167" s="12" t="e">
        <f>_xll.DBRW($B$1,S$14,Cons_Region!S$15,$M$1,Cons_Region!$H$12,Cons_Region!$C$12,$N$1,$A167,$L$1,$K$1)</f>
        <v>#VALUE!</v>
      </c>
    </row>
    <row r="168" spans="1:19" ht="15.75" customHeight="1">
      <c r="A168" s="69" t="s">
        <v>457</v>
      </c>
      <c r="B168" s="13" t="s">
        <v>96</v>
      </c>
      <c r="C168" s="12">
        <f>_xll.DBRW($B$1,Cons_Region!$F$12,Cons_Region!C$15,$M$1,$G$159,Cons_Region!$C$12,$N$1,$A168,$L$1,$K$1)</f>
        <v>0</v>
      </c>
      <c r="D168" s="12">
        <f>_xll.DBRW($B$1,Cons_Region!$F$12,Cons_Region!D$15,$M$1,$G$159,Cons_Region!$C$12,$N$1,$A168,$L$1,$K$1)</f>
        <v>-18.901800000000001</v>
      </c>
      <c r="E168" s="12">
        <f>_xll.DBRW($B$1,Cons_Region!$F$12,Cons_Region!E$15,$M$1,$G$159,Cons_Region!$C$12,$N$1,$A168,$L$1,$K$1)</f>
        <v>-2.62</v>
      </c>
      <c r="F168" s="12">
        <f>_xll.DBRW($B$1,Cons_Region!$F$12,Cons_Region!F$15,$M$1,$G$159,Cons_Region!$C$12,$N$1,$A168,$L$1,$K$1)</f>
        <v>-29.005199999999999</v>
      </c>
      <c r="G168" s="12">
        <f>_xll.DBRW($B$1,Cons_Region!$F$12,Cons_Region!G$15,$M$1,$G$159,Cons_Region!$C$12,$N$1,$A168,$L$1,$K$1)</f>
        <v>-29.3432</v>
      </c>
      <c r="H168" s="12">
        <f>_xll.DBRW($B$1,Cons_Region!$F$12,Cons_Region!H$15,$M$1,$G$159,Cons_Region!$C$12,$N$1,$A168,$L$1,$K$1)</f>
        <v>-24.239100000000001</v>
      </c>
      <c r="I168" s="12">
        <f>_xll.DBRW($B$1,Cons_Region!$F$12,Cons_Region!I$15,$M$1,$G$159,Cons_Region!$C$12,$N$1,$A168,$L$1,$K$1)</f>
        <v>-109.9211</v>
      </c>
      <c r="J168" s="12">
        <f>_xll.DBRW($B$1,Cons_Region!$F$12,Cons_Region!J$15,$M$1,$G$159,Cons_Region!$C$12,$N$1,$A168,$L$1,$K$1)</f>
        <v>-22.0976</v>
      </c>
      <c r="K168" s="12">
        <f>_xll.DBRW($B$1,Cons_Region!$F$12,Cons_Region!K$15,$M$1,$G$159,Cons_Region!$C$12,$N$1,$A168,$L$1,$K$1)</f>
        <v>-7.3623000000000003</v>
      </c>
      <c r="L168" s="12">
        <f>_xll.DBRW($B$1,Cons_Region!$F$12,Cons_Region!L$15,$M$1,$G$159,Cons_Region!$C$12,$N$1,$A168,$L$1,$K$1)</f>
        <v>-7.6666999999999996</v>
      </c>
      <c r="M168" s="12">
        <f>_xll.DBRW($B$1,Cons_Region!$F$12,Cons_Region!M$15,$M$1,$G$159,Cons_Region!$C$12,$N$1,$A168,$L$1,$K$1)</f>
        <v>-8.1340000000000003</v>
      </c>
      <c r="N168" s="12">
        <f>_xll.DBRW($B$1,Cons_Region!$F$12,Cons_Region!N$15,$M$1,$G$159,Cons_Region!$C$12,$N$1,$A168,$L$1,$K$1)</f>
        <v>0</v>
      </c>
      <c r="O168" s="12">
        <f>_xll.DBRW($B$1,O$14,Cons_Region!O$15,$M$1,Cons_Region!$H$12,Cons_Region!$C$12,$N$1,$A168,$L$1,$K$1)</f>
        <v>0</v>
      </c>
      <c r="P168" s="12">
        <f>_xll.DBRW($B$1,P$14,Cons_Region!P$15,$M$1,Cons_Region!$H$12,Cons_Region!$C$12,$N$1,$A168,$L$1,$K$1)</f>
        <v>0</v>
      </c>
      <c r="Q168" s="12">
        <f>_xll.DBRW($B$1,Q$14,Cons_Region!Q$15,$M$1,Cons_Region!$H$12,Cons_Region!$C$12,$N$1,$A168,$L$1,$K$1)</f>
        <v>0</v>
      </c>
      <c r="R168" s="12">
        <f>_xll.DBRW($B$1,R$14,Cons_Region!R$15,$M$1,Cons_Region!$H$12,Cons_Region!$C$12,$N$1,$A168,$L$1,$K$1)</f>
        <v>0</v>
      </c>
      <c r="S168" s="12">
        <f>_xll.DBRW($B$1,S$14,Cons_Region!S$15,$M$1,Cons_Region!$H$12,Cons_Region!$C$12,$N$1,$A168,$L$1,$K$1)</f>
        <v>0</v>
      </c>
    </row>
    <row r="169" spans="1:19" ht="15.75" customHeight="1">
      <c r="A169" s="69" t="s">
        <v>458</v>
      </c>
      <c r="B169" s="13" t="s">
        <v>97</v>
      </c>
      <c r="C169" s="12">
        <f>_xll.DBRW($B$1,Cons_Region!$F$12,Cons_Region!C$15,$M$1,$G$159,Cons_Region!$C$12,$N$1,$A169,$L$1,$K$1)</f>
        <v>0</v>
      </c>
      <c r="D169" s="12">
        <f>_xll.DBRW($B$1,Cons_Region!$F$12,Cons_Region!D$15,$M$1,$G$159,Cons_Region!$C$12,$N$1,$A169,$L$1,$K$1)</f>
        <v>0</v>
      </c>
      <c r="E169" s="12">
        <f>_xll.DBRW($B$1,Cons_Region!$F$12,Cons_Region!E$15,$M$1,$G$159,Cons_Region!$C$12,$N$1,$A169,$L$1,$K$1)</f>
        <v>0</v>
      </c>
      <c r="F169" s="12">
        <f>_xll.DBRW($B$1,Cons_Region!$F$12,Cons_Region!F$15,$M$1,$G$159,Cons_Region!$C$12,$N$1,$A169,$L$1,$K$1)</f>
        <v>0</v>
      </c>
      <c r="G169" s="12">
        <f>_xll.DBRW($B$1,Cons_Region!$F$12,Cons_Region!G$15,$M$1,$G$159,Cons_Region!$C$12,$N$1,$A169,$L$1,$K$1)</f>
        <v>0</v>
      </c>
      <c r="H169" s="12">
        <f>_xll.DBRW($B$1,Cons_Region!$F$12,Cons_Region!H$15,$M$1,$G$159,Cons_Region!$C$12,$N$1,$A169,$L$1,$K$1)</f>
        <v>0</v>
      </c>
      <c r="I169" s="12">
        <f>_xll.DBRW($B$1,Cons_Region!$F$12,Cons_Region!I$15,$M$1,$G$159,Cons_Region!$C$12,$N$1,$A169,$L$1,$K$1)</f>
        <v>0</v>
      </c>
      <c r="J169" s="12">
        <f>_xll.DBRW($B$1,Cons_Region!$F$12,Cons_Region!J$15,$M$1,$G$159,Cons_Region!$C$12,$N$1,$A169,$L$1,$K$1)</f>
        <v>0</v>
      </c>
      <c r="K169" s="12">
        <f>_xll.DBRW($B$1,Cons_Region!$F$12,Cons_Region!K$15,$M$1,$G$159,Cons_Region!$C$12,$N$1,$A169,$L$1,$K$1)</f>
        <v>0</v>
      </c>
      <c r="L169" s="12">
        <f>_xll.DBRW($B$1,Cons_Region!$F$12,Cons_Region!L$15,$M$1,$G$159,Cons_Region!$C$12,$N$1,$A169,$L$1,$K$1)</f>
        <v>0</v>
      </c>
      <c r="M169" s="12">
        <f>_xll.DBRW($B$1,Cons_Region!$F$12,Cons_Region!M$15,$M$1,$G$159,Cons_Region!$C$12,$N$1,$A169,$L$1,$K$1)</f>
        <v>0</v>
      </c>
      <c r="N169" s="12">
        <f>_xll.DBRW($B$1,Cons_Region!$F$12,Cons_Region!N$15,$M$1,$G$159,Cons_Region!$C$12,$N$1,$A169,$L$1,$K$1)</f>
        <v>0</v>
      </c>
      <c r="O169" s="12">
        <f>_xll.DBRW($B$1,O$14,Cons_Region!O$15,$M$1,Cons_Region!$H$12,Cons_Region!$C$12,$N$1,$A169,$L$1,$K$1)</f>
        <v>0</v>
      </c>
      <c r="P169" s="12">
        <f>_xll.DBRW($B$1,P$14,Cons_Region!P$15,$M$1,Cons_Region!$H$12,Cons_Region!$C$12,$N$1,$A169,$L$1,$K$1)</f>
        <v>0</v>
      </c>
      <c r="Q169" s="12">
        <f>_xll.DBRW($B$1,Q$14,Cons_Region!Q$15,$M$1,Cons_Region!$H$12,Cons_Region!$C$12,$N$1,$A169,$L$1,$K$1)</f>
        <v>0</v>
      </c>
      <c r="R169" s="12">
        <f>_xll.DBRW($B$1,R$14,Cons_Region!R$15,$M$1,Cons_Region!$H$12,Cons_Region!$C$12,$N$1,$A169,$L$1,$K$1)</f>
        <v>0</v>
      </c>
      <c r="S169" s="12">
        <f>_xll.DBRW($B$1,S$14,Cons_Region!S$15,$M$1,Cons_Region!$H$12,Cons_Region!$C$12,$N$1,$A169,$L$1,$K$1)</f>
        <v>0</v>
      </c>
    </row>
    <row r="170" spans="1:19" ht="15.75" customHeight="1">
      <c r="A170" s="69" t="s">
        <v>459</v>
      </c>
      <c r="B170" s="15" t="s">
        <v>98</v>
      </c>
      <c r="C170" s="20">
        <f>_xll.DBRW($C$4,Cons_Region!$F$12,Cons_Region!C$15,$M$1,$G$159,Cons_Region!$C$12,$A170,$K$1)</f>
        <v>0</v>
      </c>
      <c r="D170" s="20">
        <f>_xll.DBRW($C$4,Cons_Region!$F$12,Cons_Region!D$15,$M$1,$G$159,Cons_Region!$C$12,$A170,$K$1)</f>
        <v>7.2875999999999976</v>
      </c>
      <c r="E170" s="20">
        <f>_xll.DBRW($C$4,Cons_Region!$F$12,Cons_Region!E$15,$M$1,$G$159,Cons_Region!$C$12,$A170,$K$1)</f>
        <v>1.8756000000000386</v>
      </c>
      <c r="F170" s="20">
        <f>_xll.DBRW($C$4,Cons_Region!$F$12,Cons_Region!F$15,$M$1,$G$159,Cons_Region!$C$12,$A170,$K$1)</f>
        <v>128.06940000000003</v>
      </c>
      <c r="G170" s="20">
        <f>_xll.DBRW($C$4,Cons_Region!$F$12,Cons_Region!G$15,$M$1,$G$159,Cons_Region!$C$12,$A170,$K$1)</f>
        <v>113.51940000000002</v>
      </c>
      <c r="H170" s="20">
        <f>_xll.DBRW($C$4,Cons_Region!$F$12,Cons_Region!H$15,$M$1,$G$159,Cons_Region!$C$12,$A170,$K$1)</f>
        <v>175.75130000000001</v>
      </c>
      <c r="I170" s="20">
        <f>_xll.DBRW($C$4,Cons_Region!$F$12,Cons_Region!I$15,$M$1,$G$159,Cons_Region!$C$12,$A170,$K$1)</f>
        <v>82.047900000000027</v>
      </c>
      <c r="J170" s="20">
        <f>_xll.DBRW($C$4,Cons_Region!$F$12,Cons_Region!J$15,$M$1,$G$159,Cons_Region!$C$12,$A170,$K$1)</f>
        <v>90.030400000000029</v>
      </c>
      <c r="K170" s="20">
        <f>_xll.DBRW($C$4,Cons_Region!$F$12,Cons_Region!K$15,$M$1,$G$159,Cons_Region!$C$12,$A170,$K$1)</f>
        <v>194.60720000000003</v>
      </c>
      <c r="L170" s="20">
        <f>_xll.DBRW($C$4,Cons_Region!$F$12,Cons_Region!L$15,$M$1,$G$159,Cons_Region!$C$12,$A170,$K$1)</f>
        <v>337.09550000000002</v>
      </c>
      <c r="M170" s="20">
        <f>_xll.DBRW($C$4,Cons_Region!$F$12,Cons_Region!M$15,$M$1,$G$159,Cons_Region!$C$12,$A170,$K$1)</f>
        <v>346.98779999999999</v>
      </c>
      <c r="N170" s="20">
        <f>_xll.DBRW($C$4,Cons_Region!$F$12,Cons_Region!N$15,$M$1,$G$159,Cons_Region!$C$12,$A170,$K$1)</f>
        <v>346.98779999999999</v>
      </c>
      <c r="O170" s="20">
        <f>_xll.DBRW($C$4,O$14,Cons_Region!O$15,$M$1,$G$144,Cons_Region!$C$12,$A170,$K$1)</f>
        <v>0</v>
      </c>
      <c r="P170" s="20">
        <f>_xll.DBRW($C$4,P$14,Cons_Region!P$15,$M$1,$G$144,Cons_Region!$C$12,$A170,$K$1)</f>
        <v>0</v>
      </c>
      <c r="Q170" s="20">
        <f>_xll.DBRW($C$4,Q$14,Cons_Region!Q$15,$M$1,$G$144,Cons_Region!$C$12,$A170,$K$1)</f>
        <v>0</v>
      </c>
      <c r="R170" s="20">
        <f>_xll.DBRW($C$4,R$14,Cons_Region!R$15,$M$1,$G$144,Cons_Region!$C$12,$A170,$K$1)</f>
        <v>0</v>
      </c>
      <c r="S170" s="20">
        <f>_xll.DBRW($C$4,S$14,Cons_Region!S$15,$M$1,$G$144,Cons_Region!$C$12,$A170,$K$1)</f>
        <v>0</v>
      </c>
    </row>
    <row r="171" spans="1:19" ht="15.75" customHeight="1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</row>
    <row r="172" spans="1:19" ht="15.75" customHeight="1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</row>
    <row r="173" spans="1:19" ht="15.75" customHeight="1" thickBot="1">
      <c r="B173" s="25"/>
      <c r="C173" s="25"/>
      <c r="D173" s="25"/>
      <c r="E173" s="25"/>
      <c r="F173" s="7" t="s">
        <v>50</v>
      </c>
      <c r="G173" s="6" t="str">
        <f>_xll.SUBNM("CONS_VC_PRD:ALL.D.Currency","Local","USD","Nome alternativo")</f>
        <v>USD</v>
      </c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</row>
    <row r="174" spans="1:19" ht="15.75" customHeight="1" thickTop="1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80">
        <f>$F$12+1</f>
        <v>2027</v>
      </c>
      <c r="P174" s="80">
        <f>$F$12+2</f>
        <v>2028</v>
      </c>
      <c r="Q174" s="80">
        <f>$F$12+3</f>
        <v>2029</v>
      </c>
      <c r="R174" s="80">
        <f>$F$12+4</f>
        <v>2030</v>
      </c>
      <c r="S174" s="80">
        <f>$F$12+5</f>
        <v>2031</v>
      </c>
    </row>
    <row r="175" spans="1:19" ht="15.75" customHeight="1">
      <c r="B175" s="22"/>
      <c r="C175" s="23" t="str">
        <f t="shared" ref="C175:N175" si="14">$F$12&amp;"."&amp;C$15</f>
        <v>2026.01</v>
      </c>
      <c r="D175" s="23" t="str">
        <f t="shared" si="14"/>
        <v>2026.02</v>
      </c>
      <c r="E175" s="23" t="str">
        <f t="shared" si="14"/>
        <v>2026.03</v>
      </c>
      <c r="F175" s="23" t="str">
        <f t="shared" si="14"/>
        <v>2026.04</v>
      </c>
      <c r="G175" s="23" t="str">
        <f t="shared" si="14"/>
        <v>2026.05</v>
      </c>
      <c r="H175" s="23" t="str">
        <f t="shared" si="14"/>
        <v>2026.06</v>
      </c>
      <c r="I175" s="23" t="str">
        <f t="shared" si="14"/>
        <v>2026.07</v>
      </c>
      <c r="J175" s="23" t="str">
        <f t="shared" si="14"/>
        <v>2026.08</v>
      </c>
      <c r="K175" s="23" t="str">
        <f t="shared" si="14"/>
        <v>2026.09</v>
      </c>
      <c r="L175" s="23" t="str">
        <f t="shared" si="14"/>
        <v>2026.10</v>
      </c>
      <c r="M175" s="23" t="str">
        <f t="shared" si="14"/>
        <v>2026.11</v>
      </c>
      <c r="N175" s="23" t="str">
        <f t="shared" si="14"/>
        <v>2026.12</v>
      </c>
      <c r="O175" s="23" t="s">
        <v>304</v>
      </c>
      <c r="P175" s="23" t="s">
        <v>304</v>
      </c>
      <c r="Q175" s="23" t="s">
        <v>304</v>
      </c>
      <c r="R175" s="23" t="s">
        <v>304</v>
      </c>
      <c r="S175" s="23" t="s">
        <v>304</v>
      </c>
    </row>
    <row r="176" spans="1:19" ht="15.75" customHeight="1">
      <c r="A176" s="69" t="s">
        <v>452</v>
      </c>
      <c r="B176" s="13" t="s">
        <v>90</v>
      </c>
      <c r="C176" s="12">
        <f>_xll.DBRW($B$1,Cons_Region!$F$12,Cons_Region!C$15,$M$1,$G$159,Cons_Region!$C$12,$N$1,$A176,$L$1,$K$1)</f>
        <v>0</v>
      </c>
      <c r="D176" s="12">
        <f>_xll.DBRW($B$1,Cons_Region!$F$12,Cons_Region!D$15,$M$1,$G$159,Cons_Region!$C$12,$N$1,$A176,$L$1,$K$1)</f>
        <v>0</v>
      </c>
      <c r="E176" s="12">
        <f>_xll.DBRW($B$1,Cons_Region!$F$12,Cons_Region!E$15,$M$1,$G$159,Cons_Region!$C$12,$N$1,$A176,$L$1,$K$1)</f>
        <v>0</v>
      </c>
      <c r="F176" s="12">
        <f>_xll.DBRW($B$1,Cons_Region!$F$12,Cons_Region!F$15,$M$1,$G$159,Cons_Region!$C$12,$N$1,$A176,$L$1,$K$1)</f>
        <v>0</v>
      </c>
      <c r="G176" s="12">
        <f>_xll.DBRW($B$1,Cons_Region!$F$12,Cons_Region!G$15,$M$1,$G$159,Cons_Region!$C$12,$N$1,$A176,$L$1,$K$1)</f>
        <v>0</v>
      </c>
      <c r="H176" s="12">
        <f>_xll.DBRW($B$1,Cons_Region!$F$12,Cons_Region!H$15,$M$1,$G$159,Cons_Region!$C$12,$N$1,$A176,$L$1,$K$1)</f>
        <v>0</v>
      </c>
      <c r="I176" s="12">
        <f>_xll.DBRW($B$1,Cons_Region!$F$12,Cons_Region!I$15,$M$1,$G$159,Cons_Region!$C$12,$N$1,$A176,$L$1,$K$1)</f>
        <v>0</v>
      </c>
      <c r="J176" s="12">
        <f>_xll.DBRW($B$1,Cons_Region!$F$12,Cons_Region!J$15,$M$1,$G$159,Cons_Region!$C$12,$N$1,$A176,$L$1,$K$1)</f>
        <v>0</v>
      </c>
      <c r="K176" s="12">
        <f>_xll.DBRW($B$1,Cons_Region!$F$12,Cons_Region!K$15,$M$1,$G$159,Cons_Region!$C$12,$N$1,$A176,$L$1,$K$1)</f>
        <v>0</v>
      </c>
      <c r="L176" s="12">
        <f>_xll.DBRW($B$1,Cons_Region!$F$12,Cons_Region!L$15,$M$1,$G$159,Cons_Region!$C$12,$N$1,$A176,$L$1,$K$1)</f>
        <v>0</v>
      </c>
      <c r="M176" s="12">
        <f>_xll.DBRW($B$1,Cons_Region!$F$12,Cons_Region!M$15,$M$1,$G$159,Cons_Region!$C$12,$N$1,$A176,$L$1,$K$1)</f>
        <v>0</v>
      </c>
      <c r="N176" s="12">
        <f>_xll.DBRW($B$1,Cons_Region!$F$12,Cons_Region!N$15,$M$1,$G$159,Cons_Region!$C$12,$N$1,$A176,$L$1,$K$1)</f>
        <v>0</v>
      </c>
      <c r="O176" s="12">
        <f>_xll.DBRW($B$1,O$14,Cons_Region!O$15,$M$1,Cons_Region!$H$12,Cons_Region!$C$12,$N$1,$A176,$L$1,$K$1)</f>
        <v>0</v>
      </c>
      <c r="P176" s="12">
        <f>_xll.DBRW($B$1,P$14,Cons_Region!P$15,$M$1,Cons_Region!$H$12,Cons_Region!$C$12,$N$1,$A176,$L$1,$K$1)</f>
        <v>0</v>
      </c>
      <c r="Q176" s="12">
        <f>_xll.DBRW($B$1,Q$14,Cons_Region!Q$15,$M$1,Cons_Region!$H$12,Cons_Region!$C$12,$N$1,$A176,$L$1,$K$1)</f>
        <v>0</v>
      </c>
      <c r="R176" s="12">
        <f>_xll.DBRW($B$1,R$14,Cons_Region!R$15,$M$1,Cons_Region!$H$12,Cons_Region!$C$12,$N$1,$A176,$L$1,$K$1)</f>
        <v>0</v>
      </c>
      <c r="S176" s="12">
        <f>_xll.DBRW($B$1,S$14,Cons_Region!S$15,$M$1,Cons_Region!$H$12,Cons_Region!$C$12,$N$1,$A176,$L$1,$K$1)</f>
        <v>0</v>
      </c>
    </row>
    <row r="177" spans="1:19" ht="15.75" customHeight="1">
      <c r="A177" s="69" t="s">
        <v>454</v>
      </c>
      <c r="B177" s="13" t="s">
        <v>91</v>
      </c>
      <c r="C177" s="12">
        <f>_xll.DBRW($B$1,Cons_Region!$F$12,Cons_Region!C$15,$M$1,$G$159,Cons_Region!$C$12,$N$1,$A177,$L$1,$K$1)</f>
        <v>0</v>
      </c>
      <c r="D177" s="12">
        <f>_xll.DBRW($B$1,Cons_Region!$F$12,Cons_Region!D$15,$M$1,$G$159,Cons_Region!$C$12,$N$1,$A177,$L$1,$K$1)</f>
        <v>-1.5581</v>
      </c>
      <c r="E177" s="12">
        <f>_xll.DBRW($B$1,Cons_Region!$F$12,Cons_Region!E$15,$M$1,$G$159,Cons_Region!$C$12,$N$1,$A177,$L$1,$K$1)</f>
        <v>-1020</v>
      </c>
      <c r="F177" s="12">
        <f>_xll.DBRW($B$1,Cons_Region!$F$12,Cons_Region!F$15,$M$1,$G$159,Cons_Region!$C$12,$N$1,$A177,$L$1,$K$1)</f>
        <v>0</v>
      </c>
      <c r="G177" s="12">
        <f>_xll.DBRW($B$1,Cons_Region!$F$12,Cons_Region!G$15,$M$1,$G$159,Cons_Region!$C$12,$N$1,$A177,$L$1,$K$1)</f>
        <v>0</v>
      </c>
      <c r="H177" s="12">
        <f>_xll.DBRW($B$1,Cons_Region!$F$12,Cons_Region!H$15,$M$1,$G$159,Cons_Region!$C$12,$N$1,$A177,$L$1,$K$1)</f>
        <v>0</v>
      </c>
      <c r="I177" s="12">
        <f>_xll.DBRW($B$1,Cons_Region!$F$12,Cons_Region!I$15,$M$1,$G$159,Cons_Region!$C$12,$N$1,$A177,$L$1,$K$1)</f>
        <v>0</v>
      </c>
      <c r="J177" s="12">
        <f>_xll.DBRW($B$1,Cons_Region!$F$12,Cons_Region!J$15,$M$1,$G$159,Cons_Region!$C$12,$N$1,$A177,$L$1,$K$1)</f>
        <v>0</v>
      </c>
      <c r="K177" s="12">
        <f>_xll.DBRW($B$1,Cons_Region!$F$12,Cons_Region!K$15,$M$1,$G$159,Cons_Region!$C$12,$N$1,$A177,$L$1,$K$1)</f>
        <v>-54.3</v>
      </c>
      <c r="L177" s="12">
        <f>_xll.DBRW($B$1,Cons_Region!$F$12,Cons_Region!L$15,$M$1,$G$159,Cons_Region!$C$12,$N$1,$A177,$L$1,$K$1)</f>
        <v>0</v>
      </c>
      <c r="M177" s="12">
        <f>_xll.DBRW($B$1,Cons_Region!$F$12,Cons_Region!M$15,$M$1,$G$159,Cons_Region!$C$12,$N$1,$A177,$L$1,$K$1)</f>
        <v>0</v>
      </c>
      <c r="N177" s="12">
        <f>_xll.DBRW($B$1,Cons_Region!$F$12,Cons_Region!N$15,$M$1,$G$159,Cons_Region!$C$12,$N$1,$A177,$L$1,$K$1)</f>
        <v>0</v>
      </c>
      <c r="O177" s="12">
        <f>_xll.DBRW($B$1,O$14,Cons_Region!O$15,$M$1,Cons_Region!$H$12,Cons_Region!$C$12,$N$1,$A177,$L$1,$K$1)</f>
        <v>0</v>
      </c>
      <c r="P177" s="12">
        <f>_xll.DBRW($B$1,P$14,Cons_Region!P$15,$M$1,Cons_Region!$H$12,Cons_Region!$C$12,$N$1,$A177,$L$1,$K$1)</f>
        <v>0</v>
      </c>
      <c r="Q177" s="12">
        <f>_xll.DBRW($B$1,Q$14,Cons_Region!Q$15,$M$1,Cons_Region!$H$12,Cons_Region!$C$12,$N$1,$A177,$L$1,$K$1)</f>
        <v>0</v>
      </c>
      <c r="R177" s="12">
        <f>_xll.DBRW($B$1,R$14,Cons_Region!R$15,$M$1,Cons_Region!$H$12,Cons_Region!$C$12,$N$1,$A177,$L$1,$K$1)</f>
        <v>0</v>
      </c>
      <c r="S177" s="12">
        <f>_xll.DBRW($B$1,S$14,Cons_Region!S$15,$M$1,Cons_Region!$H$12,Cons_Region!$C$12,$N$1,$A177,$L$1,$K$1)</f>
        <v>0</v>
      </c>
    </row>
    <row r="178" spans="1:19" ht="15.75" customHeight="1">
      <c r="A178" s="69" t="s">
        <v>453</v>
      </c>
      <c r="B178" s="13" t="s">
        <v>92</v>
      </c>
      <c r="C178" s="12">
        <f>_xll.DBRW($B$1,Cons_Region!$F$12,Cons_Region!C$15,$M$1,$G$159,Cons_Region!$C$12,$N$1,$A178,$L$1,$K$1)</f>
        <v>0</v>
      </c>
      <c r="D178" s="12">
        <f>_xll.DBRW($B$1,Cons_Region!$F$12,Cons_Region!D$15,$M$1,$G$159,Cons_Region!$C$12,$N$1,$A178,$L$1,$K$1)</f>
        <v>-58.5899</v>
      </c>
      <c r="E178" s="12">
        <f>_xll.DBRW($B$1,Cons_Region!$F$12,Cons_Region!E$15,$M$1,$G$159,Cons_Region!$C$12,$N$1,$A178,$L$1,$K$1)</f>
        <v>-69.917900000000003</v>
      </c>
      <c r="F178" s="12">
        <f>_xll.DBRW($B$1,Cons_Region!$F$12,Cons_Region!F$15,$M$1,$G$159,Cons_Region!$C$12,$N$1,$A178,$L$1,$K$1)</f>
        <v>-65.272400000000005</v>
      </c>
      <c r="G178" s="12">
        <f>_xll.DBRW($B$1,Cons_Region!$F$12,Cons_Region!G$15,$M$1,$G$159,Cons_Region!$C$12,$N$1,$A178,$L$1,$K$1)</f>
        <v>-62.8553</v>
      </c>
      <c r="H178" s="12">
        <f>_xll.DBRW($B$1,Cons_Region!$F$12,Cons_Region!H$15,$M$1,$G$159,Cons_Region!$C$12,$N$1,$A178,$L$1,$K$1)</f>
        <v>-65.262900000000002</v>
      </c>
      <c r="I178" s="12">
        <f>_xll.DBRW($B$1,Cons_Region!$F$12,Cons_Region!I$15,$M$1,$G$159,Cons_Region!$C$12,$N$1,$A178,$L$1,$K$1)</f>
        <v>-69.938100000000006</v>
      </c>
      <c r="J178" s="12">
        <f>_xll.DBRW($B$1,Cons_Region!$F$12,Cons_Region!J$15,$M$1,$G$159,Cons_Region!$C$12,$N$1,$A178,$L$1,$K$1)</f>
        <v>-63.491399999999999</v>
      </c>
      <c r="K178" s="12">
        <f>_xll.DBRW($B$1,Cons_Region!$F$12,Cons_Region!K$15,$M$1,$G$159,Cons_Region!$C$12,$N$1,$A178,$L$1,$K$1)</f>
        <v>-62.110599999999998</v>
      </c>
      <c r="L178" s="12">
        <f>_xll.DBRW($B$1,Cons_Region!$F$12,Cons_Region!L$15,$M$1,$G$159,Cons_Region!$C$12,$N$1,$A178,$L$1,$K$1)</f>
        <v>-61.021599999999999</v>
      </c>
      <c r="M178" s="12">
        <f>_xll.DBRW($B$1,Cons_Region!$F$12,Cons_Region!M$15,$M$1,$G$159,Cons_Region!$C$12,$N$1,$A178,$L$1,$K$1)</f>
        <v>-55.609299999999998</v>
      </c>
      <c r="N178" s="12">
        <f>_xll.DBRW($B$1,Cons_Region!$F$12,Cons_Region!N$15,$M$1,$G$159,Cons_Region!$C$12,$N$1,$A178,$L$1,$K$1)</f>
        <v>0</v>
      </c>
      <c r="O178" s="12">
        <f>_xll.DBRW($B$1,O$14,Cons_Region!O$15,$M$1,Cons_Region!$H$12,Cons_Region!$C$12,$N$1,$A178,$L$1,$K$1)</f>
        <v>0</v>
      </c>
      <c r="P178" s="12">
        <f>_xll.DBRW($B$1,P$14,Cons_Region!P$15,$M$1,Cons_Region!$H$12,Cons_Region!$C$12,$N$1,$A178,$L$1,$K$1)</f>
        <v>0</v>
      </c>
      <c r="Q178" s="12">
        <f>_xll.DBRW($B$1,Q$14,Cons_Region!Q$15,$M$1,Cons_Region!$H$12,Cons_Region!$C$12,$N$1,$A178,$L$1,$K$1)</f>
        <v>0</v>
      </c>
      <c r="R178" s="12">
        <f>_xll.DBRW($B$1,R$14,Cons_Region!R$15,$M$1,Cons_Region!$H$12,Cons_Region!$C$12,$N$1,$A178,$L$1,$K$1)</f>
        <v>0</v>
      </c>
      <c r="S178" s="12">
        <f>_xll.DBRW($B$1,S$14,Cons_Region!S$15,$M$1,Cons_Region!$H$12,Cons_Region!$C$12,$N$1,$A178,$L$1,$K$1)</f>
        <v>0</v>
      </c>
    </row>
    <row r="179" spans="1:19" ht="15.75" customHeight="1">
      <c r="A179" s="69" t="s">
        <v>455</v>
      </c>
      <c r="B179" s="13" t="s">
        <v>93</v>
      </c>
      <c r="C179" s="12">
        <f>_xll.DBRW($B$1,Cons_Region!$F$12,Cons_Region!C$15,$M$1,$G$159,Cons_Region!$C$12,$N$1,$A179,$L$1,$K$1)</f>
        <v>0</v>
      </c>
      <c r="D179" s="12">
        <f>_xll.DBRW($B$1,Cons_Region!$F$12,Cons_Region!D$15,$M$1,$G$159,Cons_Region!$C$12,$N$1,$A179,$L$1,$K$1)</f>
        <v>-6.6473000000000004</v>
      </c>
      <c r="E179" s="12">
        <f>_xll.DBRW($B$1,Cons_Region!$F$12,Cons_Region!E$15,$M$1,$G$159,Cons_Region!$C$12,$N$1,$A179,$L$1,$K$1)</f>
        <v>-9.3856999999999999</v>
      </c>
      <c r="F179" s="12">
        <f>_xll.DBRW($B$1,Cons_Region!$F$12,Cons_Region!F$15,$M$1,$G$159,Cons_Region!$C$12,$N$1,$A179,$L$1,$K$1)</f>
        <v>-7.9771999999999998</v>
      </c>
      <c r="G179" s="12">
        <f>_xll.DBRW($B$1,Cons_Region!$F$12,Cons_Region!G$15,$M$1,$G$159,Cons_Region!$C$12,$N$1,$A179,$L$1,$K$1)</f>
        <v>-7.9950000000000001</v>
      </c>
      <c r="H179" s="12">
        <f>_xll.DBRW($B$1,Cons_Region!$F$12,Cons_Region!H$15,$M$1,$G$159,Cons_Region!$C$12,$N$1,$A179,$L$1,$K$1)</f>
        <v>-6.7961999999999998</v>
      </c>
      <c r="I179" s="12">
        <f>_xll.DBRW($B$1,Cons_Region!$F$12,Cons_Region!I$15,$M$1,$G$159,Cons_Region!$C$12,$N$1,$A179,$L$1,$K$1)</f>
        <v>-6.1550000000000002</v>
      </c>
      <c r="J179" s="12">
        <f>_xll.DBRW($B$1,Cons_Region!$F$12,Cons_Region!J$15,$M$1,$G$159,Cons_Region!$C$12,$N$1,$A179,$L$1,$K$1)</f>
        <v>-5.8059000000000003</v>
      </c>
      <c r="K179" s="12">
        <f>_xll.DBRW($B$1,Cons_Region!$F$12,Cons_Region!K$15,$M$1,$G$159,Cons_Region!$C$12,$N$1,$A179,$L$1,$K$1)</f>
        <v>-7.3137999999999996</v>
      </c>
      <c r="L179" s="12">
        <f>_xll.DBRW($B$1,Cons_Region!$F$12,Cons_Region!L$15,$M$1,$G$159,Cons_Region!$C$12,$N$1,$A179,$L$1,$K$1)</f>
        <v>-7.2988999999999997</v>
      </c>
      <c r="M179" s="12">
        <f>_xll.DBRW($B$1,Cons_Region!$F$12,Cons_Region!M$15,$M$1,$G$159,Cons_Region!$C$12,$N$1,$A179,$L$1,$K$1)</f>
        <v>-7.4385000000000003</v>
      </c>
      <c r="N179" s="12">
        <f>_xll.DBRW($B$1,Cons_Region!$F$12,Cons_Region!N$15,$M$1,$G$159,Cons_Region!$C$12,$N$1,$A179,$L$1,$K$1)</f>
        <v>0</v>
      </c>
      <c r="O179" s="12">
        <f>_xll.DBRW($B$1,O$14,Cons_Region!O$15,$M$1,Cons_Region!$H$12,Cons_Region!$C$12,$N$1,$A179,$L$1,$K$1)</f>
        <v>0</v>
      </c>
      <c r="P179" s="12">
        <f>_xll.DBRW($B$1,P$14,Cons_Region!P$15,$M$1,Cons_Region!$H$12,Cons_Region!$C$12,$N$1,$A179,$L$1,$K$1)</f>
        <v>0</v>
      </c>
      <c r="Q179" s="12">
        <f>_xll.DBRW($B$1,Q$14,Cons_Region!Q$15,$M$1,Cons_Region!$H$12,Cons_Region!$C$12,$N$1,$A179,$L$1,$K$1)</f>
        <v>0</v>
      </c>
      <c r="R179" s="12">
        <f>_xll.DBRW($B$1,R$14,Cons_Region!R$15,$M$1,Cons_Region!$H$12,Cons_Region!$C$12,$N$1,$A179,$L$1,$K$1)</f>
        <v>0</v>
      </c>
      <c r="S179" s="12">
        <f>_xll.DBRW($B$1,S$14,Cons_Region!S$15,$M$1,Cons_Region!$H$12,Cons_Region!$C$12,$N$1,$A179,$L$1,$K$1)</f>
        <v>0</v>
      </c>
    </row>
    <row r="180" spans="1:19" ht="15.75" customHeight="1">
      <c r="A180" s="69" t="s">
        <v>456</v>
      </c>
      <c r="B180" s="13" t="s">
        <v>94</v>
      </c>
      <c r="C180" s="12">
        <f>_xll.DBRW($B$1,Cons_Region!$F$12,Cons_Region!C$15,$M$1,$G$159,Cons_Region!$C$12,$N$1,$A180,$L$1,$K$1)</f>
        <v>0</v>
      </c>
      <c r="D180" s="12">
        <f>_xll.DBRW($B$1,Cons_Region!$F$12,Cons_Region!D$15,$M$1,$G$159,Cons_Region!$C$12,$N$1,$A180,$L$1,$K$1)</f>
        <v>14.8436</v>
      </c>
      <c r="E180" s="12">
        <f>_xll.DBRW($B$1,Cons_Region!$F$12,Cons_Region!E$15,$M$1,$G$159,Cons_Region!$C$12,$N$1,$A180,$L$1,$K$1)</f>
        <v>893.85900000000004</v>
      </c>
      <c r="F180" s="12">
        <f>_xll.DBRW($B$1,Cons_Region!$F$12,Cons_Region!F$15,$M$1,$G$159,Cons_Region!$C$12,$N$1,$A180,$L$1,$K$1)</f>
        <v>13.8787</v>
      </c>
      <c r="G180" s="12">
        <f>_xll.DBRW($B$1,Cons_Region!$F$12,Cons_Region!G$15,$M$1,$G$159,Cons_Region!$C$12,$N$1,$A180,$L$1,$K$1)</f>
        <v>13.9328</v>
      </c>
      <c r="H180" s="12">
        <f>_xll.DBRW($B$1,Cons_Region!$F$12,Cons_Region!H$15,$M$1,$G$159,Cons_Region!$C$12,$N$1,$A180,$L$1,$K$1)</f>
        <v>14.842700000000001</v>
      </c>
      <c r="I180" s="12">
        <f>_xll.DBRW($B$1,Cons_Region!$F$12,Cons_Region!I$15,$M$1,$G$159,Cons_Region!$C$12,$N$1,$A180,$L$1,$K$1)</f>
        <v>14.629200000000001</v>
      </c>
      <c r="J180" s="12">
        <f>_xll.DBRW($B$1,Cons_Region!$F$12,Cons_Region!J$15,$M$1,$G$159,Cons_Region!$C$12,$N$1,$A180,$L$1,$K$1)</f>
        <v>15.2033</v>
      </c>
      <c r="K180" s="12">
        <f>_xll.DBRW($B$1,Cons_Region!$F$12,Cons_Region!K$15,$M$1,$G$159,Cons_Region!$C$12,$N$1,$A180,$L$1,$K$1)</f>
        <v>16.501200000000001</v>
      </c>
      <c r="L180" s="12">
        <f>_xll.DBRW($B$1,Cons_Region!$F$12,Cons_Region!L$15,$M$1,$G$159,Cons_Region!$C$12,$N$1,$A180,$L$1,$K$1)</f>
        <v>14.1572</v>
      </c>
      <c r="M180" s="12">
        <f>_xll.DBRW($B$1,Cons_Region!$F$12,Cons_Region!M$15,$M$1,$G$159,Cons_Region!$C$12,$N$1,$A180,$L$1,$K$1)</f>
        <v>15.626899999999999</v>
      </c>
      <c r="N180" s="12">
        <f>_xll.DBRW($B$1,Cons_Region!$F$12,Cons_Region!N$15,$M$1,$G$159,Cons_Region!$C$12,$N$1,$A180,$L$1,$K$1)</f>
        <v>0</v>
      </c>
      <c r="O180" s="12">
        <f>_xll.DBRW($B$1,O$14,Cons_Region!O$15,$M$1,Cons_Region!$H$12,Cons_Region!$C$12,$N$1,$A180,$L$1,$K$1)</f>
        <v>0</v>
      </c>
      <c r="P180" s="12">
        <f>_xll.DBRW($B$1,P$14,Cons_Region!P$15,$M$1,Cons_Region!$H$12,Cons_Region!$C$12,$N$1,$A180,$L$1,$K$1)</f>
        <v>0</v>
      </c>
      <c r="Q180" s="12">
        <f>_xll.DBRW($B$1,Q$14,Cons_Region!Q$15,$M$1,Cons_Region!$H$12,Cons_Region!$C$12,$N$1,$A180,$L$1,$K$1)</f>
        <v>0</v>
      </c>
      <c r="R180" s="12">
        <f>_xll.DBRW($B$1,R$14,Cons_Region!R$15,$M$1,Cons_Region!$H$12,Cons_Region!$C$12,$N$1,$A180,$L$1,$K$1)</f>
        <v>0</v>
      </c>
      <c r="S180" s="12">
        <f>_xll.DBRW($B$1,S$14,Cons_Region!S$15,$M$1,Cons_Region!$H$12,Cons_Region!$C$12,$N$1,$A180,$L$1,$K$1)</f>
        <v>0</v>
      </c>
    </row>
    <row r="181" spans="1:19" ht="15.75" customHeight="1">
      <c r="B181" s="13" t="s">
        <v>95</v>
      </c>
      <c r="C181" s="12" t="e">
        <f>_xll.DBRW($B$1,Cons_Region!$F$12,Cons_Region!C$15,$M$1,$G$159,Cons_Region!$C$12,$N$1,Cons_Region!$B181,$L$1,$K$1)</f>
        <v>#NUM!</v>
      </c>
      <c r="D181" s="12" t="e">
        <f>_xll.DBRW($B$1,Cons_Region!$F$12,Cons_Region!D$15,$M$1,$G$159,Cons_Region!$C$12,$N$1,Cons_Region!$B181,$L$1,$K$1)</f>
        <v>#NUM!</v>
      </c>
      <c r="E181" s="12" t="e">
        <f>_xll.DBRW($B$1,Cons_Region!$F$12,Cons_Region!E$15,$M$1,$G$159,Cons_Region!$C$12,$N$1,Cons_Region!$B181,$L$1,$K$1)</f>
        <v>#NUM!</v>
      </c>
      <c r="F181" s="12" t="e">
        <f>_xll.DBRW($B$1,Cons_Region!$F$12,Cons_Region!F$15,$M$1,$G$159,Cons_Region!$C$12,$N$1,Cons_Region!$B181,$L$1,$K$1)</f>
        <v>#NUM!</v>
      </c>
      <c r="G181" s="12" t="e">
        <f>_xll.DBRW($B$1,Cons_Region!$F$12,Cons_Region!G$15,$M$1,$G$159,Cons_Region!$C$12,$N$1,Cons_Region!$B181,$L$1,$K$1)</f>
        <v>#NUM!</v>
      </c>
      <c r="H181" s="12" t="e">
        <f>_xll.DBRW($B$1,Cons_Region!$F$12,Cons_Region!H$15,$M$1,$G$159,Cons_Region!$C$12,$N$1,Cons_Region!$B181,$L$1,$K$1)</f>
        <v>#NUM!</v>
      </c>
      <c r="I181" s="12" t="e">
        <f>_xll.DBRW($B$1,Cons_Region!$F$12,Cons_Region!I$15,$M$1,$G$159,Cons_Region!$C$12,$N$1,Cons_Region!$B181,$L$1,$K$1)</f>
        <v>#NUM!</v>
      </c>
      <c r="J181" s="12" t="e">
        <f>_xll.DBRW($B$1,Cons_Region!$F$12,Cons_Region!J$15,$M$1,$G$159,Cons_Region!$C$12,$N$1,Cons_Region!$B181,$L$1,$K$1)</f>
        <v>#NUM!</v>
      </c>
      <c r="K181" s="12" t="e">
        <f>_xll.DBRW($B$1,Cons_Region!$F$12,Cons_Region!K$15,$M$1,$G$159,Cons_Region!$C$12,$N$1,Cons_Region!$B181,$L$1,$K$1)</f>
        <v>#NUM!</v>
      </c>
      <c r="L181" s="12" t="e">
        <f>_xll.DBRW($B$1,Cons_Region!$F$12,Cons_Region!L$15,$M$1,$G$159,Cons_Region!$C$12,$N$1,Cons_Region!$B181,$L$1,$K$1)</f>
        <v>#NUM!</v>
      </c>
      <c r="M181" s="12" t="e">
        <f>_xll.DBRW($B$1,Cons_Region!$F$12,Cons_Region!M$15,$M$1,$G$159,Cons_Region!$C$12,$N$1,Cons_Region!$B181,$L$1,$K$1)</f>
        <v>#NUM!</v>
      </c>
      <c r="N181" s="12" t="e">
        <f>_xll.DBRW($B$1,Cons_Region!$F$12,Cons_Region!N$15,$M$1,$G$159,Cons_Region!$C$12,$N$1,Cons_Region!$B181,$L$1,$K$1)</f>
        <v>#NUM!</v>
      </c>
      <c r="O181" s="12" t="e">
        <f>_xll.DBRW($B$1,O$14,Cons_Region!O$15,$M$1,Cons_Region!$H$12,Cons_Region!$C$12,$N$1,$A181,$L$1,$K$1)</f>
        <v>#VALUE!</v>
      </c>
      <c r="P181" s="12" t="e">
        <f>_xll.DBRW($B$1,P$14,Cons_Region!P$15,$M$1,Cons_Region!$H$12,Cons_Region!$C$12,$N$1,$A181,$L$1,$K$1)</f>
        <v>#VALUE!</v>
      </c>
      <c r="Q181" s="12" t="e">
        <f>_xll.DBRW($B$1,Q$14,Cons_Region!Q$15,$M$1,Cons_Region!$H$12,Cons_Region!$C$12,$N$1,$A181,$L$1,$K$1)</f>
        <v>#VALUE!</v>
      </c>
      <c r="R181" s="12" t="e">
        <f>_xll.DBRW($B$1,R$14,Cons_Region!R$15,$M$1,Cons_Region!$H$12,Cons_Region!$C$12,$N$1,$A181,$L$1,$K$1)</f>
        <v>#VALUE!</v>
      </c>
      <c r="S181" s="12" t="e">
        <f>_xll.DBRW($B$1,S$14,Cons_Region!S$15,$M$1,Cons_Region!$H$12,Cons_Region!$C$12,$N$1,$A181,$L$1,$K$1)</f>
        <v>#VALUE!</v>
      </c>
    </row>
    <row r="182" spans="1:19" ht="15.75" customHeight="1">
      <c r="A182" s="69" t="s">
        <v>457</v>
      </c>
      <c r="B182" s="13" t="s">
        <v>96</v>
      </c>
      <c r="C182" s="12">
        <f>_xll.DBRW($B$1,Cons_Region!$F$12,Cons_Region!C$15,$M$1,$G$159,Cons_Region!$C$12,$N$1,$A182,$L$1,$K$1)</f>
        <v>0</v>
      </c>
      <c r="D182" s="12">
        <f>_xll.DBRW($B$1,Cons_Region!$F$12,Cons_Region!D$15,$M$1,$G$159,Cons_Region!$C$12,$N$1,$A182,$L$1,$K$1)</f>
        <v>-18.901800000000001</v>
      </c>
      <c r="E182" s="12">
        <f>_xll.DBRW($B$1,Cons_Region!$F$12,Cons_Region!E$15,$M$1,$G$159,Cons_Region!$C$12,$N$1,$A182,$L$1,$K$1)</f>
        <v>-2.62</v>
      </c>
      <c r="F182" s="12">
        <f>_xll.DBRW($B$1,Cons_Region!$F$12,Cons_Region!F$15,$M$1,$G$159,Cons_Region!$C$12,$N$1,$A182,$L$1,$K$1)</f>
        <v>-29.005199999999999</v>
      </c>
      <c r="G182" s="12">
        <f>_xll.DBRW($B$1,Cons_Region!$F$12,Cons_Region!G$15,$M$1,$G$159,Cons_Region!$C$12,$N$1,$A182,$L$1,$K$1)</f>
        <v>-29.3432</v>
      </c>
      <c r="H182" s="12">
        <f>_xll.DBRW($B$1,Cons_Region!$F$12,Cons_Region!H$15,$M$1,$G$159,Cons_Region!$C$12,$N$1,$A182,$L$1,$K$1)</f>
        <v>-24.239100000000001</v>
      </c>
      <c r="I182" s="12">
        <f>_xll.DBRW($B$1,Cons_Region!$F$12,Cons_Region!I$15,$M$1,$G$159,Cons_Region!$C$12,$N$1,$A182,$L$1,$K$1)</f>
        <v>-109.9211</v>
      </c>
      <c r="J182" s="12">
        <f>_xll.DBRW($B$1,Cons_Region!$F$12,Cons_Region!J$15,$M$1,$G$159,Cons_Region!$C$12,$N$1,$A182,$L$1,$K$1)</f>
        <v>-22.0976</v>
      </c>
      <c r="K182" s="12">
        <f>_xll.DBRW($B$1,Cons_Region!$F$12,Cons_Region!K$15,$M$1,$G$159,Cons_Region!$C$12,$N$1,$A182,$L$1,$K$1)</f>
        <v>-7.3623000000000003</v>
      </c>
      <c r="L182" s="12">
        <f>_xll.DBRW($B$1,Cons_Region!$F$12,Cons_Region!L$15,$M$1,$G$159,Cons_Region!$C$12,$N$1,$A182,$L$1,$K$1)</f>
        <v>-7.6666999999999996</v>
      </c>
      <c r="M182" s="12">
        <f>_xll.DBRW($B$1,Cons_Region!$F$12,Cons_Region!M$15,$M$1,$G$159,Cons_Region!$C$12,$N$1,$A182,$L$1,$K$1)</f>
        <v>-8.1340000000000003</v>
      </c>
      <c r="N182" s="12">
        <f>_xll.DBRW($B$1,Cons_Region!$F$12,Cons_Region!N$15,$M$1,$G$159,Cons_Region!$C$12,$N$1,$A182,$L$1,$K$1)</f>
        <v>0</v>
      </c>
      <c r="O182" s="12">
        <f>_xll.DBRW($B$1,O$14,Cons_Region!O$15,$M$1,Cons_Region!$H$12,Cons_Region!$C$12,$N$1,$A182,$L$1,$K$1)</f>
        <v>0</v>
      </c>
      <c r="P182" s="12">
        <f>_xll.DBRW($B$1,P$14,Cons_Region!P$15,$M$1,Cons_Region!$H$12,Cons_Region!$C$12,$N$1,$A182,$L$1,$K$1)</f>
        <v>0</v>
      </c>
      <c r="Q182" s="12">
        <f>_xll.DBRW($B$1,Q$14,Cons_Region!Q$15,$M$1,Cons_Region!$H$12,Cons_Region!$C$12,$N$1,$A182,$L$1,$K$1)</f>
        <v>0</v>
      </c>
      <c r="R182" s="12">
        <f>_xll.DBRW($B$1,R$14,Cons_Region!R$15,$M$1,Cons_Region!$H$12,Cons_Region!$C$12,$N$1,$A182,$L$1,$K$1)</f>
        <v>0</v>
      </c>
      <c r="S182" s="12">
        <f>_xll.DBRW($B$1,S$14,Cons_Region!S$15,$M$1,Cons_Region!$H$12,Cons_Region!$C$12,$N$1,$A182,$L$1,$K$1)</f>
        <v>0</v>
      </c>
    </row>
    <row r="183" spans="1:19" ht="15.75" customHeight="1">
      <c r="A183" s="69" t="s">
        <v>458</v>
      </c>
      <c r="B183" s="13" t="s">
        <v>97</v>
      </c>
      <c r="C183" s="12">
        <f>_xll.DBRW($B$1,Cons_Region!$F$12,Cons_Region!C$15,$M$1,$G$159,Cons_Region!$C$12,$N$1,$A183,$L$1,$K$1)</f>
        <v>0</v>
      </c>
      <c r="D183" s="12">
        <f>_xll.DBRW($B$1,Cons_Region!$F$12,Cons_Region!D$15,$M$1,$G$159,Cons_Region!$C$12,$N$1,$A183,$L$1,$K$1)</f>
        <v>0</v>
      </c>
      <c r="E183" s="12">
        <f>_xll.DBRW($B$1,Cons_Region!$F$12,Cons_Region!E$15,$M$1,$G$159,Cons_Region!$C$12,$N$1,$A183,$L$1,$K$1)</f>
        <v>0</v>
      </c>
      <c r="F183" s="12">
        <f>_xll.DBRW($B$1,Cons_Region!$F$12,Cons_Region!F$15,$M$1,$G$159,Cons_Region!$C$12,$N$1,$A183,$L$1,$K$1)</f>
        <v>0</v>
      </c>
      <c r="G183" s="12">
        <f>_xll.DBRW($B$1,Cons_Region!$F$12,Cons_Region!G$15,$M$1,$G$159,Cons_Region!$C$12,$N$1,$A183,$L$1,$K$1)</f>
        <v>0</v>
      </c>
      <c r="H183" s="12">
        <f>_xll.DBRW($B$1,Cons_Region!$F$12,Cons_Region!H$15,$M$1,$G$159,Cons_Region!$C$12,$N$1,$A183,$L$1,$K$1)</f>
        <v>0</v>
      </c>
      <c r="I183" s="12">
        <f>_xll.DBRW($B$1,Cons_Region!$F$12,Cons_Region!I$15,$M$1,$G$159,Cons_Region!$C$12,$N$1,$A183,$L$1,$K$1)</f>
        <v>0</v>
      </c>
      <c r="J183" s="12">
        <f>_xll.DBRW($B$1,Cons_Region!$F$12,Cons_Region!J$15,$M$1,$G$159,Cons_Region!$C$12,$N$1,$A183,$L$1,$K$1)</f>
        <v>0</v>
      </c>
      <c r="K183" s="12">
        <f>_xll.DBRW($B$1,Cons_Region!$F$12,Cons_Region!K$15,$M$1,$G$159,Cons_Region!$C$12,$N$1,$A183,$L$1,$K$1)</f>
        <v>0</v>
      </c>
      <c r="L183" s="12">
        <f>_xll.DBRW($B$1,Cons_Region!$F$12,Cons_Region!L$15,$M$1,$G$159,Cons_Region!$C$12,$N$1,$A183,$L$1,$K$1)</f>
        <v>0</v>
      </c>
      <c r="M183" s="12">
        <f>_xll.DBRW($B$1,Cons_Region!$F$12,Cons_Region!M$15,$M$1,$G$159,Cons_Region!$C$12,$N$1,$A183,$L$1,$K$1)</f>
        <v>0</v>
      </c>
      <c r="N183" s="12">
        <f>_xll.DBRW($B$1,Cons_Region!$F$12,Cons_Region!N$15,$M$1,$G$159,Cons_Region!$C$12,$N$1,$A183,$L$1,$K$1)</f>
        <v>0</v>
      </c>
      <c r="O183" s="12">
        <f>_xll.DBRW($B$1,O$14,Cons_Region!O$15,$M$1,Cons_Region!$H$12,Cons_Region!$C$12,$N$1,$A183,$L$1,$K$1)</f>
        <v>0</v>
      </c>
      <c r="P183" s="12">
        <f>_xll.DBRW($B$1,P$14,Cons_Region!P$15,$M$1,Cons_Region!$H$12,Cons_Region!$C$12,$N$1,$A183,$L$1,$K$1)</f>
        <v>0</v>
      </c>
      <c r="Q183" s="12">
        <f>_xll.DBRW($B$1,Q$14,Cons_Region!Q$15,$M$1,Cons_Region!$H$12,Cons_Region!$C$12,$N$1,$A183,$L$1,$K$1)</f>
        <v>0</v>
      </c>
      <c r="R183" s="12">
        <f>_xll.DBRW($B$1,R$14,Cons_Region!R$15,$M$1,Cons_Region!$H$12,Cons_Region!$C$12,$N$1,$A183,$L$1,$K$1)</f>
        <v>0</v>
      </c>
      <c r="S183" s="12">
        <f>_xll.DBRW($B$1,S$14,Cons_Region!S$15,$M$1,Cons_Region!$H$12,Cons_Region!$C$12,$N$1,$A183,$L$1,$K$1)</f>
        <v>0</v>
      </c>
    </row>
    <row r="184" spans="1:19" ht="15.75" customHeight="1">
      <c r="A184" s="69" t="s">
        <v>459</v>
      </c>
      <c r="B184" s="15" t="s">
        <v>98</v>
      </c>
      <c r="C184" s="20">
        <f>_xll.DBRW($C$4,Cons_Region!$F$12,Cons_Region!C$15,$M$1,$G$159,Cons_Region!$C$12,$A184,$K$1)</f>
        <v>0</v>
      </c>
      <c r="D184" s="20">
        <f>_xll.DBRW($C$4,Cons_Region!$F$12,Cons_Region!D$15,$M$1,$G$159,Cons_Region!$C$12,$A184,$K$1)</f>
        <v>7.2875999999999976</v>
      </c>
      <c r="E184" s="20">
        <f>_xll.DBRW($C$4,Cons_Region!$F$12,Cons_Region!E$15,$M$1,$G$159,Cons_Region!$C$12,$A184,$K$1)</f>
        <v>1.8756000000000386</v>
      </c>
      <c r="F184" s="20">
        <f>_xll.DBRW($C$4,Cons_Region!$F$12,Cons_Region!F$15,$M$1,$G$159,Cons_Region!$C$12,$A184,$K$1)</f>
        <v>128.06940000000003</v>
      </c>
      <c r="G184" s="20">
        <f>_xll.DBRW($C$4,Cons_Region!$F$12,Cons_Region!G$15,$M$1,$G$159,Cons_Region!$C$12,$A184,$K$1)</f>
        <v>113.51940000000002</v>
      </c>
      <c r="H184" s="20">
        <f>_xll.DBRW($C$4,Cons_Region!$F$12,Cons_Region!H$15,$M$1,$G$159,Cons_Region!$C$12,$A184,$K$1)</f>
        <v>175.75130000000001</v>
      </c>
      <c r="I184" s="20">
        <f>_xll.DBRW($C$4,Cons_Region!$F$12,Cons_Region!I$15,$M$1,$G$159,Cons_Region!$C$12,$A184,$K$1)</f>
        <v>82.047900000000027</v>
      </c>
      <c r="J184" s="20">
        <f>_xll.DBRW($C$4,Cons_Region!$F$12,Cons_Region!J$15,$M$1,$G$159,Cons_Region!$C$12,$A184,$K$1)</f>
        <v>90.030400000000029</v>
      </c>
      <c r="K184" s="20">
        <f>_xll.DBRW($C$4,Cons_Region!$F$12,Cons_Region!K$15,$M$1,$G$159,Cons_Region!$C$12,$A184,$K$1)</f>
        <v>194.60720000000003</v>
      </c>
      <c r="L184" s="20">
        <f>_xll.DBRW($C$4,Cons_Region!$F$12,Cons_Region!L$15,$M$1,$G$159,Cons_Region!$C$12,$A184,$K$1)</f>
        <v>337.09550000000002</v>
      </c>
      <c r="M184" s="20">
        <f>_xll.DBRW($C$4,Cons_Region!$F$12,Cons_Region!M$15,$M$1,$G$159,Cons_Region!$C$12,$A184,$K$1)</f>
        <v>346.98779999999999</v>
      </c>
      <c r="N184" s="20">
        <f>_xll.DBRW($C$4,Cons_Region!$F$12,Cons_Region!N$15,$M$1,$G$159,Cons_Region!$C$12,$A184,$K$1)</f>
        <v>346.98779999999999</v>
      </c>
      <c r="O184" s="20">
        <f>_xll.DBRW($C$4,O$14,Cons_Region!O$15,$M$1,$G$144,Cons_Region!$C$12,$A184,$K$1)</f>
        <v>0</v>
      </c>
      <c r="P184" s="20">
        <f>_xll.DBRW($C$4,P$14,Cons_Region!P$15,$M$1,$G$144,Cons_Region!$C$12,$A184,$K$1)</f>
        <v>0</v>
      </c>
      <c r="Q184" s="20">
        <f>_xll.DBRW($C$4,Q$14,Cons_Region!Q$15,$M$1,$G$144,Cons_Region!$C$12,$A184,$K$1)</f>
        <v>0</v>
      </c>
      <c r="R184" s="20">
        <f>_xll.DBRW($C$4,R$14,Cons_Region!R$15,$M$1,$G$144,Cons_Region!$C$12,$A184,$K$1)</f>
        <v>0</v>
      </c>
      <c r="S184" s="20">
        <f>_xll.DBRW($C$4,S$14,Cons_Region!S$15,$M$1,$G$144,Cons_Region!$C$12,$A184,$K$1)</f>
        <v>0</v>
      </c>
    </row>
    <row r="185" spans="1:19" ht="15.75" customHeight="1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</row>
    <row r="186" spans="1:19" ht="15.75" customHeight="1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</row>
    <row r="187" spans="1:19" ht="15.75" customHeight="1" thickBot="1">
      <c r="B187" s="25"/>
      <c r="C187" s="25"/>
      <c r="D187" s="25"/>
      <c r="E187" s="25"/>
      <c r="F187" s="7" t="s">
        <v>50</v>
      </c>
      <c r="G187" s="6" t="str">
        <f>_xll.SUBNM("CONS_VC_PRD:ALL.D.Currency","Local","USD","Nome alternativo")</f>
        <v>USD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</row>
    <row r="188" spans="1:19" ht="15.75" customHeight="1" thickTop="1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80">
        <f>$F$12+1</f>
        <v>2027</v>
      </c>
      <c r="P188" s="80">
        <f>$F$12+2</f>
        <v>2028</v>
      </c>
      <c r="Q188" s="80">
        <f>$F$12+3</f>
        <v>2029</v>
      </c>
      <c r="R188" s="80">
        <f>$F$12+4</f>
        <v>2030</v>
      </c>
      <c r="S188" s="80">
        <f>$F$12+5</f>
        <v>2031</v>
      </c>
    </row>
    <row r="189" spans="1:19" ht="15.75" customHeight="1">
      <c r="B189" s="22"/>
      <c r="C189" s="23" t="str">
        <f t="shared" ref="C189:N189" si="15">$F$12&amp;"."&amp;C$15</f>
        <v>2026.01</v>
      </c>
      <c r="D189" s="23" t="str">
        <f t="shared" si="15"/>
        <v>2026.02</v>
      </c>
      <c r="E189" s="23" t="str">
        <f t="shared" si="15"/>
        <v>2026.03</v>
      </c>
      <c r="F189" s="23" t="str">
        <f t="shared" si="15"/>
        <v>2026.04</v>
      </c>
      <c r="G189" s="23" t="str">
        <f t="shared" si="15"/>
        <v>2026.05</v>
      </c>
      <c r="H189" s="23" t="str">
        <f t="shared" si="15"/>
        <v>2026.06</v>
      </c>
      <c r="I189" s="23" t="str">
        <f t="shared" si="15"/>
        <v>2026.07</v>
      </c>
      <c r="J189" s="23" t="str">
        <f t="shared" si="15"/>
        <v>2026.08</v>
      </c>
      <c r="K189" s="23" t="str">
        <f t="shared" si="15"/>
        <v>2026.09</v>
      </c>
      <c r="L189" s="23" t="str">
        <f t="shared" si="15"/>
        <v>2026.10</v>
      </c>
      <c r="M189" s="23" t="str">
        <f t="shared" si="15"/>
        <v>2026.11</v>
      </c>
      <c r="N189" s="23" t="str">
        <f t="shared" si="15"/>
        <v>2026.12</v>
      </c>
      <c r="O189" s="23" t="s">
        <v>304</v>
      </c>
      <c r="P189" s="23" t="s">
        <v>304</v>
      </c>
      <c r="Q189" s="23" t="s">
        <v>304</v>
      </c>
      <c r="R189" s="23" t="s">
        <v>304</v>
      </c>
      <c r="S189" s="23" t="s">
        <v>304</v>
      </c>
    </row>
    <row r="190" spans="1:19" ht="15.75" customHeight="1">
      <c r="A190" s="69" t="s">
        <v>452</v>
      </c>
      <c r="B190" s="13" t="s">
        <v>90</v>
      </c>
      <c r="C190" s="12">
        <f>_xll.DBRW($B$1,Cons_Region!$F$12,Cons_Region!C$15,$M$1,$G$159,Cons_Region!$C$12,$N$1,$A190,$L$1,$K$1)</f>
        <v>0</v>
      </c>
      <c r="D190" s="12">
        <f>_xll.DBRW($B$1,Cons_Region!$F$12,Cons_Region!D$15,$M$1,$G$159,Cons_Region!$C$12,$N$1,$A190,$L$1,$K$1)</f>
        <v>0</v>
      </c>
      <c r="E190" s="12">
        <f>_xll.DBRW($B$1,Cons_Region!$F$12,Cons_Region!E$15,$M$1,$G$159,Cons_Region!$C$12,$N$1,$A190,$L$1,$K$1)</f>
        <v>0</v>
      </c>
      <c r="F190" s="12">
        <f>_xll.DBRW($B$1,Cons_Region!$F$12,Cons_Region!F$15,$M$1,$G$159,Cons_Region!$C$12,$N$1,$A190,$L$1,$K$1)</f>
        <v>0</v>
      </c>
      <c r="G190" s="12">
        <f>_xll.DBRW($B$1,Cons_Region!$F$12,Cons_Region!G$15,$M$1,$G$159,Cons_Region!$C$12,$N$1,$A190,$L$1,$K$1)</f>
        <v>0</v>
      </c>
      <c r="H190" s="12">
        <f>_xll.DBRW($B$1,Cons_Region!$F$12,Cons_Region!H$15,$M$1,$G$159,Cons_Region!$C$12,$N$1,$A190,$L$1,$K$1)</f>
        <v>0</v>
      </c>
      <c r="I190" s="12">
        <f>_xll.DBRW($B$1,Cons_Region!$F$12,Cons_Region!I$15,$M$1,$G$159,Cons_Region!$C$12,$N$1,$A190,$L$1,$K$1)</f>
        <v>0</v>
      </c>
      <c r="J190" s="12">
        <f>_xll.DBRW($B$1,Cons_Region!$F$12,Cons_Region!J$15,$M$1,$G$159,Cons_Region!$C$12,$N$1,$A190,$L$1,$K$1)</f>
        <v>0</v>
      </c>
      <c r="K190" s="12">
        <f>_xll.DBRW($B$1,Cons_Region!$F$12,Cons_Region!K$15,$M$1,$G$159,Cons_Region!$C$12,$N$1,$A190,$L$1,$K$1)</f>
        <v>0</v>
      </c>
      <c r="L190" s="12">
        <f>_xll.DBRW($B$1,Cons_Region!$F$12,Cons_Region!L$15,$M$1,$G$159,Cons_Region!$C$12,$N$1,$A190,$L$1,$K$1)</f>
        <v>0</v>
      </c>
      <c r="M190" s="12">
        <f>_xll.DBRW($B$1,Cons_Region!$F$12,Cons_Region!M$15,$M$1,$G$159,Cons_Region!$C$12,$N$1,$A190,$L$1,$K$1)</f>
        <v>0</v>
      </c>
      <c r="N190" s="12">
        <f>_xll.DBRW($B$1,Cons_Region!$F$12,Cons_Region!N$15,$M$1,$G$159,Cons_Region!$C$12,$N$1,$A190,$L$1,$K$1)</f>
        <v>0</v>
      </c>
      <c r="O190" s="12">
        <f>_xll.DBRW($B$1,O$14,Cons_Region!O$15,$M$1,Cons_Region!$H$12,Cons_Region!$C$12,$N$1,$A190,$L$1,$K$1)</f>
        <v>0</v>
      </c>
      <c r="P190" s="12">
        <f>_xll.DBRW($B$1,P$14,Cons_Region!P$15,$M$1,Cons_Region!$H$12,Cons_Region!$C$12,$N$1,$A190,$L$1,$K$1)</f>
        <v>0</v>
      </c>
      <c r="Q190" s="12">
        <f>_xll.DBRW($B$1,Q$14,Cons_Region!Q$15,$M$1,Cons_Region!$H$12,Cons_Region!$C$12,$N$1,$A190,$L$1,$K$1)</f>
        <v>0</v>
      </c>
      <c r="R190" s="12">
        <f>_xll.DBRW($B$1,R$14,Cons_Region!R$15,$M$1,Cons_Region!$H$12,Cons_Region!$C$12,$N$1,$A190,$L$1,$K$1)</f>
        <v>0</v>
      </c>
      <c r="S190" s="12">
        <f>_xll.DBRW($B$1,S$14,Cons_Region!S$15,$M$1,Cons_Region!$H$12,Cons_Region!$C$12,$N$1,$A190,$L$1,$K$1)</f>
        <v>0</v>
      </c>
    </row>
    <row r="191" spans="1:19" ht="15.75" customHeight="1">
      <c r="A191" s="69" t="s">
        <v>454</v>
      </c>
      <c r="B191" s="13" t="s">
        <v>91</v>
      </c>
      <c r="C191" s="12">
        <f>_xll.DBRW($B$1,Cons_Region!$F$12,Cons_Region!C$15,$M$1,$G$159,Cons_Region!$C$12,$N$1,$A191,$L$1,$K$1)</f>
        <v>0</v>
      </c>
      <c r="D191" s="12">
        <f>_xll.DBRW($B$1,Cons_Region!$F$12,Cons_Region!D$15,$M$1,$G$159,Cons_Region!$C$12,$N$1,$A191,$L$1,$K$1)</f>
        <v>-1.5581</v>
      </c>
      <c r="E191" s="12">
        <f>_xll.DBRW($B$1,Cons_Region!$F$12,Cons_Region!E$15,$M$1,$G$159,Cons_Region!$C$12,$N$1,$A191,$L$1,$K$1)</f>
        <v>-1020</v>
      </c>
      <c r="F191" s="12">
        <f>_xll.DBRW($B$1,Cons_Region!$F$12,Cons_Region!F$15,$M$1,$G$159,Cons_Region!$C$12,$N$1,$A191,$L$1,$K$1)</f>
        <v>0</v>
      </c>
      <c r="G191" s="12">
        <f>_xll.DBRW($B$1,Cons_Region!$F$12,Cons_Region!G$15,$M$1,$G$159,Cons_Region!$C$12,$N$1,$A191,$L$1,$K$1)</f>
        <v>0</v>
      </c>
      <c r="H191" s="12">
        <f>_xll.DBRW($B$1,Cons_Region!$F$12,Cons_Region!H$15,$M$1,$G$159,Cons_Region!$C$12,$N$1,$A191,$L$1,$K$1)</f>
        <v>0</v>
      </c>
      <c r="I191" s="12">
        <f>_xll.DBRW($B$1,Cons_Region!$F$12,Cons_Region!I$15,$M$1,$G$159,Cons_Region!$C$12,$N$1,$A191,$L$1,$K$1)</f>
        <v>0</v>
      </c>
      <c r="J191" s="12">
        <f>_xll.DBRW($B$1,Cons_Region!$F$12,Cons_Region!J$15,$M$1,$G$159,Cons_Region!$C$12,$N$1,$A191,$L$1,$K$1)</f>
        <v>0</v>
      </c>
      <c r="K191" s="12">
        <f>_xll.DBRW($B$1,Cons_Region!$F$12,Cons_Region!K$15,$M$1,$G$159,Cons_Region!$C$12,$N$1,$A191,$L$1,$K$1)</f>
        <v>-54.3</v>
      </c>
      <c r="L191" s="12">
        <f>_xll.DBRW($B$1,Cons_Region!$F$12,Cons_Region!L$15,$M$1,$G$159,Cons_Region!$C$12,$N$1,$A191,$L$1,$K$1)</f>
        <v>0</v>
      </c>
      <c r="M191" s="12">
        <f>_xll.DBRW($B$1,Cons_Region!$F$12,Cons_Region!M$15,$M$1,$G$159,Cons_Region!$C$12,$N$1,$A191,$L$1,$K$1)</f>
        <v>0</v>
      </c>
      <c r="N191" s="12">
        <f>_xll.DBRW($B$1,Cons_Region!$F$12,Cons_Region!N$15,$M$1,$G$159,Cons_Region!$C$12,$N$1,$A191,$L$1,$K$1)</f>
        <v>0</v>
      </c>
      <c r="O191" s="12">
        <f>_xll.DBRW($B$1,O$14,Cons_Region!O$15,$M$1,Cons_Region!$H$12,Cons_Region!$C$12,$N$1,$A191,$L$1,$K$1)</f>
        <v>0</v>
      </c>
      <c r="P191" s="12">
        <f>_xll.DBRW($B$1,P$14,Cons_Region!P$15,$M$1,Cons_Region!$H$12,Cons_Region!$C$12,$N$1,$A191,$L$1,$K$1)</f>
        <v>0</v>
      </c>
      <c r="Q191" s="12">
        <f>_xll.DBRW($B$1,Q$14,Cons_Region!Q$15,$M$1,Cons_Region!$H$12,Cons_Region!$C$12,$N$1,$A191,$L$1,$K$1)</f>
        <v>0</v>
      </c>
      <c r="R191" s="12">
        <f>_xll.DBRW($B$1,R$14,Cons_Region!R$15,$M$1,Cons_Region!$H$12,Cons_Region!$C$12,$N$1,$A191,$L$1,$K$1)</f>
        <v>0</v>
      </c>
      <c r="S191" s="12">
        <f>_xll.DBRW($B$1,S$14,Cons_Region!S$15,$M$1,Cons_Region!$H$12,Cons_Region!$C$12,$N$1,$A191,$L$1,$K$1)</f>
        <v>0</v>
      </c>
    </row>
    <row r="192" spans="1:19" ht="15.75" customHeight="1">
      <c r="A192" s="69" t="s">
        <v>453</v>
      </c>
      <c r="B192" s="13" t="s">
        <v>92</v>
      </c>
      <c r="C192" s="12">
        <f>_xll.DBRW($B$1,Cons_Region!$F$12,Cons_Region!C$15,$M$1,$G$159,Cons_Region!$C$12,$N$1,$A192,$L$1,$K$1)</f>
        <v>0</v>
      </c>
      <c r="D192" s="12">
        <f>_xll.DBRW($B$1,Cons_Region!$F$12,Cons_Region!D$15,$M$1,$G$159,Cons_Region!$C$12,$N$1,$A192,$L$1,$K$1)</f>
        <v>-58.5899</v>
      </c>
      <c r="E192" s="12">
        <f>_xll.DBRW($B$1,Cons_Region!$F$12,Cons_Region!E$15,$M$1,$G$159,Cons_Region!$C$12,$N$1,$A192,$L$1,$K$1)</f>
        <v>-69.917900000000003</v>
      </c>
      <c r="F192" s="12">
        <f>_xll.DBRW($B$1,Cons_Region!$F$12,Cons_Region!F$15,$M$1,$G$159,Cons_Region!$C$12,$N$1,$A192,$L$1,$K$1)</f>
        <v>-65.272400000000005</v>
      </c>
      <c r="G192" s="12">
        <f>_xll.DBRW($B$1,Cons_Region!$F$12,Cons_Region!G$15,$M$1,$G$159,Cons_Region!$C$12,$N$1,$A192,$L$1,$K$1)</f>
        <v>-62.8553</v>
      </c>
      <c r="H192" s="12">
        <f>_xll.DBRW($B$1,Cons_Region!$F$12,Cons_Region!H$15,$M$1,$G$159,Cons_Region!$C$12,$N$1,$A192,$L$1,$K$1)</f>
        <v>-65.262900000000002</v>
      </c>
      <c r="I192" s="12">
        <f>_xll.DBRW($B$1,Cons_Region!$F$12,Cons_Region!I$15,$M$1,$G$159,Cons_Region!$C$12,$N$1,$A192,$L$1,$K$1)</f>
        <v>-69.938100000000006</v>
      </c>
      <c r="J192" s="12">
        <f>_xll.DBRW($B$1,Cons_Region!$F$12,Cons_Region!J$15,$M$1,$G$159,Cons_Region!$C$12,$N$1,$A192,$L$1,$K$1)</f>
        <v>-63.491399999999999</v>
      </c>
      <c r="K192" s="12">
        <f>_xll.DBRW($B$1,Cons_Region!$F$12,Cons_Region!K$15,$M$1,$G$159,Cons_Region!$C$12,$N$1,$A192,$L$1,$K$1)</f>
        <v>-62.110599999999998</v>
      </c>
      <c r="L192" s="12">
        <f>_xll.DBRW($B$1,Cons_Region!$F$12,Cons_Region!L$15,$M$1,$G$159,Cons_Region!$C$12,$N$1,$A192,$L$1,$K$1)</f>
        <v>-61.021599999999999</v>
      </c>
      <c r="M192" s="12">
        <f>_xll.DBRW($B$1,Cons_Region!$F$12,Cons_Region!M$15,$M$1,$G$159,Cons_Region!$C$12,$N$1,$A192,$L$1,$K$1)</f>
        <v>-55.609299999999998</v>
      </c>
      <c r="N192" s="12">
        <f>_xll.DBRW($B$1,Cons_Region!$F$12,Cons_Region!N$15,$M$1,$G$159,Cons_Region!$C$12,$N$1,$A192,$L$1,$K$1)</f>
        <v>0</v>
      </c>
      <c r="O192" s="12">
        <f>_xll.DBRW($B$1,O$14,Cons_Region!O$15,$M$1,Cons_Region!$H$12,Cons_Region!$C$12,$N$1,$A192,$L$1,$K$1)</f>
        <v>0</v>
      </c>
      <c r="P192" s="12">
        <f>_xll.DBRW($B$1,P$14,Cons_Region!P$15,$M$1,Cons_Region!$H$12,Cons_Region!$C$12,$N$1,$A192,$L$1,$K$1)</f>
        <v>0</v>
      </c>
      <c r="Q192" s="12">
        <f>_xll.DBRW($B$1,Q$14,Cons_Region!Q$15,$M$1,Cons_Region!$H$12,Cons_Region!$C$12,$N$1,$A192,$L$1,$K$1)</f>
        <v>0</v>
      </c>
      <c r="R192" s="12">
        <f>_xll.DBRW($B$1,R$14,Cons_Region!R$15,$M$1,Cons_Region!$H$12,Cons_Region!$C$12,$N$1,$A192,$L$1,$K$1)</f>
        <v>0</v>
      </c>
      <c r="S192" s="12">
        <f>_xll.DBRW($B$1,S$14,Cons_Region!S$15,$M$1,Cons_Region!$H$12,Cons_Region!$C$12,$N$1,$A192,$L$1,$K$1)</f>
        <v>0</v>
      </c>
    </row>
    <row r="193" spans="1:19" ht="15.75" customHeight="1">
      <c r="A193" s="69" t="s">
        <v>455</v>
      </c>
      <c r="B193" s="13" t="s">
        <v>93</v>
      </c>
      <c r="C193" s="12">
        <f>_xll.DBRW($B$1,Cons_Region!$F$12,Cons_Region!C$15,$M$1,$G$159,Cons_Region!$C$12,$N$1,$A193,$L$1,$K$1)</f>
        <v>0</v>
      </c>
      <c r="D193" s="12">
        <f>_xll.DBRW($B$1,Cons_Region!$F$12,Cons_Region!D$15,$M$1,$G$159,Cons_Region!$C$12,$N$1,$A193,$L$1,$K$1)</f>
        <v>-6.6473000000000004</v>
      </c>
      <c r="E193" s="12">
        <f>_xll.DBRW($B$1,Cons_Region!$F$12,Cons_Region!E$15,$M$1,$G$159,Cons_Region!$C$12,$N$1,$A193,$L$1,$K$1)</f>
        <v>-9.3856999999999999</v>
      </c>
      <c r="F193" s="12">
        <f>_xll.DBRW($B$1,Cons_Region!$F$12,Cons_Region!F$15,$M$1,$G$159,Cons_Region!$C$12,$N$1,$A193,$L$1,$K$1)</f>
        <v>-7.9771999999999998</v>
      </c>
      <c r="G193" s="12">
        <f>_xll.DBRW($B$1,Cons_Region!$F$12,Cons_Region!G$15,$M$1,$G$159,Cons_Region!$C$12,$N$1,$A193,$L$1,$K$1)</f>
        <v>-7.9950000000000001</v>
      </c>
      <c r="H193" s="12">
        <f>_xll.DBRW($B$1,Cons_Region!$F$12,Cons_Region!H$15,$M$1,$G$159,Cons_Region!$C$12,$N$1,$A193,$L$1,$K$1)</f>
        <v>-6.7961999999999998</v>
      </c>
      <c r="I193" s="12">
        <f>_xll.DBRW($B$1,Cons_Region!$F$12,Cons_Region!I$15,$M$1,$G$159,Cons_Region!$C$12,$N$1,$A193,$L$1,$K$1)</f>
        <v>-6.1550000000000002</v>
      </c>
      <c r="J193" s="12">
        <f>_xll.DBRW($B$1,Cons_Region!$F$12,Cons_Region!J$15,$M$1,$G$159,Cons_Region!$C$12,$N$1,$A193,$L$1,$K$1)</f>
        <v>-5.8059000000000003</v>
      </c>
      <c r="K193" s="12">
        <f>_xll.DBRW($B$1,Cons_Region!$F$12,Cons_Region!K$15,$M$1,$G$159,Cons_Region!$C$12,$N$1,$A193,$L$1,$K$1)</f>
        <v>-7.3137999999999996</v>
      </c>
      <c r="L193" s="12">
        <f>_xll.DBRW($B$1,Cons_Region!$F$12,Cons_Region!L$15,$M$1,$G$159,Cons_Region!$C$12,$N$1,$A193,$L$1,$K$1)</f>
        <v>-7.2988999999999997</v>
      </c>
      <c r="M193" s="12">
        <f>_xll.DBRW($B$1,Cons_Region!$F$12,Cons_Region!M$15,$M$1,$G$159,Cons_Region!$C$12,$N$1,$A193,$L$1,$K$1)</f>
        <v>-7.4385000000000003</v>
      </c>
      <c r="N193" s="12">
        <f>_xll.DBRW($B$1,Cons_Region!$F$12,Cons_Region!N$15,$M$1,$G$159,Cons_Region!$C$12,$N$1,$A193,$L$1,$K$1)</f>
        <v>0</v>
      </c>
      <c r="O193" s="12">
        <f>_xll.DBRW($B$1,O$14,Cons_Region!O$15,$M$1,Cons_Region!$H$12,Cons_Region!$C$12,$N$1,$A193,$L$1,$K$1)</f>
        <v>0</v>
      </c>
      <c r="P193" s="12">
        <f>_xll.DBRW($B$1,P$14,Cons_Region!P$15,$M$1,Cons_Region!$H$12,Cons_Region!$C$12,$N$1,$A193,$L$1,$K$1)</f>
        <v>0</v>
      </c>
      <c r="Q193" s="12">
        <f>_xll.DBRW($B$1,Q$14,Cons_Region!Q$15,$M$1,Cons_Region!$H$12,Cons_Region!$C$12,$N$1,$A193,$L$1,$K$1)</f>
        <v>0</v>
      </c>
      <c r="R193" s="12">
        <f>_xll.DBRW($B$1,R$14,Cons_Region!R$15,$M$1,Cons_Region!$H$12,Cons_Region!$C$12,$N$1,$A193,$L$1,$K$1)</f>
        <v>0</v>
      </c>
      <c r="S193" s="12">
        <f>_xll.DBRW($B$1,S$14,Cons_Region!S$15,$M$1,Cons_Region!$H$12,Cons_Region!$C$12,$N$1,$A193,$L$1,$K$1)</f>
        <v>0</v>
      </c>
    </row>
    <row r="194" spans="1:19" ht="15.75" customHeight="1">
      <c r="A194" s="69" t="s">
        <v>456</v>
      </c>
      <c r="B194" s="13" t="s">
        <v>94</v>
      </c>
      <c r="C194" s="12">
        <f>_xll.DBRW($B$1,Cons_Region!$F$12,Cons_Region!C$15,$M$1,$G$159,Cons_Region!$C$12,$N$1,$A194,$L$1,$K$1)</f>
        <v>0</v>
      </c>
      <c r="D194" s="12">
        <f>_xll.DBRW($B$1,Cons_Region!$F$12,Cons_Region!D$15,$M$1,$G$159,Cons_Region!$C$12,$N$1,$A194,$L$1,$K$1)</f>
        <v>14.8436</v>
      </c>
      <c r="E194" s="12">
        <f>_xll.DBRW($B$1,Cons_Region!$F$12,Cons_Region!E$15,$M$1,$G$159,Cons_Region!$C$12,$N$1,$A194,$L$1,$K$1)</f>
        <v>893.85900000000004</v>
      </c>
      <c r="F194" s="12">
        <f>_xll.DBRW($B$1,Cons_Region!$F$12,Cons_Region!F$15,$M$1,$G$159,Cons_Region!$C$12,$N$1,$A194,$L$1,$K$1)</f>
        <v>13.8787</v>
      </c>
      <c r="G194" s="12">
        <f>_xll.DBRW($B$1,Cons_Region!$F$12,Cons_Region!G$15,$M$1,$G$159,Cons_Region!$C$12,$N$1,$A194,$L$1,$K$1)</f>
        <v>13.9328</v>
      </c>
      <c r="H194" s="12">
        <f>_xll.DBRW($B$1,Cons_Region!$F$12,Cons_Region!H$15,$M$1,$G$159,Cons_Region!$C$12,$N$1,$A194,$L$1,$K$1)</f>
        <v>14.842700000000001</v>
      </c>
      <c r="I194" s="12">
        <f>_xll.DBRW($B$1,Cons_Region!$F$12,Cons_Region!I$15,$M$1,$G$159,Cons_Region!$C$12,$N$1,$A194,$L$1,$K$1)</f>
        <v>14.629200000000001</v>
      </c>
      <c r="J194" s="12">
        <f>_xll.DBRW($B$1,Cons_Region!$F$12,Cons_Region!J$15,$M$1,$G$159,Cons_Region!$C$12,$N$1,$A194,$L$1,$K$1)</f>
        <v>15.2033</v>
      </c>
      <c r="K194" s="12">
        <f>_xll.DBRW($B$1,Cons_Region!$F$12,Cons_Region!K$15,$M$1,$G$159,Cons_Region!$C$12,$N$1,$A194,$L$1,$K$1)</f>
        <v>16.501200000000001</v>
      </c>
      <c r="L194" s="12">
        <f>_xll.DBRW($B$1,Cons_Region!$F$12,Cons_Region!L$15,$M$1,$G$159,Cons_Region!$C$12,$N$1,$A194,$L$1,$K$1)</f>
        <v>14.1572</v>
      </c>
      <c r="M194" s="12">
        <f>_xll.DBRW($B$1,Cons_Region!$F$12,Cons_Region!M$15,$M$1,$G$159,Cons_Region!$C$12,$N$1,$A194,$L$1,$K$1)</f>
        <v>15.626899999999999</v>
      </c>
      <c r="N194" s="12">
        <f>_xll.DBRW($B$1,Cons_Region!$F$12,Cons_Region!N$15,$M$1,$G$159,Cons_Region!$C$12,$N$1,$A194,$L$1,$K$1)</f>
        <v>0</v>
      </c>
      <c r="O194" s="12">
        <f>_xll.DBRW($B$1,O$14,Cons_Region!O$15,$M$1,Cons_Region!$H$12,Cons_Region!$C$12,$N$1,$A194,$L$1,$K$1)</f>
        <v>0</v>
      </c>
      <c r="P194" s="12">
        <f>_xll.DBRW($B$1,P$14,Cons_Region!P$15,$M$1,Cons_Region!$H$12,Cons_Region!$C$12,$N$1,$A194,$L$1,$K$1)</f>
        <v>0</v>
      </c>
      <c r="Q194" s="12">
        <f>_xll.DBRW($B$1,Q$14,Cons_Region!Q$15,$M$1,Cons_Region!$H$12,Cons_Region!$C$12,$N$1,$A194,$L$1,$K$1)</f>
        <v>0</v>
      </c>
      <c r="R194" s="12">
        <f>_xll.DBRW($B$1,R$14,Cons_Region!R$15,$M$1,Cons_Region!$H$12,Cons_Region!$C$12,$N$1,$A194,$L$1,$K$1)</f>
        <v>0</v>
      </c>
      <c r="S194" s="12">
        <f>_xll.DBRW($B$1,S$14,Cons_Region!S$15,$M$1,Cons_Region!$H$12,Cons_Region!$C$12,$N$1,$A194,$L$1,$K$1)</f>
        <v>0</v>
      </c>
    </row>
    <row r="195" spans="1:19" ht="15.75" customHeight="1">
      <c r="B195" s="13" t="s">
        <v>95</v>
      </c>
      <c r="C195" s="12" t="e">
        <f>_xll.DBRW($B$1,Cons_Region!$F$12,Cons_Region!C$15,$M$1,$G$159,Cons_Region!$C$12,$N$1,Cons_Region!$B195,$L$1,$K$1)</f>
        <v>#NUM!</v>
      </c>
      <c r="D195" s="12" t="e">
        <f>_xll.DBRW($B$1,Cons_Region!$F$12,Cons_Region!D$15,$M$1,$G$159,Cons_Region!$C$12,$N$1,Cons_Region!$B195,$L$1,$K$1)</f>
        <v>#NUM!</v>
      </c>
      <c r="E195" s="12" t="e">
        <f>_xll.DBRW($B$1,Cons_Region!$F$12,Cons_Region!E$15,$M$1,$G$159,Cons_Region!$C$12,$N$1,Cons_Region!$B195,$L$1,$K$1)</f>
        <v>#NUM!</v>
      </c>
      <c r="F195" s="12" t="e">
        <f>_xll.DBRW($B$1,Cons_Region!$F$12,Cons_Region!F$15,$M$1,$G$159,Cons_Region!$C$12,$N$1,Cons_Region!$B195,$L$1,$K$1)</f>
        <v>#NUM!</v>
      </c>
      <c r="G195" s="12" t="e">
        <f>_xll.DBRW($B$1,Cons_Region!$F$12,Cons_Region!G$15,$M$1,$G$159,Cons_Region!$C$12,$N$1,Cons_Region!$B195,$L$1,$K$1)</f>
        <v>#NUM!</v>
      </c>
      <c r="H195" s="12" t="e">
        <f>_xll.DBRW($B$1,Cons_Region!$F$12,Cons_Region!H$15,$M$1,$G$159,Cons_Region!$C$12,$N$1,Cons_Region!$B195,$L$1,$K$1)</f>
        <v>#NUM!</v>
      </c>
      <c r="I195" s="12" t="e">
        <f>_xll.DBRW($B$1,Cons_Region!$F$12,Cons_Region!I$15,$M$1,$G$159,Cons_Region!$C$12,$N$1,Cons_Region!$B195,$L$1,$K$1)</f>
        <v>#NUM!</v>
      </c>
      <c r="J195" s="12" t="e">
        <f>_xll.DBRW($B$1,Cons_Region!$F$12,Cons_Region!J$15,$M$1,$G$159,Cons_Region!$C$12,$N$1,Cons_Region!$B195,$L$1,$K$1)</f>
        <v>#NUM!</v>
      </c>
      <c r="K195" s="12" t="e">
        <f>_xll.DBRW($B$1,Cons_Region!$F$12,Cons_Region!K$15,$M$1,$G$159,Cons_Region!$C$12,$N$1,Cons_Region!$B195,$L$1,$K$1)</f>
        <v>#NUM!</v>
      </c>
      <c r="L195" s="12" t="e">
        <f>_xll.DBRW($B$1,Cons_Region!$F$12,Cons_Region!L$15,$M$1,$G$159,Cons_Region!$C$12,$N$1,Cons_Region!$B195,$L$1,$K$1)</f>
        <v>#NUM!</v>
      </c>
      <c r="M195" s="12" t="e">
        <f>_xll.DBRW($B$1,Cons_Region!$F$12,Cons_Region!M$15,$M$1,$G$159,Cons_Region!$C$12,$N$1,Cons_Region!$B195,$L$1,$K$1)</f>
        <v>#NUM!</v>
      </c>
      <c r="N195" s="12" t="e">
        <f>_xll.DBRW($B$1,Cons_Region!$F$12,Cons_Region!N$15,$M$1,$G$159,Cons_Region!$C$12,$N$1,Cons_Region!$B195,$L$1,$K$1)</f>
        <v>#NUM!</v>
      </c>
      <c r="O195" s="12" t="e">
        <f>_xll.DBRW($B$1,O$14,Cons_Region!O$15,$M$1,Cons_Region!$H$12,Cons_Region!$C$12,$N$1,$A195,$L$1,$K$1)</f>
        <v>#VALUE!</v>
      </c>
      <c r="P195" s="12" t="e">
        <f>_xll.DBRW($B$1,P$14,Cons_Region!P$15,$M$1,Cons_Region!$H$12,Cons_Region!$C$12,$N$1,$A195,$L$1,$K$1)</f>
        <v>#VALUE!</v>
      </c>
      <c r="Q195" s="12" t="e">
        <f>_xll.DBRW($B$1,Q$14,Cons_Region!Q$15,$M$1,Cons_Region!$H$12,Cons_Region!$C$12,$N$1,$A195,$L$1,$K$1)</f>
        <v>#VALUE!</v>
      </c>
      <c r="R195" s="12" t="e">
        <f>_xll.DBRW($B$1,R$14,Cons_Region!R$15,$M$1,Cons_Region!$H$12,Cons_Region!$C$12,$N$1,$A195,$L$1,$K$1)</f>
        <v>#VALUE!</v>
      </c>
      <c r="S195" s="12" t="e">
        <f>_xll.DBRW($B$1,S$14,Cons_Region!S$15,$M$1,Cons_Region!$H$12,Cons_Region!$C$12,$N$1,$A195,$L$1,$K$1)</f>
        <v>#VALUE!</v>
      </c>
    </row>
    <row r="196" spans="1:19" ht="15.75" customHeight="1">
      <c r="A196" s="69" t="s">
        <v>457</v>
      </c>
      <c r="B196" s="13" t="s">
        <v>96</v>
      </c>
      <c r="C196" s="12">
        <f>_xll.DBRW($B$1,Cons_Region!$F$12,Cons_Region!C$15,$M$1,$G$159,Cons_Region!$C$12,$N$1,$A196,$L$1,$K$1)</f>
        <v>0</v>
      </c>
      <c r="D196" s="12">
        <f>_xll.DBRW($B$1,Cons_Region!$F$12,Cons_Region!D$15,$M$1,$G$159,Cons_Region!$C$12,$N$1,$A196,$L$1,$K$1)</f>
        <v>-18.901800000000001</v>
      </c>
      <c r="E196" s="12">
        <f>_xll.DBRW($B$1,Cons_Region!$F$12,Cons_Region!E$15,$M$1,$G$159,Cons_Region!$C$12,$N$1,$A196,$L$1,$K$1)</f>
        <v>-2.62</v>
      </c>
      <c r="F196" s="12">
        <f>_xll.DBRW($B$1,Cons_Region!$F$12,Cons_Region!F$15,$M$1,$G$159,Cons_Region!$C$12,$N$1,$A196,$L$1,$K$1)</f>
        <v>-29.005199999999999</v>
      </c>
      <c r="G196" s="12">
        <f>_xll.DBRW($B$1,Cons_Region!$F$12,Cons_Region!G$15,$M$1,$G$159,Cons_Region!$C$12,$N$1,$A196,$L$1,$K$1)</f>
        <v>-29.3432</v>
      </c>
      <c r="H196" s="12">
        <f>_xll.DBRW($B$1,Cons_Region!$F$12,Cons_Region!H$15,$M$1,$G$159,Cons_Region!$C$12,$N$1,$A196,$L$1,$K$1)</f>
        <v>-24.239100000000001</v>
      </c>
      <c r="I196" s="12">
        <f>_xll.DBRW($B$1,Cons_Region!$F$12,Cons_Region!I$15,$M$1,$G$159,Cons_Region!$C$12,$N$1,$A196,$L$1,$K$1)</f>
        <v>-109.9211</v>
      </c>
      <c r="J196" s="12">
        <f>_xll.DBRW($B$1,Cons_Region!$F$12,Cons_Region!J$15,$M$1,$G$159,Cons_Region!$C$12,$N$1,$A196,$L$1,$K$1)</f>
        <v>-22.0976</v>
      </c>
      <c r="K196" s="12">
        <f>_xll.DBRW($B$1,Cons_Region!$F$12,Cons_Region!K$15,$M$1,$G$159,Cons_Region!$C$12,$N$1,$A196,$L$1,$K$1)</f>
        <v>-7.3623000000000003</v>
      </c>
      <c r="L196" s="12">
        <f>_xll.DBRW($B$1,Cons_Region!$F$12,Cons_Region!L$15,$M$1,$G$159,Cons_Region!$C$12,$N$1,$A196,$L$1,$K$1)</f>
        <v>-7.6666999999999996</v>
      </c>
      <c r="M196" s="12">
        <f>_xll.DBRW($B$1,Cons_Region!$F$12,Cons_Region!M$15,$M$1,$G$159,Cons_Region!$C$12,$N$1,$A196,$L$1,$K$1)</f>
        <v>-8.1340000000000003</v>
      </c>
      <c r="N196" s="12">
        <f>_xll.DBRW($B$1,Cons_Region!$F$12,Cons_Region!N$15,$M$1,$G$159,Cons_Region!$C$12,$N$1,$A196,$L$1,$K$1)</f>
        <v>0</v>
      </c>
      <c r="O196" s="12">
        <f>_xll.DBRW($B$1,O$14,Cons_Region!O$15,$M$1,Cons_Region!$H$12,Cons_Region!$C$12,$N$1,$A196,$L$1,$K$1)</f>
        <v>0</v>
      </c>
      <c r="P196" s="12">
        <f>_xll.DBRW($B$1,P$14,Cons_Region!P$15,$M$1,Cons_Region!$H$12,Cons_Region!$C$12,$N$1,$A196,$L$1,$K$1)</f>
        <v>0</v>
      </c>
      <c r="Q196" s="12">
        <f>_xll.DBRW($B$1,Q$14,Cons_Region!Q$15,$M$1,Cons_Region!$H$12,Cons_Region!$C$12,$N$1,$A196,$L$1,$K$1)</f>
        <v>0</v>
      </c>
      <c r="R196" s="12">
        <f>_xll.DBRW($B$1,R$14,Cons_Region!R$15,$M$1,Cons_Region!$H$12,Cons_Region!$C$12,$N$1,$A196,$L$1,$K$1)</f>
        <v>0</v>
      </c>
      <c r="S196" s="12">
        <f>_xll.DBRW($B$1,S$14,Cons_Region!S$15,$M$1,Cons_Region!$H$12,Cons_Region!$C$12,$N$1,$A196,$L$1,$K$1)</f>
        <v>0</v>
      </c>
    </row>
    <row r="197" spans="1:19" ht="15.75" customHeight="1">
      <c r="A197" s="69" t="s">
        <v>458</v>
      </c>
      <c r="B197" s="13" t="s">
        <v>97</v>
      </c>
      <c r="C197" s="12">
        <f>_xll.DBRW($B$1,Cons_Region!$F$12,Cons_Region!C$15,$M$1,$G$159,Cons_Region!$C$12,$N$1,$A197,$L$1,$K$1)</f>
        <v>0</v>
      </c>
      <c r="D197" s="12">
        <f>_xll.DBRW($B$1,Cons_Region!$F$12,Cons_Region!D$15,$M$1,$G$159,Cons_Region!$C$12,$N$1,$A197,$L$1,$K$1)</f>
        <v>0</v>
      </c>
      <c r="E197" s="12">
        <f>_xll.DBRW($B$1,Cons_Region!$F$12,Cons_Region!E$15,$M$1,$G$159,Cons_Region!$C$12,$N$1,$A197,$L$1,$K$1)</f>
        <v>0</v>
      </c>
      <c r="F197" s="12">
        <f>_xll.DBRW($B$1,Cons_Region!$F$12,Cons_Region!F$15,$M$1,$G$159,Cons_Region!$C$12,$N$1,$A197,$L$1,$K$1)</f>
        <v>0</v>
      </c>
      <c r="G197" s="12">
        <f>_xll.DBRW($B$1,Cons_Region!$F$12,Cons_Region!G$15,$M$1,$G$159,Cons_Region!$C$12,$N$1,$A197,$L$1,$K$1)</f>
        <v>0</v>
      </c>
      <c r="H197" s="12">
        <f>_xll.DBRW($B$1,Cons_Region!$F$12,Cons_Region!H$15,$M$1,$G$159,Cons_Region!$C$12,$N$1,$A197,$L$1,$K$1)</f>
        <v>0</v>
      </c>
      <c r="I197" s="12">
        <f>_xll.DBRW($B$1,Cons_Region!$F$12,Cons_Region!I$15,$M$1,$G$159,Cons_Region!$C$12,$N$1,$A197,$L$1,$K$1)</f>
        <v>0</v>
      </c>
      <c r="J197" s="12">
        <f>_xll.DBRW($B$1,Cons_Region!$F$12,Cons_Region!J$15,$M$1,$G$159,Cons_Region!$C$12,$N$1,$A197,$L$1,$K$1)</f>
        <v>0</v>
      </c>
      <c r="K197" s="12">
        <f>_xll.DBRW($B$1,Cons_Region!$F$12,Cons_Region!K$15,$M$1,$G$159,Cons_Region!$C$12,$N$1,$A197,$L$1,$K$1)</f>
        <v>0</v>
      </c>
      <c r="L197" s="12">
        <f>_xll.DBRW($B$1,Cons_Region!$F$12,Cons_Region!L$15,$M$1,$G$159,Cons_Region!$C$12,$N$1,$A197,$L$1,$K$1)</f>
        <v>0</v>
      </c>
      <c r="M197" s="12">
        <f>_xll.DBRW($B$1,Cons_Region!$F$12,Cons_Region!M$15,$M$1,$G$159,Cons_Region!$C$12,$N$1,$A197,$L$1,$K$1)</f>
        <v>0</v>
      </c>
      <c r="N197" s="12">
        <f>_xll.DBRW($B$1,Cons_Region!$F$12,Cons_Region!N$15,$M$1,$G$159,Cons_Region!$C$12,$N$1,$A197,$L$1,$K$1)</f>
        <v>0</v>
      </c>
      <c r="O197" s="12">
        <f>_xll.DBRW($B$1,O$14,Cons_Region!O$15,$M$1,Cons_Region!$H$12,Cons_Region!$C$12,$N$1,$A197,$L$1,$K$1)</f>
        <v>0</v>
      </c>
      <c r="P197" s="12">
        <f>_xll.DBRW($B$1,P$14,Cons_Region!P$15,$M$1,Cons_Region!$H$12,Cons_Region!$C$12,$N$1,$A197,$L$1,$K$1)</f>
        <v>0</v>
      </c>
      <c r="Q197" s="12">
        <f>_xll.DBRW($B$1,Q$14,Cons_Region!Q$15,$M$1,Cons_Region!$H$12,Cons_Region!$C$12,$N$1,$A197,$L$1,$K$1)</f>
        <v>0</v>
      </c>
      <c r="R197" s="12">
        <f>_xll.DBRW($B$1,R$14,Cons_Region!R$15,$M$1,Cons_Region!$H$12,Cons_Region!$C$12,$N$1,$A197,$L$1,$K$1)</f>
        <v>0</v>
      </c>
      <c r="S197" s="12">
        <f>_xll.DBRW($B$1,S$14,Cons_Region!S$15,$M$1,Cons_Region!$H$12,Cons_Region!$C$12,$N$1,$A197,$L$1,$K$1)</f>
        <v>0</v>
      </c>
    </row>
    <row r="198" spans="1:19" ht="15.75" customHeight="1">
      <c r="A198" s="69" t="s">
        <v>459</v>
      </c>
      <c r="B198" s="15" t="s">
        <v>98</v>
      </c>
      <c r="C198" s="20">
        <f>_xll.DBRW($C$4,Cons_Region!$F$12,Cons_Region!C$15,$M$1,$G$159,Cons_Region!$C$12,$A198,$K$1)</f>
        <v>0</v>
      </c>
      <c r="D198" s="20">
        <f>_xll.DBRW($C$4,Cons_Region!$F$12,Cons_Region!D$15,$M$1,$G$159,Cons_Region!$C$12,$A198,$K$1)</f>
        <v>7.2875999999999976</v>
      </c>
      <c r="E198" s="20">
        <f>_xll.DBRW($C$4,Cons_Region!$F$12,Cons_Region!E$15,$M$1,$G$159,Cons_Region!$C$12,$A198,$K$1)</f>
        <v>1.8756000000000386</v>
      </c>
      <c r="F198" s="20">
        <f>_xll.DBRW($C$4,Cons_Region!$F$12,Cons_Region!F$15,$M$1,$G$159,Cons_Region!$C$12,$A198,$K$1)</f>
        <v>128.06940000000003</v>
      </c>
      <c r="G198" s="20">
        <f>_xll.DBRW($C$4,Cons_Region!$F$12,Cons_Region!G$15,$M$1,$G$159,Cons_Region!$C$12,$A198,$K$1)</f>
        <v>113.51940000000002</v>
      </c>
      <c r="H198" s="20">
        <f>_xll.DBRW($C$4,Cons_Region!$F$12,Cons_Region!H$15,$M$1,$G$159,Cons_Region!$C$12,$A198,$K$1)</f>
        <v>175.75130000000001</v>
      </c>
      <c r="I198" s="20">
        <f>_xll.DBRW($C$4,Cons_Region!$F$12,Cons_Region!I$15,$M$1,$G$159,Cons_Region!$C$12,$A198,$K$1)</f>
        <v>82.047900000000027</v>
      </c>
      <c r="J198" s="20">
        <f>_xll.DBRW($C$4,Cons_Region!$F$12,Cons_Region!J$15,$M$1,$G$159,Cons_Region!$C$12,$A198,$K$1)</f>
        <v>90.030400000000029</v>
      </c>
      <c r="K198" s="20">
        <f>_xll.DBRW($C$4,Cons_Region!$F$12,Cons_Region!K$15,$M$1,$G$159,Cons_Region!$C$12,$A198,$K$1)</f>
        <v>194.60720000000003</v>
      </c>
      <c r="L198" s="20">
        <f>_xll.DBRW($C$4,Cons_Region!$F$12,Cons_Region!L$15,$M$1,$G$159,Cons_Region!$C$12,$A198,$K$1)</f>
        <v>337.09550000000002</v>
      </c>
      <c r="M198" s="20">
        <f>_xll.DBRW($C$4,Cons_Region!$F$12,Cons_Region!M$15,$M$1,$G$159,Cons_Region!$C$12,$A198,$K$1)</f>
        <v>346.98779999999999</v>
      </c>
      <c r="N198" s="20">
        <f>_xll.DBRW($C$4,Cons_Region!$F$12,Cons_Region!N$15,$M$1,$G$159,Cons_Region!$C$12,$A198,$K$1)</f>
        <v>346.98779999999999</v>
      </c>
      <c r="O198" s="20">
        <f>_xll.DBRW($C$4,O$14,Cons_Region!O$15,$M$1,$G$144,Cons_Region!$C$12,$A198,$K$1)</f>
        <v>0</v>
      </c>
      <c r="P198" s="20">
        <f>_xll.DBRW($C$4,P$14,Cons_Region!P$15,$M$1,$G$144,Cons_Region!$C$12,$A198,$K$1)</f>
        <v>0</v>
      </c>
      <c r="Q198" s="20">
        <f>_xll.DBRW($C$4,Q$14,Cons_Region!Q$15,$M$1,$G$144,Cons_Region!$C$12,$A198,$K$1)</f>
        <v>0</v>
      </c>
      <c r="R198" s="20">
        <f>_xll.DBRW($C$4,R$14,Cons_Region!R$15,$M$1,$G$144,Cons_Region!$C$12,$A198,$K$1)</f>
        <v>0</v>
      </c>
      <c r="S198" s="20">
        <f>_xll.DBRW($C$4,S$14,Cons_Region!S$15,$M$1,$G$144,Cons_Region!$C$12,$A198,$K$1)</f>
        <v>0</v>
      </c>
    </row>
    <row r="199" spans="1:19" ht="15.75" customHeight="1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</row>
    <row r="200" spans="1:19" ht="15.75" customHeight="1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</row>
    <row r="201" spans="1:19" ht="15.75" customHeight="1" thickBot="1">
      <c r="B201" s="25"/>
      <c r="C201" s="25"/>
      <c r="D201" s="25"/>
      <c r="E201" s="25"/>
      <c r="F201" s="7" t="s">
        <v>50</v>
      </c>
      <c r="G201" s="6" t="str">
        <f>_xll.SUBNM("CONS_VC_PRD:ALL.D.Currency","Local","USD","Nome alternativo")</f>
        <v>USD</v>
      </c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</row>
    <row r="202" spans="1:19" ht="15.75" customHeight="1" thickTop="1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80">
        <f>$F$12+1</f>
        <v>2027</v>
      </c>
      <c r="P202" s="80">
        <f>$F$12+2</f>
        <v>2028</v>
      </c>
      <c r="Q202" s="80">
        <f>$F$12+3</f>
        <v>2029</v>
      </c>
      <c r="R202" s="80">
        <f>$F$12+4</f>
        <v>2030</v>
      </c>
      <c r="S202" s="80">
        <f>$F$12+5</f>
        <v>2031</v>
      </c>
    </row>
    <row r="203" spans="1:19" ht="15.75" customHeight="1">
      <c r="B203" s="22"/>
      <c r="C203" s="23" t="str">
        <f t="shared" ref="C203:N203" si="16">$F$12&amp;"."&amp;C$15</f>
        <v>2026.01</v>
      </c>
      <c r="D203" s="23" t="str">
        <f t="shared" si="16"/>
        <v>2026.02</v>
      </c>
      <c r="E203" s="23" t="str">
        <f t="shared" si="16"/>
        <v>2026.03</v>
      </c>
      <c r="F203" s="23" t="str">
        <f t="shared" si="16"/>
        <v>2026.04</v>
      </c>
      <c r="G203" s="23" t="str">
        <f t="shared" si="16"/>
        <v>2026.05</v>
      </c>
      <c r="H203" s="23" t="str">
        <f t="shared" si="16"/>
        <v>2026.06</v>
      </c>
      <c r="I203" s="23" t="str">
        <f t="shared" si="16"/>
        <v>2026.07</v>
      </c>
      <c r="J203" s="23" t="str">
        <f t="shared" si="16"/>
        <v>2026.08</v>
      </c>
      <c r="K203" s="23" t="str">
        <f t="shared" si="16"/>
        <v>2026.09</v>
      </c>
      <c r="L203" s="23" t="str">
        <f t="shared" si="16"/>
        <v>2026.10</v>
      </c>
      <c r="M203" s="23" t="str">
        <f t="shared" si="16"/>
        <v>2026.11</v>
      </c>
      <c r="N203" s="23" t="str">
        <f t="shared" si="16"/>
        <v>2026.12</v>
      </c>
      <c r="O203" s="23" t="s">
        <v>304</v>
      </c>
      <c r="P203" s="23" t="s">
        <v>304</v>
      </c>
      <c r="Q203" s="23" t="s">
        <v>304</v>
      </c>
      <c r="R203" s="23" t="s">
        <v>304</v>
      </c>
      <c r="S203" s="23" t="s">
        <v>304</v>
      </c>
    </row>
    <row r="204" spans="1:19" ht="15.75" customHeight="1">
      <c r="A204" s="69" t="s">
        <v>460</v>
      </c>
      <c r="B204" s="13" t="s">
        <v>266</v>
      </c>
      <c r="C204" s="12">
        <f>_xll.DBRW($B$1,Cons_Region!$F$12,Cons_Region!C$15,$M$1,$G$159,Cons_Region!$C$12,$N$1,$A204,$L$1,$K$1)</f>
        <v>0</v>
      </c>
      <c r="D204" s="12">
        <f>_xll.DBRW($B$1,Cons_Region!$F$12,Cons_Region!D$15,$M$1,$G$159,Cons_Region!$C$12,$N$1,$A204,$L$1,$K$1)</f>
        <v>0</v>
      </c>
      <c r="E204" s="12">
        <f>_xll.DBRW($B$1,Cons_Region!$F$12,Cons_Region!E$15,$M$1,$G$159,Cons_Region!$C$12,$N$1,$A204,$L$1,$K$1)</f>
        <v>0</v>
      </c>
      <c r="F204" s="12">
        <f>_xll.DBRW($B$1,Cons_Region!$F$12,Cons_Region!F$15,$M$1,$G$159,Cons_Region!$C$12,$N$1,$A204,$L$1,$K$1)</f>
        <v>0</v>
      </c>
      <c r="G204" s="12">
        <f>_xll.DBRW($B$1,Cons_Region!$F$12,Cons_Region!G$15,$M$1,$G$159,Cons_Region!$C$12,$N$1,$A204,$L$1,$K$1)</f>
        <v>0</v>
      </c>
      <c r="H204" s="12">
        <f>_xll.DBRW($B$1,Cons_Region!$F$12,Cons_Region!H$15,$M$1,$G$159,Cons_Region!$C$12,$N$1,$A204,$L$1,$K$1)</f>
        <v>0</v>
      </c>
      <c r="I204" s="12">
        <f>_xll.DBRW($B$1,Cons_Region!$F$12,Cons_Region!I$15,$M$1,$G$159,Cons_Region!$C$12,$N$1,$A204,$L$1,$K$1)</f>
        <v>0</v>
      </c>
      <c r="J204" s="12">
        <f>_xll.DBRW($B$1,Cons_Region!$F$12,Cons_Region!J$15,$M$1,$G$159,Cons_Region!$C$12,$N$1,$A204,$L$1,$K$1)</f>
        <v>0</v>
      </c>
      <c r="K204" s="12">
        <f>_xll.DBRW($B$1,Cons_Region!$F$12,Cons_Region!K$15,$M$1,$G$159,Cons_Region!$C$12,$N$1,$A204,$L$1,$K$1)</f>
        <v>0</v>
      </c>
      <c r="L204" s="12">
        <f>_xll.DBRW($B$1,Cons_Region!$F$12,Cons_Region!L$15,$M$1,$G$159,Cons_Region!$C$12,$N$1,$A204,$L$1,$K$1)</f>
        <v>0</v>
      </c>
      <c r="M204" s="12">
        <f>_xll.DBRW($B$1,Cons_Region!$F$12,Cons_Region!M$15,$M$1,$G$159,Cons_Region!$C$12,$N$1,$A204,$L$1,$K$1)</f>
        <v>0</v>
      </c>
      <c r="N204" s="12">
        <f>_xll.DBRW($B$1,Cons_Region!$F$12,Cons_Region!N$15,$M$1,$G$159,Cons_Region!$C$12,$N$1,$A204,$L$1,$K$1)</f>
        <v>0</v>
      </c>
      <c r="O204" s="12">
        <f>_xll.DBRW($B$1,O$14,Cons_Region!O$15,$M$1,Cons_Region!$H$12,Cons_Region!$C$12,$N$1,$A204,$L$1,$K$1)</f>
        <v>0</v>
      </c>
      <c r="P204" s="12">
        <f>_xll.DBRW($B$1,P$14,Cons_Region!P$15,$M$1,Cons_Region!$H$12,Cons_Region!$C$12,$N$1,$A204,$L$1,$K$1)</f>
        <v>0</v>
      </c>
      <c r="Q204" s="12">
        <f>_xll.DBRW($B$1,Q$14,Cons_Region!Q$15,$M$1,Cons_Region!$H$12,Cons_Region!$C$12,$N$1,$A204,$L$1,$K$1)</f>
        <v>0</v>
      </c>
      <c r="R204" s="12">
        <f>_xll.DBRW($B$1,R$14,Cons_Region!R$15,$M$1,Cons_Region!$H$12,Cons_Region!$C$12,$N$1,$A204,$L$1,$K$1)</f>
        <v>0</v>
      </c>
      <c r="S204" s="12">
        <f>_xll.DBRW($B$1,S$14,Cons_Region!S$15,$M$1,Cons_Region!$H$12,Cons_Region!$C$12,$N$1,$A204,$L$1,$K$1)</f>
        <v>0</v>
      </c>
    </row>
    <row r="205" spans="1:19" ht="15.75" customHeight="1">
      <c r="A205" s="69" t="s">
        <v>461</v>
      </c>
      <c r="B205" s="13" t="s">
        <v>267</v>
      </c>
      <c r="C205" s="12">
        <f>_xll.DBRW($B$1,Cons_Region!$F$12,Cons_Region!C$15,$M$1,$G$159,Cons_Region!$C$12,$N$1,$A205,$L$1,$K$1)</f>
        <v>0</v>
      </c>
      <c r="D205" s="12">
        <f>_xll.DBRW($B$1,Cons_Region!$F$12,Cons_Region!D$15,$M$1,$G$159,Cons_Region!$C$12,$N$1,$A205,$L$1,$K$1)</f>
        <v>0</v>
      </c>
      <c r="E205" s="12">
        <f>_xll.DBRW($B$1,Cons_Region!$F$12,Cons_Region!E$15,$M$1,$G$159,Cons_Region!$C$12,$N$1,$A205,$L$1,$K$1)</f>
        <v>0</v>
      </c>
      <c r="F205" s="12">
        <f>_xll.DBRW($B$1,Cons_Region!$F$12,Cons_Region!F$15,$M$1,$G$159,Cons_Region!$C$12,$N$1,$A205,$L$1,$K$1)</f>
        <v>0</v>
      </c>
      <c r="G205" s="12">
        <f>_xll.DBRW($B$1,Cons_Region!$F$12,Cons_Region!G$15,$M$1,$G$159,Cons_Region!$C$12,$N$1,$A205,$L$1,$K$1)</f>
        <v>0</v>
      </c>
      <c r="H205" s="12">
        <f>_xll.DBRW($B$1,Cons_Region!$F$12,Cons_Region!H$15,$M$1,$G$159,Cons_Region!$C$12,$N$1,$A205,$L$1,$K$1)</f>
        <v>0</v>
      </c>
      <c r="I205" s="12">
        <f>_xll.DBRW($B$1,Cons_Region!$F$12,Cons_Region!I$15,$M$1,$G$159,Cons_Region!$C$12,$N$1,$A205,$L$1,$K$1)</f>
        <v>0</v>
      </c>
      <c r="J205" s="12">
        <f>_xll.DBRW($B$1,Cons_Region!$F$12,Cons_Region!J$15,$M$1,$G$159,Cons_Region!$C$12,$N$1,$A205,$L$1,$K$1)</f>
        <v>0</v>
      </c>
      <c r="K205" s="12">
        <f>_xll.DBRW($B$1,Cons_Region!$F$12,Cons_Region!K$15,$M$1,$G$159,Cons_Region!$C$12,$N$1,$A205,$L$1,$K$1)</f>
        <v>0</v>
      </c>
      <c r="L205" s="12">
        <f>_xll.DBRW($B$1,Cons_Region!$F$12,Cons_Region!L$15,$M$1,$G$159,Cons_Region!$C$12,$N$1,$A205,$L$1,$K$1)</f>
        <v>0</v>
      </c>
      <c r="M205" s="12">
        <f>_xll.DBRW($B$1,Cons_Region!$F$12,Cons_Region!M$15,$M$1,$G$159,Cons_Region!$C$12,$N$1,$A205,$L$1,$K$1)</f>
        <v>0</v>
      </c>
      <c r="N205" s="12">
        <f>_xll.DBRW($B$1,Cons_Region!$F$12,Cons_Region!N$15,$M$1,$G$159,Cons_Region!$C$12,$N$1,$A205,$L$1,$K$1)</f>
        <v>0</v>
      </c>
      <c r="O205" s="12">
        <f>_xll.DBRW($B$1,O$14,Cons_Region!O$15,$M$1,Cons_Region!$H$12,Cons_Region!$C$12,$N$1,$A205,$L$1,$K$1)</f>
        <v>0</v>
      </c>
      <c r="P205" s="12">
        <f>_xll.DBRW($B$1,P$14,Cons_Region!P$15,$M$1,Cons_Region!$H$12,Cons_Region!$C$12,$N$1,$A205,$L$1,$K$1)</f>
        <v>0</v>
      </c>
      <c r="Q205" s="12">
        <f>_xll.DBRW($B$1,Q$14,Cons_Region!Q$15,$M$1,Cons_Region!$H$12,Cons_Region!$C$12,$N$1,$A205,$L$1,$K$1)</f>
        <v>0</v>
      </c>
      <c r="R205" s="12">
        <f>_xll.DBRW($B$1,R$14,Cons_Region!R$15,$M$1,Cons_Region!$H$12,Cons_Region!$C$12,$N$1,$A205,$L$1,$K$1)</f>
        <v>0</v>
      </c>
      <c r="S205" s="12">
        <f>_xll.DBRW($B$1,S$14,Cons_Region!S$15,$M$1,Cons_Region!$H$12,Cons_Region!$C$12,$N$1,$A205,$L$1,$K$1)</f>
        <v>0</v>
      </c>
    </row>
    <row r="206" spans="1:19" ht="15.75" customHeight="1">
      <c r="A206" s="69" t="s">
        <v>462</v>
      </c>
      <c r="B206" s="13" t="s">
        <v>268</v>
      </c>
      <c r="C206" s="12">
        <f>_xll.DBRW($B$1,Cons_Region!$F$12,Cons_Region!C$15,$M$1,$G$159,Cons_Region!$C$12,$N$1,$A206,$L$1,$K$1)</f>
        <v>0</v>
      </c>
      <c r="D206" s="12">
        <f>_xll.DBRW($B$1,Cons_Region!$F$12,Cons_Region!D$15,$M$1,$G$159,Cons_Region!$C$12,$N$1,$A206,$L$1,$K$1)</f>
        <v>0</v>
      </c>
      <c r="E206" s="12">
        <f>_xll.DBRW($B$1,Cons_Region!$F$12,Cons_Region!E$15,$M$1,$G$159,Cons_Region!$C$12,$N$1,$A206,$L$1,$K$1)</f>
        <v>0</v>
      </c>
      <c r="F206" s="12">
        <f>_xll.DBRW($B$1,Cons_Region!$F$12,Cons_Region!F$15,$M$1,$G$159,Cons_Region!$C$12,$N$1,$A206,$L$1,$K$1)</f>
        <v>0</v>
      </c>
      <c r="G206" s="12">
        <f>_xll.DBRW($B$1,Cons_Region!$F$12,Cons_Region!G$15,$M$1,$G$159,Cons_Region!$C$12,$N$1,$A206,$L$1,$K$1)</f>
        <v>0</v>
      </c>
      <c r="H206" s="12">
        <f>_xll.DBRW($B$1,Cons_Region!$F$12,Cons_Region!H$15,$M$1,$G$159,Cons_Region!$C$12,$N$1,$A206,$L$1,$K$1)</f>
        <v>0</v>
      </c>
      <c r="I206" s="12">
        <f>_xll.DBRW($B$1,Cons_Region!$F$12,Cons_Region!I$15,$M$1,$G$159,Cons_Region!$C$12,$N$1,$A206,$L$1,$K$1)</f>
        <v>0</v>
      </c>
      <c r="J206" s="12">
        <f>_xll.DBRW($B$1,Cons_Region!$F$12,Cons_Region!J$15,$M$1,$G$159,Cons_Region!$C$12,$N$1,$A206,$L$1,$K$1)</f>
        <v>0</v>
      </c>
      <c r="K206" s="12">
        <f>_xll.DBRW($B$1,Cons_Region!$F$12,Cons_Region!K$15,$M$1,$G$159,Cons_Region!$C$12,$N$1,$A206,$L$1,$K$1)</f>
        <v>0</v>
      </c>
      <c r="L206" s="12">
        <f>_xll.DBRW($B$1,Cons_Region!$F$12,Cons_Region!L$15,$M$1,$G$159,Cons_Region!$C$12,$N$1,$A206,$L$1,$K$1)</f>
        <v>0</v>
      </c>
      <c r="M206" s="12">
        <f>_xll.DBRW($B$1,Cons_Region!$F$12,Cons_Region!M$15,$M$1,$G$159,Cons_Region!$C$12,$N$1,$A206,$L$1,$K$1)</f>
        <v>0</v>
      </c>
      <c r="N206" s="12">
        <f>_xll.DBRW($B$1,Cons_Region!$F$12,Cons_Region!N$15,$M$1,$G$159,Cons_Region!$C$12,$N$1,$A206,$L$1,$K$1)</f>
        <v>0</v>
      </c>
      <c r="O206" s="12">
        <f>_xll.DBRW($B$1,O$14,Cons_Region!O$15,$M$1,Cons_Region!$H$12,Cons_Region!$C$12,$N$1,$A206,$L$1,$K$1)</f>
        <v>0</v>
      </c>
      <c r="P206" s="12">
        <f>_xll.DBRW($B$1,P$14,Cons_Region!P$15,$M$1,Cons_Region!$H$12,Cons_Region!$C$12,$N$1,$A206,$L$1,$K$1)</f>
        <v>0</v>
      </c>
      <c r="Q206" s="12">
        <f>_xll.DBRW($B$1,Q$14,Cons_Region!Q$15,$M$1,Cons_Region!$H$12,Cons_Region!$C$12,$N$1,$A206,$L$1,$K$1)</f>
        <v>0</v>
      </c>
      <c r="R206" s="12">
        <f>_xll.DBRW($B$1,R$14,Cons_Region!R$15,$M$1,Cons_Region!$H$12,Cons_Region!$C$12,$N$1,$A206,$L$1,$K$1)</f>
        <v>0</v>
      </c>
      <c r="S206" s="12">
        <f>_xll.DBRW($B$1,S$14,Cons_Region!S$15,$M$1,Cons_Region!$H$12,Cons_Region!$C$12,$N$1,$A206,$L$1,$K$1)</f>
        <v>0</v>
      </c>
    </row>
    <row r="207" spans="1:19" ht="15.75" customHeight="1">
      <c r="A207" s="69" t="s">
        <v>463</v>
      </c>
      <c r="B207" s="13" t="s">
        <v>269</v>
      </c>
      <c r="C207" s="12">
        <f>_xll.DBRW($B$1,Cons_Region!$F$12,Cons_Region!C$15,$M$1,$G$159,Cons_Region!$C$12,$N$1,$A207,$L$1,$K$1)</f>
        <v>0</v>
      </c>
      <c r="D207" s="12">
        <f>_xll.DBRW($B$1,Cons_Region!$F$12,Cons_Region!D$15,$M$1,$G$159,Cons_Region!$C$12,$N$1,$A207,$L$1,$K$1)</f>
        <v>0</v>
      </c>
      <c r="E207" s="12">
        <f>_xll.DBRW($B$1,Cons_Region!$F$12,Cons_Region!E$15,$M$1,$G$159,Cons_Region!$C$12,$N$1,$A207,$L$1,$K$1)</f>
        <v>0</v>
      </c>
      <c r="F207" s="12">
        <f>_xll.DBRW($B$1,Cons_Region!$F$12,Cons_Region!F$15,$M$1,$G$159,Cons_Region!$C$12,$N$1,$A207,$L$1,$K$1)</f>
        <v>0</v>
      </c>
      <c r="G207" s="12">
        <f>_xll.DBRW($B$1,Cons_Region!$F$12,Cons_Region!G$15,$M$1,$G$159,Cons_Region!$C$12,$N$1,$A207,$L$1,$K$1)</f>
        <v>0</v>
      </c>
      <c r="H207" s="12">
        <f>_xll.DBRW($B$1,Cons_Region!$F$12,Cons_Region!H$15,$M$1,$G$159,Cons_Region!$C$12,$N$1,$A207,$L$1,$K$1)</f>
        <v>0</v>
      </c>
      <c r="I207" s="12">
        <f>_xll.DBRW($B$1,Cons_Region!$F$12,Cons_Region!I$15,$M$1,$G$159,Cons_Region!$C$12,$N$1,$A207,$L$1,$K$1)</f>
        <v>0</v>
      </c>
      <c r="J207" s="12">
        <f>_xll.DBRW($B$1,Cons_Region!$F$12,Cons_Region!J$15,$M$1,$G$159,Cons_Region!$C$12,$N$1,$A207,$L$1,$K$1)</f>
        <v>0</v>
      </c>
      <c r="K207" s="12">
        <f>_xll.DBRW($B$1,Cons_Region!$F$12,Cons_Region!K$15,$M$1,$G$159,Cons_Region!$C$12,$N$1,$A207,$L$1,$K$1)</f>
        <v>0</v>
      </c>
      <c r="L207" s="12">
        <f>_xll.DBRW($B$1,Cons_Region!$F$12,Cons_Region!L$15,$M$1,$G$159,Cons_Region!$C$12,$N$1,$A207,$L$1,$K$1)</f>
        <v>0</v>
      </c>
      <c r="M207" s="12">
        <f>_xll.DBRW($B$1,Cons_Region!$F$12,Cons_Region!M$15,$M$1,$G$159,Cons_Region!$C$12,$N$1,$A207,$L$1,$K$1)</f>
        <v>0</v>
      </c>
      <c r="N207" s="12">
        <f>_xll.DBRW($B$1,Cons_Region!$F$12,Cons_Region!N$15,$M$1,$G$159,Cons_Region!$C$12,$N$1,$A207,$L$1,$K$1)</f>
        <v>0</v>
      </c>
      <c r="O207" s="12">
        <f>_xll.DBRW($B$1,O$14,Cons_Region!O$15,$M$1,Cons_Region!$H$12,Cons_Region!$C$12,$N$1,$A207,$L$1,$K$1)</f>
        <v>0</v>
      </c>
      <c r="P207" s="12">
        <f>_xll.DBRW($B$1,P$14,Cons_Region!P$15,$M$1,Cons_Region!$H$12,Cons_Region!$C$12,$N$1,$A207,$L$1,$K$1)</f>
        <v>0</v>
      </c>
      <c r="Q207" s="12">
        <f>_xll.DBRW($B$1,Q$14,Cons_Region!Q$15,$M$1,Cons_Region!$H$12,Cons_Region!$C$12,$N$1,$A207,$L$1,$K$1)</f>
        <v>0</v>
      </c>
      <c r="R207" s="12">
        <f>_xll.DBRW($B$1,R$14,Cons_Region!R$15,$M$1,Cons_Region!$H$12,Cons_Region!$C$12,$N$1,$A207,$L$1,$K$1)</f>
        <v>0</v>
      </c>
      <c r="S207" s="12">
        <f>_xll.DBRW($B$1,S$14,Cons_Region!S$15,$M$1,Cons_Region!$H$12,Cons_Region!$C$12,$N$1,$A207,$L$1,$K$1)</f>
        <v>0</v>
      </c>
    </row>
    <row r="208" spans="1:19" ht="15.75" customHeight="1">
      <c r="A208" s="69" t="s">
        <v>464</v>
      </c>
      <c r="B208" s="13" t="s">
        <v>270</v>
      </c>
      <c r="C208" s="12">
        <f>_xll.DBRW($B$1,Cons_Region!$F$12,Cons_Region!C$15,$M$1,$G$159,Cons_Region!$C$12,$N$1,$A208,$L$1,$K$1)</f>
        <v>0</v>
      </c>
      <c r="D208" s="12">
        <f>_xll.DBRW($B$1,Cons_Region!$F$12,Cons_Region!D$15,$M$1,$G$159,Cons_Region!$C$12,$N$1,$A208,$L$1,$K$1)</f>
        <v>0</v>
      </c>
      <c r="E208" s="12">
        <f>_xll.DBRW($B$1,Cons_Region!$F$12,Cons_Region!E$15,$M$1,$G$159,Cons_Region!$C$12,$N$1,$A208,$L$1,$K$1)</f>
        <v>0</v>
      </c>
      <c r="F208" s="12">
        <f>_xll.DBRW($B$1,Cons_Region!$F$12,Cons_Region!F$15,$M$1,$G$159,Cons_Region!$C$12,$N$1,$A208,$L$1,$K$1)</f>
        <v>0</v>
      </c>
      <c r="G208" s="12">
        <f>_xll.DBRW($B$1,Cons_Region!$F$12,Cons_Region!G$15,$M$1,$G$159,Cons_Region!$C$12,$N$1,$A208,$L$1,$K$1)</f>
        <v>0</v>
      </c>
      <c r="H208" s="12">
        <f>_xll.DBRW($B$1,Cons_Region!$F$12,Cons_Region!H$15,$M$1,$G$159,Cons_Region!$C$12,$N$1,$A208,$L$1,$K$1)</f>
        <v>0</v>
      </c>
      <c r="I208" s="12">
        <f>_xll.DBRW($B$1,Cons_Region!$F$12,Cons_Region!I$15,$M$1,$G$159,Cons_Region!$C$12,$N$1,$A208,$L$1,$K$1)</f>
        <v>0</v>
      </c>
      <c r="J208" s="12">
        <f>_xll.DBRW($B$1,Cons_Region!$F$12,Cons_Region!J$15,$M$1,$G$159,Cons_Region!$C$12,$N$1,$A208,$L$1,$K$1)</f>
        <v>0</v>
      </c>
      <c r="K208" s="12">
        <f>_xll.DBRW($B$1,Cons_Region!$F$12,Cons_Region!K$15,$M$1,$G$159,Cons_Region!$C$12,$N$1,$A208,$L$1,$K$1)</f>
        <v>0</v>
      </c>
      <c r="L208" s="12">
        <f>_xll.DBRW($B$1,Cons_Region!$F$12,Cons_Region!L$15,$M$1,$G$159,Cons_Region!$C$12,$N$1,$A208,$L$1,$K$1)</f>
        <v>0</v>
      </c>
      <c r="M208" s="12">
        <f>_xll.DBRW($B$1,Cons_Region!$F$12,Cons_Region!M$15,$M$1,$G$159,Cons_Region!$C$12,$N$1,$A208,$L$1,$K$1)</f>
        <v>0</v>
      </c>
      <c r="N208" s="12">
        <f>_xll.DBRW($B$1,Cons_Region!$F$12,Cons_Region!N$15,$M$1,$G$159,Cons_Region!$C$12,$N$1,$A208,$L$1,$K$1)</f>
        <v>0</v>
      </c>
      <c r="O208" s="12">
        <f>_xll.DBRW($B$1,O$14,Cons_Region!O$15,$M$1,Cons_Region!$H$12,Cons_Region!$C$12,$N$1,$A208,$L$1,$K$1)</f>
        <v>0</v>
      </c>
      <c r="P208" s="12">
        <f>_xll.DBRW($B$1,P$14,Cons_Region!P$15,$M$1,Cons_Region!$H$12,Cons_Region!$C$12,$N$1,$A208,$L$1,$K$1)</f>
        <v>0</v>
      </c>
      <c r="Q208" s="12">
        <f>_xll.DBRW($B$1,Q$14,Cons_Region!Q$15,$M$1,Cons_Region!$H$12,Cons_Region!$C$12,$N$1,$A208,$L$1,$K$1)</f>
        <v>0</v>
      </c>
      <c r="R208" s="12">
        <f>_xll.DBRW($B$1,R$14,Cons_Region!R$15,$M$1,Cons_Region!$H$12,Cons_Region!$C$12,$N$1,$A208,$L$1,$K$1)</f>
        <v>0</v>
      </c>
      <c r="S208" s="12">
        <f>_xll.DBRW($B$1,S$14,Cons_Region!S$15,$M$1,Cons_Region!$H$12,Cons_Region!$C$12,$N$1,$A208,$L$1,$K$1)</f>
        <v>0</v>
      </c>
    </row>
    <row r="209" spans="1:19" ht="15.75" customHeight="1">
      <c r="A209" s="69" t="s">
        <v>465</v>
      </c>
      <c r="B209" s="13" t="s">
        <v>271</v>
      </c>
      <c r="C209" s="12">
        <f>_xll.DBRW($B$1,Cons_Region!$F$12,Cons_Region!C$15,$M$1,$G$159,Cons_Region!$C$12,$N$1,Cons_Region!$B209,$L$1,$K$1)</f>
        <v>0</v>
      </c>
      <c r="D209" s="12">
        <f>_xll.DBRW($B$1,Cons_Region!$F$12,Cons_Region!D$15,$M$1,$G$159,Cons_Region!$C$12,$N$1,Cons_Region!$B209,$L$1,$K$1)</f>
        <v>0</v>
      </c>
      <c r="E209" s="12">
        <f>_xll.DBRW($B$1,Cons_Region!$F$12,Cons_Region!E$15,$M$1,$G$159,Cons_Region!$C$12,$N$1,Cons_Region!$B209,$L$1,$K$1)</f>
        <v>0</v>
      </c>
      <c r="F209" s="12">
        <f>_xll.DBRW($B$1,Cons_Region!$F$12,Cons_Region!F$15,$M$1,$G$159,Cons_Region!$C$12,$N$1,Cons_Region!$B209,$L$1,$K$1)</f>
        <v>0</v>
      </c>
      <c r="G209" s="12">
        <f>_xll.DBRW($B$1,Cons_Region!$F$12,Cons_Region!G$15,$M$1,$G$159,Cons_Region!$C$12,$N$1,Cons_Region!$B209,$L$1,$K$1)</f>
        <v>0</v>
      </c>
      <c r="H209" s="12">
        <f>_xll.DBRW($B$1,Cons_Region!$F$12,Cons_Region!H$15,$M$1,$G$159,Cons_Region!$C$12,$N$1,Cons_Region!$B209,$L$1,$K$1)</f>
        <v>0</v>
      </c>
      <c r="I209" s="12">
        <f>_xll.DBRW($B$1,Cons_Region!$F$12,Cons_Region!I$15,$M$1,$G$159,Cons_Region!$C$12,$N$1,Cons_Region!$B209,$L$1,$K$1)</f>
        <v>0</v>
      </c>
      <c r="J209" s="12">
        <f>_xll.DBRW($B$1,Cons_Region!$F$12,Cons_Region!J$15,$M$1,$G$159,Cons_Region!$C$12,$N$1,Cons_Region!$B209,$L$1,$K$1)</f>
        <v>0</v>
      </c>
      <c r="K209" s="12">
        <f>_xll.DBRW($B$1,Cons_Region!$F$12,Cons_Region!K$15,$M$1,$G$159,Cons_Region!$C$12,$N$1,Cons_Region!$B209,$L$1,$K$1)</f>
        <v>0</v>
      </c>
      <c r="L209" s="12">
        <f>_xll.DBRW($B$1,Cons_Region!$F$12,Cons_Region!L$15,$M$1,$G$159,Cons_Region!$C$12,$N$1,Cons_Region!$B209,$L$1,$K$1)</f>
        <v>0</v>
      </c>
      <c r="M209" s="12">
        <f>_xll.DBRW($B$1,Cons_Region!$F$12,Cons_Region!M$15,$M$1,$G$159,Cons_Region!$C$12,$N$1,Cons_Region!$B209,$L$1,$K$1)</f>
        <v>0</v>
      </c>
      <c r="N209" s="12">
        <f>_xll.DBRW($B$1,Cons_Region!$F$12,Cons_Region!N$15,$M$1,$G$159,Cons_Region!$C$12,$N$1,Cons_Region!$B209,$L$1,$K$1)</f>
        <v>0</v>
      </c>
      <c r="O209" s="12">
        <f>_xll.DBRW($B$1,O$14,Cons_Region!O$15,$M$1,Cons_Region!$H$12,Cons_Region!$C$12,$N$1,$A209,$L$1,$K$1)</f>
        <v>0</v>
      </c>
      <c r="P209" s="12">
        <f>_xll.DBRW($B$1,P$14,Cons_Region!P$15,$M$1,Cons_Region!$H$12,Cons_Region!$C$12,$N$1,$A209,$L$1,$K$1)</f>
        <v>0</v>
      </c>
      <c r="Q209" s="12">
        <f>_xll.DBRW($B$1,Q$14,Cons_Region!Q$15,$M$1,Cons_Region!$H$12,Cons_Region!$C$12,$N$1,$A209,$L$1,$K$1)</f>
        <v>0</v>
      </c>
      <c r="R209" s="12">
        <f>_xll.DBRW($B$1,R$14,Cons_Region!R$15,$M$1,Cons_Region!$H$12,Cons_Region!$C$12,$N$1,$A209,$L$1,$K$1)</f>
        <v>0</v>
      </c>
      <c r="S209" s="12">
        <f>_xll.DBRW($B$1,S$14,Cons_Region!S$15,$M$1,Cons_Region!$H$12,Cons_Region!$C$12,$N$1,$A209,$L$1,$K$1)</f>
        <v>0</v>
      </c>
    </row>
    <row r="210" spans="1:19" ht="15.75" customHeight="1">
      <c r="A210" s="69" t="s">
        <v>466</v>
      </c>
      <c r="B210" s="13" t="s">
        <v>272</v>
      </c>
      <c r="C210" s="12">
        <f>_xll.DBRW($B$1,Cons_Region!$F$12,Cons_Region!C$15,$M$1,$G$159,Cons_Region!$C$12,$N$1,$A210,$L$1,$K$1)</f>
        <v>0</v>
      </c>
      <c r="D210" s="12">
        <f>_xll.DBRW($B$1,Cons_Region!$F$12,Cons_Region!D$15,$M$1,$G$159,Cons_Region!$C$12,$N$1,$A210,$L$1,$K$1)</f>
        <v>0</v>
      </c>
      <c r="E210" s="12">
        <f>_xll.DBRW($B$1,Cons_Region!$F$12,Cons_Region!E$15,$M$1,$G$159,Cons_Region!$C$12,$N$1,$A210,$L$1,$K$1)</f>
        <v>0</v>
      </c>
      <c r="F210" s="12">
        <f>_xll.DBRW($B$1,Cons_Region!$F$12,Cons_Region!F$15,$M$1,$G$159,Cons_Region!$C$12,$N$1,$A210,$L$1,$K$1)</f>
        <v>0</v>
      </c>
      <c r="G210" s="12">
        <f>_xll.DBRW($B$1,Cons_Region!$F$12,Cons_Region!G$15,$M$1,$G$159,Cons_Region!$C$12,$N$1,$A210,$L$1,$K$1)</f>
        <v>0</v>
      </c>
      <c r="H210" s="12">
        <f>_xll.DBRW($B$1,Cons_Region!$F$12,Cons_Region!H$15,$M$1,$G$159,Cons_Region!$C$12,$N$1,$A210,$L$1,$K$1)</f>
        <v>0</v>
      </c>
      <c r="I210" s="12">
        <f>_xll.DBRW($B$1,Cons_Region!$F$12,Cons_Region!I$15,$M$1,$G$159,Cons_Region!$C$12,$N$1,$A210,$L$1,$K$1)</f>
        <v>0</v>
      </c>
      <c r="J210" s="12">
        <f>_xll.DBRW($B$1,Cons_Region!$F$12,Cons_Region!J$15,$M$1,$G$159,Cons_Region!$C$12,$N$1,$A210,$L$1,$K$1)</f>
        <v>0</v>
      </c>
      <c r="K210" s="12">
        <f>_xll.DBRW($B$1,Cons_Region!$F$12,Cons_Region!K$15,$M$1,$G$159,Cons_Region!$C$12,$N$1,$A210,$L$1,$K$1)</f>
        <v>0</v>
      </c>
      <c r="L210" s="12">
        <f>_xll.DBRW($B$1,Cons_Region!$F$12,Cons_Region!L$15,$M$1,$G$159,Cons_Region!$C$12,$N$1,$A210,$L$1,$K$1)</f>
        <v>0</v>
      </c>
      <c r="M210" s="12">
        <f>_xll.DBRW($B$1,Cons_Region!$F$12,Cons_Region!M$15,$M$1,$G$159,Cons_Region!$C$12,$N$1,$A210,$L$1,$K$1)</f>
        <v>0</v>
      </c>
      <c r="N210" s="12">
        <f>_xll.DBRW($B$1,Cons_Region!$F$12,Cons_Region!N$15,$M$1,$G$159,Cons_Region!$C$12,$N$1,$A210,$L$1,$K$1)</f>
        <v>0</v>
      </c>
      <c r="O210" s="12">
        <f>_xll.DBRW($B$1,O$14,Cons_Region!O$15,$M$1,Cons_Region!$H$12,Cons_Region!$C$12,$N$1,$A210,$L$1,$K$1)</f>
        <v>0</v>
      </c>
      <c r="P210" s="12">
        <f>_xll.DBRW($B$1,P$14,Cons_Region!P$15,$M$1,Cons_Region!$H$12,Cons_Region!$C$12,$N$1,$A210,$L$1,$K$1)</f>
        <v>0</v>
      </c>
      <c r="Q210" s="12">
        <f>_xll.DBRW($B$1,Q$14,Cons_Region!Q$15,$M$1,Cons_Region!$H$12,Cons_Region!$C$12,$N$1,$A210,$L$1,$K$1)</f>
        <v>0</v>
      </c>
      <c r="R210" s="12">
        <f>_xll.DBRW($B$1,R$14,Cons_Region!R$15,$M$1,Cons_Region!$H$12,Cons_Region!$C$12,$N$1,$A210,$L$1,$K$1)</f>
        <v>0</v>
      </c>
      <c r="S210" s="12">
        <f>_xll.DBRW($B$1,S$14,Cons_Region!S$15,$M$1,Cons_Region!$H$12,Cons_Region!$C$12,$N$1,$A210,$L$1,$K$1)</f>
        <v>0</v>
      </c>
    </row>
    <row r="211" spans="1:19" ht="15.75" customHeight="1">
      <c r="A211" s="69" t="s">
        <v>467</v>
      </c>
      <c r="B211" s="13" t="s">
        <v>273</v>
      </c>
      <c r="C211" s="12">
        <f>_xll.DBRW($B$1,Cons_Region!$F$12,Cons_Region!C$15,$M$1,$G$159,Cons_Region!$C$12,$N$1,$A211,$L$1,$K$1)</f>
        <v>0</v>
      </c>
      <c r="D211" s="12">
        <f>_xll.DBRW($B$1,Cons_Region!$F$12,Cons_Region!D$15,$M$1,$G$159,Cons_Region!$C$12,$N$1,$A211,$L$1,$K$1)</f>
        <v>0</v>
      </c>
      <c r="E211" s="12">
        <f>_xll.DBRW($B$1,Cons_Region!$F$12,Cons_Region!E$15,$M$1,$G$159,Cons_Region!$C$12,$N$1,$A211,$L$1,$K$1)</f>
        <v>0</v>
      </c>
      <c r="F211" s="12">
        <f>_xll.DBRW($B$1,Cons_Region!$F$12,Cons_Region!F$15,$M$1,$G$159,Cons_Region!$C$12,$N$1,$A211,$L$1,$K$1)</f>
        <v>0</v>
      </c>
      <c r="G211" s="12">
        <f>_xll.DBRW($B$1,Cons_Region!$F$12,Cons_Region!G$15,$M$1,$G$159,Cons_Region!$C$12,$N$1,$A211,$L$1,$K$1)</f>
        <v>0</v>
      </c>
      <c r="H211" s="12">
        <f>_xll.DBRW($B$1,Cons_Region!$F$12,Cons_Region!H$15,$M$1,$G$159,Cons_Region!$C$12,$N$1,$A211,$L$1,$K$1)</f>
        <v>0</v>
      </c>
      <c r="I211" s="12">
        <f>_xll.DBRW($B$1,Cons_Region!$F$12,Cons_Region!I$15,$M$1,$G$159,Cons_Region!$C$12,$N$1,$A211,$L$1,$K$1)</f>
        <v>0</v>
      </c>
      <c r="J211" s="12">
        <f>_xll.DBRW($B$1,Cons_Region!$F$12,Cons_Region!J$15,$M$1,$G$159,Cons_Region!$C$12,$N$1,$A211,$L$1,$K$1)</f>
        <v>0</v>
      </c>
      <c r="K211" s="12">
        <f>_xll.DBRW($B$1,Cons_Region!$F$12,Cons_Region!K$15,$M$1,$G$159,Cons_Region!$C$12,$N$1,$A211,$L$1,$K$1)</f>
        <v>0</v>
      </c>
      <c r="L211" s="12">
        <f>_xll.DBRW($B$1,Cons_Region!$F$12,Cons_Region!L$15,$M$1,$G$159,Cons_Region!$C$12,$N$1,$A211,$L$1,$K$1)</f>
        <v>0</v>
      </c>
      <c r="M211" s="12">
        <f>_xll.DBRW($B$1,Cons_Region!$F$12,Cons_Region!M$15,$M$1,$G$159,Cons_Region!$C$12,$N$1,$A211,$L$1,$K$1)</f>
        <v>0</v>
      </c>
      <c r="N211" s="12">
        <f>_xll.DBRW($B$1,Cons_Region!$F$12,Cons_Region!N$15,$M$1,$G$159,Cons_Region!$C$12,$N$1,$A211,$L$1,$K$1)</f>
        <v>0</v>
      </c>
      <c r="O211" s="12">
        <f>_xll.DBRW($B$1,O$14,Cons_Region!O$15,$M$1,Cons_Region!$H$12,Cons_Region!$C$12,$N$1,$A211,$L$1,$K$1)</f>
        <v>0</v>
      </c>
      <c r="P211" s="12">
        <f>_xll.DBRW($B$1,P$14,Cons_Region!P$15,$M$1,Cons_Region!$H$12,Cons_Region!$C$12,$N$1,$A211,$L$1,$K$1)</f>
        <v>0</v>
      </c>
      <c r="Q211" s="12">
        <f>_xll.DBRW($B$1,Q$14,Cons_Region!Q$15,$M$1,Cons_Region!$H$12,Cons_Region!$C$12,$N$1,$A211,$L$1,$K$1)</f>
        <v>0</v>
      </c>
      <c r="R211" s="12">
        <f>_xll.DBRW($B$1,R$14,Cons_Region!R$15,$M$1,Cons_Region!$H$12,Cons_Region!$C$12,$N$1,$A211,$L$1,$K$1)</f>
        <v>0</v>
      </c>
      <c r="S211" s="12">
        <f>_xll.DBRW($B$1,S$14,Cons_Region!S$15,$M$1,Cons_Region!$H$12,Cons_Region!$C$12,$N$1,$A211,$L$1,$K$1)</f>
        <v>0</v>
      </c>
    </row>
    <row r="212" spans="1:19" ht="15.75" customHeight="1">
      <c r="A212" s="69" t="s">
        <v>468</v>
      </c>
      <c r="B212" s="15" t="s">
        <v>274</v>
      </c>
      <c r="C212" s="20">
        <f>_xll.DBRW($C$4,Cons_Region!$F$12,Cons_Region!C$15,$M$1,$G$159,Cons_Region!$C$12,$A212,$K$1)</f>
        <v>0</v>
      </c>
      <c r="D212" s="20">
        <f>_xll.DBRW($C$4,Cons_Region!$F$12,Cons_Region!D$15,$M$1,$G$159,Cons_Region!$C$12,$A212,$K$1)</f>
        <v>0</v>
      </c>
      <c r="E212" s="20">
        <f>_xll.DBRW($C$4,Cons_Region!$F$12,Cons_Region!E$15,$M$1,$G$159,Cons_Region!$C$12,$A212,$K$1)</f>
        <v>0</v>
      </c>
      <c r="F212" s="20">
        <f>_xll.DBRW($C$4,Cons_Region!$F$12,Cons_Region!F$15,$M$1,$G$159,Cons_Region!$C$12,$A212,$K$1)</f>
        <v>0</v>
      </c>
      <c r="G212" s="20">
        <f>_xll.DBRW($C$4,Cons_Region!$F$12,Cons_Region!G$15,$M$1,$G$159,Cons_Region!$C$12,$A212,$K$1)</f>
        <v>0</v>
      </c>
      <c r="H212" s="20">
        <f>_xll.DBRW($C$4,Cons_Region!$F$12,Cons_Region!H$15,$M$1,$G$159,Cons_Region!$C$12,$A212,$K$1)</f>
        <v>0</v>
      </c>
      <c r="I212" s="20">
        <f>_xll.DBRW($C$4,Cons_Region!$F$12,Cons_Region!I$15,$M$1,$G$159,Cons_Region!$C$12,$A212,$K$1)</f>
        <v>0</v>
      </c>
      <c r="J212" s="20">
        <f>_xll.DBRW($C$4,Cons_Region!$F$12,Cons_Region!J$15,$M$1,$G$159,Cons_Region!$C$12,$A212,$K$1)</f>
        <v>0</v>
      </c>
      <c r="K212" s="20">
        <f>_xll.DBRW($C$4,Cons_Region!$F$12,Cons_Region!K$15,$M$1,$G$159,Cons_Region!$C$12,$A212,$K$1)</f>
        <v>0</v>
      </c>
      <c r="L212" s="20">
        <f>_xll.DBRW($C$4,Cons_Region!$F$12,Cons_Region!L$15,$M$1,$G$159,Cons_Region!$C$12,$A212,$K$1)</f>
        <v>0</v>
      </c>
      <c r="M212" s="20">
        <f>_xll.DBRW($C$4,Cons_Region!$F$12,Cons_Region!M$15,$M$1,$G$159,Cons_Region!$C$12,$A212,$K$1)</f>
        <v>0</v>
      </c>
      <c r="N212" s="20">
        <f>_xll.DBRW($C$4,Cons_Region!$F$12,Cons_Region!N$15,$M$1,$G$159,Cons_Region!$C$12,$A212,$K$1)</f>
        <v>0</v>
      </c>
      <c r="O212" s="20">
        <f>_xll.DBRW($C$4,O$14,Cons_Region!O$15,$M$1,$G$144,Cons_Region!$C$12,$A212,$K$1)</f>
        <v>0</v>
      </c>
      <c r="P212" s="20">
        <f>_xll.DBRW($C$4,P$14,Cons_Region!P$15,$M$1,$G$144,Cons_Region!$C$12,$A212,$K$1)</f>
        <v>0</v>
      </c>
      <c r="Q212" s="20">
        <f>_xll.DBRW($C$4,Q$14,Cons_Region!Q$15,$M$1,$G$144,Cons_Region!$C$12,$A212,$K$1)</f>
        <v>0</v>
      </c>
      <c r="R212" s="20">
        <f>_xll.DBRW($C$4,R$14,Cons_Region!R$15,$M$1,$G$144,Cons_Region!$C$12,$A212,$K$1)</f>
        <v>0</v>
      </c>
      <c r="S212" s="20">
        <f>_xll.DBRW($C$4,S$14,Cons_Region!S$15,$M$1,$G$144,Cons_Region!$C$12,$A212,$K$1)</f>
        <v>0</v>
      </c>
    </row>
    <row r="213" spans="1:19" ht="15.75" customHeight="1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1:19" ht="15.75" customHeight="1" thickBot="1">
      <c r="B214" s="18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</row>
    <row r="215" spans="1:19" ht="15.75" customHeight="1" thickTop="1">
      <c r="B215" s="27" t="s">
        <v>285</v>
      </c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</row>
    <row r="216" spans="1:19" ht="15.75" customHeight="1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80">
        <f>$F$12+1</f>
        <v>2027</v>
      </c>
      <c r="P216" s="80">
        <f>$F$12+2</f>
        <v>2028</v>
      </c>
      <c r="Q216" s="80">
        <f>$F$12+3</f>
        <v>2029</v>
      </c>
      <c r="R216" s="80">
        <f>$F$12+4</f>
        <v>2030</v>
      </c>
      <c r="S216" s="80">
        <f>$F$12+5</f>
        <v>2031</v>
      </c>
    </row>
    <row r="217" spans="1:19" ht="15.75" customHeight="1">
      <c r="B217" s="22"/>
      <c r="C217" s="23" t="str">
        <f t="shared" ref="C217:N217" si="17">$F$12&amp;"."&amp;C$15</f>
        <v>2026.01</v>
      </c>
      <c r="D217" s="23" t="str">
        <f t="shared" si="17"/>
        <v>2026.02</v>
      </c>
      <c r="E217" s="23" t="str">
        <f t="shared" si="17"/>
        <v>2026.03</v>
      </c>
      <c r="F217" s="23" t="str">
        <f t="shared" si="17"/>
        <v>2026.04</v>
      </c>
      <c r="G217" s="23" t="str">
        <f t="shared" si="17"/>
        <v>2026.05</v>
      </c>
      <c r="H217" s="23" t="str">
        <f t="shared" si="17"/>
        <v>2026.06</v>
      </c>
      <c r="I217" s="23" t="str">
        <f t="shared" si="17"/>
        <v>2026.07</v>
      </c>
      <c r="J217" s="23" t="str">
        <f t="shared" si="17"/>
        <v>2026.08</v>
      </c>
      <c r="K217" s="23" t="str">
        <f t="shared" si="17"/>
        <v>2026.09</v>
      </c>
      <c r="L217" s="23" t="str">
        <f t="shared" si="17"/>
        <v>2026.10</v>
      </c>
      <c r="M217" s="23" t="str">
        <f t="shared" si="17"/>
        <v>2026.11</v>
      </c>
      <c r="N217" s="23" t="str">
        <f t="shared" si="17"/>
        <v>2026.12</v>
      </c>
      <c r="O217" s="23" t="s">
        <v>304</v>
      </c>
      <c r="P217" s="23" t="s">
        <v>304</v>
      </c>
      <c r="Q217" s="23" t="s">
        <v>304</v>
      </c>
      <c r="R217" s="23" t="s">
        <v>304</v>
      </c>
      <c r="S217" s="23" t="s">
        <v>304</v>
      </c>
    </row>
    <row r="218" spans="1:19" ht="15.75" customHeight="1">
      <c r="A218" s="69" t="s">
        <v>469</v>
      </c>
      <c r="B218" s="15" t="s">
        <v>26</v>
      </c>
      <c r="C218" s="20">
        <f>_xll.DBRW($B$3,Cons_Region!$F$12,Cons_Region!C$15,$M$1,Cons_Region!$H$12,Cons_Region!$C$12,$N$2,$A218,$K$1)</f>
        <v>0</v>
      </c>
      <c r="D218" s="20">
        <f>_xll.DBRW($B$3,Cons_Region!$F$12,Cons_Region!D$15,$M$1,Cons_Region!$H$12,Cons_Region!$C$12,$N$2,$A218,$K$1)</f>
        <v>-44.167700000000004</v>
      </c>
      <c r="E218" s="20">
        <f>_xll.DBRW($B$3,Cons_Region!$F$12,Cons_Region!E$15,$M$1,Cons_Region!$H$12,Cons_Region!$C$12,$N$2,$A218,$K$1)</f>
        <v>8.5255999999999972</v>
      </c>
      <c r="F218" s="20">
        <f>_xll.DBRW($B$3,Cons_Region!$F$12,Cons_Region!F$15,$M$1,Cons_Region!$H$12,Cons_Region!$C$12,$N$2,$A218,$K$1)</f>
        <v>2.1056999999999988</v>
      </c>
      <c r="G218" s="20">
        <f>_xll.DBRW($B$3,Cons_Region!$F$12,Cons_Region!G$15,$M$1,Cons_Region!$H$12,Cons_Region!$C$12,$N$2,$A218,$K$1)</f>
        <v>2.3552000000000017</v>
      </c>
      <c r="H218" s="20">
        <f>_xll.DBRW($B$3,Cons_Region!$F$12,Cons_Region!H$15,$M$1,Cons_Region!$H$12,Cons_Region!$C$12,$N$2,$A218,$K$1)</f>
        <v>-4.3590999999999962</v>
      </c>
      <c r="I218" s="20">
        <f>_xll.DBRW($B$3,Cons_Region!$F$12,Cons_Region!I$15,$M$1,Cons_Region!$H$12,Cons_Region!$C$12,$N$2,$A218,$K$1)</f>
        <v>-3.1509000000000009</v>
      </c>
      <c r="J218" s="20">
        <f>_xll.DBRW($B$3,Cons_Region!$F$12,Cons_Region!J$15,$M$1,Cons_Region!$H$12,Cons_Region!$C$12,$N$2,$A218,$K$1)</f>
        <v>-10.690800000000003</v>
      </c>
      <c r="K218" s="20">
        <f>_xll.DBRW($B$3,Cons_Region!$F$12,Cons_Region!K$15,$M$1,Cons_Region!$H$12,Cons_Region!$C$12,$N$2,$A218,$K$1)</f>
        <v>-10.610099999999999</v>
      </c>
      <c r="L218" s="20">
        <f>_xll.DBRW($B$3,Cons_Region!$F$12,Cons_Region!L$15,$M$1,Cons_Region!$H$12,Cons_Region!$C$12,$N$2,$A218,$K$1)</f>
        <v>-9.5767000000000007</v>
      </c>
      <c r="M218" s="20">
        <f>_xll.DBRW($B$3,Cons_Region!$F$12,Cons_Region!M$15,$M$1,Cons_Region!$H$12,Cons_Region!$C$12,$N$2,$A218,$K$1)</f>
        <v>-8.0323999999999991</v>
      </c>
      <c r="N218" s="20">
        <f>_xll.DBRW($B$3,Cons_Region!$F$12,Cons_Region!N$15,$M$1,Cons_Region!$H$12,Cons_Region!$C$12,$N$2,$A218,$K$1)</f>
        <v>0</v>
      </c>
      <c r="O218" s="20">
        <f>_xll.DBRW($B$3,O$14,Cons_Region!O$15,$M$1,Cons_Region!$H$12,Cons_Region!$C$12,$N$2,$A218,$K$1)</f>
        <v>0</v>
      </c>
      <c r="P218" s="20">
        <f>_xll.DBRW($B$3,P$14,Cons_Region!P$15,$M$1,Cons_Region!$H$12,Cons_Region!$C$12,$N$2,$A218,$K$1)</f>
        <v>0</v>
      </c>
      <c r="Q218" s="20">
        <f>_xll.DBRW($B$3,Q$14,Cons_Region!Q$15,$M$1,Cons_Region!$H$12,Cons_Region!$C$12,$N$2,$A218,$K$1)</f>
        <v>0</v>
      </c>
      <c r="R218" s="20">
        <f>_xll.DBRW($B$3,R$14,Cons_Region!R$15,$M$1,Cons_Region!$H$12,Cons_Region!$C$12,$N$2,$A218,$K$1)</f>
        <v>0</v>
      </c>
      <c r="S218" s="20">
        <f>_xll.DBRW($B$3,S$14,Cons_Region!S$15,$M$1,Cons_Region!$H$12,Cons_Region!$C$12,$N$2,$A218,$K$1)</f>
        <v>0</v>
      </c>
    </row>
    <row r="219" spans="1:19" ht="15.75" customHeight="1">
      <c r="A219" s="69" t="s">
        <v>470</v>
      </c>
      <c r="B219" s="15" t="s">
        <v>286</v>
      </c>
      <c r="C219" s="20">
        <f>_xll.DBRW($B$3,Cons_Region!$F$12,Cons_Region!C$15,$M$1,Cons_Region!$H$12,Cons_Region!$C$12,$N$2,$A219,$K$1)</f>
        <v>0</v>
      </c>
      <c r="D219" s="20">
        <f>_xll.DBRW($B$3,Cons_Region!$F$12,Cons_Region!D$15,$M$1,Cons_Region!$H$12,Cons_Region!$C$12,$N$2,$A219,$K$1)</f>
        <v>0</v>
      </c>
      <c r="E219" s="20">
        <f>_xll.DBRW($B$3,Cons_Region!$F$12,Cons_Region!E$15,$M$1,Cons_Region!$H$12,Cons_Region!$C$12,$N$2,$A219,$K$1)</f>
        <v>0</v>
      </c>
      <c r="F219" s="20">
        <f>_xll.DBRW($B$3,Cons_Region!$F$12,Cons_Region!F$15,$M$1,Cons_Region!$H$12,Cons_Region!$C$12,$N$2,$A219,$K$1)</f>
        <v>0</v>
      </c>
      <c r="G219" s="20">
        <f>_xll.DBRW($B$3,Cons_Region!$F$12,Cons_Region!G$15,$M$1,Cons_Region!$H$12,Cons_Region!$C$12,$N$2,$A219,$K$1)</f>
        <v>0</v>
      </c>
      <c r="H219" s="20">
        <f>_xll.DBRW($B$3,Cons_Region!$F$12,Cons_Region!H$15,$M$1,Cons_Region!$H$12,Cons_Region!$C$12,$N$2,$A219,$K$1)</f>
        <v>0</v>
      </c>
      <c r="I219" s="20">
        <f>_xll.DBRW($B$3,Cons_Region!$F$12,Cons_Region!I$15,$M$1,Cons_Region!$H$12,Cons_Region!$C$12,$N$2,$A219,$K$1)</f>
        <v>0</v>
      </c>
      <c r="J219" s="20">
        <f>_xll.DBRW($B$3,Cons_Region!$F$12,Cons_Region!J$15,$M$1,Cons_Region!$H$12,Cons_Region!$C$12,$N$2,$A219,$K$1)</f>
        <v>0</v>
      </c>
      <c r="K219" s="20">
        <f>_xll.DBRW($B$3,Cons_Region!$F$12,Cons_Region!K$15,$M$1,Cons_Region!$H$12,Cons_Region!$C$12,$N$2,$A219,$K$1)</f>
        <v>0</v>
      </c>
      <c r="L219" s="20">
        <f>_xll.DBRW($B$3,Cons_Region!$F$12,Cons_Region!L$15,$M$1,Cons_Region!$H$12,Cons_Region!$C$12,$N$2,$A219,$K$1)</f>
        <v>0</v>
      </c>
      <c r="M219" s="20">
        <f>_xll.DBRW($B$3,Cons_Region!$F$12,Cons_Region!M$15,$M$1,Cons_Region!$H$12,Cons_Region!$C$12,$N$2,$A219,$K$1)</f>
        <v>0</v>
      </c>
      <c r="N219" s="20">
        <f>_xll.DBRW($B$3,Cons_Region!$F$12,Cons_Region!N$15,$M$1,Cons_Region!$H$12,Cons_Region!$C$12,$N$2,$A219,$K$1)</f>
        <v>0</v>
      </c>
      <c r="O219" s="20">
        <f>_xll.DBRW($B$3,O$14,Cons_Region!O$15,$M$1,Cons_Region!$H$12,Cons_Region!$C$12,$N$2,$A219,$K$1)</f>
        <v>0</v>
      </c>
      <c r="P219" s="20">
        <f>_xll.DBRW($B$3,P$14,Cons_Region!P$15,$M$1,Cons_Region!$H$12,Cons_Region!$C$12,$N$2,$A219,$K$1)</f>
        <v>0</v>
      </c>
      <c r="Q219" s="20">
        <f>_xll.DBRW($B$3,Q$14,Cons_Region!Q$15,$M$1,Cons_Region!$H$12,Cons_Region!$C$12,$N$2,$A219,$K$1)</f>
        <v>0</v>
      </c>
      <c r="R219" s="20">
        <f>_xll.DBRW($B$3,R$14,Cons_Region!R$15,$M$1,Cons_Region!$H$12,Cons_Region!$C$12,$N$2,$A219,$K$1)</f>
        <v>0</v>
      </c>
      <c r="S219" s="20">
        <f>_xll.DBRW($B$3,S$14,Cons_Region!S$15,$M$1,Cons_Region!$H$12,Cons_Region!$C$12,$N$2,$A219,$K$1)</f>
        <v>0</v>
      </c>
    </row>
    <row r="220" spans="1:19" ht="15.75" customHeight="1">
      <c r="A220" s="69" t="s">
        <v>471</v>
      </c>
      <c r="B220" s="15" t="s">
        <v>287</v>
      </c>
      <c r="C220" s="20">
        <f>_xll.DBRW($B$3,Cons_Region!$F$12,Cons_Region!C$15,$M$1,Cons_Region!$H$12,Cons_Region!$C$12,$N$2,$A220,$K$1)</f>
        <v>0</v>
      </c>
      <c r="D220" s="20">
        <f>_xll.DBRW($B$3,Cons_Region!$F$12,Cons_Region!D$15,$M$1,Cons_Region!$H$12,Cons_Region!$C$12,$N$2,$A220,$K$1)</f>
        <v>-10.6837</v>
      </c>
      <c r="E220" s="20">
        <f>_xll.DBRW($B$3,Cons_Region!$F$12,Cons_Region!E$15,$M$1,Cons_Region!$H$12,Cons_Region!$C$12,$N$2,$A220,$K$1)</f>
        <v>-16.915500000000002</v>
      </c>
      <c r="F220" s="20">
        <f>_xll.DBRW($B$3,Cons_Region!$F$12,Cons_Region!F$15,$M$1,Cons_Region!$H$12,Cons_Region!$C$12,$N$2,$A220,$K$1)</f>
        <v>-8.825800000000001</v>
      </c>
      <c r="G220" s="20">
        <f>_xll.DBRW($B$3,Cons_Region!$F$12,Cons_Region!G$15,$M$1,Cons_Region!$H$12,Cons_Region!$C$12,$N$2,$A220,$K$1)</f>
        <v>-8.9242999999999988</v>
      </c>
      <c r="H220" s="20">
        <f>_xll.DBRW($B$3,Cons_Region!$F$12,Cons_Region!H$15,$M$1,Cons_Region!$H$12,Cons_Region!$C$12,$N$2,$A220,$K$1)</f>
        <v>-12.927999999999999</v>
      </c>
      <c r="I220" s="20">
        <f>_xll.DBRW($B$3,Cons_Region!$F$12,Cons_Region!I$15,$M$1,Cons_Region!$H$12,Cons_Region!$C$12,$N$2,$A220,$K$1)</f>
        <v>-9.0470000000000006</v>
      </c>
      <c r="J220" s="20">
        <f>_xll.DBRW($B$3,Cons_Region!$F$12,Cons_Region!J$15,$M$1,Cons_Region!$H$12,Cons_Region!$C$12,$N$2,$A220,$K$1)</f>
        <v>-9.0198999999999998</v>
      </c>
      <c r="K220" s="20">
        <f>_xll.DBRW($B$3,Cons_Region!$F$12,Cons_Region!K$15,$M$1,Cons_Region!$H$12,Cons_Region!$C$12,$N$2,$A220,$K$1)</f>
        <v>-14.7004</v>
      </c>
      <c r="L220" s="20">
        <f>_xll.DBRW($B$3,Cons_Region!$F$12,Cons_Region!L$15,$M$1,Cons_Region!$H$12,Cons_Region!$C$12,$N$2,$A220,$K$1)</f>
        <v>-8.7558000000000007</v>
      </c>
      <c r="M220" s="20">
        <f>_xll.DBRW($B$3,Cons_Region!$F$12,Cons_Region!M$15,$M$1,Cons_Region!$H$12,Cons_Region!$C$12,$N$2,$A220,$K$1)</f>
        <v>-8.8074999999999992</v>
      </c>
      <c r="N220" s="20">
        <f>_xll.DBRW($B$3,Cons_Region!$F$12,Cons_Region!N$15,$M$1,Cons_Region!$H$12,Cons_Region!$C$12,$N$2,$A220,$K$1)</f>
        <v>0</v>
      </c>
      <c r="O220" s="20">
        <f>_xll.DBRW($B$3,O$14,Cons_Region!O$15,$M$1,Cons_Region!$H$12,Cons_Region!$C$12,$N$2,$A220,$K$1)</f>
        <v>0</v>
      </c>
      <c r="P220" s="20">
        <f>_xll.DBRW($B$3,P$14,Cons_Region!P$15,$M$1,Cons_Region!$H$12,Cons_Region!$C$12,$N$2,$A220,$K$1)</f>
        <v>0</v>
      </c>
      <c r="Q220" s="20">
        <f>_xll.DBRW($B$3,Q$14,Cons_Region!Q$15,$M$1,Cons_Region!$H$12,Cons_Region!$C$12,$N$2,$A220,$K$1)</f>
        <v>0</v>
      </c>
      <c r="R220" s="20">
        <f>_xll.DBRW($B$3,R$14,Cons_Region!R$15,$M$1,Cons_Region!$H$12,Cons_Region!$C$12,$N$2,$A220,$K$1)</f>
        <v>0</v>
      </c>
      <c r="S220" s="20">
        <f>_xll.DBRW($B$3,S$14,Cons_Region!S$15,$M$1,Cons_Region!$H$12,Cons_Region!$C$12,$N$2,$A220,$K$1)</f>
        <v>0</v>
      </c>
    </row>
    <row r="221" spans="1:19" ht="15.75" customHeight="1">
      <c r="A221" s="69" t="s">
        <v>472</v>
      </c>
      <c r="B221" s="15" t="s">
        <v>288</v>
      </c>
      <c r="C221" s="20">
        <f>_xll.DBRW($B$3,Cons_Region!$F$12,Cons_Region!C$15,$M$1,Cons_Region!$H$12,Cons_Region!$C$12,$N$2,$A221,$K$1)</f>
        <v>0</v>
      </c>
      <c r="D221" s="20">
        <f>_xll.DBRW($B$3,Cons_Region!$F$12,Cons_Region!D$15,$M$1,Cons_Region!$H$12,Cons_Region!$C$12,$N$2,$A221,$K$1)</f>
        <v>0</v>
      </c>
      <c r="E221" s="20">
        <f>_xll.DBRW($B$3,Cons_Region!$F$12,Cons_Region!E$15,$M$1,Cons_Region!$H$12,Cons_Region!$C$12,$N$2,$A221,$K$1)</f>
        <v>0</v>
      </c>
      <c r="F221" s="20">
        <f>_xll.DBRW($B$3,Cons_Region!$F$12,Cons_Region!F$15,$M$1,Cons_Region!$H$12,Cons_Region!$C$12,$N$2,$A221,$K$1)</f>
        <v>0</v>
      </c>
      <c r="G221" s="20">
        <f>_xll.DBRW($B$3,Cons_Region!$F$12,Cons_Region!G$15,$M$1,Cons_Region!$H$12,Cons_Region!$C$12,$N$2,$A221,$K$1)</f>
        <v>0</v>
      </c>
      <c r="H221" s="20">
        <f>_xll.DBRW($B$3,Cons_Region!$F$12,Cons_Region!H$15,$M$1,Cons_Region!$H$12,Cons_Region!$C$12,$N$2,$A221,$K$1)</f>
        <v>0</v>
      </c>
      <c r="I221" s="20">
        <f>_xll.DBRW($B$3,Cons_Region!$F$12,Cons_Region!I$15,$M$1,Cons_Region!$H$12,Cons_Region!$C$12,$N$2,$A221,$K$1)</f>
        <v>0</v>
      </c>
      <c r="J221" s="20">
        <f>_xll.DBRW($B$3,Cons_Region!$F$12,Cons_Region!J$15,$M$1,Cons_Region!$H$12,Cons_Region!$C$12,$N$2,$A221,$K$1)</f>
        <v>0</v>
      </c>
      <c r="K221" s="20">
        <f>_xll.DBRW($B$3,Cons_Region!$F$12,Cons_Region!K$15,$M$1,Cons_Region!$H$12,Cons_Region!$C$12,$N$2,$A221,$K$1)</f>
        <v>0</v>
      </c>
      <c r="L221" s="20">
        <f>_xll.DBRW($B$3,Cons_Region!$F$12,Cons_Region!L$15,$M$1,Cons_Region!$H$12,Cons_Region!$C$12,$N$2,$A221,$K$1)</f>
        <v>0</v>
      </c>
      <c r="M221" s="20">
        <f>_xll.DBRW($B$3,Cons_Region!$F$12,Cons_Region!M$15,$M$1,Cons_Region!$H$12,Cons_Region!$C$12,$N$2,$A221,$K$1)</f>
        <v>0</v>
      </c>
      <c r="N221" s="20">
        <f>_xll.DBRW($B$3,Cons_Region!$F$12,Cons_Region!N$15,$M$1,Cons_Region!$H$12,Cons_Region!$C$12,$N$2,$A221,$K$1)</f>
        <v>0</v>
      </c>
      <c r="O221" s="20">
        <f>_xll.DBRW($B$3,O$14,Cons_Region!O$15,$M$1,Cons_Region!$H$12,Cons_Region!$C$12,$N$2,$A221,$K$1)</f>
        <v>0</v>
      </c>
      <c r="P221" s="20">
        <f>_xll.DBRW($B$3,P$14,Cons_Region!P$15,$M$1,Cons_Region!$H$12,Cons_Region!$C$12,$N$2,$A221,$K$1)</f>
        <v>0</v>
      </c>
      <c r="Q221" s="20">
        <f>_xll.DBRW($B$3,Q$14,Cons_Region!Q$15,$M$1,Cons_Region!$H$12,Cons_Region!$C$12,$N$2,$A221,$K$1)</f>
        <v>0</v>
      </c>
      <c r="R221" s="20">
        <f>_xll.DBRW($B$3,R$14,Cons_Region!R$15,$M$1,Cons_Region!$H$12,Cons_Region!$C$12,$N$2,$A221,$K$1)</f>
        <v>0</v>
      </c>
      <c r="S221" s="20">
        <f>_xll.DBRW($B$3,S$14,Cons_Region!S$15,$M$1,Cons_Region!$H$12,Cons_Region!$C$12,$N$2,$A221,$K$1)</f>
        <v>0</v>
      </c>
    </row>
    <row r="222" spans="1:19" ht="15.75" customHeight="1">
      <c r="A222" s="69" t="s">
        <v>473</v>
      </c>
      <c r="B222" s="15" t="s">
        <v>256</v>
      </c>
      <c r="C222" s="20">
        <f>_xll.DBRW($B$3,Cons_Region!$F$12,Cons_Region!C$15,$M$1,Cons_Region!$H$12,Cons_Region!$C$12,$N$2,$A222,$K$1)</f>
        <v>0</v>
      </c>
      <c r="D222" s="20">
        <f>_xll.DBRW($B$3,Cons_Region!$F$12,Cons_Region!D$15,$M$1,Cons_Region!$H$12,Cons_Region!$C$12,$N$2,$A222,$K$1)</f>
        <v>0</v>
      </c>
      <c r="E222" s="20">
        <f>_xll.DBRW($B$3,Cons_Region!$F$12,Cons_Region!E$15,$M$1,Cons_Region!$H$12,Cons_Region!$C$12,$N$2,$A222,$K$1)</f>
        <v>0</v>
      </c>
      <c r="F222" s="20">
        <f>_xll.DBRW($B$3,Cons_Region!$F$12,Cons_Region!F$15,$M$1,Cons_Region!$H$12,Cons_Region!$C$12,$N$2,$A222,$K$1)</f>
        <v>0</v>
      </c>
      <c r="G222" s="20">
        <f>_xll.DBRW($B$3,Cons_Region!$F$12,Cons_Region!G$15,$M$1,Cons_Region!$H$12,Cons_Region!$C$12,$N$2,$A222,$K$1)</f>
        <v>0</v>
      </c>
      <c r="H222" s="20">
        <f>_xll.DBRW($B$3,Cons_Region!$F$12,Cons_Region!H$15,$M$1,Cons_Region!$H$12,Cons_Region!$C$12,$N$2,$A222,$K$1)</f>
        <v>0</v>
      </c>
      <c r="I222" s="20">
        <f>_xll.DBRW($B$3,Cons_Region!$F$12,Cons_Region!I$15,$M$1,Cons_Region!$H$12,Cons_Region!$C$12,$N$2,$A222,$K$1)</f>
        <v>0</v>
      </c>
      <c r="J222" s="20">
        <f>_xll.DBRW($B$3,Cons_Region!$F$12,Cons_Region!J$15,$M$1,Cons_Region!$H$12,Cons_Region!$C$12,$N$2,$A222,$K$1)</f>
        <v>0</v>
      </c>
      <c r="K222" s="20">
        <f>_xll.DBRW($B$3,Cons_Region!$F$12,Cons_Region!K$15,$M$1,Cons_Region!$H$12,Cons_Region!$C$12,$N$2,$A222,$K$1)</f>
        <v>0</v>
      </c>
      <c r="L222" s="20">
        <f>_xll.DBRW($B$3,Cons_Region!$F$12,Cons_Region!L$15,$M$1,Cons_Region!$H$12,Cons_Region!$C$12,$N$2,$A222,$K$1)</f>
        <v>0</v>
      </c>
      <c r="M222" s="20">
        <f>_xll.DBRW($B$3,Cons_Region!$F$12,Cons_Region!M$15,$M$1,Cons_Region!$H$12,Cons_Region!$C$12,$N$2,$A222,$K$1)</f>
        <v>0</v>
      </c>
      <c r="N222" s="20">
        <f>_xll.DBRW($B$3,Cons_Region!$F$12,Cons_Region!N$15,$M$1,Cons_Region!$H$12,Cons_Region!$C$12,$N$2,$A222,$K$1)</f>
        <v>0</v>
      </c>
      <c r="O222" s="20">
        <f>_xll.DBRW($B$3,O$14,Cons_Region!O$15,$M$1,Cons_Region!$H$12,Cons_Region!$C$12,$N$2,$A222,$K$1)</f>
        <v>0</v>
      </c>
      <c r="P222" s="20">
        <f>_xll.DBRW($B$3,P$14,Cons_Region!P$15,$M$1,Cons_Region!$H$12,Cons_Region!$C$12,$N$2,$A222,$K$1)</f>
        <v>0</v>
      </c>
      <c r="Q222" s="20">
        <f>_xll.DBRW($B$3,Q$14,Cons_Region!Q$15,$M$1,Cons_Region!$H$12,Cons_Region!$C$12,$N$2,$A222,$K$1)</f>
        <v>0</v>
      </c>
      <c r="R222" s="20">
        <f>_xll.DBRW($B$3,R$14,Cons_Region!R$15,$M$1,Cons_Region!$H$12,Cons_Region!$C$12,$N$2,$A222,$K$1)</f>
        <v>0</v>
      </c>
      <c r="S222" s="20">
        <f>_xll.DBRW($B$3,S$14,Cons_Region!S$15,$M$1,Cons_Region!$H$12,Cons_Region!$C$12,$N$2,$A222,$K$1)</f>
        <v>0</v>
      </c>
    </row>
    <row r="223" spans="1:19" ht="15.75" customHeight="1">
      <c r="A223" s="69" t="s">
        <v>474</v>
      </c>
      <c r="B223" s="15" t="s">
        <v>289</v>
      </c>
      <c r="C223" s="20">
        <f>_xll.DBRW($B$3,Cons_Region!$F$12,Cons_Region!C$15,$M$1,Cons_Region!$H$12,Cons_Region!$C$12,$N$2,$A223,$K$1)</f>
        <v>0</v>
      </c>
      <c r="D223" s="20">
        <f>_xll.DBRW($B$3,Cons_Region!$F$12,Cons_Region!D$15,$M$1,Cons_Region!$H$12,Cons_Region!$C$12,$N$2,$A223,$K$1)</f>
        <v>-33.484000000000002</v>
      </c>
      <c r="E223" s="20">
        <f>_xll.DBRW($B$3,Cons_Region!$F$12,Cons_Region!E$15,$M$1,Cons_Region!$H$12,Cons_Region!$C$12,$N$2,$A223,$K$1)</f>
        <v>25.441099999999999</v>
      </c>
      <c r="F223" s="20">
        <f>_xll.DBRW($B$3,Cons_Region!$F$12,Cons_Region!F$15,$M$1,Cons_Region!$H$12,Cons_Region!$C$12,$N$2,$A223,$K$1)</f>
        <v>10.9315</v>
      </c>
      <c r="G223" s="20">
        <f>_xll.DBRW($B$3,Cons_Region!$F$12,Cons_Region!G$15,$M$1,Cons_Region!$H$12,Cons_Region!$C$12,$N$2,$A223,$K$1)</f>
        <v>11.279500000000001</v>
      </c>
      <c r="H223" s="20">
        <f>_xll.DBRW($B$3,Cons_Region!$F$12,Cons_Region!H$15,$M$1,Cons_Region!$H$12,Cons_Region!$C$12,$N$2,$A223,$K$1)</f>
        <v>8.5689000000000028</v>
      </c>
      <c r="I223" s="20">
        <f>_xll.DBRW($B$3,Cons_Region!$F$12,Cons_Region!I$15,$M$1,Cons_Region!$H$12,Cons_Region!$C$12,$N$2,$A223,$K$1)</f>
        <v>5.8960999999999997</v>
      </c>
      <c r="J223" s="20">
        <f>_xll.DBRW($B$3,Cons_Region!$F$12,Cons_Region!J$15,$M$1,Cons_Region!$H$12,Cons_Region!$C$12,$N$2,$A223,$K$1)</f>
        <v>-1.6709000000000027</v>
      </c>
      <c r="K223" s="20">
        <f>_xll.DBRW($B$3,Cons_Region!$F$12,Cons_Region!K$15,$M$1,Cons_Region!$H$12,Cons_Region!$C$12,$N$2,$A223,$K$1)</f>
        <v>4.0903</v>
      </c>
      <c r="L223" s="20">
        <f>_xll.DBRW($B$3,Cons_Region!$F$12,Cons_Region!L$15,$M$1,Cons_Region!$H$12,Cons_Region!$C$12,$N$2,$A223,$K$1)</f>
        <v>-0.82090000000000063</v>
      </c>
      <c r="M223" s="20">
        <f>_xll.DBRW($B$3,Cons_Region!$F$12,Cons_Region!M$15,$M$1,Cons_Region!$H$12,Cons_Region!$C$12,$N$2,$A223,$K$1)</f>
        <v>0.77510000000000001</v>
      </c>
      <c r="N223" s="20">
        <f>_xll.DBRW($B$3,Cons_Region!$F$12,Cons_Region!N$15,$M$1,Cons_Region!$H$12,Cons_Region!$C$12,$N$2,$A223,$K$1)</f>
        <v>0</v>
      </c>
      <c r="O223" s="20">
        <f>_xll.DBRW($B$3,O$14,Cons_Region!O$15,$M$1,Cons_Region!$H$12,Cons_Region!$C$12,$N$2,$A223,$K$1)</f>
        <v>0</v>
      </c>
      <c r="P223" s="20">
        <f>_xll.DBRW($B$3,P$14,Cons_Region!P$15,$M$1,Cons_Region!$H$12,Cons_Region!$C$12,$N$2,$A223,$K$1)</f>
        <v>0</v>
      </c>
      <c r="Q223" s="20">
        <f>_xll.DBRW($B$3,Q$14,Cons_Region!Q$15,$M$1,Cons_Region!$H$12,Cons_Region!$C$12,$N$2,$A223,$K$1)</f>
        <v>0</v>
      </c>
      <c r="R223" s="20">
        <f>_xll.DBRW($B$3,R$14,Cons_Region!R$15,$M$1,Cons_Region!$H$12,Cons_Region!$C$12,$N$2,$A223,$K$1)</f>
        <v>0</v>
      </c>
      <c r="S223" s="20">
        <f>_xll.DBRW($B$3,S$14,Cons_Region!S$15,$M$1,Cons_Region!$H$12,Cons_Region!$C$12,$N$2,$A223,$K$1)</f>
        <v>0</v>
      </c>
    </row>
    <row r="224" spans="1:19" ht="15.75" customHeight="1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1:19" ht="15.75" customHeight="1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</row>
    <row r="226" spans="1:19" ht="15.75" customHeight="1" thickBot="1">
      <c r="B226" s="18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</row>
    <row r="227" spans="1:19" ht="15.75" customHeight="1" thickTop="1">
      <c r="B227" s="27" t="s">
        <v>101</v>
      </c>
      <c r="C227" s="25"/>
      <c r="D227" s="25"/>
      <c r="E227" s="3"/>
      <c r="F227" s="2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</row>
    <row r="228" spans="1:19" ht="15.75" customHeight="1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80">
        <f>$F$12+1</f>
        <v>2027</v>
      </c>
      <c r="P228" s="80">
        <f>$F$12+2</f>
        <v>2028</v>
      </c>
      <c r="Q228" s="80">
        <f>$F$12+3</f>
        <v>2029</v>
      </c>
      <c r="R228" s="80">
        <f>$F$12+4</f>
        <v>2030</v>
      </c>
      <c r="S228" s="80">
        <f>$F$12+5</f>
        <v>2031</v>
      </c>
    </row>
    <row r="229" spans="1:19" ht="15.75" customHeight="1">
      <c r="B229" s="22"/>
      <c r="C229" s="23" t="str">
        <f t="shared" ref="C229:N229" si="18">$F$12&amp;"."&amp;C$15</f>
        <v>2026.01</v>
      </c>
      <c r="D229" s="23" t="str">
        <f t="shared" si="18"/>
        <v>2026.02</v>
      </c>
      <c r="E229" s="23" t="str">
        <f t="shared" si="18"/>
        <v>2026.03</v>
      </c>
      <c r="F229" s="23" t="str">
        <f t="shared" si="18"/>
        <v>2026.04</v>
      </c>
      <c r="G229" s="23" t="str">
        <f t="shared" si="18"/>
        <v>2026.05</v>
      </c>
      <c r="H229" s="23" t="str">
        <f t="shared" si="18"/>
        <v>2026.06</v>
      </c>
      <c r="I229" s="23" t="str">
        <f t="shared" si="18"/>
        <v>2026.07</v>
      </c>
      <c r="J229" s="23" t="str">
        <f t="shared" si="18"/>
        <v>2026.08</v>
      </c>
      <c r="K229" s="23" t="str">
        <f t="shared" si="18"/>
        <v>2026.09</v>
      </c>
      <c r="L229" s="23" t="str">
        <f t="shared" si="18"/>
        <v>2026.10</v>
      </c>
      <c r="M229" s="23" t="str">
        <f t="shared" si="18"/>
        <v>2026.11</v>
      </c>
      <c r="N229" s="23" t="str">
        <f t="shared" si="18"/>
        <v>2026.12</v>
      </c>
      <c r="O229" s="23" t="s">
        <v>304</v>
      </c>
      <c r="P229" s="23" t="s">
        <v>304</v>
      </c>
      <c r="Q229" s="23" t="s">
        <v>304</v>
      </c>
      <c r="R229" s="23" t="s">
        <v>304</v>
      </c>
      <c r="S229" s="23" t="s">
        <v>304</v>
      </c>
    </row>
    <row r="230" spans="1:19" ht="15.75" customHeight="1">
      <c r="A230" s="69" t="s">
        <v>470</v>
      </c>
      <c r="B230" s="15" t="s">
        <v>92</v>
      </c>
      <c r="C230" s="20">
        <f>_xll.DBRW($B$1,Cons_Region!$F$12,Cons_Region!C$15,$M$1,Cons_Region!$H$12,Cons_Region!$C$12,$N$1,$A230,$L$1,$K$1)</f>
        <v>0</v>
      </c>
      <c r="D230" s="20">
        <f>_xll.DBRW($B$1,Cons_Region!$F$12,Cons_Region!D$15,$M$1,Cons_Region!$H$12,Cons_Region!$C$12,$N$1,$A230,$L$1,$K$1)</f>
        <v>0</v>
      </c>
      <c r="E230" s="20">
        <f>_xll.DBRW($B$1,Cons_Region!$F$12,Cons_Region!E$15,$M$1,Cons_Region!$H$12,Cons_Region!$C$12,$N$1,$A230,$L$1,$K$1)</f>
        <v>0</v>
      </c>
      <c r="F230" s="20">
        <f>_xll.DBRW($B$1,Cons_Region!$F$12,Cons_Region!F$15,$M$1,Cons_Region!$H$12,Cons_Region!$C$12,$N$1,$A230,$L$1,$K$1)</f>
        <v>0</v>
      </c>
      <c r="G230" s="20">
        <f>_xll.DBRW($B$1,Cons_Region!$F$12,Cons_Region!G$15,$M$1,Cons_Region!$H$12,Cons_Region!$C$12,$N$1,$A230,$L$1,$K$1)</f>
        <v>0</v>
      </c>
      <c r="H230" s="20">
        <f>_xll.DBRW($B$1,Cons_Region!$F$12,Cons_Region!H$15,$M$1,Cons_Region!$H$12,Cons_Region!$C$12,$N$1,$A230,$L$1,$K$1)</f>
        <v>0</v>
      </c>
      <c r="I230" s="20">
        <f>_xll.DBRW($B$1,Cons_Region!$F$12,Cons_Region!I$15,$M$1,Cons_Region!$H$12,Cons_Region!$C$12,$N$1,$A230,$L$1,$K$1)</f>
        <v>0</v>
      </c>
      <c r="J230" s="20">
        <f>_xll.DBRW($B$1,Cons_Region!$F$12,Cons_Region!J$15,$M$1,Cons_Region!$H$12,Cons_Region!$C$12,$N$1,$A230,$L$1,$K$1)</f>
        <v>0</v>
      </c>
      <c r="K230" s="20">
        <f>_xll.DBRW($B$1,Cons_Region!$F$12,Cons_Region!K$15,$M$1,Cons_Region!$H$12,Cons_Region!$C$12,$N$1,$A230,$L$1,$K$1)</f>
        <v>0</v>
      </c>
      <c r="L230" s="20">
        <f>_xll.DBRW($B$1,Cons_Region!$F$12,Cons_Region!L$15,$M$1,Cons_Region!$H$12,Cons_Region!$C$12,$N$1,$A230,$L$1,$K$1)</f>
        <v>0</v>
      </c>
      <c r="M230" s="20">
        <f>_xll.DBRW($B$1,Cons_Region!$F$12,Cons_Region!M$15,$M$1,Cons_Region!$H$12,Cons_Region!$C$12,$N$1,$A230,$L$1,$K$1)</f>
        <v>0</v>
      </c>
      <c r="N230" s="20">
        <f>_xll.DBRW($B$1,Cons_Region!$F$12,Cons_Region!N$15,$M$1,Cons_Region!$H$12,Cons_Region!$C$12,$N$1,$A230,$L$1,$K$1)</f>
        <v>0</v>
      </c>
      <c r="O230" s="20">
        <f>_xll.DBRW($B$1,O$14,Cons_Region!O$15,$M$1,Cons_Region!$H$12,Cons_Region!$C$12,$N$1,$A230,$L$1,$K$1)</f>
        <v>0</v>
      </c>
      <c r="P230" s="20">
        <f>_xll.DBRW($B$1,P$14,Cons_Region!P$15,$M$1,Cons_Region!$H$12,Cons_Region!$C$12,$N$1,$A230,$L$1,$K$1)</f>
        <v>0</v>
      </c>
      <c r="Q230" s="20">
        <f>_xll.DBRW($B$1,Q$14,Cons_Region!Q$15,$M$1,Cons_Region!$H$12,Cons_Region!$C$12,$N$1,$A230,$L$1,$K$1)</f>
        <v>0</v>
      </c>
      <c r="R230" s="20">
        <f>_xll.DBRW($B$1,R$14,Cons_Region!R$15,$M$1,Cons_Region!$H$12,Cons_Region!$C$12,$N$1,$A230,$L$1,$K$1)</f>
        <v>0</v>
      </c>
      <c r="S230" s="20">
        <f>_xll.DBRW($B$1,S$14,Cons_Region!S$15,$M$1,Cons_Region!$H$12,Cons_Region!$C$12,$N$1,$A230,$L$1,$K$1)</f>
        <v>0</v>
      </c>
    </row>
    <row r="231" spans="1:19" ht="15.75" customHeight="1">
      <c r="A231" s="69" t="s">
        <v>475</v>
      </c>
      <c r="B231" s="13" t="s">
        <v>102</v>
      </c>
      <c r="C231" s="12">
        <f>_xll.DBRW($B$1,Cons_Region!$F$12,Cons_Region!C$15,$M$1,Cons_Region!$H$12,Cons_Region!$C$12,$N$1,$A231,$L$1,$K$1)</f>
        <v>0</v>
      </c>
      <c r="D231" s="12">
        <f>_xll.DBRW($B$1,Cons_Region!$F$12,Cons_Region!D$15,$M$1,Cons_Region!$H$12,Cons_Region!$C$12,$N$1,$A231,$L$1,$K$1)</f>
        <v>0</v>
      </c>
      <c r="E231" s="12">
        <f>_xll.DBRW($B$1,Cons_Region!$F$12,Cons_Region!E$15,$M$1,Cons_Region!$H$12,Cons_Region!$C$12,$N$1,$A231,$L$1,$K$1)</f>
        <v>0</v>
      </c>
      <c r="F231" s="12">
        <f>_xll.DBRW($B$1,Cons_Region!$F$12,Cons_Region!F$15,$M$1,Cons_Region!$H$12,Cons_Region!$C$12,$N$1,$A231,$L$1,$K$1)</f>
        <v>0</v>
      </c>
      <c r="G231" s="12">
        <f>_xll.DBRW($B$1,Cons_Region!$F$12,Cons_Region!G$15,$M$1,Cons_Region!$H$12,Cons_Region!$C$12,$N$1,$A231,$L$1,$K$1)</f>
        <v>0</v>
      </c>
      <c r="H231" s="12">
        <f>_xll.DBRW($B$1,Cons_Region!$F$12,Cons_Region!H$15,$M$1,Cons_Region!$H$12,Cons_Region!$C$12,$N$1,$A231,$L$1,$K$1)</f>
        <v>0</v>
      </c>
      <c r="I231" s="12">
        <f>_xll.DBRW($B$1,Cons_Region!$F$12,Cons_Region!I$15,$M$1,Cons_Region!$H$12,Cons_Region!$C$12,$N$1,$A231,$L$1,$K$1)</f>
        <v>0</v>
      </c>
      <c r="J231" s="12">
        <f>_xll.DBRW($B$1,Cons_Region!$F$12,Cons_Region!J$15,$M$1,Cons_Region!$H$12,Cons_Region!$C$12,$N$1,$A231,$L$1,$K$1)</f>
        <v>0</v>
      </c>
      <c r="K231" s="12">
        <f>_xll.DBRW($B$1,Cons_Region!$F$12,Cons_Region!K$15,$M$1,Cons_Region!$H$12,Cons_Region!$C$12,$N$1,$A231,$L$1,$K$1)</f>
        <v>0</v>
      </c>
      <c r="L231" s="12">
        <f>_xll.DBRW($B$1,Cons_Region!$F$12,Cons_Region!L$15,$M$1,Cons_Region!$H$12,Cons_Region!$C$12,$N$1,$A231,$L$1,$K$1)</f>
        <v>0</v>
      </c>
      <c r="M231" s="12">
        <f>_xll.DBRW($B$1,Cons_Region!$F$12,Cons_Region!M$15,$M$1,Cons_Region!$H$12,Cons_Region!$C$12,$N$1,$A231,$L$1,$K$1)</f>
        <v>0</v>
      </c>
      <c r="N231" s="12">
        <f>_xll.DBRW($B$1,Cons_Region!$F$12,Cons_Region!N$15,$M$1,Cons_Region!$H$12,Cons_Region!$C$12,$N$1,$A231,$L$1,$K$1)</f>
        <v>0</v>
      </c>
      <c r="O231" s="12">
        <f>_xll.DBRW($B$1,O$14,Cons_Region!O$15,$M$1,Cons_Region!$H$12,Cons_Region!$C$12,$N$1,$A231,$L$1,$K$1)</f>
        <v>0</v>
      </c>
      <c r="P231" s="12">
        <f>_xll.DBRW($B$1,P$14,Cons_Region!P$15,$M$1,Cons_Region!$H$12,Cons_Region!$C$12,$N$1,$A231,$L$1,$K$1)</f>
        <v>0</v>
      </c>
      <c r="Q231" s="12">
        <f>_xll.DBRW($B$1,Q$14,Cons_Region!Q$15,$M$1,Cons_Region!$H$12,Cons_Region!$C$12,$N$1,$A231,$L$1,$K$1)</f>
        <v>0</v>
      </c>
      <c r="R231" s="12">
        <f>_xll.DBRW($B$1,R$14,Cons_Region!R$15,$M$1,Cons_Region!$H$12,Cons_Region!$C$12,$N$1,$A231,$L$1,$K$1)</f>
        <v>0</v>
      </c>
      <c r="S231" s="12">
        <f>_xll.DBRW($B$1,S$14,Cons_Region!S$15,$M$1,Cons_Region!$H$12,Cons_Region!$C$12,$N$1,$A231,$L$1,$K$1)</f>
        <v>0</v>
      </c>
    </row>
    <row r="232" spans="1:19" ht="15.75" customHeight="1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</row>
    <row r="233" spans="1:19" ht="15.75" customHeight="1" thickBot="1">
      <c r="B233" s="18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</row>
    <row r="234" spans="1:19" ht="21" thickTop="1">
      <c r="B234" s="27" t="s">
        <v>103</v>
      </c>
      <c r="C234" s="25"/>
      <c r="D234" s="14"/>
      <c r="E234" s="14"/>
      <c r="F234" s="2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spans="1:19" ht="15.75" customHeight="1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80">
        <f>$F$12+1</f>
        <v>2027</v>
      </c>
      <c r="P235" s="80">
        <f>$F$12+2</f>
        <v>2028</v>
      </c>
      <c r="Q235" s="80">
        <f>$F$12+3</f>
        <v>2029</v>
      </c>
      <c r="R235" s="80">
        <f>$F$12+4</f>
        <v>2030</v>
      </c>
      <c r="S235" s="80">
        <f>$F$12+5</f>
        <v>2031</v>
      </c>
    </row>
    <row r="236" spans="1:19" ht="15.75" customHeight="1">
      <c r="B236" s="22"/>
      <c r="C236" s="23" t="str">
        <f t="shared" ref="C236:N236" si="19">$F$12&amp;"."&amp;C$15</f>
        <v>2026.01</v>
      </c>
      <c r="D236" s="23" t="str">
        <f t="shared" si="19"/>
        <v>2026.02</v>
      </c>
      <c r="E236" s="23" t="str">
        <f t="shared" si="19"/>
        <v>2026.03</v>
      </c>
      <c r="F236" s="23" t="str">
        <f t="shared" si="19"/>
        <v>2026.04</v>
      </c>
      <c r="G236" s="23" t="str">
        <f t="shared" si="19"/>
        <v>2026.05</v>
      </c>
      <c r="H236" s="23" t="str">
        <f t="shared" si="19"/>
        <v>2026.06</v>
      </c>
      <c r="I236" s="23" t="str">
        <f t="shared" si="19"/>
        <v>2026.07</v>
      </c>
      <c r="J236" s="23" t="str">
        <f t="shared" si="19"/>
        <v>2026.08</v>
      </c>
      <c r="K236" s="23" t="str">
        <f t="shared" si="19"/>
        <v>2026.09</v>
      </c>
      <c r="L236" s="23" t="str">
        <f t="shared" si="19"/>
        <v>2026.10</v>
      </c>
      <c r="M236" s="23" t="str">
        <f t="shared" si="19"/>
        <v>2026.11</v>
      </c>
      <c r="N236" s="23" t="str">
        <f t="shared" si="19"/>
        <v>2026.12</v>
      </c>
      <c r="O236" s="23" t="s">
        <v>304</v>
      </c>
      <c r="P236" s="23" t="s">
        <v>304</v>
      </c>
      <c r="Q236" s="23" t="s">
        <v>304</v>
      </c>
      <c r="R236" s="23" t="s">
        <v>304</v>
      </c>
      <c r="S236" s="23" t="s">
        <v>304</v>
      </c>
    </row>
    <row r="237" spans="1:19" ht="15.75" customHeight="1">
      <c r="A237" s="69" t="s">
        <v>476</v>
      </c>
      <c r="B237" s="13" t="s">
        <v>104</v>
      </c>
      <c r="C237" s="12">
        <f>_xll.DBRW($B$1,Cons_Region!$F$12,Cons_Region!C$15,$M$1,Cons_Region!$H$12,Cons_Region!$C$12,$N$1,$A237,$L$1,$K$1)</f>
        <v>0</v>
      </c>
      <c r="D237" s="12">
        <f>_xll.DBRW($B$1,Cons_Region!$F$12,Cons_Region!D$15,$M$1,Cons_Region!$H$12,Cons_Region!$C$12,$N$1,$A237,$L$1,$K$1)</f>
        <v>0</v>
      </c>
      <c r="E237" s="12">
        <f>_xll.DBRW($B$1,Cons_Region!$F$12,Cons_Region!E$15,$M$1,Cons_Region!$H$12,Cons_Region!$C$12,$N$1,$A237,$L$1,$K$1)</f>
        <v>0</v>
      </c>
      <c r="F237" s="12">
        <f>_xll.DBRW($B$1,Cons_Region!$F$12,Cons_Region!F$15,$M$1,Cons_Region!$H$12,Cons_Region!$C$12,$N$1,$A237,$L$1,$K$1)</f>
        <v>0</v>
      </c>
      <c r="G237" s="12">
        <f>_xll.DBRW($B$1,Cons_Region!$F$12,Cons_Region!G$15,$M$1,Cons_Region!$H$12,Cons_Region!$C$12,$N$1,$A237,$L$1,$K$1)</f>
        <v>0</v>
      </c>
      <c r="H237" s="12">
        <f>_xll.DBRW($B$1,Cons_Region!$F$12,Cons_Region!H$15,$M$1,Cons_Region!$H$12,Cons_Region!$C$12,$N$1,$A237,$L$1,$K$1)</f>
        <v>0</v>
      </c>
      <c r="I237" s="12">
        <f>_xll.DBRW($B$1,Cons_Region!$F$12,Cons_Region!I$15,$M$1,Cons_Region!$H$12,Cons_Region!$C$12,$N$1,$A237,$L$1,$K$1)</f>
        <v>0</v>
      </c>
      <c r="J237" s="12">
        <f>_xll.DBRW($B$1,Cons_Region!$F$12,Cons_Region!J$15,$M$1,Cons_Region!$H$12,Cons_Region!$C$12,$N$1,$A237,$L$1,$K$1)</f>
        <v>0</v>
      </c>
      <c r="K237" s="12">
        <f>_xll.DBRW($B$1,Cons_Region!$F$12,Cons_Region!K$15,$M$1,Cons_Region!$H$12,Cons_Region!$C$12,$N$1,$A237,$L$1,$K$1)</f>
        <v>0</v>
      </c>
      <c r="L237" s="12">
        <f>_xll.DBRW($B$1,Cons_Region!$F$12,Cons_Region!L$15,$M$1,Cons_Region!$H$12,Cons_Region!$C$12,$N$1,$A237,$L$1,$K$1)</f>
        <v>0</v>
      </c>
      <c r="M237" s="12">
        <f>_xll.DBRW($B$1,Cons_Region!$F$12,Cons_Region!M$15,$M$1,Cons_Region!$H$12,Cons_Region!$C$12,$N$1,$A237,$L$1,$K$1)</f>
        <v>0</v>
      </c>
      <c r="N237" s="12">
        <f>_xll.DBRW($B$1,Cons_Region!$F$12,Cons_Region!N$15,$M$1,Cons_Region!$H$12,Cons_Region!$C$12,$N$1,$A237,$L$1,$K$1)</f>
        <v>0</v>
      </c>
      <c r="O237" s="12">
        <f>_xll.DBRW($B$1,O$14,Cons_Region!O$15,$M$1,Cons_Region!$H$12,Cons_Region!$C$12,$N$1,$A237,$L$1,$K$1)</f>
        <v>0</v>
      </c>
      <c r="P237" s="12">
        <f>_xll.DBRW($B$1,P$14,Cons_Region!P$15,$M$1,Cons_Region!$H$12,Cons_Region!$C$12,$N$1,$A237,$L$1,$K$1)</f>
        <v>0</v>
      </c>
      <c r="Q237" s="12">
        <f>_xll.DBRW($B$1,Q$14,Cons_Region!Q$15,$M$1,Cons_Region!$H$12,Cons_Region!$C$12,$N$1,$A237,$L$1,$K$1)</f>
        <v>0</v>
      </c>
      <c r="R237" s="12">
        <f>_xll.DBRW($B$1,R$14,Cons_Region!R$15,$M$1,Cons_Region!$H$12,Cons_Region!$C$12,$N$1,$A237,$L$1,$K$1)</f>
        <v>0</v>
      </c>
      <c r="S237" s="12">
        <f>_xll.DBRW($B$1,S$14,Cons_Region!S$15,$M$1,Cons_Region!$H$12,Cons_Region!$C$12,$N$1,$A237,$L$1,$K$1)</f>
        <v>0</v>
      </c>
    </row>
    <row r="238" spans="1:19" ht="15.75" customHeight="1">
      <c r="A238" s="69" t="s">
        <v>480</v>
      </c>
      <c r="B238" s="15" t="s">
        <v>93</v>
      </c>
      <c r="C238" s="20">
        <f>_xll.DBRW($B$1,Cons_Region!$F$12,Cons_Region!C$15,$M$1,Cons_Region!$H$12,Cons_Region!$C$12,$N$1,$A238,$L$1,$K$1)</f>
        <v>0</v>
      </c>
      <c r="D238" s="20">
        <f>_xll.DBRW($B$1,Cons_Region!$F$12,Cons_Region!D$15,$M$1,Cons_Region!$H$12,Cons_Region!$C$12,$N$1,$A238,$L$1,$K$1)</f>
        <v>0</v>
      </c>
      <c r="E238" s="20">
        <f>_xll.DBRW($B$1,Cons_Region!$F$12,Cons_Region!E$15,$M$1,Cons_Region!$H$12,Cons_Region!$C$12,$N$1,$A238,$L$1,$K$1)</f>
        <v>0</v>
      </c>
      <c r="F238" s="20">
        <f>_xll.DBRW($B$1,Cons_Region!$F$12,Cons_Region!F$15,$M$1,Cons_Region!$H$12,Cons_Region!$C$12,$N$1,$A238,$L$1,$K$1)</f>
        <v>0</v>
      </c>
      <c r="G238" s="20">
        <f>_xll.DBRW($B$1,Cons_Region!$F$12,Cons_Region!G$15,$M$1,Cons_Region!$H$12,Cons_Region!$C$12,$N$1,$A238,$L$1,$K$1)</f>
        <v>0</v>
      </c>
      <c r="H238" s="20">
        <f>_xll.DBRW($B$1,Cons_Region!$F$12,Cons_Region!H$15,$M$1,Cons_Region!$H$12,Cons_Region!$C$12,$N$1,$A238,$L$1,$K$1)</f>
        <v>0</v>
      </c>
      <c r="I238" s="20">
        <f>_xll.DBRW($B$1,Cons_Region!$F$12,Cons_Region!I$15,$M$1,Cons_Region!$H$12,Cons_Region!$C$12,$N$1,$A238,$L$1,$K$1)</f>
        <v>0</v>
      </c>
      <c r="J238" s="20">
        <f>_xll.DBRW($B$1,Cons_Region!$F$12,Cons_Region!J$15,$M$1,Cons_Region!$H$12,Cons_Region!$C$12,$N$1,$A238,$L$1,$K$1)</f>
        <v>0</v>
      </c>
      <c r="K238" s="20">
        <f>_xll.DBRW($B$1,Cons_Region!$F$12,Cons_Region!K$15,$M$1,Cons_Region!$H$12,Cons_Region!$C$12,$N$1,$A238,$L$1,$K$1)</f>
        <v>0</v>
      </c>
      <c r="L238" s="20">
        <f>_xll.DBRW($B$1,Cons_Region!$F$12,Cons_Region!L$15,$M$1,Cons_Region!$H$12,Cons_Region!$C$12,$N$1,$A238,$L$1,$K$1)</f>
        <v>0</v>
      </c>
      <c r="M238" s="20">
        <f>_xll.DBRW($B$1,Cons_Region!$F$12,Cons_Region!M$15,$M$1,Cons_Region!$H$12,Cons_Region!$C$12,$N$1,$A238,$L$1,$K$1)</f>
        <v>0</v>
      </c>
      <c r="N238" s="20">
        <f>_xll.DBRW($B$1,Cons_Region!$F$12,Cons_Region!N$15,$M$1,Cons_Region!$H$12,Cons_Region!$C$12,$N$1,$A238,$L$1,$K$1)</f>
        <v>0</v>
      </c>
      <c r="O238" s="20">
        <f>_xll.DBRW($B$1,O$14,Cons_Region!O$15,$M$1,Cons_Region!$H$12,Cons_Region!$C$12,$N$1,$A238,$L$1,$K$1)</f>
        <v>0</v>
      </c>
      <c r="P238" s="20">
        <f>_xll.DBRW($B$1,P$14,Cons_Region!P$15,$M$1,Cons_Region!$H$12,Cons_Region!$C$12,$N$1,$A238,$L$1,$K$1)</f>
        <v>0</v>
      </c>
      <c r="Q238" s="20">
        <f>_xll.DBRW($B$1,Q$14,Cons_Region!Q$15,$M$1,Cons_Region!$H$12,Cons_Region!$C$12,$N$1,$A238,$L$1,$K$1)</f>
        <v>0</v>
      </c>
      <c r="R238" s="20">
        <f>_xll.DBRW($B$1,R$14,Cons_Region!R$15,$M$1,Cons_Region!$H$12,Cons_Region!$C$12,$N$1,$A238,$L$1,$K$1)</f>
        <v>0</v>
      </c>
      <c r="S238" s="20">
        <f>_xll.DBRW($B$1,S$14,Cons_Region!S$15,$M$1,Cons_Region!$H$12,Cons_Region!$C$12,$N$1,$A238,$L$1,$K$1)</f>
        <v>0</v>
      </c>
    </row>
    <row r="239" spans="1:19" ht="15.75" customHeight="1">
      <c r="A239" s="69" t="s">
        <v>479</v>
      </c>
      <c r="B239" s="15" t="s">
        <v>105</v>
      </c>
      <c r="C239" s="20">
        <f>_xll.DBRW($D$1,Cons_Region!$F$12,Cons_Region!C$15,$M$1,Cons_Region!$H$12,Cons_Region!$C$12,$A239,$K$1)</f>
        <v>0</v>
      </c>
      <c r="D239" s="20">
        <f>_xll.DBRW($D$1,Cons_Region!$F$12,Cons_Region!D$15,$M$1,Cons_Region!$H$12,Cons_Region!$C$12,$A239,$K$1)</f>
        <v>0</v>
      </c>
      <c r="E239" s="20">
        <f>_xll.DBRW($D$1,Cons_Region!$F$12,Cons_Region!E$15,$M$1,Cons_Region!$H$12,Cons_Region!$C$12,$A239,$K$1)</f>
        <v>0</v>
      </c>
      <c r="F239" s="20">
        <f>_xll.DBRW($D$1,Cons_Region!$F$12,Cons_Region!F$15,$M$1,Cons_Region!$H$12,Cons_Region!$C$12,$A239,$K$1)</f>
        <v>0</v>
      </c>
      <c r="G239" s="20">
        <f>_xll.DBRW($D$1,Cons_Region!$F$12,Cons_Region!G$15,$M$1,Cons_Region!$H$12,Cons_Region!$C$12,$A239,$K$1)</f>
        <v>0</v>
      </c>
      <c r="H239" s="20">
        <f>_xll.DBRW($D$1,Cons_Region!$F$12,Cons_Region!H$15,$M$1,Cons_Region!$H$12,Cons_Region!$C$12,$A239,$K$1)</f>
        <v>0</v>
      </c>
      <c r="I239" s="20">
        <f>_xll.DBRW($D$1,Cons_Region!$F$12,Cons_Region!I$15,$M$1,Cons_Region!$H$12,Cons_Region!$C$12,$A239,$K$1)</f>
        <v>0</v>
      </c>
      <c r="J239" s="20">
        <f>_xll.DBRW($D$1,Cons_Region!$F$12,Cons_Region!J$15,$M$1,Cons_Region!$H$12,Cons_Region!$C$12,$A239,$K$1)</f>
        <v>0</v>
      </c>
      <c r="K239" s="20">
        <f>_xll.DBRW($D$1,Cons_Region!$F$12,Cons_Region!K$15,$M$1,Cons_Region!$H$12,Cons_Region!$C$12,$A239,$K$1)</f>
        <v>0</v>
      </c>
      <c r="L239" s="20">
        <f>_xll.DBRW($D$1,Cons_Region!$F$12,Cons_Region!L$15,$M$1,Cons_Region!$H$12,Cons_Region!$C$12,$A239,$K$1)</f>
        <v>0</v>
      </c>
      <c r="M239" s="20">
        <f>_xll.DBRW($D$1,Cons_Region!$F$12,Cons_Region!M$15,$M$1,Cons_Region!$H$12,Cons_Region!$C$12,$A239,$K$1)</f>
        <v>0</v>
      </c>
      <c r="N239" s="20">
        <f>_xll.DBRW($D$1,Cons_Region!$F$12,Cons_Region!N$15,$M$1,Cons_Region!$H$12,Cons_Region!$C$12,$A239,$K$1)</f>
        <v>0</v>
      </c>
      <c r="O239" s="20">
        <f>_xll.DBRW($D$1,O$14,Cons_Region!O$15,$M$1,Cons_Region!$H$12,Cons_Region!$C$12,$A239,$K$1)</f>
        <v>0</v>
      </c>
      <c r="P239" s="20">
        <f>_xll.DBRW($D$1,P$14,Cons_Region!P$15,$M$1,Cons_Region!$H$12,Cons_Region!$C$12,$A239,$K$1)</f>
        <v>0</v>
      </c>
      <c r="Q239" s="20">
        <f>_xll.DBRW($D$1,Q$14,Cons_Region!Q$15,$M$1,Cons_Region!$H$12,Cons_Region!$C$12,$A239,$K$1)</f>
        <v>0</v>
      </c>
      <c r="R239" s="20">
        <f>_xll.DBRW($D$1,R$14,Cons_Region!R$15,$M$1,Cons_Region!$H$12,Cons_Region!$C$12,$A239,$K$1)</f>
        <v>0</v>
      </c>
      <c r="S239" s="20">
        <f>_xll.DBRW($D$1,S$14,Cons_Region!S$15,$M$1,Cons_Region!$H$12,Cons_Region!$C$12,$A239,$K$1)</f>
        <v>0</v>
      </c>
    </row>
    <row r="240" spans="1:19" ht="15.75" customHeight="1">
      <c r="A240" s="69" t="s">
        <v>477</v>
      </c>
      <c r="B240" s="13" t="s">
        <v>106</v>
      </c>
      <c r="C240" s="12">
        <f>_xll.DBRW($B$1,Cons_Region!$F$12,Cons_Region!C$15,$M$1,Cons_Region!$H$12,Cons_Region!$C$12,$N$1,$A240,$L$1,$K$1)</f>
        <v>0</v>
      </c>
      <c r="D240" s="12">
        <f>_xll.DBRW($B$1,Cons_Region!$F$12,Cons_Region!D$15,$M$1,Cons_Region!$H$12,Cons_Region!$C$12,$N$1,$A240,$L$1,$K$1)</f>
        <v>0</v>
      </c>
      <c r="E240" s="12">
        <f>_xll.DBRW($B$1,Cons_Region!$F$12,Cons_Region!E$15,$M$1,Cons_Region!$H$12,Cons_Region!$C$12,$N$1,$A240,$L$1,$K$1)</f>
        <v>0</v>
      </c>
      <c r="F240" s="12">
        <f>_xll.DBRW($B$1,Cons_Region!$F$12,Cons_Region!F$15,$M$1,Cons_Region!$H$12,Cons_Region!$C$12,$N$1,$A240,$L$1,$K$1)</f>
        <v>0</v>
      </c>
      <c r="G240" s="12">
        <f>_xll.DBRW($B$1,Cons_Region!$F$12,Cons_Region!G$15,$M$1,Cons_Region!$H$12,Cons_Region!$C$12,$N$1,$A240,$L$1,$K$1)</f>
        <v>0</v>
      </c>
      <c r="H240" s="12">
        <f>_xll.DBRW($B$1,Cons_Region!$F$12,Cons_Region!H$15,$M$1,Cons_Region!$H$12,Cons_Region!$C$12,$N$1,$A240,$L$1,$K$1)</f>
        <v>0</v>
      </c>
      <c r="I240" s="12">
        <f>_xll.DBRW($B$1,Cons_Region!$F$12,Cons_Region!I$15,$M$1,Cons_Region!$H$12,Cons_Region!$C$12,$N$1,$A240,$L$1,$K$1)</f>
        <v>0</v>
      </c>
      <c r="J240" s="12">
        <f>_xll.DBRW($B$1,Cons_Region!$F$12,Cons_Region!J$15,$M$1,Cons_Region!$H$12,Cons_Region!$C$12,$N$1,$A240,$L$1,$K$1)</f>
        <v>0</v>
      </c>
      <c r="K240" s="12">
        <f>_xll.DBRW($B$1,Cons_Region!$F$12,Cons_Region!K$15,$M$1,Cons_Region!$H$12,Cons_Region!$C$12,$N$1,$A240,$L$1,$K$1)</f>
        <v>0</v>
      </c>
      <c r="L240" s="12">
        <f>_xll.DBRW($B$1,Cons_Region!$F$12,Cons_Region!L$15,$M$1,Cons_Region!$H$12,Cons_Region!$C$12,$N$1,$A240,$L$1,$K$1)</f>
        <v>0</v>
      </c>
      <c r="M240" s="12">
        <f>_xll.DBRW($B$1,Cons_Region!$F$12,Cons_Region!M$15,$M$1,Cons_Region!$H$12,Cons_Region!$C$12,$N$1,$A240,$L$1,$K$1)</f>
        <v>0</v>
      </c>
      <c r="N240" s="12">
        <f>_xll.DBRW($B$1,Cons_Region!$F$12,Cons_Region!N$15,$M$1,Cons_Region!$H$12,Cons_Region!$C$12,$N$1,$A240,$L$1,$K$1)</f>
        <v>0</v>
      </c>
      <c r="O240" s="12">
        <f>_xll.DBRW($B$1,O$14,Cons_Region!O$15,$M$1,Cons_Region!$H$12,Cons_Region!$C$12,$N$1,$A240,$L$1,$K$1)</f>
        <v>0</v>
      </c>
      <c r="P240" s="12">
        <f>_xll.DBRW($B$1,P$14,Cons_Region!P$15,$M$1,Cons_Region!$H$12,Cons_Region!$C$12,$N$1,$A240,$L$1,$K$1)</f>
        <v>0</v>
      </c>
      <c r="Q240" s="12">
        <f>_xll.DBRW($B$1,Q$14,Cons_Region!Q$15,$M$1,Cons_Region!$H$12,Cons_Region!$C$12,$N$1,$A240,$L$1,$K$1)</f>
        <v>0</v>
      </c>
      <c r="R240" s="12">
        <f>_xll.DBRW($B$1,R$14,Cons_Region!R$15,$M$1,Cons_Region!$H$12,Cons_Region!$C$12,$N$1,$A240,$L$1,$K$1)</f>
        <v>0</v>
      </c>
      <c r="S240" s="12">
        <f>_xll.DBRW($B$1,S$14,Cons_Region!S$15,$M$1,Cons_Region!$H$12,Cons_Region!$C$12,$N$1,$A240,$L$1,$K$1)</f>
        <v>0</v>
      </c>
    </row>
    <row r="241" spans="1:19" ht="15.75" customHeight="1">
      <c r="A241" s="69" t="s">
        <v>478</v>
      </c>
      <c r="B241" s="13" t="s">
        <v>99</v>
      </c>
      <c r="C241" s="12">
        <f>_xll.DBRW($B$1,Cons_Region!$F$12,Cons_Region!C$15,$M$1,Cons_Region!$H$12,Cons_Region!$C$12,$N$1,$A241,$L$1,$K$1)</f>
        <v>0</v>
      </c>
      <c r="D241" s="12">
        <f>_xll.DBRW($B$1,Cons_Region!$F$12,Cons_Region!D$15,$M$1,Cons_Region!$H$12,Cons_Region!$C$12,$N$1,$A241,$L$1,$K$1)</f>
        <v>0</v>
      </c>
      <c r="E241" s="12">
        <f>_xll.DBRW($B$1,Cons_Region!$F$12,Cons_Region!E$15,$M$1,Cons_Region!$H$12,Cons_Region!$C$12,$N$1,$A241,$L$1,$K$1)</f>
        <v>0</v>
      </c>
      <c r="F241" s="12">
        <f>_xll.DBRW($B$1,Cons_Region!$F$12,Cons_Region!F$15,$M$1,Cons_Region!$H$12,Cons_Region!$C$12,$N$1,$A241,$L$1,$K$1)</f>
        <v>0</v>
      </c>
      <c r="G241" s="12">
        <f>_xll.DBRW($B$1,Cons_Region!$F$12,Cons_Region!G$15,$M$1,Cons_Region!$H$12,Cons_Region!$C$12,$N$1,$A241,$L$1,$K$1)</f>
        <v>0</v>
      </c>
      <c r="H241" s="12">
        <f>_xll.DBRW($B$1,Cons_Region!$F$12,Cons_Region!H$15,$M$1,Cons_Region!$H$12,Cons_Region!$C$12,$N$1,$A241,$L$1,$K$1)</f>
        <v>0</v>
      </c>
      <c r="I241" s="12">
        <f>_xll.DBRW($B$1,Cons_Region!$F$12,Cons_Region!I$15,$M$1,Cons_Region!$H$12,Cons_Region!$C$12,$N$1,$A241,$L$1,$K$1)</f>
        <v>0</v>
      </c>
      <c r="J241" s="12">
        <f>_xll.DBRW($B$1,Cons_Region!$F$12,Cons_Region!J$15,$M$1,Cons_Region!$H$12,Cons_Region!$C$12,$N$1,$A241,$L$1,$K$1)</f>
        <v>0</v>
      </c>
      <c r="K241" s="12">
        <f>_xll.DBRW($B$1,Cons_Region!$F$12,Cons_Region!K$15,$M$1,Cons_Region!$H$12,Cons_Region!$C$12,$N$1,$A241,$L$1,$K$1)</f>
        <v>0</v>
      </c>
      <c r="L241" s="12">
        <f>_xll.DBRW($B$1,Cons_Region!$F$12,Cons_Region!L$15,$M$1,Cons_Region!$H$12,Cons_Region!$C$12,$N$1,$A241,$L$1,$K$1)</f>
        <v>0</v>
      </c>
      <c r="M241" s="12">
        <f>_xll.DBRW($B$1,Cons_Region!$F$12,Cons_Region!M$15,$M$1,Cons_Region!$H$12,Cons_Region!$C$12,$N$1,$A241,$L$1,$K$1)</f>
        <v>0</v>
      </c>
      <c r="N241" s="12">
        <f>_xll.DBRW($B$1,Cons_Region!$F$12,Cons_Region!N$15,$M$1,Cons_Region!$H$12,Cons_Region!$C$12,$N$1,$A241,$L$1,$K$1)</f>
        <v>0</v>
      </c>
      <c r="O241" s="12">
        <f>_xll.DBRW($B$1,O$14,Cons_Region!O$15,$M$1,Cons_Region!$H$12,Cons_Region!$C$12,$N$1,$A241,$L$1,$K$1)</f>
        <v>0</v>
      </c>
      <c r="P241" s="12">
        <f>_xll.DBRW($B$1,P$14,Cons_Region!P$15,$M$1,Cons_Region!$H$12,Cons_Region!$C$12,$N$1,$A241,$L$1,$K$1)</f>
        <v>0</v>
      </c>
      <c r="Q241" s="12">
        <f>_xll.DBRW($B$1,Q$14,Cons_Region!Q$15,$M$1,Cons_Region!$H$12,Cons_Region!$C$12,$N$1,$A241,$L$1,$K$1)</f>
        <v>0</v>
      </c>
      <c r="R241" s="12">
        <f>_xll.DBRW($B$1,R$14,Cons_Region!R$15,$M$1,Cons_Region!$H$12,Cons_Region!$C$12,$N$1,$A241,$L$1,$K$1)</f>
        <v>0</v>
      </c>
      <c r="S241" s="12">
        <f>_xll.DBRW($B$1,S$14,Cons_Region!S$15,$M$1,Cons_Region!$H$12,Cons_Region!$C$12,$N$1,$A241,$L$1,$K$1)</f>
        <v>0</v>
      </c>
    </row>
    <row r="242" spans="1:19" ht="15.75" customHeight="1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</row>
    <row r="243" spans="1:19" ht="15.75" customHeight="1" thickBot="1">
      <c r="B243" s="18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</row>
    <row r="244" spans="1:19" ht="21" thickTop="1">
      <c r="B244" s="27" t="s">
        <v>107</v>
      </c>
      <c r="C244" s="25"/>
      <c r="D244" s="25"/>
      <c r="E244" s="25"/>
      <c r="F244" s="2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</row>
    <row r="245" spans="1:19" ht="15.75" customHeight="1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80">
        <f>$F$12+1</f>
        <v>2027</v>
      </c>
      <c r="P245" s="80">
        <f>$F$12+2</f>
        <v>2028</v>
      </c>
      <c r="Q245" s="80">
        <f>$F$12+3</f>
        <v>2029</v>
      </c>
      <c r="R245" s="80">
        <f>$F$12+4</f>
        <v>2030</v>
      </c>
      <c r="S245" s="80">
        <f>$F$12+5</f>
        <v>2031</v>
      </c>
    </row>
    <row r="246" spans="1:19" ht="15.75" customHeight="1">
      <c r="B246" s="22"/>
      <c r="C246" s="23" t="str">
        <f t="shared" ref="C246:N246" si="20">$F$12&amp;"."&amp;C$15</f>
        <v>2026.01</v>
      </c>
      <c r="D246" s="23" t="str">
        <f t="shared" si="20"/>
        <v>2026.02</v>
      </c>
      <c r="E246" s="23" t="str">
        <f t="shared" si="20"/>
        <v>2026.03</v>
      </c>
      <c r="F246" s="23" t="str">
        <f t="shared" si="20"/>
        <v>2026.04</v>
      </c>
      <c r="G246" s="23" t="str">
        <f t="shared" si="20"/>
        <v>2026.05</v>
      </c>
      <c r="H246" s="23" t="str">
        <f t="shared" si="20"/>
        <v>2026.06</v>
      </c>
      <c r="I246" s="23" t="str">
        <f t="shared" si="20"/>
        <v>2026.07</v>
      </c>
      <c r="J246" s="23" t="str">
        <f t="shared" si="20"/>
        <v>2026.08</v>
      </c>
      <c r="K246" s="23" t="str">
        <f t="shared" si="20"/>
        <v>2026.09</v>
      </c>
      <c r="L246" s="23" t="str">
        <f t="shared" si="20"/>
        <v>2026.10</v>
      </c>
      <c r="M246" s="23" t="str">
        <f t="shared" si="20"/>
        <v>2026.11</v>
      </c>
      <c r="N246" s="23" t="str">
        <f t="shared" si="20"/>
        <v>2026.12</v>
      </c>
      <c r="O246" s="23" t="s">
        <v>304</v>
      </c>
      <c r="P246" s="23" t="s">
        <v>304</v>
      </c>
      <c r="Q246" s="23" t="s">
        <v>304</v>
      </c>
      <c r="R246" s="23" t="s">
        <v>304</v>
      </c>
      <c r="S246" s="23" t="s">
        <v>304</v>
      </c>
    </row>
    <row r="247" spans="1:19" ht="15.75" customHeight="1">
      <c r="A247" s="69" t="s">
        <v>481</v>
      </c>
      <c r="B247" s="13" t="s">
        <v>108</v>
      </c>
      <c r="C247" s="12">
        <f>_xll.DBRW($B$1,Cons_Region!$F$12,Cons_Region!C$15,$M$1,Cons_Region!$H$12,Cons_Region!$C$12,$N$1,$A247,$L$1,$K$1)</f>
        <v>0</v>
      </c>
      <c r="D247" s="12">
        <f>_xll.DBRW($B$1,Cons_Region!$F$12,Cons_Region!D$15,$M$1,Cons_Region!$H$12,Cons_Region!$C$12,$N$1,$A247,$L$1,$K$1)</f>
        <v>0</v>
      </c>
      <c r="E247" s="12">
        <f>_xll.DBRW($B$1,Cons_Region!$F$12,Cons_Region!E$15,$M$1,Cons_Region!$H$12,Cons_Region!$C$12,$N$1,$A247,$L$1,$K$1)</f>
        <v>0</v>
      </c>
      <c r="F247" s="12">
        <f>_xll.DBRW($B$1,Cons_Region!$F$12,Cons_Region!F$15,$M$1,Cons_Region!$H$12,Cons_Region!$C$12,$N$1,$A247,$L$1,$K$1)</f>
        <v>0</v>
      </c>
      <c r="G247" s="12">
        <f>_xll.DBRW($B$1,Cons_Region!$F$12,Cons_Region!G$15,$M$1,Cons_Region!$H$12,Cons_Region!$C$12,$N$1,$A247,$L$1,$K$1)</f>
        <v>0</v>
      </c>
      <c r="H247" s="12">
        <f>_xll.DBRW($B$1,Cons_Region!$F$12,Cons_Region!H$15,$M$1,Cons_Region!$H$12,Cons_Region!$C$12,$N$1,$A247,$L$1,$K$1)</f>
        <v>0</v>
      </c>
      <c r="I247" s="12">
        <f>_xll.DBRW($B$1,Cons_Region!$F$12,Cons_Region!I$15,$M$1,Cons_Region!$H$12,Cons_Region!$C$12,$N$1,$A247,$L$1,$K$1)</f>
        <v>0</v>
      </c>
      <c r="J247" s="12">
        <f>_xll.DBRW($B$1,Cons_Region!$F$12,Cons_Region!J$15,$M$1,Cons_Region!$H$12,Cons_Region!$C$12,$N$1,$A247,$L$1,$K$1)</f>
        <v>0</v>
      </c>
      <c r="K247" s="12">
        <f>_xll.DBRW($B$1,Cons_Region!$F$12,Cons_Region!K$15,$M$1,Cons_Region!$H$12,Cons_Region!$C$12,$N$1,$A247,$L$1,$K$1)</f>
        <v>0</v>
      </c>
      <c r="L247" s="12">
        <f>_xll.DBRW($B$1,Cons_Region!$F$12,Cons_Region!L$15,$M$1,Cons_Region!$H$12,Cons_Region!$C$12,$N$1,$A247,$L$1,$K$1)</f>
        <v>0</v>
      </c>
      <c r="M247" s="12">
        <f>_xll.DBRW($B$1,Cons_Region!$F$12,Cons_Region!M$15,$M$1,Cons_Region!$H$12,Cons_Region!$C$12,$N$1,$A247,$L$1,$K$1)</f>
        <v>0</v>
      </c>
      <c r="N247" s="12">
        <f>_xll.DBRW($B$1,Cons_Region!$F$12,Cons_Region!N$15,$M$1,Cons_Region!$H$12,Cons_Region!$C$12,$N$1,$A247,$L$1,$K$1)</f>
        <v>0</v>
      </c>
      <c r="O247" s="12">
        <f>_xll.DBRW($B$1,O$14,Cons_Region!O$15,$M$1,Cons_Region!$H$12,Cons_Region!$C$12,$N$1,$A247,$L$1,$K$1)</f>
        <v>0</v>
      </c>
      <c r="P247" s="12">
        <f>_xll.DBRW($B$1,P$14,Cons_Region!P$15,$M$1,Cons_Region!$H$12,Cons_Region!$C$12,$N$1,$A247,$L$1,$K$1)</f>
        <v>0</v>
      </c>
      <c r="Q247" s="12">
        <f>_xll.DBRW($B$1,Q$14,Cons_Region!Q$15,$M$1,Cons_Region!$H$12,Cons_Region!$C$12,$N$1,$A247,$L$1,$K$1)</f>
        <v>0</v>
      </c>
      <c r="R247" s="12">
        <f>_xll.DBRW($B$1,R$14,Cons_Region!R$15,$M$1,Cons_Region!$H$12,Cons_Region!$C$12,$N$1,$A247,$L$1,$K$1)</f>
        <v>0</v>
      </c>
      <c r="S247" s="12">
        <f>_xll.DBRW($B$1,S$14,Cons_Region!S$15,$M$1,Cons_Region!$H$12,Cons_Region!$C$12,$N$1,$A247,$L$1,$K$1)</f>
        <v>0</v>
      </c>
    </row>
    <row r="248" spans="1:19" ht="15.75" customHeight="1">
      <c r="A248" s="69" t="s">
        <v>482</v>
      </c>
      <c r="B248" s="13" t="s">
        <v>109</v>
      </c>
      <c r="C248" s="12">
        <f>_xll.DBRW($B$1,Cons_Region!$F$12,Cons_Region!C$15,$M$1,Cons_Region!$H$12,Cons_Region!$C$12,$N$1,$A248,$L$1,$K$1)</f>
        <v>0</v>
      </c>
      <c r="D248" s="12">
        <f>_xll.DBRW($B$1,Cons_Region!$F$12,Cons_Region!D$15,$M$1,Cons_Region!$H$12,Cons_Region!$C$12,$N$1,$A248,$L$1,$K$1)</f>
        <v>-5.9595000000000002</v>
      </c>
      <c r="E248" s="12">
        <f>_xll.DBRW($B$1,Cons_Region!$F$12,Cons_Region!E$15,$M$1,Cons_Region!$H$12,Cons_Region!$C$12,$N$1,$A248,$L$1,$K$1)</f>
        <v>-12.1913</v>
      </c>
      <c r="F248" s="12">
        <f>_xll.DBRW($B$1,Cons_Region!$F$12,Cons_Region!F$15,$M$1,Cons_Region!$H$12,Cons_Region!$C$12,$N$1,$A248,$L$1,$K$1)</f>
        <v>-4.1016000000000004</v>
      </c>
      <c r="G248" s="12">
        <f>_xll.DBRW($B$1,Cons_Region!$F$12,Cons_Region!G$15,$M$1,Cons_Region!$H$12,Cons_Region!$C$12,$N$1,$A248,$L$1,$K$1)</f>
        <v>-4.2000999999999999</v>
      </c>
      <c r="H248" s="12">
        <f>_xll.DBRW($B$1,Cons_Region!$F$12,Cons_Region!H$15,$M$1,Cons_Region!$H$12,Cons_Region!$C$12,$N$1,$A248,$L$1,$K$1)</f>
        <v>-8.2951999999999995</v>
      </c>
      <c r="I248" s="12">
        <f>_xll.DBRW($B$1,Cons_Region!$F$12,Cons_Region!I$15,$M$1,Cons_Region!$H$12,Cons_Region!$C$12,$N$1,$A248,$L$1,$K$1)</f>
        <v>-4.4142000000000001</v>
      </c>
      <c r="J248" s="12">
        <f>_xll.DBRW($B$1,Cons_Region!$F$12,Cons_Region!J$15,$M$1,Cons_Region!$H$12,Cons_Region!$C$12,$N$1,$A248,$L$1,$K$1)</f>
        <v>-4.3871000000000002</v>
      </c>
      <c r="K248" s="12">
        <f>_xll.DBRW($B$1,Cons_Region!$F$12,Cons_Region!K$15,$M$1,Cons_Region!$H$12,Cons_Region!$C$12,$N$1,$A248,$L$1,$K$1)</f>
        <v>-10.067600000000001</v>
      </c>
      <c r="L248" s="12">
        <f>_xll.DBRW($B$1,Cons_Region!$F$12,Cons_Region!L$15,$M$1,Cons_Region!$H$12,Cons_Region!$C$12,$N$1,$A248,$L$1,$K$1)</f>
        <v>-4.1230000000000002</v>
      </c>
      <c r="M248" s="12">
        <f>_xll.DBRW($B$1,Cons_Region!$F$12,Cons_Region!M$15,$M$1,Cons_Region!$H$12,Cons_Region!$C$12,$N$1,$A248,$L$1,$K$1)</f>
        <v>-4.1746999999999996</v>
      </c>
      <c r="N248" s="12">
        <f>_xll.DBRW($B$1,Cons_Region!$F$12,Cons_Region!N$15,$M$1,Cons_Region!$H$12,Cons_Region!$C$12,$N$1,$A248,$L$1,$K$1)</f>
        <v>0</v>
      </c>
      <c r="O248" s="12">
        <f>_xll.DBRW($B$1,O$14,Cons_Region!O$15,$M$1,Cons_Region!$H$12,Cons_Region!$C$12,$N$1,$A248,$L$1,$K$1)</f>
        <v>0</v>
      </c>
      <c r="P248" s="12">
        <f>_xll.DBRW($B$1,P$14,Cons_Region!P$15,$M$1,Cons_Region!$H$12,Cons_Region!$C$12,$N$1,$A248,$L$1,$K$1)</f>
        <v>0</v>
      </c>
      <c r="Q248" s="12">
        <f>_xll.DBRW($B$1,Q$14,Cons_Region!Q$15,$M$1,Cons_Region!$H$12,Cons_Region!$C$12,$N$1,$A248,$L$1,$K$1)</f>
        <v>0</v>
      </c>
      <c r="R248" s="12">
        <f>_xll.DBRW($B$1,R$14,Cons_Region!R$15,$M$1,Cons_Region!$H$12,Cons_Region!$C$12,$N$1,$A248,$L$1,$K$1)</f>
        <v>0</v>
      </c>
      <c r="S248" s="12">
        <f>_xll.DBRW($B$1,S$14,Cons_Region!S$15,$M$1,Cons_Region!$H$12,Cons_Region!$C$12,$N$1,$A248,$L$1,$K$1)</f>
        <v>0</v>
      </c>
    </row>
    <row r="249" spans="1:19" ht="15.75" customHeight="1">
      <c r="A249" s="69" t="s">
        <v>483</v>
      </c>
      <c r="B249" s="13" t="s">
        <v>110</v>
      </c>
      <c r="C249" s="12">
        <f>_xll.DBRW($B$1,Cons_Region!$F$12,Cons_Region!C$15,$M$1,Cons_Region!$H$12,Cons_Region!$C$12,$N$1,$A249,$L$1,$K$1)</f>
        <v>0</v>
      </c>
      <c r="D249" s="12">
        <f>_xll.DBRW($B$1,Cons_Region!$F$12,Cons_Region!D$15,$M$1,Cons_Region!$H$12,Cons_Region!$C$12,$N$1,$A249,$L$1,$K$1)</f>
        <v>0</v>
      </c>
      <c r="E249" s="12">
        <f>_xll.DBRW($B$1,Cons_Region!$F$12,Cons_Region!E$15,$M$1,Cons_Region!$H$12,Cons_Region!$C$12,$N$1,$A249,$L$1,$K$1)</f>
        <v>0</v>
      </c>
      <c r="F249" s="12">
        <f>_xll.DBRW($B$1,Cons_Region!$F$12,Cons_Region!F$15,$M$1,Cons_Region!$H$12,Cons_Region!$C$12,$N$1,$A249,$L$1,$K$1)</f>
        <v>0</v>
      </c>
      <c r="G249" s="12">
        <f>_xll.DBRW($B$1,Cons_Region!$F$12,Cons_Region!G$15,$M$1,Cons_Region!$H$12,Cons_Region!$C$12,$N$1,$A249,$L$1,$K$1)</f>
        <v>0</v>
      </c>
      <c r="H249" s="12">
        <f>_xll.DBRW($B$1,Cons_Region!$F$12,Cons_Region!H$15,$M$1,Cons_Region!$H$12,Cons_Region!$C$12,$N$1,$A249,$L$1,$K$1)</f>
        <v>0</v>
      </c>
      <c r="I249" s="12">
        <f>_xll.DBRW($B$1,Cons_Region!$F$12,Cons_Region!I$15,$M$1,Cons_Region!$H$12,Cons_Region!$C$12,$N$1,$A249,$L$1,$K$1)</f>
        <v>0</v>
      </c>
      <c r="J249" s="12">
        <f>_xll.DBRW($B$1,Cons_Region!$F$12,Cons_Region!J$15,$M$1,Cons_Region!$H$12,Cons_Region!$C$12,$N$1,$A249,$L$1,$K$1)</f>
        <v>0</v>
      </c>
      <c r="K249" s="12">
        <f>_xll.DBRW($B$1,Cons_Region!$F$12,Cons_Region!K$15,$M$1,Cons_Region!$H$12,Cons_Region!$C$12,$N$1,$A249,$L$1,$K$1)</f>
        <v>0</v>
      </c>
      <c r="L249" s="12">
        <f>_xll.DBRW($B$1,Cons_Region!$F$12,Cons_Region!L$15,$M$1,Cons_Region!$H$12,Cons_Region!$C$12,$N$1,$A249,$L$1,$K$1)</f>
        <v>0</v>
      </c>
      <c r="M249" s="12">
        <f>_xll.DBRW($B$1,Cons_Region!$F$12,Cons_Region!M$15,$M$1,Cons_Region!$H$12,Cons_Region!$C$12,$N$1,$A249,$L$1,$K$1)</f>
        <v>0</v>
      </c>
      <c r="N249" s="12">
        <f>_xll.DBRW($B$1,Cons_Region!$F$12,Cons_Region!N$15,$M$1,Cons_Region!$H$12,Cons_Region!$C$12,$N$1,$A249,$L$1,$K$1)</f>
        <v>0</v>
      </c>
      <c r="O249" s="12">
        <f>_xll.DBRW($B$1,O$14,Cons_Region!O$15,$M$1,Cons_Region!$H$12,Cons_Region!$C$12,$N$1,$A249,$L$1,$K$1)</f>
        <v>0</v>
      </c>
      <c r="P249" s="12">
        <f>_xll.DBRW($B$1,P$14,Cons_Region!P$15,$M$1,Cons_Region!$H$12,Cons_Region!$C$12,$N$1,$A249,$L$1,$K$1)</f>
        <v>0</v>
      </c>
      <c r="Q249" s="12">
        <f>_xll.DBRW($B$1,Q$14,Cons_Region!Q$15,$M$1,Cons_Region!$H$12,Cons_Region!$C$12,$N$1,$A249,$L$1,$K$1)</f>
        <v>0</v>
      </c>
      <c r="R249" s="12">
        <f>_xll.DBRW($B$1,R$14,Cons_Region!R$15,$M$1,Cons_Region!$H$12,Cons_Region!$C$12,$N$1,$A249,$L$1,$K$1)</f>
        <v>0</v>
      </c>
      <c r="S249" s="12">
        <f>_xll.DBRW($B$1,S$14,Cons_Region!S$15,$M$1,Cons_Region!$H$12,Cons_Region!$C$12,$N$1,$A249,$L$1,$K$1)</f>
        <v>0</v>
      </c>
    </row>
    <row r="250" spans="1:19" ht="15.75" customHeight="1">
      <c r="A250" s="69" t="s">
        <v>484</v>
      </c>
      <c r="B250" s="13" t="s">
        <v>111</v>
      </c>
      <c r="C250" s="12">
        <f>_xll.DBRW($B$1,Cons_Region!$F$12,Cons_Region!C$15,$M$1,Cons_Region!$H$12,Cons_Region!$C$12,$N$1,$A250,$L$1,$K$1)</f>
        <v>0</v>
      </c>
      <c r="D250" s="12">
        <f>_xll.DBRW($B$1,Cons_Region!$F$12,Cons_Region!D$15,$M$1,Cons_Region!$H$12,Cons_Region!$C$12,$N$1,$A250,$L$1,$K$1)</f>
        <v>0</v>
      </c>
      <c r="E250" s="12">
        <f>_xll.DBRW($B$1,Cons_Region!$F$12,Cons_Region!E$15,$M$1,Cons_Region!$H$12,Cons_Region!$C$12,$N$1,$A250,$L$1,$K$1)</f>
        <v>0</v>
      </c>
      <c r="F250" s="12">
        <f>_xll.DBRW($B$1,Cons_Region!$F$12,Cons_Region!F$15,$M$1,Cons_Region!$H$12,Cons_Region!$C$12,$N$1,$A250,$L$1,$K$1)</f>
        <v>0</v>
      </c>
      <c r="G250" s="12">
        <f>_xll.DBRW($B$1,Cons_Region!$F$12,Cons_Region!G$15,$M$1,Cons_Region!$H$12,Cons_Region!$C$12,$N$1,$A250,$L$1,$K$1)</f>
        <v>0</v>
      </c>
      <c r="H250" s="12">
        <f>_xll.DBRW($B$1,Cons_Region!$F$12,Cons_Region!H$15,$M$1,Cons_Region!$H$12,Cons_Region!$C$12,$N$1,$A250,$L$1,$K$1)</f>
        <v>0</v>
      </c>
      <c r="I250" s="12">
        <f>_xll.DBRW($B$1,Cons_Region!$F$12,Cons_Region!I$15,$M$1,Cons_Region!$H$12,Cons_Region!$C$12,$N$1,$A250,$L$1,$K$1)</f>
        <v>0</v>
      </c>
      <c r="J250" s="12">
        <f>_xll.DBRW($B$1,Cons_Region!$F$12,Cons_Region!J$15,$M$1,Cons_Region!$H$12,Cons_Region!$C$12,$N$1,$A250,$L$1,$K$1)</f>
        <v>0</v>
      </c>
      <c r="K250" s="12">
        <f>_xll.DBRW($B$1,Cons_Region!$F$12,Cons_Region!K$15,$M$1,Cons_Region!$H$12,Cons_Region!$C$12,$N$1,$A250,$L$1,$K$1)</f>
        <v>0</v>
      </c>
      <c r="L250" s="12">
        <f>_xll.DBRW($B$1,Cons_Region!$F$12,Cons_Region!L$15,$M$1,Cons_Region!$H$12,Cons_Region!$C$12,$N$1,$A250,$L$1,$K$1)</f>
        <v>0</v>
      </c>
      <c r="M250" s="12">
        <f>_xll.DBRW($B$1,Cons_Region!$F$12,Cons_Region!M$15,$M$1,Cons_Region!$H$12,Cons_Region!$C$12,$N$1,$A250,$L$1,$K$1)</f>
        <v>0</v>
      </c>
      <c r="N250" s="12">
        <f>_xll.DBRW($B$1,Cons_Region!$F$12,Cons_Region!N$15,$M$1,Cons_Region!$H$12,Cons_Region!$C$12,$N$1,$A250,$L$1,$K$1)</f>
        <v>0</v>
      </c>
      <c r="O250" s="12">
        <f>_xll.DBRW($B$1,O$14,Cons_Region!O$15,$M$1,Cons_Region!$H$12,Cons_Region!$C$12,$N$1,$A250,$L$1,$K$1)</f>
        <v>0</v>
      </c>
      <c r="P250" s="12">
        <f>_xll.DBRW($B$1,P$14,Cons_Region!P$15,$M$1,Cons_Region!$H$12,Cons_Region!$C$12,$N$1,$A250,$L$1,$K$1)</f>
        <v>0</v>
      </c>
      <c r="Q250" s="12">
        <f>_xll.DBRW($B$1,Q$14,Cons_Region!Q$15,$M$1,Cons_Region!$H$12,Cons_Region!$C$12,$N$1,$A250,$L$1,$K$1)</f>
        <v>0</v>
      </c>
      <c r="R250" s="12">
        <f>_xll.DBRW($B$1,R$14,Cons_Region!R$15,$M$1,Cons_Region!$H$12,Cons_Region!$C$12,$N$1,$A250,$L$1,$K$1)</f>
        <v>0</v>
      </c>
      <c r="S250" s="12">
        <f>_xll.DBRW($B$1,S$14,Cons_Region!S$15,$M$1,Cons_Region!$H$12,Cons_Region!$C$12,$N$1,$A250,$L$1,$K$1)</f>
        <v>0</v>
      </c>
    </row>
    <row r="251" spans="1:19" ht="15.75" customHeight="1">
      <c r="A251" s="69" t="s">
        <v>485</v>
      </c>
      <c r="B251" s="13" t="s">
        <v>112</v>
      </c>
      <c r="C251" s="12">
        <f>_xll.DBRW($B$1,Cons_Region!$F$12,Cons_Region!C$15,$M$1,Cons_Region!$H$12,Cons_Region!$C$12,$N$1,$A251,$L$1,$K$1)</f>
        <v>0</v>
      </c>
      <c r="D251" s="12">
        <f>_xll.DBRW($B$1,Cons_Region!$F$12,Cons_Region!D$15,$M$1,Cons_Region!$H$12,Cons_Region!$C$12,$N$1,$A251,$L$1,$K$1)</f>
        <v>-4.7241999999999997</v>
      </c>
      <c r="E251" s="12">
        <f>_xll.DBRW($B$1,Cons_Region!$F$12,Cons_Region!E$15,$M$1,Cons_Region!$H$12,Cons_Region!$C$12,$N$1,$A251,$L$1,$K$1)</f>
        <v>-4.7241999999999997</v>
      </c>
      <c r="F251" s="12">
        <f>_xll.DBRW($B$1,Cons_Region!$F$12,Cons_Region!F$15,$M$1,Cons_Region!$H$12,Cons_Region!$C$12,$N$1,$A251,$L$1,$K$1)</f>
        <v>-4.7241999999999997</v>
      </c>
      <c r="G251" s="12">
        <f>_xll.DBRW($B$1,Cons_Region!$F$12,Cons_Region!G$15,$M$1,Cons_Region!$H$12,Cons_Region!$C$12,$N$1,$A251,$L$1,$K$1)</f>
        <v>-4.7241999999999997</v>
      </c>
      <c r="H251" s="12">
        <f>_xll.DBRW($B$1,Cons_Region!$F$12,Cons_Region!H$15,$M$1,Cons_Region!$H$12,Cons_Region!$C$12,$N$1,$A251,$L$1,$K$1)</f>
        <v>-4.6327999999999996</v>
      </c>
      <c r="I251" s="12">
        <f>_xll.DBRW($B$1,Cons_Region!$F$12,Cons_Region!I$15,$M$1,Cons_Region!$H$12,Cons_Region!$C$12,$N$1,$A251,$L$1,$K$1)</f>
        <v>-4.6327999999999996</v>
      </c>
      <c r="J251" s="12">
        <f>_xll.DBRW($B$1,Cons_Region!$F$12,Cons_Region!J$15,$M$1,Cons_Region!$H$12,Cons_Region!$C$12,$N$1,$A251,$L$1,$K$1)</f>
        <v>-4.6327999999999996</v>
      </c>
      <c r="K251" s="12">
        <f>_xll.DBRW($B$1,Cons_Region!$F$12,Cons_Region!K$15,$M$1,Cons_Region!$H$12,Cons_Region!$C$12,$N$1,$A251,$L$1,$K$1)</f>
        <v>-4.6327999999999996</v>
      </c>
      <c r="L251" s="12">
        <f>_xll.DBRW($B$1,Cons_Region!$F$12,Cons_Region!L$15,$M$1,Cons_Region!$H$12,Cons_Region!$C$12,$N$1,$A251,$L$1,$K$1)</f>
        <v>-4.6327999999999996</v>
      </c>
      <c r="M251" s="12">
        <f>_xll.DBRW($B$1,Cons_Region!$F$12,Cons_Region!M$15,$M$1,Cons_Region!$H$12,Cons_Region!$C$12,$N$1,$A251,$L$1,$K$1)</f>
        <v>-4.6327999999999996</v>
      </c>
      <c r="N251" s="12">
        <f>_xll.DBRW($B$1,Cons_Region!$F$12,Cons_Region!N$15,$M$1,Cons_Region!$H$12,Cons_Region!$C$12,$N$1,$A251,$L$1,$K$1)</f>
        <v>0</v>
      </c>
      <c r="O251" s="12">
        <f>_xll.DBRW($B$1,O$14,Cons_Region!O$15,$M$1,Cons_Region!$H$12,Cons_Region!$C$12,$N$1,$A251,$L$1,$K$1)</f>
        <v>0</v>
      </c>
      <c r="P251" s="12">
        <f>_xll.DBRW($B$1,P$14,Cons_Region!P$15,$M$1,Cons_Region!$H$12,Cons_Region!$C$12,$N$1,$A251,$L$1,$K$1)</f>
        <v>0</v>
      </c>
      <c r="Q251" s="12">
        <f>_xll.DBRW($B$1,Q$14,Cons_Region!Q$15,$M$1,Cons_Region!$H$12,Cons_Region!$C$12,$N$1,$A251,$L$1,$K$1)</f>
        <v>0</v>
      </c>
      <c r="R251" s="12">
        <f>_xll.DBRW($B$1,R$14,Cons_Region!R$15,$M$1,Cons_Region!$H$12,Cons_Region!$C$12,$N$1,$A251,$L$1,$K$1)</f>
        <v>0</v>
      </c>
      <c r="S251" s="12">
        <f>_xll.DBRW($B$1,S$14,Cons_Region!S$15,$M$1,Cons_Region!$H$12,Cons_Region!$C$12,$N$1,$A251,$L$1,$K$1)</f>
        <v>0</v>
      </c>
    </row>
    <row r="252" spans="1:19" ht="15.75" customHeight="1">
      <c r="A252" s="69" t="s">
        <v>486</v>
      </c>
      <c r="B252" s="13" t="s">
        <v>113</v>
      </c>
      <c r="C252" s="12">
        <f>_xll.DBRW($B$1,Cons_Region!$F$12,Cons_Region!C$15,$M$1,Cons_Region!$H$12,Cons_Region!$C$12,$N$1,$A252,$L$1,$K$1)</f>
        <v>0</v>
      </c>
      <c r="D252" s="12">
        <f>_xll.DBRW($B$1,Cons_Region!$F$12,Cons_Region!D$15,$M$1,Cons_Region!$H$12,Cons_Region!$C$12,$N$1,$A252,$L$1,$K$1)</f>
        <v>0</v>
      </c>
      <c r="E252" s="12">
        <f>_xll.DBRW($B$1,Cons_Region!$F$12,Cons_Region!E$15,$M$1,Cons_Region!$H$12,Cons_Region!$C$12,$N$1,$A252,$L$1,$K$1)</f>
        <v>0</v>
      </c>
      <c r="F252" s="12">
        <f>_xll.DBRW($B$1,Cons_Region!$F$12,Cons_Region!F$15,$M$1,Cons_Region!$H$12,Cons_Region!$C$12,$N$1,$A252,$L$1,$K$1)</f>
        <v>0</v>
      </c>
      <c r="G252" s="12">
        <f>_xll.DBRW($B$1,Cons_Region!$F$12,Cons_Region!G$15,$M$1,Cons_Region!$H$12,Cons_Region!$C$12,$N$1,$A252,$L$1,$K$1)</f>
        <v>0</v>
      </c>
      <c r="H252" s="12">
        <f>_xll.DBRW($B$1,Cons_Region!$F$12,Cons_Region!H$15,$M$1,Cons_Region!$H$12,Cons_Region!$C$12,$N$1,$A252,$L$1,$K$1)</f>
        <v>0</v>
      </c>
      <c r="I252" s="12">
        <f>_xll.DBRW($B$1,Cons_Region!$F$12,Cons_Region!I$15,$M$1,Cons_Region!$H$12,Cons_Region!$C$12,$N$1,$A252,$L$1,$K$1)</f>
        <v>0</v>
      </c>
      <c r="J252" s="12">
        <f>_xll.DBRW($B$1,Cons_Region!$F$12,Cons_Region!J$15,$M$1,Cons_Region!$H$12,Cons_Region!$C$12,$N$1,$A252,$L$1,$K$1)</f>
        <v>0</v>
      </c>
      <c r="K252" s="12">
        <f>_xll.DBRW($B$1,Cons_Region!$F$12,Cons_Region!K$15,$M$1,Cons_Region!$H$12,Cons_Region!$C$12,$N$1,$A252,$L$1,$K$1)</f>
        <v>0</v>
      </c>
      <c r="L252" s="12">
        <f>_xll.DBRW($B$1,Cons_Region!$F$12,Cons_Region!L$15,$M$1,Cons_Region!$H$12,Cons_Region!$C$12,$N$1,$A252,$L$1,$K$1)</f>
        <v>0</v>
      </c>
      <c r="M252" s="12">
        <f>_xll.DBRW($B$1,Cons_Region!$F$12,Cons_Region!M$15,$M$1,Cons_Region!$H$12,Cons_Region!$C$12,$N$1,$A252,$L$1,$K$1)</f>
        <v>0</v>
      </c>
      <c r="N252" s="12">
        <f>_xll.DBRW($B$1,Cons_Region!$F$12,Cons_Region!N$15,$M$1,Cons_Region!$H$12,Cons_Region!$C$12,$N$1,$A252,$L$1,$K$1)</f>
        <v>0</v>
      </c>
      <c r="O252" s="12">
        <f>_xll.DBRW($B$1,O$14,Cons_Region!O$15,$M$1,Cons_Region!$H$12,Cons_Region!$C$12,$N$1,$A252,$L$1,$K$1)</f>
        <v>0</v>
      </c>
      <c r="P252" s="12">
        <f>_xll.DBRW($B$1,P$14,Cons_Region!P$15,$M$1,Cons_Region!$H$12,Cons_Region!$C$12,$N$1,$A252,$L$1,$K$1)</f>
        <v>0</v>
      </c>
      <c r="Q252" s="12">
        <f>_xll.DBRW($B$1,Q$14,Cons_Region!Q$15,$M$1,Cons_Region!$H$12,Cons_Region!$C$12,$N$1,$A252,$L$1,$K$1)</f>
        <v>0</v>
      </c>
      <c r="R252" s="12">
        <f>_xll.DBRW($B$1,R$14,Cons_Region!R$15,$M$1,Cons_Region!$H$12,Cons_Region!$C$12,$N$1,$A252,$L$1,$K$1)</f>
        <v>0</v>
      </c>
      <c r="S252" s="12">
        <f>_xll.DBRW($B$1,S$14,Cons_Region!S$15,$M$1,Cons_Region!$H$12,Cons_Region!$C$12,$N$1,$A252,$L$1,$K$1)</f>
        <v>0</v>
      </c>
    </row>
    <row r="253" spans="1:19" ht="15.75" customHeight="1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ht="15.75" customHeight="1" thickBot="1">
      <c r="B254" s="18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</row>
    <row r="255" spans="1:19" ht="15.75" customHeight="1" thickTop="1">
      <c r="B255" s="27" t="s">
        <v>114</v>
      </c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</row>
    <row r="256" spans="1:19" ht="15.75" customHeight="1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80">
        <f>$F$12+1</f>
        <v>2027</v>
      </c>
      <c r="P256" s="80">
        <f>$F$12+2</f>
        <v>2028</v>
      </c>
      <c r="Q256" s="80">
        <f>$F$12+3</f>
        <v>2029</v>
      </c>
      <c r="R256" s="80">
        <f>$F$12+4</f>
        <v>2030</v>
      </c>
      <c r="S256" s="80">
        <f>$F$12+5</f>
        <v>2031</v>
      </c>
    </row>
    <row r="257" spans="1:19" ht="15.75" customHeight="1">
      <c r="B257" s="22"/>
      <c r="C257" s="23" t="str">
        <f t="shared" ref="C257:N257" si="21">$F$12&amp;"."&amp;C$15</f>
        <v>2026.01</v>
      </c>
      <c r="D257" s="23" t="str">
        <f t="shared" si="21"/>
        <v>2026.02</v>
      </c>
      <c r="E257" s="23" t="str">
        <f t="shared" si="21"/>
        <v>2026.03</v>
      </c>
      <c r="F257" s="23" t="str">
        <f t="shared" si="21"/>
        <v>2026.04</v>
      </c>
      <c r="G257" s="23" t="str">
        <f t="shared" si="21"/>
        <v>2026.05</v>
      </c>
      <c r="H257" s="23" t="str">
        <f t="shared" si="21"/>
        <v>2026.06</v>
      </c>
      <c r="I257" s="23" t="str">
        <f t="shared" si="21"/>
        <v>2026.07</v>
      </c>
      <c r="J257" s="23" t="str">
        <f t="shared" si="21"/>
        <v>2026.08</v>
      </c>
      <c r="K257" s="23" t="str">
        <f t="shared" si="21"/>
        <v>2026.09</v>
      </c>
      <c r="L257" s="23" t="str">
        <f t="shared" si="21"/>
        <v>2026.10</v>
      </c>
      <c r="M257" s="23" t="str">
        <f t="shared" si="21"/>
        <v>2026.11</v>
      </c>
      <c r="N257" s="23" t="str">
        <f t="shared" si="21"/>
        <v>2026.12</v>
      </c>
      <c r="O257" s="23" t="s">
        <v>304</v>
      </c>
      <c r="P257" s="23" t="s">
        <v>304</v>
      </c>
      <c r="Q257" s="23" t="s">
        <v>304</v>
      </c>
      <c r="R257" s="23" t="s">
        <v>304</v>
      </c>
      <c r="S257" s="23" t="s">
        <v>304</v>
      </c>
    </row>
    <row r="258" spans="1:19" ht="15.75" customHeight="1">
      <c r="A258" s="69" t="s">
        <v>490</v>
      </c>
      <c r="B258" s="15" t="s">
        <v>115</v>
      </c>
      <c r="C258" s="20">
        <f>_xll.DBRW($D$2,Cons_Region!$F$12,Cons_Region!C$15,$M$1,Cons_Region!$H$12,Cons_Region!$C$12,$A258,$K$1)</f>
        <v>0</v>
      </c>
      <c r="D258" s="20">
        <f>_xll.DBRW($D$2,Cons_Region!$F$12,Cons_Region!D$15,$M$1,Cons_Region!$H$12,Cons_Region!$C$12,$A258,$K$1)</f>
        <v>0</v>
      </c>
      <c r="E258" s="20">
        <f>_xll.DBRW($D$2,Cons_Region!$F$12,Cons_Region!E$15,$M$1,Cons_Region!$H$12,Cons_Region!$C$12,$A258,$K$1)</f>
        <v>0</v>
      </c>
      <c r="F258" s="20">
        <f>_xll.DBRW($D$2,Cons_Region!$F$12,Cons_Region!F$15,$M$1,Cons_Region!$H$12,Cons_Region!$C$12,$A258,$K$1)</f>
        <v>0</v>
      </c>
      <c r="G258" s="20">
        <f>_xll.DBRW($D$2,Cons_Region!$F$12,Cons_Region!G$15,$M$1,Cons_Region!$H$12,Cons_Region!$C$12,$A258,$K$1)</f>
        <v>0</v>
      </c>
      <c r="H258" s="20">
        <f>_xll.DBRW($D$2,Cons_Region!$F$12,Cons_Region!H$15,$M$1,Cons_Region!$H$12,Cons_Region!$C$12,$A258,$K$1)</f>
        <v>0</v>
      </c>
      <c r="I258" s="20">
        <f>_xll.DBRW($D$2,Cons_Region!$F$12,Cons_Region!I$15,$M$1,Cons_Region!$H$12,Cons_Region!$C$12,$A258,$K$1)</f>
        <v>0</v>
      </c>
      <c r="J258" s="20">
        <f>_xll.DBRW($D$2,Cons_Region!$F$12,Cons_Region!J$15,$M$1,Cons_Region!$H$12,Cons_Region!$C$12,$A258,$K$1)</f>
        <v>0</v>
      </c>
      <c r="K258" s="20">
        <f>_xll.DBRW($D$2,Cons_Region!$F$12,Cons_Region!K$15,$M$1,Cons_Region!$H$12,Cons_Region!$C$12,$A258,$K$1)</f>
        <v>0</v>
      </c>
      <c r="L258" s="20">
        <f>_xll.DBRW($D$2,Cons_Region!$F$12,Cons_Region!L$15,$M$1,Cons_Region!$H$12,Cons_Region!$C$12,$A258,$K$1)</f>
        <v>0</v>
      </c>
      <c r="M258" s="20">
        <f>_xll.DBRW($D$2,Cons_Region!$F$12,Cons_Region!M$15,$M$1,Cons_Region!$H$12,Cons_Region!$C$12,$A258,$K$1)</f>
        <v>0</v>
      </c>
      <c r="N258" s="20">
        <f>_xll.DBRW($D$2,Cons_Region!$F$12,Cons_Region!N$15,$M$1,Cons_Region!$H$12,Cons_Region!$C$12,$A258,$K$1)</f>
        <v>0</v>
      </c>
      <c r="O258" s="20">
        <f>_xll.DBRW($D$2,O$14,Cons_Region!O$15,$M$1,Cons_Region!$H$12,Cons_Region!$C$12,$A258,$K$1)</f>
        <v>0</v>
      </c>
      <c r="P258" s="20">
        <f>_xll.DBRW($D$2,P$14,Cons_Region!P$15,$M$1,Cons_Region!$H$12,Cons_Region!$C$12,$A258,$K$1)</f>
        <v>0</v>
      </c>
      <c r="Q258" s="20">
        <f>_xll.DBRW($D$2,Q$14,Cons_Region!Q$15,$M$1,Cons_Region!$H$12,Cons_Region!$C$12,$A258,$K$1)</f>
        <v>0</v>
      </c>
      <c r="R258" s="20">
        <f>_xll.DBRW($D$2,R$14,Cons_Region!R$15,$M$1,Cons_Region!$H$12,Cons_Region!$C$12,$A258,$K$1)</f>
        <v>0</v>
      </c>
      <c r="S258" s="20">
        <f>_xll.DBRW($D$2,S$14,Cons_Region!S$15,$M$1,Cons_Region!$H$12,Cons_Region!$C$12,$A258,$K$1)</f>
        <v>0</v>
      </c>
    </row>
    <row r="259" spans="1:19" ht="15.75" customHeight="1">
      <c r="A259" s="69" t="s">
        <v>487</v>
      </c>
      <c r="B259" s="13" t="s">
        <v>116</v>
      </c>
      <c r="C259" s="12">
        <f>_xll.DBRW($B$1,Cons_Region!$F$12,Cons_Region!C$15,$M$1,Cons_Region!$H$12,Cons_Region!$C$12,$N$1,$A259,$L$1,$K$1)</f>
        <v>0</v>
      </c>
      <c r="D259" s="12">
        <f>_xll.DBRW($B$1,Cons_Region!$F$12,Cons_Region!D$15,$M$1,Cons_Region!$H$12,Cons_Region!$C$12,$N$1,$A259,$L$1,$K$1)</f>
        <v>0</v>
      </c>
      <c r="E259" s="12">
        <f>_xll.DBRW($B$1,Cons_Region!$F$12,Cons_Region!E$15,$M$1,Cons_Region!$H$12,Cons_Region!$C$12,$N$1,$A259,$L$1,$K$1)</f>
        <v>0</v>
      </c>
      <c r="F259" s="12">
        <f>_xll.DBRW($B$1,Cons_Region!$F$12,Cons_Region!F$15,$M$1,Cons_Region!$H$12,Cons_Region!$C$12,$N$1,$A259,$L$1,$K$1)</f>
        <v>0</v>
      </c>
      <c r="G259" s="12">
        <f>_xll.DBRW($B$1,Cons_Region!$F$12,Cons_Region!G$15,$M$1,Cons_Region!$H$12,Cons_Region!$C$12,$N$1,$A259,$L$1,$K$1)</f>
        <v>0</v>
      </c>
      <c r="H259" s="12">
        <f>_xll.DBRW($B$1,Cons_Region!$F$12,Cons_Region!H$15,$M$1,Cons_Region!$H$12,Cons_Region!$C$12,$N$1,$A259,$L$1,$K$1)</f>
        <v>0</v>
      </c>
      <c r="I259" s="12">
        <f>_xll.DBRW($B$1,Cons_Region!$F$12,Cons_Region!I$15,$M$1,Cons_Region!$H$12,Cons_Region!$C$12,$N$1,$A259,$L$1,$K$1)</f>
        <v>0</v>
      </c>
      <c r="J259" s="12">
        <f>_xll.DBRW($B$1,Cons_Region!$F$12,Cons_Region!J$15,$M$1,Cons_Region!$H$12,Cons_Region!$C$12,$N$1,$A259,$L$1,$K$1)</f>
        <v>0</v>
      </c>
      <c r="K259" s="12">
        <f>_xll.DBRW($B$1,Cons_Region!$F$12,Cons_Region!K$15,$M$1,Cons_Region!$H$12,Cons_Region!$C$12,$N$1,$A259,$L$1,$K$1)</f>
        <v>0</v>
      </c>
      <c r="L259" s="12">
        <f>_xll.DBRW($B$1,Cons_Region!$F$12,Cons_Region!L$15,$M$1,Cons_Region!$H$12,Cons_Region!$C$12,$N$1,$A259,$L$1,$K$1)</f>
        <v>0</v>
      </c>
      <c r="M259" s="12">
        <f>_xll.DBRW($B$1,Cons_Region!$F$12,Cons_Region!M$15,$M$1,Cons_Region!$H$12,Cons_Region!$C$12,$N$1,$A259,$L$1,$K$1)</f>
        <v>0</v>
      </c>
      <c r="N259" s="12">
        <f>_xll.DBRW($B$1,Cons_Region!$F$12,Cons_Region!N$15,$M$1,Cons_Region!$H$12,Cons_Region!$C$12,$N$1,$A259,$L$1,$K$1)</f>
        <v>0</v>
      </c>
      <c r="O259" s="12">
        <f>_xll.DBRW($B$1,O$14,Cons_Region!O$15,$M$1,Cons_Region!$H$12,Cons_Region!$C$12,$N$1,$A259,$L$1,$K$1)</f>
        <v>0</v>
      </c>
      <c r="P259" s="12">
        <f>_xll.DBRW($B$1,P$14,Cons_Region!P$15,$M$1,Cons_Region!$H$12,Cons_Region!$C$12,$N$1,$A259,$L$1,$K$1)</f>
        <v>0</v>
      </c>
      <c r="Q259" s="12">
        <f>_xll.DBRW($B$1,Q$14,Cons_Region!Q$15,$M$1,Cons_Region!$H$12,Cons_Region!$C$12,$N$1,$A259,$L$1,$K$1)</f>
        <v>0</v>
      </c>
      <c r="R259" s="12">
        <f>_xll.DBRW($B$1,R$14,Cons_Region!R$15,$M$1,Cons_Region!$H$12,Cons_Region!$C$12,$N$1,$A259,$L$1,$K$1)</f>
        <v>0</v>
      </c>
      <c r="S259" s="12">
        <f>_xll.DBRW($B$1,S$14,Cons_Region!S$15,$M$1,Cons_Region!$H$12,Cons_Region!$C$12,$N$1,$A259,$L$1,$K$1)</f>
        <v>0</v>
      </c>
    </row>
    <row r="260" spans="1:19" ht="15.75" customHeight="1">
      <c r="A260" s="69" t="s">
        <v>488</v>
      </c>
      <c r="B260" s="13" t="s">
        <v>117</v>
      </c>
      <c r="C260" s="12">
        <f>_xll.DBRW($B$1,Cons_Region!$F$12,Cons_Region!C$15,$M$1,Cons_Region!$H$12,Cons_Region!$C$12,$N$1,$A260,$L$1,$K$1)</f>
        <v>0</v>
      </c>
      <c r="D260" s="12">
        <f>_xll.DBRW($B$1,Cons_Region!$F$12,Cons_Region!D$15,$M$1,Cons_Region!$H$12,Cons_Region!$C$12,$N$1,$A260,$L$1,$K$1)</f>
        <v>0</v>
      </c>
      <c r="E260" s="12">
        <f>_xll.DBRW($B$1,Cons_Region!$F$12,Cons_Region!E$15,$M$1,Cons_Region!$H$12,Cons_Region!$C$12,$N$1,$A260,$L$1,$K$1)</f>
        <v>0</v>
      </c>
      <c r="F260" s="12">
        <f>_xll.DBRW($B$1,Cons_Region!$F$12,Cons_Region!F$15,$M$1,Cons_Region!$H$12,Cons_Region!$C$12,$N$1,$A260,$L$1,$K$1)</f>
        <v>0</v>
      </c>
      <c r="G260" s="12">
        <f>_xll.DBRW($B$1,Cons_Region!$F$12,Cons_Region!G$15,$M$1,Cons_Region!$H$12,Cons_Region!$C$12,$N$1,$A260,$L$1,$K$1)</f>
        <v>0</v>
      </c>
      <c r="H260" s="12">
        <f>_xll.DBRW($B$1,Cons_Region!$F$12,Cons_Region!H$15,$M$1,Cons_Region!$H$12,Cons_Region!$C$12,$N$1,$A260,$L$1,$K$1)</f>
        <v>0</v>
      </c>
      <c r="I260" s="12">
        <f>_xll.DBRW($B$1,Cons_Region!$F$12,Cons_Region!I$15,$M$1,Cons_Region!$H$12,Cons_Region!$C$12,$N$1,$A260,$L$1,$K$1)</f>
        <v>0</v>
      </c>
      <c r="J260" s="12">
        <f>_xll.DBRW($B$1,Cons_Region!$F$12,Cons_Region!J$15,$M$1,Cons_Region!$H$12,Cons_Region!$C$12,$N$1,$A260,$L$1,$K$1)</f>
        <v>0</v>
      </c>
      <c r="K260" s="12">
        <f>_xll.DBRW($B$1,Cons_Region!$F$12,Cons_Region!K$15,$M$1,Cons_Region!$H$12,Cons_Region!$C$12,$N$1,$A260,$L$1,$K$1)</f>
        <v>0</v>
      </c>
      <c r="L260" s="12">
        <f>_xll.DBRW($B$1,Cons_Region!$F$12,Cons_Region!L$15,$M$1,Cons_Region!$H$12,Cons_Region!$C$12,$N$1,$A260,$L$1,$K$1)</f>
        <v>0</v>
      </c>
      <c r="M260" s="12">
        <f>_xll.DBRW($B$1,Cons_Region!$F$12,Cons_Region!M$15,$M$1,Cons_Region!$H$12,Cons_Region!$C$12,$N$1,$A260,$L$1,$K$1)</f>
        <v>0</v>
      </c>
      <c r="N260" s="12">
        <f>_xll.DBRW($B$1,Cons_Region!$F$12,Cons_Region!N$15,$M$1,Cons_Region!$H$12,Cons_Region!$C$12,$N$1,$A260,$L$1,$K$1)</f>
        <v>0</v>
      </c>
      <c r="O260" s="12">
        <f>_xll.DBRW($B$1,O$14,Cons_Region!O$15,$M$1,Cons_Region!$H$12,Cons_Region!$C$12,$N$1,$A260,$L$1,$K$1)</f>
        <v>0</v>
      </c>
      <c r="P260" s="12">
        <f>_xll.DBRW($B$1,P$14,Cons_Region!P$15,$M$1,Cons_Region!$H$12,Cons_Region!$C$12,$N$1,$A260,$L$1,$K$1)</f>
        <v>0</v>
      </c>
      <c r="Q260" s="12">
        <f>_xll.DBRW($B$1,Q$14,Cons_Region!Q$15,$M$1,Cons_Region!$H$12,Cons_Region!$C$12,$N$1,$A260,$L$1,$K$1)</f>
        <v>0</v>
      </c>
      <c r="R260" s="12">
        <f>_xll.DBRW($B$1,R$14,Cons_Region!R$15,$M$1,Cons_Region!$H$12,Cons_Region!$C$12,$N$1,$A260,$L$1,$K$1)</f>
        <v>0</v>
      </c>
      <c r="S260" s="12">
        <f>_xll.DBRW($B$1,S$14,Cons_Region!S$15,$M$1,Cons_Region!$H$12,Cons_Region!$C$12,$N$1,$A260,$L$1,$K$1)</f>
        <v>0</v>
      </c>
    </row>
    <row r="261" spans="1:19" ht="15.75" customHeight="1">
      <c r="A261" s="69" t="s">
        <v>489</v>
      </c>
      <c r="B261" s="13" t="s">
        <v>118</v>
      </c>
      <c r="C261" s="12">
        <f>_xll.DBRW($B$1,Cons_Region!$F$12,Cons_Region!C$15,$M$1,Cons_Region!$H$12,Cons_Region!$C$12,$N$1,$A261,$L$1,$K$1)</f>
        <v>0</v>
      </c>
      <c r="D261" s="12">
        <f>_xll.DBRW($B$1,Cons_Region!$F$12,Cons_Region!D$15,$M$1,Cons_Region!$H$12,Cons_Region!$C$12,$N$1,$A261,$L$1,$K$1)</f>
        <v>0</v>
      </c>
      <c r="E261" s="12">
        <f>_xll.DBRW($B$1,Cons_Region!$F$12,Cons_Region!E$15,$M$1,Cons_Region!$H$12,Cons_Region!$C$12,$N$1,$A261,$L$1,$K$1)</f>
        <v>0</v>
      </c>
      <c r="F261" s="12">
        <f>_xll.DBRW($B$1,Cons_Region!$F$12,Cons_Region!F$15,$M$1,Cons_Region!$H$12,Cons_Region!$C$12,$N$1,$A261,$L$1,$K$1)</f>
        <v>0</v>
      </c>
      <c r="G261" s="12">
        <f>_xll.DBRW($B$1,Cons_Region!$F$12,Cons_Region!G$15,$M$1,Cons_Region!$H$12,Cons_Region!$C$12,$N$1,$A261,$L$1,$K$1)</f>
        <v>0</v>
      </c>
      <c r="H261" s="12">
        <f>_xll.DBRW($B$1,Cons_Region!$F$12,Cons_Region!H$15,$M$1,Cons_Region!$H$12,Cons_Region!$C$12,$N$1,$A261,$L$1,$K$1)</f>
        <v>0</v>
      </c>
      <c r="I261" s="12">
        <f>_xll.DBRW($B$1,Cons_Region!$F$12,Cons_Region!I$15,$M$1,Cons_Region!$H$12,Cons_Region!$C$12,$N$1,$A261,$L$1,$K$1)</f>
        <v>0</v>
      </c>
      <c r="J261" s="12">
        <f>_xll.DBRW($B$1,Cons_Region!$F$12,Cons_Region!J$15,$M$1,Cons_Region!$H$12,Cons_Region!$C$12,$N$1,$A261,$L$1,$K$1)</f>
        <v>0</v>
      </c>
      <c r="K261" s="12">
        <f>_xll.DBRW($B$1,Cons_Region!$F$12,Cons_Region!K$15,$M$1,Cons_Region!$H$12,Cons_Region!$C$12,$N$1,$A261,$L$1,$K$1)</f>
        <v>0</v>
      </c>
      <c r="L261" s="12">
        <f>_xll.DBRW($B$1,Cons_Region!$F$12,Cons_Region!L$15,$M$1,Cons_Region!$H$12,Cons_Region!$C$12,$N$1,$A261,$L$1,$K$1)</f>
        <v>0</v>
      </c>
      <c r="M261" s="12">
        <f>_xll.DBRW($B$1,Cons_Region!$F$12,Cons_Region!M$15,$M$1,Cons_Region!$H$12,Cons_Region!$C$12,$N$1,$A261,$L$1,$K$1)</f>
        <v>0</v>
      </c>
      <c r="N261" s="12">
        <f>_xll.DBRW($B$1,Cons_Region!$F$12,Cons_Region!N$15,$M$1,Cons_Region!$H$12,Cons_Region!$C$12,$N$1,$A261,$L$1,$K$1)</f>
        <v>0</v>
      </c>
      <c r="O261" s="12">
        <f>_xll.DBRW($B$1,O$14,Cons_Region!O$15,$M$1,Cons_Region!$H$12,Cons_Region!$C$12,$N$1,$A261,$L$1,$K$1)</f>
        <v>0</v>
      </c>
      <c r="P261" s="12">
        <f>_xll.DBRW($B$1,P$14,Cons_Region!P$15,$M$1,Cons_Region!$H$12,Cons_Region!$C$12,$N$1,$A261,$L$1,$K$1)</f>
        <v>0</v>
      </c>
      <c r="Q261" s="12">
        <f>_xll.DBRW($B$1,Q$14,Cons_Region!Q$15,$M$1,Cons_Region!$H$12,Cons_Region!$C$12,$N$1,$A261,$L$1,$K$1)</f>
        <v>0</v>
      </c>
      <c r="R261" s="12">
        <f>_xll.DBRW($B$1,R$14,Cons_Region!R$15,$M$1,Cons_Region!$H$12,Cons_Region!$C$12,$N$1,$A261,$L$1,$K$1)</f>
        <v>0</v>
      </c>
      <c r="S261" s="12">
        <f>_xll.DBRW($B$1,S$14,Cons_Region!S$15,$M$1,Cons_Region!$H$12,Cons_Region!$C$12,$N$1,$A261,$L$1,$K$1)</f>
        <v>0</v>
      </c>
    </row>
    <row r="262" spans="1:19" ht="15.75" customHeight="1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</row>
    <row r="263" spans="1:19" ht="15.75" customHeight="1" thickBot="1">
      <c r="B263" s="18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</row>
    <row r="264" spans="1:19" ht="15.75" customHeight="1" thickTop="1">
      <c r="B264" s="27" t="s">
        <v>119</v>
      </c>
      <c r="C264" s="25"/>
      <c r="D264" s="25"/>
      <c r="E264" s="25"/>
      <c r="F264" s="2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</row>
    <row r="265" spans="1:19" ht="15.75" customHeight="1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80">
        <f>$F$12+1</f>
        <v>2027</v>
      </c>
      <c r="P265" s="80">
        <f>$F$12+2</f>
        <v>2028</v>
      </c>
      <c r="Q265" s="80">
        <f>$F$12+3</f>
        <v>2029</v>
      </c>
      <c r="R265" s="80">
        <f>$F$12+4</f>
        <v>2030</v>
      </c>
      <c r="S265" s="80">
        <f>$F$12+5</f>
        <v>2031</v>
      </c>
    </row>
    <row r="266" spans="1:19" ht="15.75" customHeight="1">
      <c r="B266" s="22"/>
      <c r="C266" s="23" t="str">
        <f t="shared" ref="C266:N266" si="22">$F$12&amp;"."&amp;C$15</f>
        <v>2026.01</v>
      </c>
      <c r="D266" s="23" t="str">
        <f t="shared" si="22"/>
        <v>2026.02</v>
      </c>
      <c r="E266" s="23" t="str">
        <f t="shared" si="22"/>
        <v>2026.03</v>
      </c>
      <c r="F266" s="23" t="str">
        <f t="shared" si="22"/>
        <v>2026.04</v>
      </c>
      <c r="G266" s="23" t="str">
        <f t="shared" si="22"/>
        <v>2026.05</v>
      </c>
      <c r="H266" s="23" t="str">
        <f t="shared" si="22"/>
        <v>2026.06</v>
      </c>
      <c r="I266" s="23" t="str">
        <f t="shared" si="22"/>
        <v>2026.07</v>
      </c>
      <c r="J266" s="23" t="str">
        <f t="shared" si="22"/>
        <v>2026.08</v>
      </c>
      <c r="K266" s="23" t="str">
        <f t="shared" si="22"/>
        <v>2026.09</v>
      </c>
      <c r="L266" s="23" t="str">
        <f t="shared" si="22"/>
        <v>2026.10</v>
      </c>
      <c r="M266" s="23" t="str">
        <f t="shared" si="22"/>
        <v>2026.11</v>
      </c>
      <c r="N266" s="23" t="str">
        <f t="shared" si="22"/>
        <v>2026.12</v>
      </c>
      <c r="O266" s="23" t="s">
        <v>304</v>
      </c>
      <c r="P266" s="23" t="s">
        <v>304</v>
      </c>
      <c r="Q266" s="23" t="s">
        <v>304</v>
      </c>
      <c r="R266" s="23" t="s">
        <v>304</v>
      </c>
      <c r="S266" s="23" t="s">
        <v>304</v>
      </c>
    </row>
    <row r="267" spans="1:19" ht="15.75" customHeight="1">
      <c r="A267" s="69" t="s">
        <v>491</v>
      </c>
      <c r="B267" s="13" t="s">
        <v>120</v>
      </c>
      <c r="C267" s="12">
        <f>_xll.DBRW($B$1,Cons_Region!$F$12,Cons_Region!C$15,$M$1,Cons_Region!$H$12,Cons_Region!$C$12,$N$1,$A267,$L$1,$K$1)</f>
        <v>0</v>
      </c>
      <c r="D267" s="12">
        <f>_xll.DBRW($B$1,Cons_Region!$F$12,Cons_Region!D$15,$M$1,Cons_Region!$H$12,Cons_Region!$C$12,$N$1,$A267,$L$1,$K$1)</f>
        <v>-15.924899999999999</v>
      </c>
      <c r="E267" s="12">
        <f>_xll.DBRW($B$1,Cons_Region!$F$12,Cons_Region!E$15,$M$1,Cons_Region!$H$12,Cons_Region!$C$12,$N$1,$A267,$L$1,$K$1)</f>
        <v>-9.2100000000000001E-2</v>
      </c>
      <c r="F267" s="12">
        <f>_xll.DBRW($B$1,Cons_Region!$F$12,Cons_Region!F$15,$M$1,Cons_Region!$H$12,Cons_Region!$C$12,$N$1,$A267,$L$1,$K$1)</f>
        <v>14.431100000000001</v>
      </c>
      <c r="G267" s="12">
        <f>_xll.DBRW($B$1,Cons_Region!$F$12,Cons_Region!G$15,$M$1,Cons_Region!$H$12,Cons_Region!$C$12,$N$1,$A267,$L$1,$K$1)</f>
        <v>4.1813000000000002</v>
      </c>
      <c r="H267" s="12">
        <f>_xll.DBRW($B$1,Cons_Region!$F$12,Cons_Region!H$15,$M$1,Cons_Region!$H$12,Cons_Region!$C$12,$N$1,$A267,$L$1,$K$1)</f>
        <v>27.433900000000001</v>
      </c>
      <c r="I267" s="12">
        <f>_xll.DBRW($B$1,Cons_Region!$F$12,Cons_Region!I$15,$M$1,Cons_Region!$H$12,Cons_Region!$C$12,$N$1,$A267,$L$1,$K$1)</f>
        <v>42.116199999999999</v>
      </c>
      <c r="J267" s="12">
        <f>_xll.DBRW($B$1,Cons_Region!$F$12,Cons_Region!J$15,$M$1,Cons_Region!$H$12,Cons_Region!$C$12,$N$1,$A267,$L$1,$K$1)</f>
        <v>17.509599999999999</v>
      </c>
      <c r="K267" s="12">
        <f>_xll.DBRW($B$1,Cons_Region!$F$12,Cons_Region!K$15,$M$1,Cons_Region!$H$12,Cons_Region!$C$12,$N$1,$A267,$L$1,$K$1)</f>
        <v>0.32800000000000001</v>
      </c>
      <c r="L267" s="12">
        <f>_xll.DBRW($B$1,Cons_Region!$F$12,Cons_Region!L$15,$M$1,Cons_Region!$H$12,Cons_Region!$C$12,$N$1,$A267,$L$1,$K$1)</f>
        <v>10.886699999999999</v>
      </c>
      <c r="M267" s="12">
        <f>_xll.DBRW($B$1,Cons_Region!$F$12,Cons_Region!M$15,$M$1,Cons_Region!$H$12,Cons_Region!$C$12,$N$1,$A267,$L$1,$K$1)</f>
        <v>0.9849</v>
      </c>
      <c r="N267" s="12">
        <f>_xll.DBRW($B$1,Cons_Region!$F$12,Cons_Region!N$15,$M$1,Cons_Region!$H$12,Cons_Region!$C$12,$N$1,$A267,$L$1,$K$1)</f>
        <v>0</v>
      </c>
      <c r="O267" s="12">
        <f>_xll.DBRW($B$1,O$14,Cons_Region!O$15,$M$1,Cons_Region!$H$12,Cons_Region!$C$12,$N$1,$A267,$L$1,$K$1)</f>
        <v>0</v>
      </c>
      <c r="P267" s="12">
        <f>_xll.DBRW($B$1,P$14,Cons_Region!P$15,$M$1,Cons_Region!$H$12,Cons_Region!$C$12,$N$1,$A267,$L$1,$K$1)</f>
        <v>0</v>
      </c>
      <c r="Q267" s="12">
        <f>_xll.DBRW($B$1,Q$14,Cons_Region!Q$15,$M$1,Cons_Region!$H$12,Cons_Region!$C$12,$N$1,$A267,$L$1,$K$1)</f>
        <v>0</v>
      </c>
      <c r="R267" s="12">
        <f>_xll.DBRW($B$1,R$14,Cons_Region!R$15,$M$1,Cons_Region!$H$12,Cons_Region!$C$12,$N$1,$A267,$L$1,$K$1)</f>
        <v>0</v>
      </c>
      <c r="S267" s="12">
        <f>_xll.DBRW($B$1,S$14,Cons_Region!S$15,$M$1,Cons_Region!$H$12,Cons_Region!$C$12,$N$1,$A267,$L$1,$K$1)</f>
        <v>0</v>
      </c>
    </row>
    <row r="268" spans="1:19" ht="15.75" customHeight="1">
      <c r="A268" s="69" t="s">
        <v>492</v>
      </c>
      <c r="B268" s="13" t="s">
        <v>121</v>
      </c>
      <c r="C268" s="12">
        <f>_xll.DBRW($B$1,Cons_Region!$F$12,Cons_Region!C$15,$M$1,Cons_Region!$H$12,Cons_Region!$C$12,$N$1,$A268,$L$1,$K$1)</f>
        <v>0</v>
      </c>
      <c r="D268" s="12">
        <f>_xll.DBRW($B$1,Cons_Region!$F$12,Cons_Region!D$15,$M$1,Cons_Region!$H$12,Cons_Region!$C$12,$N$1,$A268,$L$1,$K$1)</f>
        <v>-6.0369999999999999</v>
      </c>
      <c r="E268" s="12">
        <f>_xll.DBRW($B$1,Cons_Region!$F$12,Cons_Region!E$15,$M$1,Cons_Region!$H$12,Cons_Region!$C$12,$N$1,$A268,$L$1,$K$1)</f>
        <v>0.03</v>
      </c>
      <c r="F268" s="12">
        <f>_xll.DBRW($B$1,Cons_Region!$F$12,Cons_Region!F$15,$M$1,Cons_Region!$H$12,Cons_Region!$C$12,$N$1,$A268,$L$1,$K$1)</f>
        <v>-12.088800000000001</v>
      </c>
      <c r="G268" s="12">
        <f>_xll.DBRW($B$1,Cons_Region!$F$12,Cons_Region!G$15,$M$1,Cons_Region!$H$12,Cons_Region!$C$12,$N$1,$A268,$L$1,$K$1)</f>
        <v>-0.19270000000000001</v>
      </c>
      <c r="H268" s="12">
        <f>_xll.DBRW($B$1,Cons_Region!$F$12,Cons_Region!H$15,$M$1,Cons_Region!$H$12,Cons_Region!$C$12,$N$1,$A268,$L$1,$K$1)</f>
        <v>-26.999199999999998</v>
      </c>
      <c r="I268" s="12">
        <f>_xll.DBRW($B$1,Cons_Region!$F$12,Cons_Region!I$15,$M$1,Cons_Region!$H$12,Cons_Region!$C$12,$N$1,$A268,$L$1,$K$1)</f>
        <v>-41.0657</v>
      </c>
      <c r="J268" s="12">
        <f>_xll.DBRW($B$1,Cons_Region!$F$12,Cons_Region!J$15,$M$1,Cons_Region!$H$12,Cons_Region!$C$12,$N$1,$A268,$L$1,$K$1)</f>
        <v>-17.915400000000002</v>
      </c>
      <c r="K268" s="12">
        <f>_xll.DBRW($B$1,Cons_Region!$F$12,Cons_Region!K$15,$M$1,Cons_Region!$H$12,Cons_Region!$C$12,$N$1,$A268,$L$1,$K$1)</f>
        <v>-0.16520000000000001</v>
      </c>
      <c r="L268" s="12">
        <f>_xll.DBRW($B$1,Cons_Region!$F$12,Cons_Region!L$15,$M$1,Cons_Region!$H$12,Cons_Region!$C$12,$N$1,$A268,$L$1,$K$1)</f>
        <v>-10.6021</v>
      </c>
      <c r="M268" s="12">
        <f>_xll.DBRW($B$1,Cons_Region!$F$12,Cons_Region!M$15,$M$1,Cons_Region!$H$12,Cons_Region!$C$12,$N$1,$A268,$L$1,$K$1)</f>
        <v>-0.1249</v>
      </c>
      <c r="N268" s="12">
        <f>_xll.DBRW($B$1,Cons_Region!$F$12,Cons_Region!N$15,$M$1,Cons_Region!$H$12,Cons_Region!$C$12,$N$1,$A268,$L$1,$K$1)</f>
        <v>0</v>
      </c>
      <c r="O268" s="12">
        <f>_xll.DBRW($B$1,O$14,Cons_Region!O$15,$M$1,Cons_Region!$H$12,Cons_Region!$C$12,$N$1,$A268,$L$1,$K$1)</f>
        <v>0</v>
      </c>
      <c r="P268" s="12">
        <f>_xll.DBRW($B$1,P$14,Cons_Region!P$15,$M$1,Cons_Region!$H$12,Cons_Region!$C$12,$N$1,$A268,$L$1,$K$1)</f>
        <v>0</v>
      </c>
      <c r="Q268" s="12">
        <f>_xll.DBRW($B$1,Q$14,Cons_Region!Q$15,$M$1,Cons_Region!$H$12,Cons_Region!$C$12,$N$1,$A268,$L$1,$K$1)</f>
        <v>0</v>
      </c>
      <c r="R268" s="12">
        <f>_xll.DBRW($B$1,R$14,Cons_Region!R$15,$M$1,Cons_Region!$H$12,Cons_Region!$C$12,$N$1,$A268,$L$1,$K$1)</f>
        <v>0</v>
      </c>
      <c r="S268" s="12">
        <f>_xll.DBRW($B$1,S$14,Cons_Region!S$15,$M$1,Cons_Region!$H$12,Cons_Region!$C$12,$N$1,$A268,$L$1,$K$1)</f>
        <v>0</v>
      </c>
    </row>
    <row r="269" spans="1:19" ht="15.75" customHeight="1">
      <c r="A269" s="69" t="s">
        <v>493</v>
      </c>
      <c r="B269" s="13" t="s">
        <v>122</v>
      </c>
      <c r="C269" s="12">
        <f>_xll.DBRW($B$1,Cons_Region!$F$12,Cons_Region!C$15,$M$1,Cons_Region!$H$12,Cons_Region!$C$12,$N$1,$A269,$L$1,$K$1)</f>
        <v>0</v>
      </c>
      <c r="D269" s="12">
        <f>_xll.DBRW($B$1,Cons_Region!$F$12,Cons_Region!D$15,$M$1,Cons_Region!$H$12,Cons_Region!$C$12,$N$1,$A269,$L$1,$K$1)</f>
        <v>0</v>
      </c>
      <c r="E269" s="12">
        <f>_xll.DBRW($B$1,Cons_Region!$F$12,Cons_Region!E$15,$M$1,Cons_Region!$H$12,Cons_Region!$C$12,$N$1,$A269,$L$1,$K$1)</f>
        <v>0</v>
      </c>
      <c r="F269" s="12">
        <f>_xll.DBRW($B$1,Cons_Region!$F$12,Cons_Region!F$15,$M$1,Cons_Region!$H$12,Cons_Region!$C$12,$N$1,$A269,$L$1,$K$1)</f>
        <v>0</v>
      </c>
      <c r="G269" s="12">
        <f>_xll.DBRW($B$1,Cons_Region!$F$12,Cons_Region!G$15,$M$1,Cons_Region!$H$12,Cons_Region!$C$12,$N$1,$A269,$L$1,$K$1)</f>
        <v>0</v>
      </c>
      <c r="H269" s="12">
        <f>_xll.DBRW($B$1,Cons_Region!$F$12,Cons_Region!H$15,$M$1,Cons_Region!$H$12,Cons_Region!$C$12,$N$1,$A269,$L$1,$K$1)</f>
        <v>0</v>
      </c>
      <c r="I269" s="12">
        <f>_xll.DBRW($B$1,Cons_Region!$F$12,Cons_Region!I$15,$M$1,Cons_Region!$H$12,Cons_Region!$C$12,$N$1,$A269,$L$1,$K$1)</f>
        <v>0</v>
      </c>
      <c r="J269" s="12">
        <f>_xll.DBRW($B$1,Cons_Region!$F$12,Cons_Region!J$15,$M$1,Cons_Region!$H$12,Cons_Region!$C$12,$N$1,$A269,$L$1,$K$1)</f>
        <v>0</v>
      </c>
      <c r="K269" s="12">
        <f>_xll.DBRW($B$1,Cons_Region!$F$12,Cons_Region!K$15,$M$1,Cons_Region!$H$12,Cons_Region!$C$12,$N$1,$A269,$L$1,$K$1)</f>
        <v>0</v>
      </c>
      <c r="L269" s="12">
        <f>_xll.DBRW($B$1,Cons_Region!$F$12,Cons_Region!L$15,$M$1,Cons_Region!$H$12,Cons_Region!$C$12,$N$1,$A269,$L$1,$K$1)</f>
        <v>0</v>
      </c>
      <c r="M269" s="12">
        <f>_xll.DBRW($B$1,Cons_Region!$F$12,Cons_Region!M$15,$M$1,Cons_Region!$H$12,Cons_Region!$C$12,$N$1,$A269,$L$1,$K$1)</f>
        <v>0</v>
      </c>
      <c r="N269" s="12">
        <f>_xll.DBRW($B$1,Cons_Region!$F$12,Cons_Region!N$15,$M$1,Cons_Region!$H$12,Cons_Region!$C$12,$N$1,$A269,$L$1,$K$1)</f>
        <v>0</v>
      </c>
      <c r="O269" s="12">
        <f>_xll.DBRW($B$1,O$14,Cons_Region!O$15,$M$1,Cons_Region!$H$12,Cons_Region!$C$12,$N$1,$A269,$L$1,$K$1)</f>
        <v>0</v>
      </c>
      <c r="P269" s="12">
        <f>_xll.DBRW($B$1,P$14,Cons_Region!P$15,$M$1,Cons_Region!$H$12,Cons_Region!$C$12,$N$1,$A269,$L$1,$K$1)</f>
        <v>0</v>
      </c>
      <c r="Q269" s="12">
        <f>_xll.DBRW($B$1,Q$14,Cons_Region!Q$15,$M$1,Cons_Region!$H$12,Cons_Region!$C$12,$N$1,$A269,$L$1,$K$1)</f>
        <v>0</v>
      </c>
      <c r="R269" s="12">
        <f>_xll.DBRW($B$1,R$14,Cons_Region!R$15,$M$1,Cons_Region!$H$12,Cons_Region!$C$12,$N$1,$A269,$L$1,$K$1)</f>
        <v>0</v>
      </c>
      <c r="S269" s="12">
        <f>_xll.DBRW($B$1,S$14,Cons_Region!S$15,$M$1,Cons_Region!$H$12,Cons_Region!$C$12,$N$1,$A269,$L$1,$K$1)</f>
        <v>0</v>
      </c>
    </row>
    <row r="270" spans="1:19" ht="15.75" customHeight="1">
      <c r="A270" s="69" t="s">
        <v>494</v>
      </c>
      <c r="B270" s="13" t="s">
        <v>123</v>
      </c>
      <c r="C270" s="12">
        <f>_xll.DBRW($B$1,Cons_Region!$F$12,Cons_Region!C$15,$M$1,Cons_Region!$H$12,Cons_Region!$C$12,$N$1,$A270,$L$1,$K$1)</f>
        <v>0</v>
      </c>
      <c r="D270" s="12">
        <f>_xll.DBRW($B$1,Cons_Region!$F$12,Cons_Region!D$15,$M$1,Cons_Region!$H$12,Cons_Region!$C$12,$N$1,$A270,$L$1,$K$1)</f>
        <v>0</v>
      </c>
      <c r="E270" s="12">
        <f>_xll.DBRW($B$1,Cons_Region!$F$12,Cons_Region!E$15,$M$1,Cons_Region!$H$12,Cons_Region!$C$12,$N$1,$A270,$L$1,$K$1)</f>
        <v>0</v>
      </c>
      <c r="F270" s="12">
        <f>_xll.DBRW($B$1,Cons_Region!$F$12,Cons_Region!F$15,$M$1,Cons_Region!$H$12,Cons_Region!$C$12,$N$1,$A270,$L$1,$K$1)</f>
        <v>0</v>
      </c>
      <c r="G270" s="12">
        <f>_xll.DBRW($B$1,Cons_Region!$F$12,Cons_Region!G$15,$M$1,Cons_Region!$H$12,Cons_Region!$C$12,$N$1,$A270,$L$1,$K$1)</f>
        <v>0</v>
      </c>
      <c r="H270" s="12">
        <f>_xll.DBRW($B$1,Cons_Region!$F$12,Cons_Region!H$15,$M$1,Cons_Region!$H$12,Cons_Region!$C$12,$N$1,$A270,$L$1,$K$1)</f>
        <v>0</v>
      </c>
      <c r="I270" s="12">
        <f>_xll.DBRW($B$1,Cons_Region!$F$12,Cons_Region!I$15,$M$1,Cons_Region!$H$12,Cons_Region!$C$12,$N$1,$A270,$L$1,$K$1)</f>
        <v>0</v>
      </c>
      <c r="J270" s="12">
        <f>_xll.DBRW($B$1,Cons_Region!$F$12,Cons_Region!J$15,$M$1,Cons_Region!$H$12,Cons_Region!$C$12,$N$1,$A270,$L$1,$K$1)</f>
        <v>0</v>
      </c>
      <c r="K270" s="12">
        <f>_xll.DBRW($B$1,Cons_Region!$F$12,Cons_Region!K$15,$M$1,Cons_Region!$H$12,Cons_Region!$C$12,$N$1,$A270,$L$1,$K$1)</f>
        <v>0</v>
      </c>
      <c r="L270" s="12">
        <f>_xll.DBRW($B$1,Cons_Region!$F$12,Cons_Region!L$15,$M$1,Cons_Region!$H$12,Cons_Region!$C$12,$N$1,$A270,$L$1,$K$1)</f>
        <v>0</v>
      </c>
      <c r="M270" s="12">
        <f>_xll.DBRW($B$1,Cons_Region!$F$12,Cons_Region!M$15,$M$1,Cons_Region!$H$12,Cons_Region!$C$12,$N$1,$A270,$L$1,$K$1)</f>
        <v>0</v>
      </c>
      <c r="N270" s="12">
        <f>_xll.DBRW($B$1,Cons_Region!$F$12,Cons_Region!N$15,$M$1,Cons_Region!$H$12,Cons_Region!$C$12,$N$1,$A270,$L$1,$K$1)</f>
        <v>0</v>
      </c>
      <c r="O270" s="12">
        <f>_xll.DBRW($B$1,O$14,Cons_Region!O$15,$M$1,Cons_Region!$H$12,Cons_Region!$C$12,$N$1,$A270,$L$1,$K$1)</f>
        <v>0</v>
      </c>
      <c r="P270" s="12">
        <f>_xll.DBRW($B$1,P$14,Cons_Region!P$15,$M$1,Cons_Region!$H$12,Cons_Region!$C$12,$N$1,$A270,$L$1,$K$1)</f>
        <v>0</v>
      </c>
      <c r="Q270" s="12">
        <f>_xll.DBRW($B$1,Q$14,Cons_Region!Q$15,$M$1,Cons_Region!$H$12,Cons_Region!$C$12,$N$1,$A270,$L$1,$K$1)</f>
        <v>0</v>
      </c>
      <c r="R270" s="12">
        <f>_xll.DBRW($B$1,R$14,Cons_Region!R$15,$M$1,Cons_Region!$H$12,Cons_Region!$C$12,$N$1,$A270,$L$1,$K$1)</f>
        <v>0</v>
      </c>
      <c r="S270" s="12">
        <f>_xll.DBRW($B$1,S$14,Cons_Region!S$15,$M$1,Cons_Region!$H$12,Cons_Region!$C$12,$N$1,$A270,$L$1,$K$1)</f>
        <v>0</v>
      </c>
    </row>
    <row r="271" spans="1:19" ht="15.75" customHeight="1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</row>
    <row r="272" spans="1:19" ht="15.75" customHeight="1" thickBot="1">
      <c r="B272" s="18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</row>
    <row r="273" spans="1:19" ht="15.75" customHeight="1" thickTop="1">
      <c r="B273" s="27" t="s">
        <v>124</v>
      </c>
      <c r="C273" s="25"/>
      <c r="D273" s="25"/>
      <c r="E273" s="25"/>
      <c r="F273" s="3"/>
      <c r="G273" s="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</row>
    <row r="274" spans="1:19" ht="15.75" customHeight="1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80">
        <f>$F$12+1</f>
        <v>2027</v>
      </c>
      <c r="P274" s="80">
        <f>$F$12+2</f>
        <v>2028</v>
      </c>
      <c r="Q274" s="80">
        <f>$F$12+3</f>
        <v>2029</v>
      </c>
      <c r="R274" s="80">
        <f>$F$12+4</f>
        <v>2030</v>
      </c>
      <c r="S274" s="80">
        <f>$F$12+5</f>
        <v>2031</v>
      </c>
    </row>
    <row r="275" spans="1:19" ht="15.75" customHeight="1">
      <c r="B275" s="22"/>
      <c r="C275" s="23" t="str">
        <f t="shared" ref="C275:N275" si="23">$F$12&amp;"."&amp;C$15</f>
        <v>2026.01</v>
      </c>
      <c r="D275" s="23" t="str">
        <f t="shared" si="23"/>
        <v>2026.02</v>
      </c>
      <c r="E275" s="23" t="str">
        <f t="shared" si="23"/>
        <v>2026.03</v>
      </c>
      <c r="F275" s="23" t="str">
        <f t="shared" si="23"/>
        <v>2026.04</v>
      </c>
      <c r="G275" s="23" t="str">
        <f t="shared" si="23"/>
        <v>2026.05</v>
      </c>
      <c r="H275" s="23" t="str">
        <f t="shared" si="23"/>
        <v>2026.06</v>
      </c>
      <c r="I275" s="23" t="str">
        <f t="shared" si="23"/>
        <v>2026.07</v>
      </c>
      <c r="J275" s="23" t="str">
        <f t="shared" si="23"/>
        <v>2026.08</v>
      </c>
      <c r="K275" s="23" t="str">
        <f t="shared" si="23"/>
        <v>2026.09</v>
      </c>
      <c r="L275" s="23" t="str">
        <f t="shared" si="23"/>
        <v>2026.10</v>
      </c>
      <c r="M275" s="23" t="str">
        <f t="shared" si="23"/>
        <v>2026.11</v>
      </c>
      <c r="N275" s="23" t="str">
        <f t="shared" si="23"/>
        <v>2026.12</v>
      </c>
      <c r="O275" s="23" t="s">
        <v>304</v>
      </c>
      <c r="P275" s="23" t="s">
        <v>304</v>
      </c>
      <c r="Q275" s="23" t="s">
        <v>304</v>
      </c>
      <c r="R275" s="23" t="s">
        <v>304</v>
      </c>
      <c r="S275" s="23" t="s">
        <v>304</v>
      </c>
    </row>
    <row r="276" spans="1:19" ht="15.75" customHeight="1">
      <c r="A276" s="69" t="s">
        <v>495</v>
      </c>
      <c r="B276" s="13" t="s">
        <v>125</v>
      </c>
      <c r="C276" s="12">
        <f>_xll.DBRW($B$1,Cons_Region!$F$12,Cons_Region!C$15,$M$1,Cons_Region!$H$12,Cons_Region!$C$12,$N$1,$A276,$L$1,$K$1)</f>
        <v>0</v>
      </c>
      <c r="D276" s="12">
        <f>_xll.DBRW($B$1,Cons_Region!$F$12,Cons_Region!D$15,$M$1,Cons_Region!$H$12,Cons_Region!$C$12,$N$1,$A276,$L$1,$K$1)</f>
        <v>-11.5221</v>
      </c>
      <c r="E276" s="12">
        <f>_xll.DBRW($B$1,Cons_Region!$F$12,Cons_Region!E$15,$M$1,Cons_Region!$H$12,Cons_Region!$C$12,$N$1,$A276,$L$1,$K$1)</f>
        <v>25.5032</v>
      </c>
      <c r="F276" s="12">
        <f>_xll.DBRW($B$1,Cons_Region!$F$12,Cons_Region!F$15,$M$1,Cons_Region!$H$12,Cons_Region!$C$12,$N$1,$A276,$L$1,$K$1)</f>
        <v>8.5891999999999999</v>
      </c>
      <c r="G276" s="12">
        <f>_xll.DBRW($B$1,Cons_Region!$F$12,Cons_Region!G$15,$M$1,Cons_Region!$H$12,Cons_Region!$C$12,$N$1,$A276,$L$1,$K$1)</f>
        <v>7.2908999999999997</v>
      </c>
      <c r="H276" s="12">
        <f>_xll.DBRW($B$1,Cons_Region!$F$12,Cons_Region!H$15,$M$1,Cons_Region!$H$12,Cons_Region!$C$12,$N$1,$A276,$L$1,$K$1)</f>
        <v>8.1341999999999999</v>
      </c>
      <c r="I276" s="12">
        <f>_xll.DBRW($B$1,Cons_Region!$F$12,Cons_Region!I$15,$M$1,Cons_Region!$H$12,Cons_Region!$C$12,$N$1,$A276,$L$1,$K$1)</f>
        <v>4.8456000000000001</v>
      </c>
      <c r="J276" s="12">
        <f>_xll.DBRW($B$1,Cons_Region!$F$12,Cons_Region!J$15,$M$1,Cons_Region!$H$12,Cons_Region!$C$12,$N$1,$A276,$L$1,$K$1)</f>
        <v>-1.2650999999999999</v>
      </c>
      <c r="K276" s="12">
        <f>_xll.DBRW($B$1,Cons_Region!$F$12,Cons_Region!K$15,$M$1,Cons_Region!$H$12,Cons_Region!$C$12,$N$1,$A276,$L$1,$K$1)</f>
        <v>3.9275000000000002</v>
      </c>
      <c r="L276" s="12">
        <f>_xll.DBRW($B$1,Cons_Region!$F$12,Cons_Region!L$15,$M$1,Cons_Region!$H$12,Cons_Region!$C$12,$N$1,$A276,$L$1,$K$1)</f>
        <v>-1.1054999999999999</v>
      </c>
      <c r="M276" s="12">
        <f>_xll.DBRW($B$1,Cons_Region!$F$12,Cons_Region!M$15,$M$1,Cons_Region!$H$12,Cons_Region!$C$12,$N$1,$A276,$L$1,$K$1)</f>
        <v>-8.4900000000000003E-2</v>
      </c>
      <c r="N276" s="12">
        <f>_xll.DBRW($B$1,Cons_Region!$F$12,Cons_Region!N$15,$M$1,Cons_Region!$H$12,Cons_Region!$C$12,$N$1,$A276,$L$1,$K$1)</f>
        <v>0</v>
      </c>
      <c r="O276" s="12">
        <f>_xll.DBRW($B$1,O$14,Cons_Region!O$15,$M$1,Cons_Region!$H$12,Cons_Region!$C$12,$N$1,$A276,$L$1,$K$1)</f>
        <v>0</v>
      </c>
      <c r="P276" s="12">
        <f>_xll.DBRW($B$1,P$14,Cons_Region!P$15,$M$1,Cons_Region!$H$12,Cons_Region!$C$12,$N$1,$A276,$L$1,$K$1)</f>
        <v>0</v>
      </c>
      <c r="Q276" s="12">
        <f>_xll.DBRW($B$1,Q$14,Cons_Region!Q$15,$M$1,Cons_Region!$H$12,Cons_Region!$C$12,$N$1,$A276,$L$1,$K$1)</f>
        <v>0</v>
      </c>
      <c r="R276" s="12">
        <f>_xll.DBRW($B$1,R$14,Cons_Region!R$15,$M$1,Cons_Region!$H$12,Cons_Region!$C$12,$N$1,$A276,$L$1,$K$1)</f>
        <v>0</v>
      </c>
      <c r="S276" s="12">
        <f>_xll.DBRW($B$1,S$14,Cons_Region!S$15,$M$1,Cons_Region!$H$12,Cons_Region!$C$12,$N$1,$A276,$L$1,$K$1)</f>
        <v>0</v>
      </c>
    </row>
    <row r="277" spans="1:19" ht="15.75" customHeight="1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</row>
    <row r="278" spans="1:19" ht="15.75" customHeight="1" thickBot="1">
      <c r="B278" s="18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</row>
    <row r="279" spans="1:19" ht="15.75" customHeight="1" thickTop="1">
      <c r="B279" s="27" t="s">
        <v>126</v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1:19" ht="15.75" customHeight="1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80">
        <f>$F$12+1</f>
        <v>2027</v>
      </c>
      <c r="P280" s="80">
        <f>$F$12+2</f>
        <v>2028</v>
      </c>
      <c r="Q280" s="80">
        <f>$F$12+3</f>
        <v>2029</v>
      </c>
      <c r="R280" s="80">
        <f>$F$12+4</f>
        <v>2030</v>
      </c>
      <c r="S280" s="80">
        <f>$F$12+5</f>
        <v>2031</v>
      </c>
    </row>
    <row r="281" spans="1:19" ht="15.75" customHeight="1">
      <c r="B281" s="22"/>
      <c r="C281" s="23" t="str">
        <f t="shared" ref="C281:N281" si="24">$F$12&amp;"."&amp;C$15</f>
        <v>2026.01</v>
      </c>
      <c r="D281" s="23" t="str">
        <f t="shared" si="24"/>
        <v>2026.02</v>
      </c>
      <c r="E281" s="23" t="str">
        <f t="shared" si="24"/>
        <v>2026.03</v>
      </c>
      <c r="F281" s="23" t="str">
        <f t="shared" si="24"/>
        <v>2026.04</v>
      </c>
      <c r="G281" s="23" t="str">
        <f t="shared" si="24"/>
        <v>2026.05</v>
      </c>
      <c r="H281" s="23" t="str">
        <f t="shared" si="24"/>
        <v>2026.06</v>
      </c>
      <c r="I281" s="23" t="str">
        <f t="shared" si="24"/>
        <v>2026.07</v>
      </c>
      <c r="J281" s="23" t="str">
        <f t="shared" si="24"/>
        <v>2026.08</v>
      </c>
      <c r="K281" s="23" t="str">
        <f t="shared" si="24"/>
        <v>2026.09</v>
      </c>
      <c r="L281" s="23" t="str">
        <f t="shared" si="24"/>
        <v>2026.10</v>
      </c>
      <c r="M281" s="23" t="str">
        <f t="shared" si="24"/>
        <v>2026.11</v>
      </c>
      <c r="N281" s="23" t="str">
        <f t="shared" si="24"/>
        <v>2026.12</v>
      </c>
      <c r="O281" s="23" t="s">
        <v>304</v>
      </c>
      <c r="P281" s="23" t="s">
        <v>304</v>
      </c>
      <c r="Q281" s="23" t="s">
        <v>304</v>
      </c>
      <c r="R281" s="23" t="s">
        <v>304</v>
      </c>
      <c r="S281" s="23" t="s">
        <v>304</v>
      </c>
    </row>
    <row r="282" spans="1:19" ht="15.75" customHeight="1">
      <c r="A282" s="69" t="s">
        <v>332</v>
      </c>
      <c r="B282" s="15" t="s">
        <v>24</v>
      </c>
      <c r="C282" s="20">
        <f>_xll.DBRW($D$2,Cons_Region!$F$12,Cons_Region!C$15,$M$1,Cons_Region!$H$12,Cons_Region!$C$12,$A282,$K$1)</f>
        <v>0</v>
      </c>
      <c r="D282" s="20">
        <f>_xll.DBRW($D$2,Cons_Region!$F$12,Cons_Region!D$15,$M$1,Cons_Region!$H$12,Cons_Region!$C$12,$A282,$K$1)</f>
        <v>164.97952309587998</v>
      </c>
      <c r="E282" s="20">
        <f>_xll.DBRW($D$2,Cons_Region!$F$12,Cons_Region!E$15,$M$1,Cons_Region!$H$12,Cons_Region!$C$12,$A282,$K$1)</f>
        <v>211.5546645373002</v>
      </c>
      <c r="F282" s="20">
        <f>_xll.DBRW($D$2,Cons_Region!$F$12,Cons_Region!F$15,$M$1,Cons_Region!$H$12,Cons_Region!$C$12,$A282,$K$1)</f>
        <v>218.04975823631995</v>
      </c>
      <c r="G282" s="20">
        <f>_xll.DBRW($D$2,Cons_Region!$F$12,Cons_Region!G$15,$M$1,Cons_Region!$H$12,Cons_Region!$C$12,$A282,$K$1)</f>
        <v>280.17124277758006</v>
      </c>
      <c r="H282" s="20">
        <f>_xll.DBRW($D$2,Cons_Region!$F$12,Cons_Region!H$15,$M$1,Cons_Region!$H$12,Cons_Region!$C$12,$A282,$K$1)</f>
        <v>316.88202426783994</v>
      </c>
      <c r="I282" s="20">
        <f>_xll.DBRW($D$2,Cons_Region!$F$12,Cons_Region!I$15,$M$1,Cons_Region!$H$12,Cons_Region!$C$12,$A282,$K$1)</f>
        <v>391.21587890327999</v>
      </c>
      <c r="J282" s="20">
        <f>_xll.DBRW($D$2,Cons_Region!$F$12,Cons_Region!J$15,$M$1,Cons_Region!$H$12,Cons_Region!$C$12,$A282,$K$1)</f>
        <v>391.12057595696007</v>
      </c>
      <c r="K282" s="20">
        <f>_xll.DBRW($D$2,Cons_Region!$F$12,Cons_Region!K$15,$M$1,Cons_Region!$H$12,Cons_Region!$C$12,$A282,$K$1)</f>
        <v>404.97955412109002</v>
      </c>
      <c r="L282" s="20">
        <f>_xll.DBRW($D$2,Cons_Region!$F$12,Cons_Region!L$15,$M$1,Cons_Region!$H$12,Cons_Region!$C$12,$A282,$K$1)</f>
        <v>367.84144274912012</v>
      </c>
      <c r="M282" s="20">
        <f>_xll.DBRW($D$2,Cons_Region!$F$12,Cons_Region!M$15,$M$1,Cons_Region!$H$12,Cons_Region!$C$12,$A282,$K$1)</f>
        <v>333.01555738659022</v>
      </c>
      <c r="N282" s="20">
        <f>_xll.DBRW($D$2,Cons_Region!$F$12,Cons_Region!N$15,$M$1,Cons_Region!$H$12,Cons_Region!$C$12,$A282,$K$1)</f>
        <v>274.94185724886017</v>
      </c>
      <c r="O282" s="20">
        <f>_xll.DBRW($D$2,O$14,Cons_Region!O$15,$M$1,Cons_Region!$H$12,Cons_Region!$C$12,$A282,$K$1)</f>
        <v>0</v>
      </c>
      <c r="P282" s="20">
        <f>_xll.DBRW($D$2,P$14,Cons_Region!P$15,$M$1,Cons_Region!$H$12,Cons_Region!$C$12,$A282,$K$1)</f>
        <v>0</v>
      </c>
      <c r="Q282" s="20">
        <f>_xll.DBRW($D$2,Q$14,Cons_Region!Q$15,$M$1,Cons_Region!$H$12,Cons_Region!$C$12,$A282,$K$1)</f>
        <v>0</v>
      </c>
      <c r="R282" s="20">
        <f>_xll.DBRW($D$2,R$14,Cons_Region!R$15,$M$1,Cons_Region!$H$12,Cons_Region!$C$12,$A282,$K$1)</f>
        <v>0</v>
      </c>
      <c r="S282" s="20">
        <f>_xll.DBRW($D$2,S$14,Cons_Region!S$15,$M$1,Cons_Region!$H$12,Cons_Region!$C$12,$A282,$K$1)</f>
        <v>0</v>
      </c>
    </row>
    <row r="283" spans="1:19" ht="15.75" customHeight="1">
      <c r="B283" s="13" t="s">
        <v>128</v>
      </c>
      <c r="C283" s="12" t="e">
        <f>_xll.DBRW($B$1,Cons_Region!$F$12,Cons_Region!C$15,$M$1,Cons_Region!$H$12,Cons_Region!$C$12,$N$1,Cons_Region!$B283,$L$1,$K$1)</f>
        <v>#NUM!</v>
      </c>
      <c r="D283" s="12" t="e">
        <f>_xll.DBRW($B$1,Cons_Region!$F$12,Cons_Region!D$15,$M$1,Cons_Region!$H$12,Cons_Region!$C$12,$N$1,Cons_Region!$B283,$L$1,$K$1)</f>
        <v>#NUM!</v>
      </c>
      <c r="E283" s="12" t="e">
        <f>_xll.DBRW($B$1,Cons_Region!$F$12,Cons_Region!E$15,$M$1,Cons_Region!$H$12,Cons_Region!$C$12,$N$1,Cons_Region!$B283,$L$1,$K$1)</f>
        <v>#NUM!</v>
      </c>
      <c r="F283" s="12" t="e">
        <f>_xll.DBRW($B$1,Cons_Region!$F$12,Cons_Region!F$15,$M$1,Cons_Region!$H$12,Cons_Region!$C$12,$N$1,Cons_Region!$B283,$L$1,$K$1)</f>
        <v>#NUM!</v>
      </c>
      <c r="G283" s="12" t="e">
        <f>_xll.DBRW($B$1,Cons_Region!$F$12,Cons_Region!G$15,$M$1,Cons_Region!$H$12,Cons_Region!$C$12,$N$1,Cons_Region!$B283,$L$1,$K$1)</f>
        <v>#NUM!</v>
      </c>
      <c r="H283" s="12" t="e">
        <f>_xll.DBRW($B$1,Cons_Region!$F$12,Cons_Region!H$15,$M$1,Cons_Region!$H$12,Cons_Region!$C$12,$N$1,Cons_Region!$B283,$L$1,$K$1)</f>
        <v>#NUM!</v>
      </c>
      <c r="I283" s="12" t="e">
        <f>_xll.DBRW($B$1,Cons_Region!$F$12,Cons_Region!I$15,$M$1,Cons_Region!$H$12,Cons_Region!$C$12,$N$1,Cons_Region!$B283,$L$1,$K$1)</f>
        <v>#NUM!</v>
      </c>
      <c r="J283" s="12" t="e">
        <f>_xll.DBRW($B$1,Cons_Region!$F$12,Cons_Region!J$15,$M$1,Cons_Region!$H$12,Cons_Region!$C$12,$N$1,Cons_Region!$B283,$L$1,$K$1)</f>
        <v>#NUM!</v>
      </c>
      <c r="K283" s="12" t="e">
        <f>_xll.DBRW($B$1,Cons_Region!$F$12,Cons_Region!K$15,$M$1,Cons_Region!$H$12,Cons_Region!$C$12,$N$1,Cons_Region!$B283,$L$1,$K$1)</f>
        <v>#NUM!</v>
      </c>
      <c r="L283" s="12" t="e">
        <f>_xll.DBRW($B$1,Cons_Region!$F$12,Cons_Region!L$15,$M$1,Cons_Region!$H$12,Cons_Region!$C$12,$N$1,Cons_Region!$B283,$L$1,$K$1)</f>
        <v>#NUM!</v>
      </c>
      <c r="M283" s="12" t="e">
        <f>_xll.DBRW($B$1,Cons_Region!$F$12,Cons_Region!M$15,$M$1,Cons_Region!$H$12,Cons_Region!$C$12,$N$1,Cons_Region!$B283,$L$1,$K$1)</f>
        <v>#NUM!</v>
      </c>
      <c r="N283" s="12" t="e">
        <f>_xll.DBRW($B$1,Cons_Region!$F$12,Cons_Region!N$15,$M$1,Cons_Region!$H$12,Cons_Region!$C$12,$N$1,Cons_Region!$B283,$L$1,$K$1)</f>
        <v>#NUM!</v>
      </c>
      <c r="O283" s="12" t="e">
        <f>_xll.DBRW($B$1,O$14,Cons_Region!O$15,$M$1,Cons_Region!$H$12,Cons_Region!$C$12,$N$1,$A283,$L$1,$K$1)</f>
        <v>#VALUE!</v>
      </c>
      <c r="P283" s="12" t="e">
        <f>_xll.DBRW($B$1,P$14,Cons_Region!P$15,$M$1,Cons_Region!$H$12,Cons_Region!$C$12,$N$1,$A283,$L$1,$K$1)</f>
        <v>#VALUE!</v>
      </c>
      <c r="Q283" s="12" t="e">
        <f>_xll.DBRW($B$1,Q$14,Cons_Region!Q$15,$M$1,Cons_Region!$H$12,Cons_Region!$C$12,$N$1,$A283,$L$1,$K$1)</f>
        <v>#VALUE!</v>
      </c>
      <c r="R283" s="12" t="e">
        <f>_xll.DBRW($B$1,R$14,Cons_Region!R$15,$M$1,Cons_Region!$H$12,Cons_Region!$C$12,$N$1,$A283,$L$1,$K$1)</f>
        <v>#VALUE!</v>
      </c>
      <c r="S283" s="12" t="e">
        <f>_xll.DBRW($B$1,S$14,Cons_Region!S$15,$M$1,Cons_Region!$H$12,Cons_Region!$C$12,$N$1,$A283,$L$1,$K$1)</f>
        <v>#VALUE!</v>
      </c>
    </row>
    <row r="284" spans="1:19" ht="15.75" customHeight="1">
      <c r="A284" s="69" t="s">
        <v>496</v>
      </c>
      <c r="B284" s="15" t="s">
        <v>129</v>
      </c>
      <c r="C284" s="20">
        <f>_xll.DBRW($D$2,Cons_Region!$F$12,Cons_Region!C$15,$M$1,Cons_Region!$H$12,Cons_Region!$C$12,$A284,$K$1)</f>
        <v>0</v>
      </c>
      <c r="D284" s="20">
        <f>_xll.DBRW($D$2,Cons_Region!$F$12,Cons_Region!D$15,$M$1,Cons_Region!$H$12,Cons_Region!$C$12,$A284,$K$1)</f>
        <v>-540.35694540908491</v>
      </c>
      <c r="E284" s="20">
        <f>_xll.DBRW($D$2,Cons_Region!$F$12,Cons_Region!E$15,$M$1,Cons_Region!$H$12,Cons_Region!$C$12,$A284,$K$1)</f>
        <v>-72.869029506807976</v>
      </c>
      <c r="F284" s="20">
        <f>_xll.DBRW($D$2,Cons_Region!$F$12,Cons_Region!F$15,$M$1,Cons_Region!$H$12,Cons_Region!$C$12,$A284,$K$1)</f>
        <v>329.89273420134259</v>
      </c>
      <c r="G284" s="20">
        <f>_xll.DBRW($D$2,Cons_Region!$F$12,Cons_Region!G$15,$M$1,Cons_Region!$H$12,Cons_Region!$C$12,$A284,$K$1)</f>
        <v>87.633539745475289</v>
      </c>
      <c r="H284" s="20">
        <f>_xll.DBRW($D$2,Cons_Region!$F$12,Cons_Region!H$15,$M$1,Cons_Region!$H$12,Cons_Region!$C$12,$A284,$K$1)</f>
        <v>95.113669316695095</v>
      </c>
      <c r="I284" s="20">
        <f>_xll.DBRW($D$2,Cons_Region!$F$12,Cons_Region!I$15,$M$1,Cons_Region!$H$12,Cons_Region!$C$12,$A284,$K$1)</f>
        <v>9.0065401772746441</v>
      </c>
      <c r="J284" s="20">
        <f>_xll.DBRW($D$2,Cons_Region!$F$12,Cons_Region!J$15,$M$1,Cons_Region!$H$12,Cons_Region!$C$12,$A284,$K$1)</f>
        <v>-232.74835497891931</v>
      </c>
      <c r="K284" s="20">
        <f>_xll.DBRW($D$2,Cons_Region!$F$12,Cons_Region!K$15,$M$1,Cons_Region!$H$12,Cons_Region!$C$12,$A284,$K$1)</f>
        <v>36.385101461460074</v>
      </c>
      <c r="L284" s="20">
        <f>_xll.DBRW($D$2,Cons_Region!$F$12,Cons_Region!L$15,$M$1,Cons_Region!$H$12,Cons_Region!$C$12,$A284,$K$1)</f>
        <v>187.1355539632346</v>
      </c>
      <c r="M284" s="20">
        <f>_xll.DBRW($D$2,Cons_Region!$F$12,Cons_Region!M$15,$M$1,Cons_Region!$H$12,Cons_Region!$C$12,$A284,$K$1)</f>
        <v>11.881624590835951</v>
      </c>
      <c r="N284" s="20">
        <f>_xll.DBRW($D$2,Cons_Region!$F$12,Cons_Region!N$15,$M$1,Cons_Region!$H$12,Cons_Region!$C$12,$A284,$K$1)</f>
        <v>8.926166438493965</v>
      </c>
      <c r="O284" s="20">
        <f>_xll.DBRW($D$2,O$14,Cons_Region!O$15,$M$1,Cons_Region!$H$12,Cons_Region!$C$12,$A284,$K$1)</f>
        <v>0</v>
      </c>
      <c r="P284" s="20">
        <f>_xll.DBRW($D$2,P$14,Cons_Region!P$15,$M$1,Cons_Region!$H$12,Cons_Region!$C$12,$A284,$K$1)</f>
        <v>0</v>
      </c>
      <c r="Q284" s="20">
        <f>_xll.DBRW($D$2,Q$14,Cons_Region!Q$15,$M$1,Cons_Region!$H$12,Cons_Region!$C$12,$A284,$K$1)</f>
        <v>0</v>
      </c>
      <c r="R284" s="20">
        <f>_xll.DBRW($D$2,R$14,Cons_Region!R$15,$M$1,Cons_Region!$H$12,Cons_Region!$C$12,$A284,$K$1)</f>
        <v>0</v>
      </c>
      <c r="S284" s="20">
        <f>_xll.DBRW($D$2,S$14,Cons_Region!S$15,$M$1,Cons_Region!$H$12,Cons_Region!$C$12,$A284,$K$1)</f>
        <v>0</v>
      </c>
    </row>
    <row r="285" spans="1:19" ht="15.75" customHeight="1">
      <c r="A285" s="69" t="s">
        <v>350</v>
      </c>
      <c r="B285" s="15" t="s">
        <v>130</v>
      </c>
      <c r="C285" s="20">
        <f>_xll.DBRW($D$2,Cons_Region!$F$12,Cons_Region!C$15,$M$1,Cons_Region!$H$12,Cons_Region!$C$12,$A285,$K$1)</f>
        <v>0</v>
      </c>
      <c r="D285" s="20">
        <f>_xll.DBRW($D$2,Cons_Region!$F$12,Cons_Region!D$15,$M$1,Cons_Region!$H$12,Cons_Region!$C$12,$A285,$K$1)</f>
        <v>0</v>
      </c>
      <c r="E285" s="20">
        <f>_xll.DBRW($D$2,Cons_Region!$F$12,Cons_Region!E$15,$M$1,Cons_Region!$H$12,Cons_Region!$C$12,$A285,$K$1)</f>
        <v>0</v>
      </c>
      <c r="F285" s="20">
        <f>_xll.DBRW($D$2,Cons_Region!$F$12,Cons_Region!F$15,$M$1,Cons_Region!$H$12,Cons_Region!$C$12,$A285,$K$1)</f>
        <v>0</v>
      </c>
      <c r="G285" s="20">
        <f>_xll.DBRW($D$2,Cons_Region!$F$12,Cons_Region!G$15,$M$1,Cons_Region!$H$12,Cons_Region!$C$12,$A285,$K$1)</f>
        <v>0</v>
      </c>
      <c r="H285" s="20">
        <f>_xll.DBRW($D$2,Cons_Region!$F$12,Cons_Region!H$15,$M$1,Cons_Region!$H$12,Cons_Region!$C$12,$A285,$K$1)</f>
        <v>0</v>
      </c>
      <c r="I285" s="20">
        <f>_xll.DBRW($D$2,Cons_Region!$F$12,Cons_Region!I$15,$M$1,Cons_Region!$H$12,Cons_Region!$C$12,$A285,$K$1)</f>
        <v>0</v>
      </c>
      <c r="J285" s="20">
        <f>_xll.DBRW($D$2,Cons_Region!$F$12,Cons_Region!J$15,$M$1,Cons_Region!$H$12,Cons_Region!$C$12,$A285,$K$1)</f>
        <v>0</v>
      </c>
      <c r="K285" s="20">
        <f>_xll.DBRW($D$2,Cons_Region!$F$12,Cons_Region!K$15,$M$1,Cons_Region!$H$12,Cons_Region!$C$12,$A285,$K$1)</f>
        <v>0</v>
      </c>
      <c r="L285" s="20">
        <f>_xll.DBRW($D$2,Cons_Region!$F$12,Cons_Region!L$15,$M$1,Cons_Region!$H$12,Cons_Region!$C$12,$A285,$K$1)</f>
        <v>0</v>
      </c>
      <c r="M285" s="20">
        <f>_xll.DBRW($D$2,Cons_Region!$F$12,Cons_Region!M$15,$M$1,Cons_Region!$H$12,Cons_Region!$C$12,$A285,$K$1)</f>
        <v>0</v>
      </c>
      <c r="N285" s="20">
        <f>_xll.DBRW($D$2,Cons_Region!$F$12,Cons_Region!N$15,$M$1,Cons_Region!$H$12,Cons_Region!$C$12,$A285,$K$1)</f>
        <v>0</v>
      </c>
      <c r="O285" s="20">
        <f>_xll.DBRW($D$2,O$14,Cons_Region!O$15,$M$1,Cons_Region!$H$12,Cons_Region!$C$12,$A285,$K$1)</f>
        <v>0</v>
      </c>
      <c r="P285" s="20">
        <f>_xll.DBRW($D$2,P$14,Cons_Region!P$15,$M$1,Cons_Region!$H$12,Cons_Region!$C$12,$A285,$K$1)</f>
        <v>0</v>
      </c>
      <c r="Q285" s="20">
        <f>_xll.DBRW($D$2,Q$14,Cons_Region!Q$15,$M$1,Cons_Region!$H$12,Cons_Region!$C$12,$A285,$K$1)</f>
        <v>0</v>
      </c>
      <c r="R285" s="20">
        <f>_xll.DBRW($D$2,R$14,Cons_Region!R$15,$M$1,Cons_Region!$H$12,Cons_Region!$C$12,$A285,$K$1)</f>
        <v>0</v>
      </c>
      <c r="S285" s="20">
        <f>_xll.DBRW($D$2,S$14,Cons_Region!S$15,$M$1,Cons_Region!$H$12,Cons_Region!$C$12,$A285,$K$1)</f>
        <v>0</v>
      </c>
    </row>
    <row r="286" spans="1:19" ht="15.75" customHeight="1">
      <c r="A286" s="69" t="s">
        <v>349</v>
      </c>
      <c r="B286" s="15" t="s">
        <v>301</v>
      </c>
      <c r="C286" s="20">
        <f>_xll.DBRW($D$2,Cons_Region!$F$12,Cons_Region!C$15,$M$1,Cons_Region!$H$12,Cons_Region!$C$12,$A286,$K$1)</f>
        <v>0</v>
      </c>
      <c r="D286" s="20">
        <f>_xll.DBRW($D$2,Cons_Region!$F$12,Cons_Region!D$15,$M$1,Cons_Region!$H$12,Cons_Region!$C$12,$A286,$K$1)</f>
        <v>0</v>
      </c>
      <c r="E286" s="20">
        <f>_xll.DBRW($D$2,Cons_Region!$F$12,Cons_Region!E$15,$M$1,Cons_Region!$H$12,Cons_Region!$C$12,$A286,$K$1)</f>
        <v>0</v>
      </c>
      <c r="F286" s="20">
        <f>_xll.DBRW($D$2,Cons_Region!$F$12,Cons_Region!F$15,$M$1,Cons_Region!$H$12,Cons_Region!$C$12,$A286,$K$1)</f>
        <v>0</v>
      </c>
      <c r="G286" s="20">
        <f>_xll.DBRW($D$2,Cons_Region!$F$12,Cons_Region!G$15,$M$1,Cons_Region!$H$12,Cons_Region!$C$12,$A286,$K$1)</f>
        <v>0</v>
      </c>
      <c r="H286" s="20">
        <f>_xll.DBRW($D$2,Cons_Region!$F$12,Cons_Region!H$15,$M$1,Cons_Region!$H$12,Cons_Region!$C$12,$A286,$K$1)</f>
        <v>0</v>
      </c>
      <c r="I286" s="20">
        <f>_xll.DBRW($D$2,Cons_Region!$F$12,Cons_Region!I$15,$M$1,Cons_Region!$H$12,Cons_Region!$C$12,$A286,$K$1)</f>
        <v>0</v>
      </c>
      <c r="J286" s="20">
        <f>_xll.DBRW($D$2,Cons_Region!$F$12,Cons_Region!J$15,$M$1,Cons_Region!$H$12,Cons_Region!$C$12,$A286,$K$1)</f>
        <v>0</v>
      </c>
      <c r="K286" s="20">
        <f>_xll.DBRW($D$2,Cons_Region!$F$12,Cons_Region!K$15,$M$1,Cons_Region!$H$12,Cons_Region!$C$12,$A286,$K$1)</f>
        <v>0</v>
      </c>
      <c r="L286" s="20">
        <f>_xll.DBRW($D$2,Cons_Region!$F$12,Cons_Region!L$15,$M$1,Cons_Region!$H$12,Cons_Region!$C$12,$A286,$K$1)</f>
        <v>0</v>
      </c>
      <c r="M286" s="20">
        <f>_xll.DBRW($D$2,Cons_Region!$F$12,Cons_Region!M$15,$M$1,Cons_Region!$H$12,Cons_Region!$C$12,$A286,$K$1)</f>
        <v>0</v>
      </c>
      <c r="N286" s="20">
        <f>_xll.DBRW($D$2,Cons_Region!$F$12,Cons_Region!N$15,$M$1,Cons_Region!$H$12,Cons_Region!$C$12,$A286,$K$1)</f>
        <v>0</v>
      </c>
      <c r="O286" s="20">
        <f>_xll.DBRW($D$2,O$14,Cons_Region!O$15,$M$1,Cons_Region!$H$12,Cons_Region!$C$12,$A286,$K$1)</f>
        <v>0</v>
      </c>
      <c r="P286" s="20">
        <f>_xll.DBRW($D$2,P$14,Cons_Region!P$15,$M$1,Cons_Region!$H$12,Cons_Region!$C$12,$A286,$K$1)</f>
        <v>0</v>
      </c>
      <c r="Q286" s="20">
        <f>_xll.DBRW($D$2,Q$14,Cons_Region!Q$15,$M$1,Cons_Region!$H$12,Cons_Region!$C$12,$A286,$K$1)</f>
        <v>0</v>
      </c>
      <c r="R286" s="20">
        <f>_xll.DBRW($D$2,R$14,Cons_Region!R$15,$M$1,Cons_Region!$H$12,Cons_Region!$C$12,$A286,$K$1)</f>
        <v>0</v>
      </c>
      <c r="S286" s="20">
        <f>_xll.DBRW($D$2,S$14,Cons_Region!S$15,$M$1,Cons_Region!$H$12,Cons_Region!$C$12,$A286,$K$1)</f>
        <v>0</v>
      </c>
    </row>
    <row r="287" spans="1:19" ht="15.75" customHeight="1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</row>
    <row r="288" spans="1:19" ht="15.75" customHeight="1" thickBot="1">
      <c r="B288" s="18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</row>
    <row r="289" spans="1:19" ht="15.75" customHeight="1" thickTop="1">
      <c r="B289" s="27" t="s">
        <v>132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</row>
    <row r="290" spans="1:19" ht="15.75" customHeight="1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80">
        <f>$F$12+1</f>
        <v>2027</v>
      </c>
      <c r="P290" s="80">
        <f>$F$12+2</f>
        <v>2028</v>
      </c>
      <c r="Q290" s="80">
        <f>$F$12+3</f>
        <v>2029</v>
      </c>
      <c r="R290" s="80">
        <f>$F$12+4</f>
        <v>2030</v>
      </c>
      <c r="S290" s="80">
        <f>$F$12+5</f>
        <v>2031</v>
      </c>
    </row>
    <row r="291" spans="1:19" ht="15.75" customHeight="1">
      <c r="B291" s="22"/>
      <c r="C291" s="23" t="str">
        <f t="shared" ref="C291:N291" si="25">$F$12&amp;"."&amp;C$15</f>
        <v>2026.01</v>
      </c>
      <c r="D291" s="23" t="str">
        <f t="shared" si="25"/>
        <v>2026.02</v>
      </c>
      <c r="E291" s="23" t="str">
        <f t="shared" si="25"/>
        <v>2026.03</v>
      </c>
      <c r="F291" s="23" t="str">
        <f t="shared" si="25"/>
        <v>2026.04</v>
      </c>
      <c r="G291" s="23" t="str">
        <f t="shared" si="25"/>
        <v>2026.05</v>
      </c>
      <c r="H291" s="23" t="str">
        <f t="shared" si="25"/>
        <v>2026.06</v>
      </c>
      <c r="I291" s="23" t="str">
        <f t="shared" si="25"/>
        <v>2026.07</v>
      </c>
      <c r="J291" s="23" t="str">
        <f t="shared" si="25"/>
        <v>2026.08</v>
      </c>
      <c r="K291" s="23" t="str">
        <f t="shared" si="25"/>
        <v>2026.09</v>
      </c>
      <c r="L291" s="23" t="str">
        <f t="shared" si="25"/>
        <v>2026.10</v>
      </c>
      <c r="M291" s="23" t="str">
        <f t="shared" si="25"/>
        <v>2026.11</v>
      </c>
      <c r="N291" s="23" t="str">
        <f t="shared" si="25"/>
        <v>2026.12</v>
      </c>
      <c r="O291" s="23" t="s">
        <v>304</v>
      </c>
      <c r="P291" s="23" t="s">
        <v>304</v>
      </c>
      <c r="Q291" s="23" t="s">
        <v>304</v>
      </c>
      <c r="R291" s="23" t="s">
        <v>304</v>
      </c>
      <c r="S291" s="23" t="s">
        <v>304</v>
      </c>
    </row>
    <row r="292" spans="1:19" ht="15.75" customHeight="1">
      <c r="A292" s="69" t="s">
        <v>497</v>
      </c>
      <c r="B292" s="15" t="s">
        <v>133</v>
      </c>
      <c r="C292" s="20">
        <f>_xll.DBRW($D$2,Cons_Region!$F$12,Cons_Region!C$15,$M$1,Cons_Region!$H$12,Cons_Region!$C$12,$A292,$K$1)</f>
        <v>0</v>
      </c>
      <c r="D292" s="20">
        <f>_xll.DBRW($D$2,Cons_Region!$F$12,Cons_Region!D$15,$M$1,Cons_Region!$H$12,Cons_Region!$C$12,$A292,$K$1)</f>
        <v>-12.9039</v>
      </c>
      <c r="E292" s="20">
        <f>_xll.DBRW($D$2,Cons_Region!$F$12,Cons_Region!E$15,$M$1,Cons_Region!$H$12,Cons_Region!$C$12,$A292,$K$1)</f>
        <v>-123.349</v>
      </c>
      <c r="F292" s="20">
        <f>_xll.DBRW($D$2,Cons_Region!$F$12,Cons_Region!F$15,$M$1,Cons_Region!$H$12,Cons_Region!$C$12,$A292,$K$1)</f>
        <v>-141.3203</v>
      </c>
      <c r="G292" s="20">
        <f>_xll.DBRW($D$2,Cons_Region!$F$12,Cons_Region!G$15,$M$1,Cons_Region!$H$12,Cons_Region!$C$12,$A292,$K$1)</f>
        <v>-0.86040000000000005</v>
      </c>
      <c r="H292" s="20">
        <f>_xll.DBRW($D$2,Cons_Region!$F$12,Cons_Region!H$15,$M$1,Cons_Region!$H$12,Cons_Region!$C$12,$A292,$K$1)</f>
        <v>-71.628299999999996</v>
      </c>
      <c r="I292" s="20">
        <f>_xll.DBRW($D$2,Cons_Region!$F$12,Cons_Region!I$15,$M$1,Cons_Region!$H$12,Cons_Region!$C$12,$A292,$K$1)</f>
        <v>-1.5885</v>
      </c>
      <c r="J292" s="20">
        <f>_xll.DBRW($D$2,Cons_Region!$F$12,Cons_Region!J$15,$M$1,Cons_Region!$H$12,Cons_Region!$C$12,$A292,$K$1)</f>
        <v>-14.876799999999999</v>
      </c>
      <c r="K292" s="20">
        <f>_xll.DBRW($D$2,Cons_Region!$F$12,Cons_Region!K$15,$M$1,Cons_Region!$H$12,Cons_Region!$C$12,$A292,$K$1)</f>
        <v>-149.7379</v>
      </c>
      <c r="L292" s="20">
        <f>_xll.DBRW($D$2,Cons_Region!$F$12,Cons_Region!L$15,$M$1,Cons_Region!$H$12,Cons_Region!$C$12,$A292,$K$1)</f>
        <v>-135.99780000000001</v>
      </c>
      <c r="M292" s="20">
        <f>_xll.DBRW($D$2,Cons_Region!$F$12,Cons_Region!M$15,$M$1,Cons_Region!$H$12,Cons_Region!$C$12,$A292,$K$1)</f>
        <v>-2.3994</v>
      </c>
      <c r="N292" s="20">
        <f>_xll.DBRW($D$2,Cons_Region!$F$12,Cons_Region!N$15,$M$1,Cons_Region!$H$12,Cons_Region!$C$12,$A292,$K$1)</f>
        <v>0</v>
      </c>
      <c r="O292" s="20">
        <f>_xll.DBRW($D$2,O$14,Cons_Region!O$15,$M$1,Cons_Region!$H$12,Cons_Region!$C$12,$A292,$K$1)</f>
        <v>0</v>
      </c>
      <c r="P292" s="20">
        <f>_xll.DBRW($D$2,P$14,Cons_Region!P$15,$M$1,Cons_Region!$H$12,Cons_Region!$C$12,$A292,$K$1)</f>
        <v>0</v>
      </c>
      <c r="Q292" s="20">
        <f>_xll.DBRW($D$2,Q$14,Cons_Region!Q$15,$M$1,Cons_Region!$H$12,Cons_Region!$C$12,$A292,$K$1)</f>
        <v>0</v>
      </c>
      <c r="R292" s="20">
        <f>_xll.DBRW($D$2,R$14,Cons_Region!R$15,$M$1,Cons_Region!$H$12,Cons_Region!$C$12,$A292,$K$1)</f>
        <v>0</v>
      </c>
      <c r="S292" s="20">
        <f>_xll.DBRW($D$2,S$14,Cons_Region!S$15,$M$1,Cons_Region!$H$12,Cons_Region!$C$12,$A292,$K$1)</f>
        <v>0</v>
      </c>
    </row>
    <row r="293" spans="1:19" ht="15.75" customHeight="1">
      <c r="A293" s="69" t="s">
        <v>490</v>
      </c>
      <c r="B293" s="15" t="s">
        <v>115</v>
      </c>
      <c r="C293" s="20">
        <f>_xll.DBRW($D$2,Cons_Region!$F$12,Cons_Region!C$15,$M$1,Cons_Region!$H$12,Cons_Region!$C$12,$A293,$K$1)</f>
        <v>0</v>
      </c>
      <c r="D293" s="20">
        <f>_xll.DBRW($D$2,Cons_Region!$F$12,Cons_Region!D$15,$M$1,Cons_Region!$H$12,Cons_Region!$C$12,$A293,$K$1)</f>
        <v>0</v>
      </c>
      <c r="E293" s="20">
        <f>_xll.DBRW($D$2,Cons_Region!$F$12,Cons_Region!E$15,$M$1,Cons_Region!$H$12,Cons_Region!$C$12,$A293,$K$1)</f>
        <v>0</v>
      </c>
      <c r="F293" s="20">
        <f>_xll.DBRW($D$2,Cons_Region!$F$12,Cons_Region!F$15,$M$1,Cons_Region!$H$12,Cons_Region!$C$12,$A293,$K$1)</f>
        <v>0</v>
      </c>
      <c r="G293" s="20">
        <f>_xll.DBRW($D$2,Cons_Region!$F$12,Cons_Region!G$15,$M$1,Cons_Region!$H$12,Cons_Region!$C$12,$A293,$K$1)</f>
        <v>0</v>
      </c>
      <c r="H293" s="20">
        <f>_xll.DBRW($D$2,Cons_Region!$F$12,Cons_Region!H$15,$M$1,Cons_Region!$H$12,Cons_Region!$C$12,$A293,$K$1)</f>
        <v>0</v>
      </c>
      <c r="I293" s="20">
        <f>_xll.DBRW($D$2,Cons_Region!$F$12,Cons_Region!I$15,$M$1,Cons_Region!$H$12,Cons_Region!$C$12,$A293,$K$1)</f>
        <v>0</v>
      </c>
      <c r="J293" s="20">
        <f>_xll.DBRW($D$2,Cons_Region!$F$12,Cons_Region!J$15,$M$1,Cons_Region!$H$12,Cons_Region!$C$12,$A293,$K$1)</f>
        <v>0</v>
      </c>
      <c r="K293" s="20">
        <f>_xll.DBRW($D$2,Cons_Region!$F$12,Cons_Region!K$15,$M$1,Cons_Region!$H$12,Cons_Region!$C$12,$A293,$K$1)</f>
        <v>0</v>
      </c>
      <c r="L293" s="20">
        <f>_xll.DBRW($D$2,Cons_Region!$F$12,Cons_Region!L$15,$M$1,Cons_Region!$H$12,Cons_Region!$C$12,$A293,$K$1)</f>
        <v>0</v>
      </c>
      <c r="M293" s="20">
        <f>_xll.DBRW($D$2,Cons_Region!$F$12,Cons_Region!M$15,$M$1,Cons_Region!$H$12,Cons_Region!$C$12,$A293,$K$1)</f>
        <v>0</v>
      </c>
      <c r="N293" s="20">
        <f>_xll.DBRW($D$2,Cons_Region!$F$12,Cons_Region!N$15,$M$1,Cons_Region!$H$12,Cons_Region!$C$12,$A293,$K$1)</f>
        <v>0</v>
      </c>
      <c r="O293" s="20">
        <f>_xll.DBRW($D$2,O$14,Cons_Region!O$15,$M$1,Cons_Region!$H$12,Cons_Region!$C$12,$A293,$K$1)</f>
        <v>0</v>
      </c>
      <c r="P293" s="20">
        <f>_xll.DBRW($D$2,P$14,Cons_Region!P$15,$M$1,Cons_Region!$H$12,Cons_Region!$C$12,$A293,$K$1)</f>
        <v>0</v>
      </c>
      <c r="Q293" s="20">
        <f>_xll.DBRW($D$2,Q$14,Cons_Region!Q$15,$M$1,Cons_Region!$H$12,Cons_Region!$C$12,$A293,$K$1)</f>
        <v>0</v>
      </c>
      <c r="R293" s="20">
        <f>_xll.DBRW($D$2,R$14,Cons_Region!R$15,$M$1,Cons_Region!$H$12,Cons_Region!$C$12,$A293,$K$1)</f>
        <v>0</v>
      </c>
      <c r="S293" s="20">
        <f>_xll.DBRW($D$2,S$14,Cons_Region!S$15,$M$1,Cons_Region!$H$12,Cons_Region!$C$12,$A293,$K$1)</f>
        <v>0</v>
      </c>
    </row>
    <row r="294" spans="1:19" ht="15.75" customHeight="1">
      <c r="B294" s="13" t="s">
        <v>134</v>
      </c>
      <c r="C294" s="10">
        <f>_xll.DBRW($C$1,Cons_Region!$F$12,Cons_Region!C$15,$M$1,Cons_Region!$C$12,Cons_Region!$B294,$K$1)</f>
        <v>0</v>
      </c>
      <c r="D294" s="10">
        <f>_xll.DBRW($C$1,Cons_Region!$F$12,Cons_Region!D$15,$M$1,Cons_Region!$C$12,Cons_Region!$B294,$K$1)</f>
        <v>0</v>
      </c>
      <c r="E294" s="10">
        <f>_xll.DBRW($C$1,Cons_Region!$F$12,Cons_Region!E$15,$M$1,Cons_Region!$C$12,Cons_Region!$B294,$K$1)</f>
        <v>0</v>
      </c>
      <c r="F294" s="10">
        <f>_xll.DBRW($C$1,Cons_Region!$F$12,Cons_Region!F$15,$M$1,Cons_Region!$C$12,Cons_Region!$B294,$K$1)</f>
        <v>0</v>
      </c>
      <c r="G294" s="10">
        <f>_xll.DBRW($C$1,Cons_Region!$F$12,Cons_Region!G$15,$M$1,Cons_Region!$C$12,Cons_Region!$B294,$K$1)</f>
        <v>0</v>
      </c>
      <c r="H294" s="10">
        <f>_xll.DBRW($C$1,Cons_Region!$F$12,Cons_Region!H$15,$M$1,Cons_Region!$C$12,Cons_Region!$B294,$K$1)</f>
        <v>0</v>
      </c>
      <c r="I294" s="10">
        <f>_xll.DBRW($C$1,Cons_Region!$F$12,Cons_Region!I$15,$M$1,Cons_Region!$C$12,Cons_Region!$B294,$K$1)</f>
        <v>0</v>
      </c>
      <c r="J294" s="10">
        <f>_xll.DBRW($C$1,Cons_Region!$F$12,Cons_Region!J$15,$M$1,Cons_Region!$C$12,Cons_Region!$B294,$K$1)</f>
        <v>0</v>
      </c>
      <c r="K294" s="10">
        <f>_xll.DBRW($C$1,Cons_Region!$F$12,Cons_Region!K$15,$M$1,Cons_Region!$C$12,Cons_Region!$B294,$K$1)</f>
        <v>0</v>
      </c>
      <c r="L294" s="10">
        <f>_xll.DBRW($C$1,Cons_Region!$F$12,Cons_Region!L$15,$M$1,Cons_Region!$C$12,Cons_Region!$B294,$K$1)</f>
        <v>0</v>
      </c>
      <c r="M294" s="10">
        <f>_xll.DBRW($C$1,Cons_Region!$F$12,Cons_Region!M$15,$M$1,Cons_Region!$C$12,Cons_Region!$B294,$K$1)</f>
        <v>0</v>
      </c>
      <c r="N294" s="10">
        <f>_xll.DBRW($C$1,Cons_Region!$F$12,Cons_Region!N$15,$M$1,Cons_Region!$C$12,Cons_Region!$B294,$K$1)</f>
        <v>0</v>
      </c>
      <c r="O294" s="10">
        <f>_xll.DBRW($C$1,O$14,Cons_Region!O$15,$M$1,Cons_Region!$C$12,Cons_Region!$B294,$K$1)</f>
        <v>0</v>
      </c>
      <c r="P294" s="10">
        <f>_xll.DBRW($C$1,P$14,Cons_Region!P$15,$M$1,Cons_Region!$C$12,Cons_Region!$B294,$K$1)</f>
        <v>0</v>
      </c>
      <c r="Q294" s="10">
        <f>_xll.DBRW($C$1,Q$14,Cons_Region!Q$15,$M$1,Cons_Region!$C$12,Cons_Region!$B294,$K$1)</f>
        <v>0</v>
      </c>
      <c r="R294" s="10">
        <f>_xll.DBRW($C$1,R$14,Cons_Region!R$15,$M$1,Cons_Region!$C$12,Cons_Region!$B294,$K$1)</f>
        <v>0</v>
      </c>
      <c r="S294" s="10">
        <f>_xll.DBRW($C$1,S$14,Cons_Region!S$15,$M$1,Cons_Region!$C$12,Cons_Region!$B294,$K$1)</f>
        <v>0</v>
      </c>
    </row>
    <row r="295" spans="1:19" ht="15.75" customHeight="1">
      <c r="B295" s="13" t="s">
        <v>135</v>
      </c>
      <c r="C295" s="10">
        <f>_xll.DBRW($C$1,Cons_Region!$F$12,Cons_Region!C$15,$M$1,Cons_Region!$C$12,Cons_Region!$B295,$K$1)</f>
        <v>0</v>
      </c>
      <c r="D295" s="10">
        <f>_xll.DBRW($C$1,Cons_Region!$F$12,Cons_Region!D$15,$M$1,Cons_Region!$C$12,Cons_Region!$B295,$K$1)</f>
        <v>0</v>
      </c>
      <c r="E295" s="10">
        <f>_xll.DBRW($C$1,Cons_Region!$F$12,Cons_Region!E$15,$M$1,Cons_Region!$C$12,Cons_Region!$B295,$K$1)</f>
        <v>0</v>
      </c>
      <c r="F295" s="10">
        <f>_xll.DBRW($C$1,Cons_Region!$F$12,Cons_Region!F$15,$M$1,Cons_Region!$C$12,Cons_Region!$B295,$K$1)</f>
        <v>0</v>
      </c>
      <c r="G295" s="10">
        <f>_xll.DBRW($C$1,Cons_Region!$F$12,Cons_Region!G$15,$M$1,Cons_Region!$C$12,Cons_Region!$B295,$K$1)</f>
        <v>0</v>
      </c>
      <c r="H295" s="10">
        <f>_xll.DBRW($C$1,Cons_Region!$F$12,Cons_Region!H$15,$M$1,Cons_Region!$C$12,Cons_Region!$B295,$K$1)</f>
        <v>0</v>
      </c>
      <c r="I295" s="10">
        <f>_xll.DBRW($C$1,Cons_Region!$F$12,Cons_Region!I$15,$M$1,Cons_Region!$C$12,Cons_Region!$B295,$K$1)</f>
        <v>0</v>
      </c>
      <c r="J295" s="10">
        <f>_xll.DBRW($C$1,Cons_Region!$F$12,Cons_Region!J$15,$M$1,Cons_Region!$C$12,Cons_Region!$B295,$K$1)</f>
        <v>0</v>
      </c>
      <c r="K295" s="10">
        <f>_xll.DBRW($C$1,Cons_Region!$F$12,Cons_Region!K$15,$M$1,Cons_Region!$C$12,Cons_Region!$B295,$K$1)</f>
        <v>0</v>
      </c>
      <c r="L295" s="10">
        <f>_xll.DBRW($C$1,Cons_Region!$F$12,Cons_Region!L$15,$M$1,Cons_Region!$C$12,Cons_Region!$B295,$K$1)</f>
        <v>0</v>
      </c>
      <c r="M295" s="10">
        <f>_xll.DBRW($C$1,Cons_Region!$F$12,Cons_Region!M$15,$M$1,Cons_Region!$C$12,Cons_Region!$B295,$K$1)</f>
        <v>0</v>
      </c>
      <c r="N295" s="10">
        <f>_xll.DBRW($C$1,Cons_Region!$F$12,Cons_Region!N$15,$M$1,Cons_Region!$C$12,Cons_Region!$B295,$K$1)</f>
        <v>0</v>
      </c>
      <c r="O295" s="10">
        <f>_xll.DBRW($C$1,O$14,Cons_Region!O$15,$M$1,Cons_Region!$C$12,Cons_Region!$B295,$K$1)</f>
        <v>0</v>
      </c>
      <c r="P295" s="10">
        <f>_xll.DBRW($C$1,P$14,Cons_Region!P$15,$M$1,Cons_Region!$C$12,Cons_Region!$B295,$K$1)</f>
        <v>0</v>
      </c>
      <c r="Q295" s="10">
        <f>_xll.DBRW($C$1,Q$14,Cons_Region!Q$15,$M$1,Cons_Region!$C$12,Cons_Region!$B295,$K$1)</f>
        <v>0</v>
      </c>
      <c r="R295" s="10">
        <f>_xll.DBRW($C$1,R$14,Cons_Region!R$15,$M$1,Cons_Region!$C$12,Cons_Region!$B295,$K$1)</f>
        <v>0</v>
      </c>
      <c r="S295" s="10">
        <f>_xll.DBRW($C$1,S$14,Cons_Region!S$15,$M$1,Cons_Region!$C$12,Cons_Region!$B295,$K$1)</f>
        <v>0</v>
      </c>
    </row>
    <row r="296" spans="1:19" ht="15.75" customHeight="1">
      <c r="A296" s="69" t="s">
        <v>500</v>
      </c>
      <c r="B296" s="13" t="s">
        <v>136</v>
      </c>
      <c r="C296" s="12">
        <f>_xll.DBRW($B$1,Cons_Region!$F$12,Cons_Region!C$15,$M$1,Cons_Region!$H$12,Cons_Region!$C$12,$N$1,$A296,$L$1,$K$1)</f>
        <v>0</v>
      </c>
      <c r="D296" s="12">
        <f>_xll.DBRW($B$1,Cons_Region!$F$12,Cons_Region!D$15,$M$1,Cons_Region!$H$12,Cons_Region!$C$12,$N$1,$A296,$L$1,$K$1)</f>
        <v>0</v>
      </c>
      <c r="E296" s="12">
        <f>_xll.DBRW($B$1,Cons_Region!$F$12,Cons_Region!E$15,$M$1,Cons_Region!$H$12,Cons_Region!$C$12,$N$1,$A296,$L$1,$K$1)</f>
        <v>0</v>
      </c>
      <c r="F296" s="12">
        <f>_xll.DBRW($B$1,Cons_Region!$F$12,Cons_Region!F$15,$M$1,Cons_Region!$H$12,Cons_Region!$C$12,$N$1,$A296,$L$1,$K$1)</f>
        <v>0</v>
      </c>
      <c r="G296" s="12">
        <f>_xll.DBRW($B$1,Cons_Region!$F$12,Cons_Region!G$15,$M$1,Cons_Region!$H$12,Cons_Region!$C$12,$N$1,$A296,$L$1,$K$1)</f>
        <v>0</v>
      </c>
      <c r="H296" s="12">
        <f>_xll.DBRW($B$1,Cons_Region!$F$12,Cons_Region!H$15,$M$1,Cons_Region!$H$12,Cons_Region!$C$12,$N$1,$A296,$L$1,$K$1)</f>
        <v>0</v>
      </c>
      <c r="I296" s="12">
        <f>_xll.DBRW($B$1,Cons_Region!$F$12,Cons_Region!I$15,$M$1,Cons_Region!$H$12,Cons_Region!$C$12,$N$1,$A296,$L$1,$K$1)</f>
        <v>0</v>
      </c>
      <c r="J296" s="12">
        <f>_xll.DBRW($B$1,Cons_Region!$F$12,Cons_Region!J$15,$M$1,Cons_Region!$H$12,Cons_Region!$C$12,$N$1,$A296,$L$1,$K$1)</f>
        <v>0</v>
      </c>
      <c r="K296" s="12">
        <f>_xll.DBRW($B$1,Cons_Region!$F$12,Cons_Region!K$15,$M$1,Cons_Region!$H$12,Cons_Region!$C$12,$N$1,$A296,$L$1,$K$1)</f>
        <v>0</v>
      </c>
      <c r="L296" s="12">
        <f>_xll.DBRW($B$1,Cons_Region!$F$12,Cons_Region!L$15,$M$1,Cons_Region!$H$12,Cons_Region!$C$12,$N$1,$A296,$L$1,$K$1)</f>
        <v>0</v>
      </c>
      <c r="M296" s="12">
        <f>_xll.DBRW($B$1,Cons_Region!$F$12,Cons_Region!M$15,$M$1,Cons_Region!$H$12,Cons_Region!$C$12,$N$1,$A296,$L$1,$K$1)</f>
        <v>0</v>
      </c>
      <c r="N296" s="12">
        <f>_xll.DBRW($B$1,Cons_Region!$F$12,Cons_Region!N$15,$M$1,Cons_Region!$H$12,Cons_Region!$C$12,$N$1,$A296,$L$1,$K$1)</f>
        <v>0</v>
      </c>
      <c r="O296" s="12">
        <f>_xll.DBRW($B$1,O$14,Cons_Region!O$15,$M$1,Cons_Region!$H$12,Cons_Region!$C$12,$N$1,$A296,$L$1,$K$1)</f>
        <v>0</v>
      </c>
      <c r="P296" s="12">
        <f>_xll.DBRW($B$1,P$14,Cons_Region!P$15,$M$1,Cons_Region!$H$12,Cons_Region!$C$12,$N$1,$A296,$L$1,$K$1)</f>
        <v>0</v>
      </c>
      <c r="Q296" s="12">
        <f>_xll.DBRW($B$1,Q$14,Cons_Region!Q$15,$M$1,Cons_Region!$H$12,Cons_Region!$C$12,$N$1,$A296,$L$1,$K$1)</f>
        <v>0</v>
      </c>
      <c r="R296" s="12">
        <f>_xll.DBRW($B$1,R$14,Cons_Region!R$15,$M$1,Cons_Region!$H$12,Cons_Region!$C$12,$N$1,$A296,$L$1,$K$1)</f>
        <v>0</v>
      </c>
      <c r="S296" s="12">
        <f>_xll.DBRW($B$1,S$14,Cons_Region!S$15,$M$1,Cons_Region!$H$12,Cons_Region!$C$12,$N$1,$A296,$L$1,$K$1)</f>
        <v>0</v>
      </c>
    </row>
    <row r="297" spans="1:19" ht="15.75" customHeight="1">
      <c r="A297" s="69" t="s">
        <v>498</v>
      </c>
      <c r="B297" s="15" t="s">
        <v>137</v>
      </c>
      <c r="C297" s="20">
        <f>_xll.DBRW($D$2,Cons_Region!$F$12,Cons_Region!C$15,$M$1,Cons_Region!$H$12,Cons_Region!$C$12,$A297,$K$1)</f>
        <v>0</v>
      </c>
      <c r="D297" s="20">
        <f>_xll.DBRW($D$2,Cons_Region!$F$12,Cons_Region!D$15,$M$1,Cons_Region!$H$12,Cons_Region!$C$12,$A297,$K$1)</f>
        <v>-10.6837</v>
      </c>
      <c r="E297" s="20">
        <f>_xll.DBRW($D$2,Cons_Region!$F$12,Cons_Region!E$15,$M$1,Cons_Region!$H$12,Cons_Region!$C$12,$A297,$K$1)</f>
        <v>-16.915500000000002</v>
      </c>
      <c r="F297" s="20">
        <f>_xll.DBRW($D$2,Cons_Region!$F$12,Cons_Region!F$15,$M$1,Cons_Region!$H$12,Cons_Region!$C$12,$A297,$K$1)</f>
        <v>-8.825800000000001</v>
      </c>
      <c r="G297" s="20">
        <f>_xll.DBRW($D$2,Cons_Region!$F$12,Cons_Region!G$15,$M$1,Cons_Region!$H$12,Cons_Region!$C$12,$A297,$K$1)</f>
        <v>-8.9242999999999988</v>
      </c>
      <c r="H297" s="20">
        <f>_xll.DBRW($D$2,Cons_Region!$F$12,Cons_Region!H$15,$M$1,Cons_Region!$H$12,Cons_Region!$C$12,$A297,$K$1)</f>
        <v>-12.927999999999999</v>
      </c>
      <c r="I297" s="20">
        <f>_xll.DBRW($D$2,Cons_Region!$F$12,Cons_Region!I$15,$M$1,Cons_Region!$H$12,Cons_Region!$C$12,$A297,$K$1)</f>
        <v>-9.0470000000000006</v>
      </c>
      <c r="J297" s="20">
        <f>_xll.DBRW($D$2,Cons_Region!$F$12,Cons_Region!J$15,$M$1,Cons_Region!$H$12,Cons_Region!$C$12,$A297,$K$1)</f>
        <v>-9.0198999999999998</v>
      </c>
      <c r="K297" s="20">
        <f>_xll.DBRW($D$2,Cons_Region!$F$12,Cons_Region!K$15,$M$1,Cons_Region!$H$12,Cons_Region!$C$12,$A297,$K$1)</f>
        <v>-14.7004</v>
      </c>
      <c r="L297" s="20">
        <f>_xll.DBRW($D$2,Cons_Region!$F$12,Cons_Region!L$15,$M$1,Cons_Region!$H$12,Cons_Region!$C$12,$A297,$K$1)</f>
        <v>-8.7558000000000007</v>
      </c>
      <c r="M297" s="20">
        <f>_xll.DBRW($D$2,Cons_Region!$F$12,Cons_Region!M$15,$M$1,Cons_Region!$H$12,Cons_Region!$C$12,$A297,$K$1)</f>
        <v>-8.8074999999999992</v>
      </c>
      <c r="N297" s="20">
        <f>_xll.DBRW($D$2,Cons_Region!$F$12,Cons_Region!N$15,$M$1,Cons_Region!$H$12,Cons_Region!$C$12,$A297,$K$1)</f>
        <v>0</v>
      </c>
      <c r="O297" s="20">
        <f>_xll.DBRW($D$2,O$14,Cons_Region!O$15,$M$1,Cons_Region!$H$12,Cons_Region!$C$12,$A297,$K$1)</f>
        <v>0</v>
      </c>
      <c r="P297" s="20">
        <f>_xll.DBRW($D$2,P$14,Cons_Region!P$15,$M$1,Cons_Region!$H$12,Cons_Region!$C$12,$A297,$K$1)</f>
        <v>0</v>
      </c>
      <c r="Q297" s="20">
        <f>_xll.DBRW($D$2,Q$14,Cons_Region!Q$15,$M$1,Cons_Region!$H$12,Cons_Region!$C$12,$A297,$K$1)</f>
        <v>0</v>
      </c>
      <c r="R297" s="20">
        <f>_xll.DBRW($D$2,R$14,Cons_Region!R$15,$M$1,Cons_Region!$H$12,Cons_Region!$C$12,$A297,$K$1)</f>
        <v>0</v>
      </c>
      <c r="S297" s="20">
        <f>_xll.DBRW($D$2,S$14,Cons_Region!S$15,$M$1,Cons_Region!$H$12,Cons_Region!$C$12,$A297,$K$1)</f>
        <v>0</v>
      </c>
    </row>
    <row r="298" spans="1:19" ht="15.75" customHeight="1">
      <c r="A298" s="69" t="s">
        <v>492</v>
      </c>
      <c r="B298" s="15" t="s">
        <v>138</v>
      </c>
      <c r="C298" s="20">
        <f>_xll.DBRW($D$2,Cons_Region!$F$12,Cons_Region!C$15,$M$1,Cons_Region!$H$12,Cons_Region!$C$12,$A298,$K$1)</f>
        <v>0</v>
      </c>
      <c r="D298" s="20">
        <f>_xll.DBRW($D$2,Cons_Region!$F$12,Cons_Region!D$15,$M$1,Cons_Region!$H$12,Cons_Region!$C$12,$A298,$K$1)</f>
        <v>-6.0369999999999999</v>
      </c>
      <c r="E298" s="20">
        <f>_xll.DBRW($D$2,Cons_Region!$F$12,Cons_Region!E$15,$M$1,Cons_Region!$H$12,Cons_Region!$C$12,$A298,$K$1)</f>
        <v>0.03</v>
      </c>
      <c r="F298" s="20">
        <f>_xll.DBRW($D$2,Cons_Region!$F$12,Cons_Region!F$15,$M$1,Cons_Region!$H$12,Cons_Region!$C$12,$A298,$K$1)</f>
        <v>-12.088800000000001</v>
      </c>
      <c r="G298" s="20">
        <f>_xll.DBRW($D$2,Cons_Region!$F$12,Cons_Region!G$15,$M$1,Cons_Region!$H$12,Cons_Region!$C$12,$A298,$K$1)</f>
        <v>-0.19270000000000001</v>
      </c>
      <c r="H298" s="20">
        <f>_xll.DBRW($D$2,Cons_Region!$F$12,Cons_Region!H$15,$M$1,Cons_Region!$H$12,Cons_Region!$C$12,$A298,$K$1)</f>
        <v>-26.999199999999998</v>
      </c>
      <c r="I298" s="20">
        <f>_xll.DBRW($D$2,Cons_Region!$F$12,Cons_Region!I$15,$M$1,Cons_Region!$H$12,Cons_Region!$C$12,$A298,$K$1)</f>
        <v>-41.0657</v>
      </c>
      <c r="J298" s="20">
        <f>_xll.DBRW($D$2,Cons_Region!$F$12,Cons_Region!J$15,$M$1,Cons_Region!$H$12,Cons_Region!$C$12,$A298,$K$1)</f>
        <v>-17.915400000000002</v>
      </c>
      <c r="K298" s="20">
        <f>_xll.DBRW($D$2,Cons_Region!$F$12,Cons_Region!K$15,$M$1,Cons_Region!$H$12,Cons_Region!$C$12,$A298,$K$1)</f>
        <v>-0.16520000000000001</v>
      </c>
      <c r="L298" s="20">
        <f>_xll.DBRW($D$2,Cons_Region!$F$12,Cons_Region!L$15,$M$1,Cons_Region!$H$12,Cons_Region!$C$12,$A298,$K$1)</f>
        <v>-10.6021</v>
      </c>
      <c r="M298" s="20">
        <f>_xll.DBRW($D$2,Cons_Region!$F$12,Cons_Region!M$15,$M$1,Cons_Region!$H$12,Cons_Region!$C$12,$A298,$K$1)</f>
        <v>-0.1249</v>
      </c>
      <c r="N298" s="20">
        <f>_xll.DBRW($D$2,Cons_Region!$F$12,Cons_Region!N$15,$M$1,Cons_Region!$H$12,Cons_Region!$C$12,$A298,$K$1)</f>
        <v>0</v>
      </c>
      <c r="O298" s="20">
        <f>_xll.DBRW($D$2,O$14,Cons_Region!O$15,$M$1,Cons_Region!$H$12,Cons_Region!$C$12,$A298,$K$1)</f>
        <v>0</v>
      </c>
      <c r="P298" s="20">
        <f>_xll.DBRW($D$2,P$14,Cons_Region!P$15,$M$1,Cons_Region!$H$12,Cons_Region!$C$12,$A298,$K$1)</f>
        <v>0</v>
      </c>
      <c r="Q298" s="20">
        <f>_xll.DBRW($D$2,Q$14,Cons_Region!Q$15,$M$1,Cons_Region!$H$12,Cons_Region!$C$12,$A298,$K$1)</f>
        <v>0</v>
      </c>
      <c r="R298" s="20">
        <f>_xll.DBRW($D$2,R$14,Cons_Region!R$15,$M$1,Cons_Region!$H$12,Cons_Region!$C$12,$A298,$K$1)</f>
        <v>0</v>
      </c>
      <c r="S298" s="20">
        <f>_xll.DBRW($D$2,S$14,Cons_Region!S$15,$M$1,Cons_Region!$H$12,Cons_Region!$C$12,$A298,$K$1)</f>
        <v>0</v>
      </c>
    </row>
    <row r="299" spans="1:19" ht="15.75" customHeight="1">
      <c r="A299" s="69" t="s">
        <v>499</v>
      </c>
      <c r="B299" s="15" t="s">
        <v>139</v>
      </c>
      <c r="C299" s="20">
        <f>_xll.DBRW($D$2,Cons_Region!$F$12,Cons_Region!C$15,$M$1,Cons_Region!$H$12,Cons_Region!$C$12,$A299,$K$1)</f>
        <v>0</v>
      </c>
      <c r="D299" s="20">
        <f>_xll.DBRW($D$2,Cons_Region!$F$12,Cons_Region!D$15,$M$1,Cons_Region!$H$12,Cons_Region!$C$12,$A299,$K$1)</f>
        <v>0</v>
      </c>
      <c r="E299" s="20">
        <f>_xll.DBRW($D$2,Cons_Region!$F$12,Cons_Region!E$15,$M$1,Cons_Region!$H$12,Cons_Region!$C$12,$A299,$K$1)</f>
        <v>0</v>
      </c>
      <c r="F299" s="20">
        <f>_xll.DBRW($D$2,Cons_Region!$F$12,Cons_Region!F$15,$M$1,Cons_Region!$H$12,Cons_Region!$C$12,$A299,$K$1)</f>
        <v>0</v>
      </c>
      <c r="G299" s="20">
        <f>_xll.DBRW($D$2,Cons_Region!$F$12,Cons_Region!G$15,$M$1,Cons_Region!$H$12,Cons_Region!$C$12,$A299,$K$1)</f>
        <v>0</v>
      </c>
      <c r="H299" s="20">
        <f>_xll.DBRW($D$2,Cons_Region!$F$12,Cons_Region!H$15,$M$1,Cons_Region!$H$12,Cons_Region!$C$12,$A299,$K$1)</f>
        <v>0</v>
      </c>
      <c r="I299" s="20">
        <f>_xll.DBRW($D$2,Cons_Region!$F$12,Cons_Region!I$15,$M$1,Cons_Region!$H$12,Cons_Region!$C$12,$A299,$K$1)</f>
        <v>0</v>
      </c>
      <c r="J299" s="20">
        <f>_xll.DBRW($D$2,Cons_Region!$F$12,Cons_Region!J$15,$M$1,Cons_Region!$H$12,Cons_Region!$C$12,$A299,$K$1)</f>
        <v>0</v>
      </c>
      <c r="K299" s="20">
        <f>_xll.DBRW($D$2,Cons_Region!$F$12,Cons_Region!K$15,$M$1,Cons_Region!$H$12,Cons_Region!$C$12,$A299,$K$1)</f>
        <v>0</v>
      </c>
      <c r="L299" s="20">
        <f>_xll.DBRW($D$2,Cons_Region!$F$12,Cons_Region!L$15,$M$1,Cons_Region!$H$12,Cons_Region!$C$12,$A299,$K$1)</f>
        <v>0</v>
      </c>
      <c r="M299" s="20">
        <f>_xll.DBRW($D$2,Cons_Region!$F$12,Cons_Region!M$15,$M$1,Cons_Region!$H$12,Cons_Region!$C$12,$A299,$K$1)</f>
        <v>0</v>
      </c>
      <c r="N299" s="20">
        <f>_xll.DBRW($D$2,Cons_Region!$F$12,Cons_Region!N$15,$M$1,Cons_Region!$H$12,Cons_Region!$C$12,$A299,$K$1)</f>
        <v>0</v>
      </c>
      <c r="O299" s="20">
        <f>_xll.DBRW($D$2,O$14,Cons_Region!O$15,$M$1,Cons_Region!$H$12,Cons_Region!$C$12,$A299,$K$1)</f>
        <v>0</v>
      </c>
      <c r="P299" s="20">
        <f>_xll.DBRW($D$2,P$14,Cons_Region!P$15,$M$1,Cons_Region!$H$12,Cons_Region!$C$12,$A299,$K$1)</f>
        <v>0</v>
      </c>
      <c r="Q299" s="20">
        <f>_xll.DBRW($D$2,Q$14,Cons_Region!Q$15,$M$1,Cons_Region!$H$12,Cons_Region!$C$12,$A299,$K$1)</f>
        <v>0</v>
      </c>
      <c r="R299" s="20">
        <f>_xll.DBRW($D$2,R$14,Cons_Region!R$15,$M$1,Cons_Region!$H$12,Cons_Region!$C$12,$A299,$K$1)</f>
        <v>0</v>
      </c>
      <c r="S299" s="20">
        <f>_xll.DBRW($D$2,S$14,Cons_Region!S$15,$M$1,Cons_Region!$H$12,Cons_Region!$C$12,$A299,$K$1)</f>
        <v>0</v>
      </c>
    </row>
    <row r="300" spans="1:19" ht="15.75" customHeight="1">
      <c r="A300" s="69" t="s">
        <v>501</v>
      </c>
      <c r="B300" s="13" t="s">
        <v>140</v>
      </c>
      <c r="C300" s="12">
        <f>_xll.DBRW($B$1,Cons_Region!$F$12,Cons_Region!C$15,$M$1,Cons_Region!$H$12,Cons_Region!$C$12,$N$1,$A300,$L$1,$K$1)</f>
        <v>0</v>
      </c>
      <c r="D300" s="12">
        <f>_xll.DBRW($B$1,Cons_Region!$F$12,Cons_Region!D$15,$M$1,Cons_Region!$H$12,Cons_Region!$C$12,$N$1,$A300,$L$1,$K$1)</f>
        <v>0</v>
      </c>
      <c r="E300" s="12">
        <f>_xll.DBRW($B$1,Cons_Region!$F$12,Cons_Region!E$15,$M$1,Cons_Region!$H$12,Cons_Region!$C$12,$N$1,$A300,$L$1,$K$1)</f>
        <v>0</v>
      </c>
      <c r="F300" s="12">
        <f>_xll.DBRW($B$1,Cons_Region!$F$12,Cons_Region!F$15,$M$1,Cons_Region!$H$12,Cons_Region!$C$12,$N$1,$A300,$L$1,$K$1)</f>
        <v>0</v>
      </c>
      <c r="G300" s="12">
        <f>_xll.DBRW($B$1,Cons_Region!$F$12,Cons_Region!G$15,$M$1,Cons_Region!$H$12,Cons_Region!$C$12,$N$1,$A300,$L$1,$K$1)</f>
        <v>0</v>
      </c>
      <c r="H300" s="12">
        <f>_xll.DBRW($B$1,Cons_Region!$F$12,Cons_Region!H$15,$M$1,Cons_Region!$H$12,Cons_Region!$C$12,$N$1,$A300,$L$1,$K$1)</f>
        <v>0</v>
      </c>
      <c r="I300" s="12">
        <f>_xll.DBRW($B$1,Cons_Region!$F$12,Cons_Region!I$15,$M$1,Cons_Region!$H$12,Cons_Region!$C$12,$N$1,$A300,$L$1,$K$1)</f>
        <v>0</v>
      </c>
      <c r="J300" s="12">
        <f>_xll.DBRW($B$1,Cons_Region!$F$12,Cons_Region!J$15,$M$1,Cons_Region!$H$12,Cons_Region!$C$12,$N$1,$A300,$L$1,$K$1)</f>
        <v>0</v>
      </c>
      <c r="K300" s="12">
        <f>_xll.DBRW($B$1,Cons_Region!$F$12,Cons_Region!K$15,$M$1,Cons_Region!$H$12,Cons_Region!$C$12,$N$1,$A300,$L$1,$K$1)</f>
        <v>0</v>
      </c>
      <c r="L300" s="12">
        <f>_xll.DBRW($B$1,Cons_Region!$F$12,Cons_Region!L$15,$M$1,Cons_Region!$H$12,Cons_Region!$C$12,$N$1,$A300,$L$1,$K$1)</f>
        <v>0</v>
      </c>
      <c r="M300" s="12">
        <f>_xll.DBRW($B$1,Cons_Region!$F$12,Cons_Region!M$15,$M$1,Cons_Region!$H$12,Cons_Region!$C$12,$N$1,$A300,$L$1,$K$1)</f>
        <v>0</v>
      </c>
      <c r="N300" s="12">
        <f>_xll.DBRW($B$1,Cons_Region!$F$12,Cons_Region!N$15,$M$1,Cons_Region!$H$12,Cons_Region!$C$12,$N$1,$A300,$L$1,$K$1)</f>
        <v>0</v>
      </c>
      <c r="O300" s="12">
        <f>_xll.DBRW($B$1,O$14,Cons_Region!O$15,$M$1,Cons_Region!$H$12,Cons_Region!$C$12,$N$1,$A300,$L$1,$K$1)</f>
        <v>0</v>
      </c>
      <c r="P300" s="12">
        <f>_xll.DBRW($B$1,P$14,Cons_Region!P$15,$M$1,Cons_Region!$H$12,Cons_Region!$C$12,$N$1,$A300,$L$1,$K$1)</f>
        <v>0</v>
      </c>
      <c r="Q300" s="12">
        <f>_xll.DBRW($B$1,Q$14,Cons_Region!Q$15,$M$1,Cons_Region!$H$12,Cons_Region!$C$12,$N$1,$A300,$L$1,$K$1)</f>
        <v>0</v>
      </c>
      <c r="R300" s="12">
        <f>_xll.DBRW($B$1,R$14,Cons_Region!R$15,$M$1,Cons_Region!$H$12,Cons_Region!$C$12,$N$1,$A300,$L$1,$K$1)</f>
        <v>0</v>
      </c>
      <c r="S300" s="12">
        <f>_xll.DBRW($B$1,S$14,Cons_Region!S$15,$M$1,Cons_Region!$H$12,Cons_Region!$C$12,$N$1,$A300,$L$1,$K$1)</f>
        <v>0</v>
      </c>
    </row>
    <row r="301" spans="1:19" ht="15.75" customHeight="1">
      <c r="B301" s="13" t="s">
        <v>141</v>
      </c>
      <c r="C301" s="10">
        <f>_xll.DBRW($C$1,Cons_Region!$F$12,Cons_Region!C$15,$M$1,Cons_Region!$C$12,Cons_Region!$B301,$K$1)</f>
        <v>0</v>
      </c>
      <c r="D301" s="10">
        <f>_xll.DBRW($C$1,Cons_Region!$F$12,Cons_Region!D$15,$M$1,Cons_Region!$C$12,Cons_Region!$B301,$K$1)</f>
        <v>0</v>
      </c>
      <c r="E301" s="10">
        <f>_xll.DBRW($C$1,Cons_Region!$F$12,Cons_Region!E$15,$M$1,Cons_Region!$C$12,Cons_Region!$B301,$K$1)</f>
        <v>0</v>
      </c>
      <c r="F301" s="10">
        <f>_xll.DBRW($C$1,Cons_Region!$F$12,Cons_Region!F$15,$M$1,Cons_Region!$C$12,Cons_Region!$B301,$K$1)</f>
        <v>0</v>
      </c>
      <c r="G301" s="10">
        <f>_xll.DBRW($C$1,Cons_Region!$F$12,Cons_Region!G$15,$M$1,Cons_Region!$C$12,Cons_Region!$B301,$K$1)</f>
        <v>0</v>
      </c>
      <c r="H301" s="10">
        <f>_xll.DBRW($C$1,Cons_Region!$F$12,Cons_Region!H$15,$M$1,Cons_Region!$C$12,Cons_Region!$B301,$K$1)</f>
        <v>0</v>
      </c>
      <c r="I301" s="10">
        <f>_xll.DBRW($C$1,Cons_Region!$F$12,Cons_Region!I$15,$M$1,Cons_Region!$C$12,Cons_Region!$B301,$K$1)</f>
        <v>0</v>
      </c>
      <c r="J301" s="10">
        <f>_xll.DBRW($C$1,Cons_Region!$F$12,Cons_Region!J$15,$M$1,Cons_Region!$C$12,Cons_Region!$B301,$K$1)</f>
        <v>0</v>
      </c>
      <c r="K301" s="10">
        <f>_xll.DBRW($C$1,Cons_Region!$F$12,Cons_Region!K$15,$M$1,Cons_Region!$C$12,Cons_Region!$B301,$K$1)</f>
        <v>0</v>
      </c>
      <c r="L301" s="10">
        <f>_xll.DBRW($C$1,Cons_Region!$F$12,Cons_Region!L$15,$M$1,Cons_Region!$C$12,Cons_Region!$B301,$K$1)</f>
        <v>0</v>
      </c>
      <c r="M301" s="10">
        <f>_xll.DBRW($C$1,Cons_Region!$F$12,Cons_Region!M$15,$M$1,Cons_Region!$C$12,Cons_Region!$B301,$K$1)</f>
        <v>0</v>
      </c>
      <c r="N301" s="10">
        <f>_xll.DBRW($C$1,Cons_Region!$F$12,Cons_Region!N$15,$M$1,Cons_Region!$C$12,Cons_Region!$B301,$K$1)</f>
        <v>0</v>
      </c>
      <c r="O301" s="10">
        <f>_xll.DBRW($C$1,O$14,Cons_Region!O$15,$M$1,Cons_Region!$C$12,Cons_Region!$B301,$K$1)</f>
        <v>0</v>
      </c>
      <c r="P301" s="10">
        <f>_xll.DBRW($C$1,P$14,Cons_Region!P$15,$M$1,Cons_Region!$C$12,Cons_Region!$B301,$K$1)</f>
        <v>0</v>
      </c>
      <c r="Q301" s="10">
        <f>_xll.DBRW($C$1,Q$14,Cons_Region!Q$15,$M$1,Cons_Region!$C$12,Cons_Region!$B301,$K$1)</f>
        <v>0</v>
      </c>
      <c r="R301" s="10">
        <f>_xll.DBRW($C$1,R$14,Cons_Region!R$15,$M$1,Cons_Region!$C$12,Cons_Region!$B301,$K$1)</f>
        <v>0</v>
      </c>
      <c r="S301" s="10">
        <f>_xll.DBRW($C$1,S$14,Cons_Region!S$15,$M$1,Cons_Region!$C$12,Cons_Region!$B301,$K$1)</f>
        <v>0</v>
      </c>
    </row>
    <row r="302" spans="1:19" ht="15.75" customHeight="1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</row>
    <row r="303" spans="1:19" ht="15.75" customHeight="1" thickBot="1">
      <c r="B303" s="18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</row>
    <row r="304" spans="1:19" ht="15.75" customHeight="1" thickTop="1">
      <c r="B304" s="27" t="s">
        <v>142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</row>
    <row r="305" spans="1:19" ht="15.75" customHeight="1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80">
        <f>$F$12+1</f>
        <v>2027</v>
      </c>
      <c r="P305" s="80">
        <f>$F$12+2</f>
        <v>2028</v>
      </c>
      <c r="Q305" s="80">
        <f>$F$12+3</f>
        <v>2029</v>
      </c>
      <c r="R305" s="80">
        <f>$F$12+4</f>
        <v>2030</v>
      </c>
      <c r="S305" s="80">
        <f>$F$12+5</f>
        <v>2031</v>
      </c>
    </row>
    <row r="306" spans="1:19" ht="15.75" customHeight="1">
      <c r="B306" s="22"/>
      <c r="C306" s="23" t="str">
        <f t="shared" ref="C306:N306" si="26">$F$12&amp;"."&amp;C$15</f>
        <v>2026.01</v>
      </c>
      <c r="D306" s="23" t="str">
        <f t="shared" si="26"/>
        <v>2026.02</v>
      </c>
      <c r="E306" s="23" t="str">
        <f t="shared" si="26"/>
        <v>2026.03</v>
      </c>
      <c r="F306" s="23" t="str">
        <f t="shared" si="26"/>
        <v>2026.04</v>
      </c>
      <c r="G306" s="23" t="str">
        <f t="shared" si="26"/>
        <v>2026.05</v>
      </c>
      <c r="H306" s="23" t="str">
        <f t="shared" si="26"/>
        <v>2026.06</v>
      </c>
      <c r="I306" s="23" t="str">
        <f t="shared" si="26"/>
        <v>2026.07</v>
      </c>
      <c r="J306" s="23" t="str">
        <f t="shared" si="26"/>
        <v>2026.08</v>
      </c>
      <c r="K306" s="23" t="str">
        <f t="shared" si="26"/>
        <v>2026.09</v>
      </c>
      <c r="L306" s="23" t="str">
        <f t="shared" si="26"/>
        <v>2026.10</v>
      </c>
      <c r="M306" s="23" t="str">
        <f t="shared" si="26"/>
        <v>2026.11</v>
      </c>
      <c r="N306" s="23" t="str">
        <f t="shared" si="26"/>
        <v>2026.12</v>
      </c>
      <c r="O306" s="23" t="s">
        <v>304</v>
      </c>
      <c r="P306" s="23" t="s">
        <v>304</v>
      </c>
      <c r="Q306" s="23" t="s">
        <v>304</v>
      </c>
      <c r="R306" s="23" t="s">
        <v>304</v>
      </c>
      <c r="S306" s="23" t="s">
        <v>304</v>
      </c>
    </row>
    <row r="307" spans="1:19" ht="15.75" customHeight="1">
      <c r="A307" s="69" t="s">
        <v>363</v>
      </c>
      <c r="B307" s="15" t="s">
        <v>143</v>
      </c>
      <c r="C307" s="20">
        <f>_xll.DBRW($B$1,Cons_Region!$F$12,Cons_Region!C$15,$M$1,Cons_Region!$H$12,Cons_Region!$C$12,$N$2,$A307,"Total Accounts Line",$K$1)</f>
        <v>0</v>
      </c>
      <c r="D307" s="20">
        <f>_xll.DBRW($B$1,Cons_Region!$F$12,Cons_Region!D$15,$M$1,Cons_Region!$H$12,Cons_Region!$C$12,$N$2,$A307,"Total Accounts Line",$K$1)</f>
        <v>0</v>
      </c>
      <c r="E307" s="20">
        <f>_xll.DBRW($B$1,Cons_Region!$F$12,Cons_Region!E$15,$M$1,Cons_Region!$H$12,Cons_Region!$C$12,$N$2,$A307,"Total Accounts Line",$K$1)</f>
        <v>0</v>
      </c>
      <c r="F307" s="20">
        <f>_xll.DBRW($B$1,Cons_Region!$F$12,Cons_Region!F$15,$M$1,Cons_Region!$H$12,Cons_Region!$C$12,$N$2,$A307,"Total Accounts Line",$K$1)</f>
        <v>0</v>
      </c>
      <c r="G307" s="20">
        <f>_xll.DBRW($B$1,Cons_Region!$F$12,Cons_Region!G$15,$M$1,Cons_Region!$H$12,Cons_Region!$C$12,$N$2,$A307,"Total Accounts Line",$K$1)</f>
        <v>0</v>
      </c>
      <c r="H307" s="20">
        <f>_xll.DBRW($B$1,Cons_Region!$F$12,Cons_Region!H$15,$M$1,Cons_Region!$H$12,Cons_Region!$C$12,$N$2,$A307,"Total Accounts Line",$K$1)</f>
        <v>0</v>
      </c>
      <c r="I307" s="20">
        <f>_xll.DBRW($B$1,Cons_Region!$F$12,Cons_Region!I$15,$M$1,Cons_Region!$H$12,Cons_Region!$C$12,$N$2,$A307,"Total Accounts Line",$K$1)</f>
        <v>0</v>
      </c>
      <c r="J307" s="20">
        <f>_xll.DBRW($B$1,Cons_Region!$F$12,Cons_Region!J$15,$M$1,Cons_Region!$H$12,Cons_Region!$C$12,$N$2,$A307,"Total Accounts Line",$K$1)</f>
        <v>0</v>
      </c>
      <c r="K307" s="20">
        <f>_xll.DBRW($B$1,Cons_Region!$F$12,Cons_Region!K$15,$M$1,Cons_Region!$H$12,Cons_Region!$C$12,$N$2,$A307,"Total Accounts Line",$K$1)</f>
        <v>0</v>
      </c>
      <c r="L307" s="20">
        <f>_xll.DBRW($B$1,Cons_Region!$F$12,Cons_Region!L$15,$M$1,Cons_Region!$H$12,Cons_Region!$C$12,$N$2,$A307,"Total Accounts Line",$K$1)</f>
        <v>0</v>
      </c>
      <c r="M307" s="20">
        <f>_xll.DBRW($B$1,Cons_Region!$F$12,Cons_Region!M$15,$M$1,Cons_Region!$H$12,Cons_Region!$C$12,$N$2,$A307,"Total Accounts Line",$K$1)</f>
        <v>0</v>
      </c>
      <c r="N307" s="20">
        <f>_xll.DBRW($B$1,Cons_Region!$F$12,Cons_Region!N$15,$M$1,Cons_Region!$H$12,Cons_Region!$C$12,$N$2,$A307,"Total Accounts Line",$K$1)</f>
        <v>0</v>
      </c>
      <c r="O307" s="20">
        <f>_xll.DBRW($B$1,O$14,Cons_Region!O$15,$M$1,Cons_Region!$H$12,Cons_Region!$C$12,$N$2,$A307,"Total Accounts Line",$K$1)</f>
        <v>0</v>
      </c>
      <c r="P307" s="20">
        <f>_xll.DBRW($B$1,P$14,Cons_Region!P$15,$M$1,Cons_Region!$H$12,Cons_Region!$C$12,$N$2,$A307,"Total Accounts Line",$K$1)</f>
        <v>0</v>
      </c>
      <c r="Q307" s="20">
        <f>_xll.DBRW($B$1,Q$14,Cons_Region!Q$15,$M$1,Cons_Region!$H$12,Cons_Region!$C$12,$N$2,$A307,"Total Accounts Line",$K$1)</f>
        <v>0</v>
      </c>
      <c r="R307" s="20">
        <f>_xll.DBRW($B$1,R$14,Cons_Region!R$15,$M$1,Cons_Region!$H$12,Cons_Region!$C$12,$N$2,$A307,"Total Accounts Line",$K$1)</f>
        <v>0</v>
      </c>
      <c r="S307" s="20">
        <f>_xll.DBRW($B$1,S$14,Cons_Region!S$15,$M$1,Cons_Region!$H$12,Cons_Region!$C$12,$N$2,$A307,"Total Accounts Line",$K$1)</f>
        <v>0</v>
      </c>
    </row>
    <row r="308" spans="1:19" ht="15.75" customHeight="1">
      <c r="A308" s="69" t="s">
        <v>502</v>
      </c>
      <c r="B308" s="13" t="s">
        <v>144</v>
      </c>
      <c r="C308" s="12">
        <f>_xll.DBRW($B$1,Cons_Region!$F$12,Cons_Region!C$15,$M$1,Cons_Region!$H$12,Cons_Region!$C$12,$N$1,$A308,$L$1,$K$1)</f>
        <v>0</v>
      </c>
      <c r="D308" s="12">
        <f>_xll.DBRW($B$1,Cons_Region!$F$12,Cons_Region!D$15,$M$1,Cons_Region!$H$12,Cons_Region!$C$12,$N$1,$A308,$L$1,$K$1)</f>
        <v>0</v>
      </c>
      <c r="E308" s="12">
        <f>_xll.DBRW($B$1,Cons_Region!$F$12,Cons_Region!E$15,$M$1,Cons_Region!$H$12,Cons_Region!$C$12,$N$1,$A308,$L$1,$K$1)</f>
        <v>0</v>
      </c>
      <c r="F308" s="12">
        <f>_xll.DBRW($B$1,Cons_Region!$F$12,Cons_Region!F$15,$M$1,Cons_Region!$H$12,Cons_Region!$C$12,$N$1,$A308,$L$1,$K$1)</f>
        <v>0</v>
      </c>
      <c r="G308" s="12">
        <f>_xll.DBRW($B$1,Cons_Region!$F$12,Cons_Region!G$15,$M$1,Cons_Region!$H$12,Cons_Region!$C$12,$N$1,$A308,$L$1,$K$1)</f>
        <v>0</v>
      </c>
      <c r="H308" s="12">
        <f>_xll.DBRW($B$1,Cons_Region!$F$12,Cons_Region!H$15,$M$1,Cons_Region!$H$12,Cons_Region!$C$12,$N$1,$A308,$L$1,$K$1)</f>
        <v>0</v>
      </c>
      <c r="I308" s="12">
        <f>_xll.DBRW($B$1,Cons_Region!$F$12,Cons_Region!I$15,$M$1,Cons_Region!$H$12,Cons_Region!$C$12,$N$1,$A308,$L$1,$K$1)</f>
        <v>0</v>
      </c>
      <c r="J308" s="12">
        <f>_xll.DBRW($B$1,Cons_Region!$F$12,Cons_Region!J$15,$M$1,Cons_Region!$H$12,Cons_Region!$C$12,$N$1,$A308,$L$1,$K$1)</f>
        <v>0</v>
      </c>
      <c r="K308" s="12">
        <f>_xll.DBRW($B$1,Cons_Region!$F$12,Cons_Region!K$15,$M$1,Cons_Region!$H$12,Cons_Region!$C$12,$N$1,$A308,$L$1,$K$1)</f>
        <v>0</v>
      </c>
      <c r="L308" s="12">
        <f>_xll.DBRW($B$1,Cons_Region!$F$12,Cons_Region!L$15,$M$1,Cons_Region!$H$12,Cons_Region!$C$12,$N$1,$A308,$L$1,$K$1)</f>
        <v>0</v>
      </c>
      <c r="M308" s="12">
        <f>_xll.DBRW($B$1,Cons_Region!$F$12,Cons_Region!M$15,$M$1,Cons_Region!$H$12,Cons_Region!$C$12,$N$1,$A308,$L$1,$K$1)</f>
        <v>0</v>
      </c>
      <c r="N308" s="12">
        <f>_xll.DBRW($B$1,Cons_Region!$F$12,Cons_Region!N$15,$M$1,Cons_Region!$H$12,Cons_Region!$C$12,$N$1,$A308,$L$1,$K$1)</f>
        <v>0</v>
      </c>
      <c r="O308" s="12">
        <f>_xll.DBRW($B$1,O$14,Cons_Region!O$15,$M$1,Cons_Region!$H$12,Cons_Region!$C$12,$N$1,$A308,$L$1,$K$1)</f>
        <v>0</v>
      </c>
      <c r="P308" s="12">
        <f>_xll.DBRW($B$1,P$14,Cons_Region!P$15,$M$1,Cons_Region!$H$12,Cons_Region!$C$12,$N$1,$A308,$L$1,$K$1)</f>
        <v>0</v>
      </c>
      <c r="Q308" s="12">
        <f>_xll.DBRW($B$1,Q$14,Cons_Region!Q$15,$M$1,Cons_Region!$H$12,Cons_Region!$C$12,$N$1,$A308,$L$1,$K$1)</f>
        <v>0</v>
      </c>
      <c r="R308" s="12">
        <f>_xll.DBRW($B$1,R$14,Cons_Region!R$15,$M$1,Cons_Region!$H$12,Cons_Region!$C$12,$N$1,$A308,$L$1,$K$1)</f>
        <v>0</v>
      </c>
      <c r="S308" s="12">
        <f>_xll.DBRW($B$1,S$14,Cons_Region!S$15,$M$1,Cons_Region!$H$12,Cons_Region!$C$12,$N$1,$A308,$L$1,$K$1)</f>
        <v>0</v>
      </c>
    </row>
    <row r="309" spans="1:19" ht="15.75" customHeight="1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</row>
    <row r="310" spans="1:19" ht="15.75" customHeight="1" thickBot="1">
      <c r="B310" s="18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</row>
    <row r="311" spans="1:19" ht="15.75" customHeight="1" thickTop="1">
      <c r="B311" s="27" t="s">
        <v>145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</row>
    <row r="312" spans="1:19" ht="15.75" customHeight="1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80">
        <f>$F$12+1</f>
        <v>2027</v>
      </c>
      <c r="P312" s="80">
        <f>$F$12+2</f>
        <v>2028</v>
      </c>
      <c r="Q312" s="80">
        <f>$F$12+3</f>
        <v>2029</v>
      </c>
      <c r="R312" s="80">
        <f>$F$12+4</f>
        <v>2030</v>
      </c>
      <c r="S312" s="80">
        <f>$F$12+5</f>
        <v>2031</v>
      </c>
    </row>
    <row r="313" spans="1:19" ht="15.75" customHeight="1">
      <c r="B313" s="22"/>
      <c r="C313" s="23" t="str">
        <f t="shared" ref="C313:N313" si="27">$F$12&amp;"."&amp;C$15</f>
        <v>2026.01</v>
      </c>
      <c r="D313" s="23" t="str">
        <f t="shared" si="27"/>
        <v>2026.02</v>
      </c>
      <c r="E313" s="23" t="str">
        <f t="shared" si="27"/>
        <v>2026.03</v>
      </c>
      <c r="F313" s="23" t="str">
        <f t="shared" si="27"/>
        <v>2026.04</v>
      </c>
      <c r="G313" s="23" t="str">
        <f t="shared" si="27"/>
        <v>2026.05</v>
      </c>
      <c r="H313" s="23" t="str">
        <f t="shared" si="27"/>
        <v>2026.06</v>
      </c>
      <c r="I313" s="23" t="str">
        <f t="shared" si="27"/>
        <v>2026.07</v>
      </c>
      <c r="J313" s="23" t="str">
        <f t="shared" si="27"/>
        <v>2026.08</v>
      </c>
      <c r="K313" s="23" t="str">
        <f t="shared" si="27"/>
        <v>2026.09</v>
      </c>
      <c r="L313" s="23" t="str">
        <f t="shared" si="27"/>
        <v>2026.10</v>
      </c>
      <c r="M313" s="23" t="str">
        <f t="shared" si="27"/>
        <v>2026.11</v>
      </c>
      <c r="N313" s="23" t="str">
        <f t="shared" si="27"/>
        <v>2026.12</v>
      </c>
      <c r="O313" s="23" t="s">
        <v>304</v>
      </c>
      <c r="P313" s="23" t="s">
        <v>304</v>
      </c>
      <c r="Q313" s="23" t="s">
        <v>304</v>
      </c>
      <c r="R313" s="23" t="s">
        <v>304</v>
      </c>
      <c r="S313" s="23" t="s">
        <v>304</v>
      </c>
    </row>
    <row r="314" spans="1:19" ht="15.75" customHeight="1">
      <c r="A314" s="69" t="s">
        <v>503</v>
      </c>
      <c r="B314" s="15" t="s">
        <v>146</v>
      </c>
      <c r="C314" s="20">
        <f>_xll.DBRW($D$2,Cons_Region!$F$12,Cons_Region!C$15,$M$1,Cons_Region!$H$12,Cons_Region!$C$12,$A314,$K$1)</f>
        <v>0</v>
      </c>
      <c r="D314" s="20">
        <f>_xll.DBRW($D$2,Cons_Region!$F$12,Cons_Region!D$15,$M$1,Cons_Region!$H$12,Cons_Region!$C$12,$A314,$K$1)</f>
        <v>-405.00202231320492</v>
      </c>
      <c r="E314" s="20">
        <f>_xll.DBRW($D$2,Cons_Region!$F$12,Cons_Region!E$15,$M$1,Cons_Region!$H$12,Cons_Region!$C$12,$A314,$K$1)</f>
        <v>-1.5488649695077754</v>
      </c>
      <c r="F314" s="20">
        <f>_xll.DBRW($D$2,Cons_Region!$F$12,Cons_Region!F$15,$M$1,Cons_Region!$H$12,Cons_Region!$C$12,$A314,$K$1)</f>
        <v>385.70759243766253</v>
      </c>
      <c r="G314" s="20">
        <f>_xll.DBRW($D$2,Cons_Region!$F$12,Cons_Region!G$15,$M$1,Cons_Region!$H$12,Cons_Region!$C$12,$A314,$K$1)</f>
        <v>357.82738252305535</v>
      </c>
      <c r="H314" s="20">
        <f>_xll.DBRW($D$2,Cons_Region!$F$12,Cons_Region!H$15,$M$1,Cons_Region!$H$12,Cons_Region!$C$12,$A314,$K$1)</f>
        <v>300.44019358453505</v>
      </c>
      <c r="I314" s="20">
        <f>_xll.DBRW($D$2,Cons_Region!$F$12,Cons_Region!I$15,$M$1,Cons_Region!$H$12,Cons_Region!$C$12,$A314,$K$1)</f>
        <v>348.5212190805546</v>
      </c>
      <c r="J314" s="20">
        <f>_xll.DBRW($D$2,Cons_Region!$F$12,Cons_Region!J$15,$M$1,Cons_Region!$H$12,Cons_Region!$C$12,$A314,$K$1)</f>
        <v>116.56012097804076</v>
      </c>
      <c r="K314" s="20">
        <f>_xll.DBRW($D$2,Cons_Region!$F$12,Cons_Region!K$15,$M$1,Cons_Region!$H$12,Cons_Region!$C$12,$A314,$K$1)</f>
        <v>276.76115558255009</v>
      </c>
      <c r="L314" s="20">
        <f>_xll.DBRW($D$2,Cons_Region!$F$12,Cons_Region!L$15,$M$1,Cons_Region!$H$12,Cons_Region!$C$12,$A314,$K$1)</f>
        <v>399.62129671235476</v>
      </c>
      <c r="M314" s="20">
        <f>_xll.DBRW($D$2,Cons_Region!$F$12,Cons_Region!M$15,$M$1,Cons_Region!$H$12,Cons_Region!$C$12,$A314,$K$1)</f>
        <v>333.56538197742617</v>
      </c>
      <c r="N314" s="20">
        <f>_xll.DBRW($D$2,Cons_Region!$F$12,Cons_Region!N$15,$M$1,Cons_Region!$H$12,Cons_Region!$C$12,$A314,$K$1)</f>
        <v>283.86802368735414</v>
      </c>
      <c r="O314" s="20">
        <f>_xll.DBRW($D$2,O$14,Cons_Region!O$15,$M$1,Cons_Region!$H$12,Cons_Region!$C$12,$A314,$K$1)</f>
        <v>0</v>
      </c>
      <c r="P314" s="20">
        <f>_xll.DBRW($D$2,P$14,Cons_Region!P$15,$M$1,Cons_Region!$H$12,Cons_Region!$C$12,$A314,$K$1)</f>
        <v>0</v>
      </c>
      <c r="Q314" s="20">
        <f>_xll.DBRW($D$2,Q$14,Cons_Region!Q$15,$M$1,Cons_Region!$H$12,Cons_Region!$C$12,$A314,$K$1)</f>
        <v>0</v>
      </c>
      <c r="R314" s="20">
        <f>_xll.DBRW($D$2,R$14,Cons_Region!R$15,$M$1,Cons_Region!$H$12,Cons_Region!$C$12,$A314,$K$1)</f>
        <v>0</v>
      </c>
      <c r="S314" s="20">
        <f>_xll.DBRW($D$2,S$14,Cons_Region!S$15,$M$1,Cons_Region!$H$12,Cons_Region!$C$12,$A314,$K$1)</f>
        <v>0</v>
      </c>
    </row>
    <row r="315" spans="1:19" ht="15.75" customHeight="1">
      <c r="A315" s="69" t="s">
        <v>377</v>
      </c>
      <c r="B315" s="15" t="s">
        <v>147</v>
      </c>
      <c r="C315" s="20">
        <f>_xll.DBRW($D$2,Cons_Region!$F$12,Cons_Region!C$15,$M$1,Cons_Region!$H$12,Cons_Region!$C$12,$A315,$K$1)</f>
        <v>0</v>
      </c>
      <c r="D315" s="20">
        <f>_xll.DBRW($D$2,Cons_Region!$F$12,Cons_Region!D$15,$M$1,Cons_Region!$H$12,Cons_Region!$C$12,$A315,$K$1)</f>
        <v>0</v>
      </c>
      <c r="E315" s="20">
        <f>_xll.DBRW($D$2,Cons_Region!$F$12,Cons_Region!E$15,$M$1,Cons_Region!$H$12,Cons_Region!$C$12,$A315,$K$1)</f>
        <v>-515</v>
      </c>
      <c r="F315" s="20">
        <f>_xll.DBRW($D$2,Cons_Region!$F$12,Cons_Region!F$15,$M$1,Cons_Region!$H$12,Cons_Region!$C$12,$A315,$K$1)</f>
        <v>0</v>
      </c>
      <c r="G315" s="20">
        <f>_xll.DBRW($D$2,Cons_Region!$F$12,Cons_Region!G$15,$M$1,Cons_Region!$H$12,Cons_Region!$C$12,$A315,$K$1)</f>
        <v>0</v>
      </c>
      <c r="H315" s="20">
        <f>_xll.DBRW($D$2,Cons_Region!$F$12,Cons_Region!H$15,$M$1,Cons_Region!$H$12,Cons_Region!$C$12,$A315,$K$1)</f>
        <v>0</v>
      </c>
      <c r="I315" s="20">
        <f>_xll.DBRW($D$2,Cons_Region!$F$12,Cons_Region!I$15,$M$1,Cons_Region!$H$12,Cons_Region!$C$12,$A315,$K$1)</f>
        <v>0</v>
      </c>
      <c r="J315" s="20">
        <f>_xll.DBRW($D$2,Cons_Region!$F$12,Cons_Region!J$15,$M$1,Cons_Region!$H$12,Cons_Region!$C$12,$A315,$K$1)</f>
        <v>-515</v>
      </c>
      <c r="K315" s="20">
        <f>_xll.DBRW($D$2,Cons_Region!$F$12,Cons_Region!K$15,$M$1,Cons_Region!$H$12,Cons_Region!$C$12,$A315,$K$1)</f>
        <v>0</v>
      </c>
      <c r="L315" s="20">
        <f>_xll.DBRW($D$2,Cons_Region!$F$12,Cons_Region!L$15,$M$1,Cons_Region!$H$12,Cons_Region!$C$12,$A315,$K$1)</f>
        <v>0</v>
      </c>
      <c r="M315" s="20">
        <f>_xll.DBRW($D$2,Cons_Region!$F$12,Cons_Region!M$15,$M$1,Cons_Region!$H$12,Cons_Region!$C$12,$A315,$K$1)</f>
        <v>0</v>
      </c>
      <c r="N315" s="20">
        <f>_xll.DBRW($D$2,Cons_Region!$F$12,Cons_Region!N$15,$M$1,Cons_Region!$H$12,Cons_Region!$C$12,$A315,$K$1)</f>
        <v>0</v>
      </c>
      <c r="O315" s="20">
        <f>_xll.DBRW($D$2,O$14,Cons_Region!O$15,$M$1,Cons_Region!$H$12,Cons_Region!$C$12,$A315,$K$1)</f>
        <v>0</v>
      </c>
      <c r="P315" s="20">
        <f>_xll.DBRW($D$2,P$14,Cons_Region!P$15,$M$1,Cons_Region!$H$12,Cons_Region!$C$12,$A315,$K$1)</f>
        <v>0</v>
      </c>
      <c r="Q315" s="20">
        <f>_xll.DBRW($D$2,Q$14,Cons_Region!Q$15,$M$1,Cons_Region!$H$12,Cons_Region!$C$12,$A315,$K$1)</f>
        <v>0</v>
      </c>
      <c r="R315" s="20">
        <f>_xll.DBRW($D$2,R$14,Cons_Region!R$15,$M$1,Cons_Region!$H$12,Cons_Region!$C$12,$A315,$K$1)</f>
        <v>0</v>
      </c>
      <c r="S315" s="20">
        <f>_xll.DBRW($D$2,S$14,Cons_Region!S$15,$M$1,Cons_Region!$H$12,Cons_Region!$C$12,$A315,$K$1)</f>
        <v>0</v>
      </c>
    </row>
    <row r="316" spans="1:19" ht="15.75" customHeight="1">
      <c r="A316" s="69" t="s">
        <v>383</v>
      </c>
      <c r="B316" s="15" t="s">
        <v>148</v>
      </c>
      <c r="C316" s="20">
        <f>_xll.DBRW($D$2,Cons_Region!$F$12,Cons_Region!C$15,$M$1,Cons_Region!$H$12,Cons_Region!$C$12,$A316,$K$1)</f>
        <v>0</v>
      </c>
      <c r="D316" s="20">
        <f>_xll.DBRW($D$2,Cons_Region!$F$12,Cons_Region!D$15,$M$1,Cons_Region!$H$12,Cons_Region!$C$12,$A316,$K$1)</f>
        <v>0</v>
      </c>
      <c r="E316" s="20">
        <f>_xll.DBRW($D$2,Cons_Region!$F$12,Cons_Region!E$15,$M$1,Cons_Region!$H$12,Cons_Region!$C$12,$A316,$K$1)</f>
        <v>0</v>
      </c>
      <c r="F316" s="20">
        <f>_xll.DBRW($D$2,Cons_Region!$F$12,Cons_Region!F$15,$M$1,Cons_Region!$H$12,Cons_Region!$C$12,$A316,$K$1)</f>
        <v>-5.0727000000000002</v>
      </c>
      <c r="G316" s="20">
        <f>_xll.DBRW($D$2,Cons_Region!$F$12,Cons_Region!G$15,$M$1,Cons_Region!$H$12,Cons_Region!$C$12,$A316,$K$1)</f>
        <v>0</v>
      </c>
      <c r="H316" s="20">
        <f>_xll.DBRW($D$2,Cons_Region!$F$12,Cons_Region!H$15,$M$1,Cons_Region!$H$12,Cons_Region!$C$12,$A316,$K$1)</f>
        <v>0</v>
      </c>
      <c r="I316" s="20">
        <f>_xll.DBRW($D$2,Cons_Region!$F$12,Cons_Region!I$15,$M$1,Cons_Region!$H$12,Cons_Region!$C$12,$A316,$K$1)</f>
        <v>-6.1116999999999999</v>
      </c>
      <c r="J316" s="20">
        <f>_xll.DBRW($D$2,Cons_Region!$F$12,Cons_Region!J$15,$M$1,Cons_Region!$H$12,Cons_Region!$C$12,$A316,$K$1)</f>
        <v>0</v>
      </c>
      <c r="K316" s="20">
        <f>_xll.DBRW($D$2,Cons_Region!$F$12,Cons_Region!K$15,$M$1,Cons_Region!$H$12,Cons_Region!$C$12,$A316,$K$1)</f>
        <v>0</v>
      </c>
      <c r="L316" s="20">
        <f>_xll.DBRW($D$2,Cons_Region!$F$12,Cons_Region!L$15,$M$1,Cons_Region!$H$12,Cons_Region!$C$12,$A316,$K$1)</f>
        <v>-6.1786000000000003</v>
      </c>
      <c r="M316" s="20">
        <f>_xll.DBRW($D$2,Cons_Region!$F$12,Cons_Region!M$15,$M$1,Cons_Region!$H$12,Cons_Region!$C$12,$A316,$K$1)</f>
        <v>0</v>
      </c>
      <c r="N316" s="20">
        <f>_xll.DBRW($D$2,Cons_Region!$F$12,Cons_Region!N$15,$M$1,Cons_Region!$H$12,Cons_Region!$C$12,$A316,$K$1)</f>
        <v>0</v>
      </c>
      <c r="O316" s="20">
        <f>_xll.DBRW($D$2,O$14,Cons_Region!O$15,$M$1,Cons_Region!$H$12,Cons_Region!$C$12,$A316,$K$1)</f>
        <v>0</v>
      </c>
      <c r="P316" s="20">
        <f>_xll.DBRW($D$2,P$14,Cons_Region!P$15,$M$1,Cons_Region!$H$12,Cons_Region!$C$12,$A316,$K$1)</f>
        <v>0</v>
      </c>
      <c r="Q316" s="20">
        <f>_xll.DBRW($D$2,Q$14,Cons_Region!Q$15,$M$1,Cons_Region!$H$12,Cons_Region!$C$12,$A316,$K$1)</f>
        <v>0</v>
      </c>
      <c r="R316" s="20">
        <f>_xll.DBRW($D$2,R$14,Cons_Region!R$15,$M$1,Cons_Region!$H$12,Cons_Region!$C$12,$A316,$K$1)</f>
        <v>0</v>
      </c>
      <c r="S316" s="20">
        <f>_xll.DBRW($D$2,S$14,Cons_Region!S$15,$M$1,Cons_Region!$H$12,Cons_Region!$C$12,$A316,$K$1)</f>
        <v>0</v>
      </c>
    </row>
    <row r="317" spans="1:19" ht="15.75" customHeight="1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</row>
    <row r="318" spans="1:19" ht="15.75" customHeight="1" thickBot="1">
      <c r="B318" s="18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</row>
    <row r="319" spans="1:19" ht="15.75" customHeight="1" thickTop="1">
      <c r="B319" s="27" t="s">
        <v>150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</row>
    <row r="320" spans="1:19" ht="15.75" customHeight="1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80">
        <f>$F$12+1</f>
        <v>2027</v>
      </c>
      <c r="P320" s="80">
        <f>$F$12+2</f>
        <v>2028</v>
      </c>
      <c r="Q320" s="80">
        <f>$F$12+3</f>
        <v>2029</v>
      </c>
      <c r="R320" s="80">
        <f>$F$12+4</f>
        <v>2030</v>
      </c>
      <c r="S320" s="80">
        <f>$F$12+5</f>
        <v>2031</v>
      </c>
    </row>
    <row r="321" spans="1:19" ht="15.75" customHeight="1">
      <c r="B321" s="22"/>
      <c r="C321" s="23" t="str">
        <f t="shared" ref="C321:N321" si="28">$F$12&amp;"."&amp;C$15</f>
        <v>2026.01</v>
      </c>
      <c r="D321" s="23" t="str">
        <f t="shared" si="28"/>
        <v>2026.02</v>
      </c>
      <c r="E321" s="23" t="str">
        <f t="shared" si="28"/>
        <v>2026.03</v>
      </c>
      <c r="F321" s="23" t="str">
        <f t="shared" si="28"/>
        <v>2026.04</v>
      </c>
      <c r="G321" s="23" t="str">
        <f t="shared" si="28"/>
        <v>2026.05</v>
      </c>
      <c r="H321" s="23" t="str">
        <f t="shared" si="28"/>
        <v>2026.06</v>
      </c>
      <c r="I321" s="23" t="str">
        <f t="shared" si="28"/>
        <v>2026.07</v>
      </c>
      <c r="J321" s="23" t="str">
        <f t="shared" si="28"/>
        <v>2026.08</v>
      </c>
      <c r="K321" s="23" t="str">
        <f t="shared" si="28"/>
        <v>2026.09</v>
      </c>
      <c r="L321" s="23" t="str">
        <f t="shared" si="28"/>
        <v>2026.10</v>
      </c>
      <c r="M321" s="23" t="str">
        <f t="shared" si="28"/>
        <v>2026.11</v>
      </c>
      <c r="N321" s="23" t="str">
        <f t="shared" si="28"/>
        <v>2026.12</v>
      </c>
      <c r="O321" s="23" t="s">
        <v>304</v>
      </c>
      <c r="P321" s="23" t="s">
        <v>304</v>
      </c>
      <c r="Q321" s="23" t="s">
        <v>304</v>
      </c>
      <c r="R321" s="23" t="s">
        <v>304</v>
      </c>
      <c r="S321" s="23" t="s">
        <v>304</v>
      </c>
    </row>
    <row r="322" spans="1:19" ht="15.75" customHeight="1">
      <c r="A322" s="69" t="s">
        <v>505</v>
      </c>
      <c r="B322" s="15" t="s">
        <v>149</v>
      </c>
      <c r="C322" s="20">
        <f>_xll.DBRW($D$2,Cons_Region!$F$12,Cons_Region!C$15,$M$1,Cons_Region!$H$12,Cons_Region!$C$12,$A322,$K$1)</f>
        <v>0</v>
      </c>
      <c r="D322" s="20">
        <f>_xll.DBRW($D$2,Cons_Region!$F$12,Cons_Region!D$15,$M$1,Cons_Region!$H$12,Cons_Region!$C$12,$A322,$K$1)</f>
        <v>-405.00202231320492</v>
      </c>
      <c r="E322" s="20">
        <f>_xll.DBRW($D$2,Cons_Region!$F$12,Cons_Region!E$15,$M$1,Cons_Region!$H$12,Cons_Region!$C$12,$A322,$K$1)</f>
        <v>-516.5488649695078</v>
      </c>
      <c r="F322" s="20">
        <f>_xll.DBRW($D$2,Cons_Region!$F$12,Cons_Region!F$15,$M$1,Cons_Region!$H$12,Cons_Region!$C$12,$A322,$K$1)</f>
        <v>380.63489243766253</v>
      </c>
      <c r="G322" s="20">
        <f>_xll.DBRW($D$2,Cons_Region!$F$12,Cons_Region!G$15,$M$1,Cons_Region!$H$12,Cons_Region!$C$12,$A322,$K$1)</f>
        <v>357.82738252305535</v>
      </c>
      <c r="H322" s="20">
        <f>_xll.DBRW($D$2,Cons_Region!$F$12,Cons_Region!H$15,$M$1,Cons_Region!$H$12,Cons_Region!$C$12,$A322,$K$1)</f>
        <v>300.44019358453505</v>
      </c>
      <c r="I322" s="20">
        <f>_xll.DBRW($D$2,Cons_Region!$F$12,Cons_Region!I$15,$M$1,Cons_Region!$H$12,Cons_Region!$C$12,$A322,$K$1)</f>
        <v>342.40951908055462</v>
      </c>
      <c r="J322" s="20">
        <f>_xll.DBRW($D$2,Cons_Region!$F$12,Cons_Region!J$15,$M$1,Cons_Region!$H$12,Cons_Region!$C$12,$A322,$K$1)</f>
        <v>-398.43987902195926</v>
      </c>
      <c r="K322" s="20">
        <f>_xll.DBRW($D$2,Cons_Region!$F$12,Cons_Region!K$15,$M$1,Cons_Region!$H$12,Cons_Region!$C$12,$A322,$K$1)</f>
        <v>276.76115558255009</v>
      </c>
      <c r="L322" s="20">
        <f>_xll.DBRW($D$2,Cons_Region!$F$12,Cons_Region!L$15,$M$1,Cons_Region!$H$12,Cons_Region!$C$12,$A322,$K$1)</f>
        <v>393.44269671235475</v>
      </c>
      <c r="M322" s="20">
        <f>_xll.DBRW($D$2,Cons_Region!$F$12,Cons_Region!M$15,$M$1,Cons_Region!$H$12,Cons_Region!$C$12,$A322,$K$1)</f>
        <v>333.56538197742617</v>
      </c>
      <c r="N322" s="20">
        <f>_xll.DBRW($D$2,Cons_Region!$F$12,Cons_Region!N$15,$M$1,Cons_Region!$H$12,Cons_Region!$C$12,$A322,$K$1)</f>
        <v>283.86802368735414</v>
      </c>
      <c r="O322" s="20">
        <f>_xll.DBRW($D$2,O$14,Cons_Region!O$15,$M$1,Cons_Region!$H$12,Cons_Region!$C$12,$A322,$K$1)</f>
        <v>0</v>
      </c>
      <c r="P322" s="20">
        <f>_xll.DBRW($D$2,P$14,Cons_Region!P$15,$M$1,Cons_Region!$H$12,Cons_Region!$C$12,$A322,$K$1)</f>
        <v>0</v>
      </c>
      <c r="Q322" s="20">
        <f>_xll.DBRW($D$2,Q$14,Cons_Region!Q$15,$M$1,Cons_Region!$H$12,Cons_Region!$C$12,$A322,$K$1)</f>
        <v>0</v>
      </c>
      <c r="R322" s="20">
        <f>_xll.DBRW($D$2,R$14,Cons_Region!R$15,$M$1,Cons_Region!$H$12,Cons_Region!$C$12,$A322,$K$1)</f>
        <v>0</v>
      </c>
      <c r="S322" s="20">
        <f>_xll.DBRW($D$2,S$14,Cons_Region!S$15,$M$1,Cons_Region!$H$12,Cons_Region!$C$12,$A322,$K$1)</f>
        <v>0</v>
      </c>
    </row>
    <row r="323" spans="1:19" ht="15.75" customHeight="1">
      <c r="A323" s="69" t="s">
        <v>384</v>
      </c>
      <c r="B323" s="15" t="s">
        <v>151</v>
      </c>
      <c r="C323" s="20">
        <f>_xll.DBRW($D$2,Cons_Region!$F$12,Cons_Region!C$15,$M$1,Cons_Region!$H$12,Cons_Region!$C$12,$A323,$K$1)</f>
        <v>0</v>
      </c>
      <c r="D323" s="20">
        <f>_xll.DBRW($D$2,Cons_Region!$F$12,Cons_Region!D$15,$M$1,Cons_Region!$H$12,Cons_Region!$C$12,$A323,$K$1)</f>
        <v>0</v>
      </c>
      <c r="E323" s="20">
        <f>_xll.DBRW($D$2,Cons_Region!$F$12,Cons_Region!E$15,$M$1,Cons_Region!$H$12,Cons_Region!$C$12,$A323,$K$1)</f>
        <v>0</v>
      </c>
      <c r="F323" s="20">
        <f>_xll.DBRW($D$2,Cons_Region!$F$12,Cons_Region!F$15,$M$1,Cons_Region!$H$12,Cons_Region!$C$12,$A323,$K$1)</f>
        <v>0</v>
      </c>
      <c r="G323" s="20">
        <f>_xll.DBRW($D$2,Cons_Region!$F$12,Cons_Region!G$15,$M$1,Cons_Region!$H$12,Cons_Region!$C$12,$A323,$K$1)</f>
        <v>0</v>
      </c>
      <c r="H323" s="20">
        <f>_xll.DBRW($D$2,Cons_Region!$F$12,Cons_Region!H$15,$M$1,Cons_Region!$H$12,Cons_Region!$C$12,$A323,$K$1)</f>
        <v>0</v>
      </c>
      <c r="I323" s="20">
        <f>_xll.DBRW($D$2,Cons_Region!$F$12,Cons_Region!I$15,$M$1,Cons_Region!$H$12,Cons_Region!$C$12,$A323,$K$1)</f>
        <v>0</v>
      </c>
      <c r="J323" s="20">
        <f>_xll.DBRW($D$2,Cons_Region!$F$12,Cons_Region!J$15,$M$1,Cons_Region!$H$12,Cons_Region!$C$12,$A323,$K$1)</f>
        <v>0</v>
      </c>
      <c r="K323" s="20">
        <f>_xll.DBRW($D$2,Cons_Region!$F$12,Cons_Region!K$15,$M$1,Cons_Region!$H$12,Cons_Region!$C$12,$A323,$K$1)</f>
        <v>0</v>
      </c>
      <c r="L323" s="20">
        <f>_xll.DBRW($D$2,Cons_Region!$F$12,Cons_Region!L$15,$M$1,Cons_Region!$H$12,Cons_Region!$C$12,$A323,$K$1)</f>
        <v>0</v>
      </c>
      <c r="M323" s="20">
        <f>_xll.DBRW($D$2,Cons_Region!$F$12,Cons_Region!M$15,$M$1,Cons_Region!$H$12,Cons_Region!$C$12,$A323,$K$1)</f>
        <v>0</v>
      </c>
      <c r="N323" s="20">
        <f>_xll.DBRW($D$2,Cons_Region!$F$12,Cons_Region!N$15,$M$1,Cons_Region!$H$12,Cons_Region!$C$12,$A323,$K$1)</f>
        <v>0</v>
      </c>
      <c r="O323" s="20">
        <f>_xll.DBRW($D$2,O$14,Cons_Region!O$15,$M$1,Cons_Region!$H$12,Cons_Region!$C$12,$A323,$K$1)</f>
        <v>0</v>
      </c>
      <c r="P323" s="20">
        <f>_xll.DBRW($D$2,P$14,Cons_Region!P$15,$M$1,Cons_Region!$H$12,Cons_Region!$C$12,$A323,$K$1)</f>
        <v>0</v>
      </c>
      <c r="Q323" s="20">
        <f>_xll.DBRW($D$2,Q$14,Cons_Region!Q$15,$M$1,Cons_Region!$H$12,Cons_Region!$C$12,$A323,$K$1)</f>
        <v>0</v>
      </c>
      <c r="R323" s="20">
        <f>_xll.DBRW($D$2,R$14,Cons_Region!R$15,$M$1,Cons_Region!$H$12,Cons_Region!$C$12,$A323,$K$1)</f>
        <v>0</v>
      </c>
      <c r="S323" s="20">
        <f>_xll.DBRW($D$2,S$14,Cons_Region!S$15,$M$1,Cons_Region!$H$12,Cons_Region!$C$12,$A323,$K$1)</f>
        <v>0</v>
      </c>
    </row>
    <row r="324" spans="1:19" ht="15.75" customHeight="1">
      <c r="A324" s="69" t="s">
        <v>364</v>
      </c>
      <c r="B324" s="15" t="s">
        <v>152</v>
      </c>
      <c r="C324" s="20">
        <f>_xll.DBRW($B$1,Cons_Region!$F$12,Cons_Region!C$15,$M$1,Cons_Region!$H$12,Cons_Region!$C$12,$N$1,$A324,$L$1,$K$1)</f>
        <v>0</v>
      </c>
      <c r="D324" s="20">
        <f>_xll.DBRW($B$1,Cons_Region!$F$12,Cons_Region!D$15,$M$1,Cons_Region!$H$12,Cons_Region!$C$12,$N$1,$A324,$L$1,$K$1)</f>
        <v>0</v>
      </c>
      <c r="E324" s="20">
        <f>_xll.DBRW($B$1,Cons_Region!$F$12,Cons_Region!E$15,$M$1,Cons_Region!$H$12,Cons_Region!$C$12,$N$1,$A324,$L$1,$K$1)</f>
        <v>0</v>
      </c>
      <c r="F324" s="20">
        <f>_xll.DBRW($B$1,Cons_Region!$F$12,Cons_Region!F$15,$M$1,Cons_Region!$H$12,Cons_Region!$C$12,$N$1,$A324,$L$1,$K$1)</f>
        <v>0</v>
      </c>
      <c r="G324" s="20">
        <f>_xll.DBRW($B$1,Cons_Region!$F$12,Cons_Region!G$15,$M$1,Cons_Region!$H$12,Cons_Region!$C$12,$N$1,$A324,$L$1,$K$1)</f>
        <v>0</v>
      </c>
      <c r="H324" s="20">
        <f>_xll.DBRW($B$1,Cons_Region!$F$12,Cons_Region!H$15,$M$1,Cons_Region!$H$12,Cons_Region!$C$12,$N$1,$A324,$L$1,$K$1)</f>
        <v>0</v>
      </c>
      <c r="I324" s="20">
        <f>_xll.DBRW($B$1,Cons_Region!$F$12,Cons_Region!I$15,$M$1,Cons_Region!$H$12,Cons_Region!$C$12,$N$1,$A324,$L$1,$K$1)</f>
        <v>0</v>
      </c>
      <c r="J324" s="20">
        <f>_xll.DBRW($B$1,Cons_Region!$F$12,Cons_Region!J$15,$M$1,Cons_Region!$H$12,Cons_Region!$C$12,$N$1,$A324,$L$1,$K$1)</f>
        <v>0</v>
      </c>
      <c r="K324" s="20">
        <f>_xll.DBRW($B$1,Cons_Region!$F$12,Cons_Region!K$15,$M$1,Cons_Region!$H$12,Cons_Region!$C$12,$N$1,$A324,$L$1,$K$1)</f>
        <v>0</v>
      </c>
      <c r="L324" s="20">
        <f>_xll.DBRW($B$1,Cons_Region!$F$12,Cons_Region!L$15,$M$1,Cons_Region!$H$12,Cons_Region!$C$12,$N$1,$A324,$L$1,$K$1)</f>
        <v>0</v>
      </c>
      <c r="M324" s="20">
        <f>_xll.DBRW($B$1,Cons_Region!$F$12,Cons_Region!M$15,$M$1,Cons_Region!$H$12,Cons_Region!$C$12,$N$1,$A324,$L$1,$K$1)</f>
        <v>0</v>
      </c>
      <c r="N324" s="20">
        <f>_xll.DBRW($B$1,Cons_Region!$F$12,Cons_Region!N$15,$M$1,Cons_Region!$H$12,Cons_Region!$C$12,$N$1,$A324,$L$1,$K$1)</f>
        <v>0</v>
      </c>
      <c r="O324" s="20">
        <f>_xll.DBRW($B$1,O$14,Cons_Region!O$15,$M$1,Cons_Region!$H$12,Cons_Region!$C$12,$N$2,$A324,"Total Accounts Line",$K$1)</f>
        <v>0</v>
      </c>
      <c r="P324" s="20">
        <f>_xll.DBRW($B$1,P$14,Cons_Region!P$15,$M$1,Cons_Region!$H$12,Cons_Region!$C$12,$N$2,$A324,"Total Accounts Line",$K$1)</f>
        <v>0</v>
      </c>
      <c r="Q324" s="20">
        <f>_xll.DBRW($B$1,Q$14,Cons_Region!Q$15,$M$1,Cons_Region!$H$12,Cons_Region!$C$12,$N$2,$A324,"Total Accounts Line",$K$1)</f>
        <v>0</v>
      </c>
      <c r="R324" s="20">
        <f>_xll.DBRW($B$1,R$14,Cons_Region!R$15,$M$1,Cons_Region!$H$12,Cons_Region!$C$12,$N$2,$A324,"Total Accounts Line",$K$1)</f>
        <v>0</v>
      </c>
      <c r="S324" s="20">
        <f>_xll.DBRW($B$1,S$14,Cons_Region!S$15,$M$1,Cons_Region!$H$12,Cons_Region!$C$12,$N$2,$A324,"Total Accounts Line",$K$1)</f>
        <v>0</v>
      </c>
    </row>
    <row r="325" spans="1:19" ht="15.75" customHeight="1">
      <c r="A325" s="69" t="s">
        <v>365</v>
      </c>
      <c r="B325" s="15" t="s">
        <v>153</v>
      </c>
      <c r="C325" s="20">
        <f>_xll.DBRW($B$1,Cons_Region!$F$12,Cons_Region!C$15,$M$1,Cons_Region!$H$12,Cons_Region!$C$12,$N$1,$A325,$L$1,$K$1)</f>
        <v>0</v>
      </c>
      <c r="D325" s="20">
        <f>_xll.DBRW($B$1,Cons_Region!$F$12,Cons_Region!D$15,$M$1,Cons_Region!$H$12,Cons_Region!$C$12,$N$1,$A325,$L$1,$K$1)</f>
        <v>0</v>
      </c>
      <c r="E325" s="20">
        <f>_xll.DBRW($B$1,Cons_Region!$F$12,Cons_Region!E$15,$M$1,Cons_Region!$H$12,Cons_Region!$C$12,$N$1,$A325,$L$1,$K$1)</f>
        <v>0</v>
      </c>
      <c r="F325" s="20">
        <f>_xll.DBRW($B$1,Cons_Region!$F$12,Cons_Region!F$15,$M$1,Cons_Region!$H$12,Cons_Region!$C$12,$N$1,$A325,$L$1,$K$1)</f>
        <v>0</v>
      </c>
      <c r="G325" s="20">
        <f>_xll.DBRW($B$1,Cons_Region!$F$12,Cons_Region!G$15,$M$1,Cons_Region!$H$12,Cons_Region!$C$12,$N$1,$A325,$L$1,$K$1)</f>
        <v>0</v>
      </c>
      <c r="H325" s="20">
        <f>_xll.DBRW($B$1,Cons_Region!$F$12,Cons_Region!H$15,$M$1,Cons_Region!$H$12,Cons_Region!$C$12,$N$1,$A325,$L$1,$K$1)</f>
        <v>0</v>
      </c>
      <c r="I325" s="20">
        <f>_xll.DBRW($B$1,Cons_Region!$F$12,Cons_Region!I$15,$M$1,Cons_Region!$H$12,Cons_Region!$C$12,$N$1,$A325,$L$1,$K$1)</f>
        <v>0</v>
      </c>
      <c r="J325" s="20">
        <f>_xll.DBRW($B$1,Cons_Region!$F$12,Cons_Region!J$15,$M$1,Cons_Region!$H$12,Cons_Region!$C$12,$N$1,$A325,$L$1,$K$1)</f>
        <v>0</v>
      </c>
      <c r="K325" s="20">
        <f>_xll.DBRW($B$1,Cons_Region!$F$12,Cons_Region!K$15,$M$1,Cons_Region!$H$12,Cons_Region!$C$12,$N$1,$A325,$L$1,$K$1)</f>
        <v>0</v>
      </c>
      <c r="L325" s="20">
        <f>_xll.DBRW($B$1,Cons_Region!$F$12,Cons_Region!L$15,$M$1,Cons_Region!$H$12,Cons_Region!$C$12,$N$1,$A325,$L$1,$K$1)</f>
        <v>0</v>
      </c>
      <c r="M325" s="20">
        <f>_xll.DBRW($B$1,Cons_Region!$F$12,Cons_Region!M$15,$M$1,Cons_Region!$H$12,Cons_Region!$C$12,$N$1,$A325,$L$1,$K$1)</f>
        <v>0</v>
      </c>
      <c r="N325" s="20">
        <f>_xll.DBRW($B$1,Cons_Region!$F$12,Cons_Region!N$15,$M$1,Cons_Region!$H$12,Cons_Region!$C$12,$N$1,$A325,$L$1,$K$1)</f>
        <v>0</v>
      </c>
      <c r="O325" s="20">
        <f>_xll.DBRW($B$1,O$14,Cons_Region!O$15,$M$1,Cons_Region!$H$12,Cons_Region!$C$12,$N$2,$A325,"Total Accounts Line",$K$1)</f>
        <v>0</v>
      </c>
      <c r="P325" s="20">
        <f>_xll.DBRW($B$1,P$14,Cons_Region!P$15,$M$1,Cons_Region!$H$12,Cons_Region!$C$12,$N$2,$A325,"Total Accounts Line",$K$1)</f>
        <v>0</v>
      </c>
      <c r="Q325" s="20">
        <f>_xll.DBRW($B$1,Q$14,Cons_Region!Q$15,$M$1,Cons_Region!$H$12,Cons_Region!$C$12,$N$2,$A325,"Total Accounts Line",$K$1)</f>
        <v>0</v>
      </c>
      <c r="R325" s="20">
        <f>_xll.DBRW($B$1,R$14,Cons_Region!R$15,$M$1,Cons_Region!$H$12,Cons_Region!$C$12,$N$2,$A325,"Total Accounts Line",$K$1)</f>
        <v>0</v>
      </c>
      <c r="S325" s="20">
        <f>_xll.DBRW($B$1,S$14,Cons_Region!S$15,$M$1,Cons_Region!$H$12,Cons_Region!$C$12,$N$2,$A325,"Total Accounts Line",$K$1)</f>
        <v>0</v>
      </c>
    </row>
    <row r="326" spans="1:19" ht="15.75" customHeight="1">
      <c r="A326" s="69" t="s">
        <v>504</v>
      </c>
      <c r="B326" s="13" t="s">
        <v>155</v>
      </c>
      <c r="C326" s="12">
        <f>_xll.DBRW($B$1,Cons_Region!$F$12,Cons_Region!C$15,$M$1,Cons_Region!$H$12,Cons_Region!$C$12,$N$1,$A326,$L$1,$K$1)</f>
        <v>0</v>
      </c>
      <c r="D326" s="12">
        <f>_xll.DBRW($B$1,Cons_Region!$F$12,Cons_Region!D$15,$M$1,Cons_Region!$H$12,Cons_Region!$C$12,$N$1,$A326,$L$1,$K$1)</f>
        <v>0</v>
      </c>
      <c r="E326" s="12">
        <f>_xll.DBRW($B$1,Cons_Region!$F$12,Cons_Region!E$15,$M$1,Cons_Region!$H$12,Cons_Region!$C$12,$N$1,$A326,$L$1,$K$1)</f>
        <v>0</v>
      </c>
      <c r="F326" s="12">
        <f>_xll.DBRW($B$1,Cons_Region!$F$12,Cons_Region!F$15,$M$1,Cons_Region!$H$12,Cons_Region!$C$12,$N$1,$A326,$L$1,$K$1)</f>
        <v>0</v>
      </c>
      <c r="G326" s="12">
        <f>_xll.DBRW($B$1,Cons_Region!$F$12,Cons_Region!G$15,$M$1,Cons_Region!$H$12,Cons_Region!$C$12,$N$1,$A326,$L$1,$K$1)</f>
        <v>0</v>
      </c>
      <c r="H326" s="12">
        <f>_xll.DBRW($B$1,Cons_Region!$F$12,Cons_Region!H$15,$M$1,Cons_Region!$H$12,Cons_Region!$C$12,$N$1,$A326,$L$1,$K$1)</f>
        <v>0</v>
      </c>
      <c r="I326" s="12">
        <f>_xll.DBRW($B$1,Cons_Region!$F$12,Cons_Region!I$15,$M$1,Cons_Region!$H$12,Cons_Region!$C$12,$N$1,$A326,$L$1,$K$1)</f>
        <v>0</v>
      </c>
      <c r="J326" s="12">
        <f>_xll.DBRW($B$1,Cons_Region!$F$12,Cons_Region!J$15,$M$1,Cons_Region!$H$12,Cons_Region!$C$12,$N$1,$A326,$L$1,$K$1)</f>
        <v>0</v>
      </c>
      <c r="K326" s="12">
        <f>_xll.DBRW($B$1,Cons_Region!$F$12,Cons_Region!K$15,$M$1,Cons_Region!$H$12,Cons_Region!$C$12,$N$1,$A326,$L$1,$K$1)</f>
        <v>0</v>
      </c>
      <c r="L326" s="12">
        <f>_xll.DBRW($B$1,Cons_Region!$F$12,Cons_Region!L$15,$M$1,Cons_Region!$H$12,Cons_Region!$C$12,$N$1,$A326,$L$1,$K$1)</f>
        <v>0</v>
      </c>
      <c r="M326" s="12">
        <f>_xll.DBRW($B$1,Cons_Region!$F$12,Cons_Region!M$15,$M$1,Cons_Region!$H$12,Cons_Region!$C$12,$N$1,$A326,$L$1,$K$1)</f>
        <v>0</v>
      </c>
      <c r="N326" s="12">
        <f>_xll.DBRW($B$1,Cons_Region!$F$12,Cons_Region!N$15,$M$1,Cons_Region!$H$12,Cons_Region!$C$12,$N$1,$A326,$L$1,$K$1)</f>
        <v>0</v>
      </c>
      <c r="O326" s="12">
        <f>_xll.DBRW($B$1,O$14,Cons_Region!O$15,$M$1,Cons_Region!$H$12,Cons_Region!$C$12,$N$1,$A326,$L$1,$K$1)</f>
        <v>0</v>
      </c>
      <c r="P326" s="12">
        <f>_xll.DBRW($B$1,P$14,Cons_Region!P$15,$M$1,Cons_Region!$H$12,Cons_Region!$C$12,$N$1,$A326,$L$1,$K$1)</f>
        <v>0</v>
      </c>
      <c r="Q326" s="12">
        <f>_xll.DBRW($B$1,Q$14,Cons_Region!Q$15,$M$1,Cons_Region!$H$12,Cons_Region!$C$12,$N$1,$A326,$L$1,$K$1)</f>
        <v>0</v>
      </c>
      <c r="R326" s="12">
        <f>_xll.DBRW($B$1,R$14,Cons_Region!R$15,$M$1,Cons_Region!$H$12,Cons_Region!$C$12,$N$1,$A326,$L$1,$K$1)</f>
        <v>0</v>
      </c>
      <c r="S326" s="12">
        <f>_xll.DBRW($B$1,S$14,Cons_Region!S$15,$M$1,Cons_Region!$H$12,Cons_Region!$C$12,$N$1,$A326,$L$1,$K$1)</f>
        <v>0</v>
      </c>
    </row>
    <row r="327" spans="1:19" ht="15.75" customHeight="1">
      <c r="A327" s="69" t="s">
        <v>507</v>
      </c>
      <c r="B327" s="15" t="s">
        <v>156</v>
      </c>
      <c r="C327" s="20">
        <f>_xll.DBRW($B$1,Cons_Region!$F$12,Cons_Region!C$15,$M$1,Cons_Region!$H$12,Cons_Region!$C$12,$N$1,$A327,"Total Accounts Line",$K$1)</f>
        <v>0</v>
      </c>
      <c r="D327" s="20">
        <f>_xll.DBRW($B$1,Cons_Region!$F$12,Cons_Region!D$15,$M$1,Cons_Region!$H$12,Cons_Region!$C$12,$N$1,$A327,"Total Accounts Line",$K$1)</f>
        <v>0</v>
      </c>
      <c r="E327" s="20">
        <f>_xll.DBRW($B$1,Cons_Region!$F$12,Cons_Region!E$15,$M$1,Cons_Region!$H$12,Cons_Region!$C$12,$N$1,$A327,"Total Accounts Line",$K$1)</f>
        <v>0</v>
      </c>
      <c r="F327" s="20">
        <f>_xll.DBRW($B$1,Cons_Region!$F$12,Cons_Region!F$15,$M$1,Cons_Region!$H$12,Cons_Region!$C$12,$N$1,$A327,"Total Accounts Line",$K$1)</f>
        <v>0</v>
      </c>
      <c r="G327" s="20">
        <f>_xll.DBRW($B$1,Cons_Region!$F$12,Cons_Region!G$15,$M$1,Cons_Region!$H$12,Cons_Region!$C$12,$N$1,$A327,"Total Accounts Line",$K$1)</f>
        <v>0</v>
      </c>
      <c r="H327" s="20">
        <f>_xll.DBRW($B$1,Cons_Region!$F$12,Cons_Region!H$15,$M$1,Cons_Region!$H$12,Cons_Region!$C$12,$N$1,$A327,"Total Accounts Line",$K$1)</f>
        <v>0</v>
      </c>
      <c r="I327" s="20">
        <f>_xll.DBRW($B$1,Cons_Region!$F$12,Cons_Region!I$15,$M$1,Cons_Region!$H$12,Cons_Region!$C$12,$N$1,$A327,"Total Accounts Line",$K$1)</f>
        <v>0</v>
      </c>
      <c r="J327" s="20">
        <f>_xll.DBRW($B$1,Cons_Region!$F$12,Cons_Region!J$15,$M$1,Cons_Region!$H$12,Cons_Region!$C$12,$N$1,$A327,"Total Accounts Line",$K$1)</f>
        <v>0</v>
      </c>
      <c r="K327" s="20">
        <f>_xll.DBRW($B$1,Cons_Region!$F$12,Cons_Region!K$15,$M$1,Cons_Region!$H$12,Cons_Region!$C$12,$N$1,$A327,"Total Accounts Line",$K$1)</f>
        <v>0</v>
      </c>
      <c r="L327" s="20">
        <f>_xll.DBRW($B$1,Cons_Region!$F$12,Cons_Region!L$15,$M$1,Cons_Region!$H$12,Cons_Region!$C$12,$N$1,$A327,"Total Accounts Line",$K$1)</f>
        <v>0</v>
      </c>
      <c r="M327" s="20">
        <f>_xll.DBRW($B$1,Cons_Region!$F$12,Cons_Region!M$15,$M$1,Cons_Region!$H$12,Cons_Region!$C$12,$N$1,$A327,"Total Accounts Line",$K$1)</f>
        <v>0</v>
      </c>
      <c r="N327" s="20">
        <f>_xll.DBRW($B$1,Cons_Region!$F$12,Cons_Region!N$15,$M$1,Cons_Region!$H$12,Cons_Region!$C$12,$N$1,$A327,"Total Accounts Line",$K$1)</f>
        <v>0</v>
      </c>
      <c r="O327" s="20">
        <f>_xll.DBRW($D$2,O$14,Cons_Region!O$15,$M$1,Cons_Region!$H$12,Cons_Region!$C$12,$A327,$K$1)</f>
        <v>0</v>
      </c>
      <c r="P327" s="20">
        <f>_xll.DBRW($D$2,P$14,Cons_Region!P$15,$M$1,Cons_Region!$H$12,Cons_Region!$C$12,$A327,$K$1)</f>
        <v>0</v>
      </c>
      <c r="Q327" s="20">
        <f>_xll.DBRW($D$2,Q$14,Cons_Region!Q$15,$M$1,Cons_Region!$H$12,Cons_Region!$C$12,$A327,$K$1)</f>
        <v>0</v>
      </c>
      <c r="R327" s="20">
        <f>_xll.DBRW($D$2,R$14,Cons_Region!R$15,$M$1,Cons_Region!$H$12,Cons_Region!$C$12,$A327,$K$1)</f>
        <v>0</v>
      </c>
      <c r="S327" s="20">
        <f>_xll.DBRW($D$2,S$14,Cons_Region!S$15,$M$1,Cons_Region!$H$12,Cons_Region!$C$12,$A327,$K$1)</f>
        <v>0</v>
      </c>
    </row>
    <row r="328" spans="1:19" ht="15.75" customHeight="1">
      <c r="A328" s="69" t="s">
        <v>506</v>
      </c>
      <c r="B328" s="15" t="s">
        <v>154</v>
      </c>
      <c r="C328" s="20">
        <f>_xll.DBRW($D$2,Cons_Region!$F$12,Cons_Region!C$15,$M$1,Cons_Region!$H$12,Cons_Region!$C$12,$A328,$K$1)</f>
        <v>0</v>
      </c>
      <c r="D328" s="20">
        <f>_xll.DBRW($D$2,Cons_Region!$F$12,Cons_Region!D$15,$M$1,Cons_Region!$H$12,Cons_Region!$C$12,$A328,$K$1)</f>
        <v>0</v>
      </c>
      <c r="E328" s="20">
        <f>_xll.DBRW($D$2,Cons_Region!$F$12,Cons_Region!E$15,$M$1,Cons_Region!$H$12,Cons_Region!$C$12,$A328,$K$1)</f>
        <v>0</v>
      </c>
      <c r="F328" s="20">
        <f>_xll.DBRW($D$2,Cons_Region!$F$12,Cons_Region!F$15,$M$1,Cons_Region!$H$12,Cons_Region!$C$12,$A328,$K$1)</f>
        <v>0</v>
      </c>
      <c r="G328" s="20">
        <f>_xll.DBRW($D$2,Cons_Region!$F$12,Cons_Region!G$15,$M$1,Cons_Region!$H$12,Cons_Region!$C$12,$A328,$K$1)</f>
        <v>0</v>
      </c>
      <c r="H328" s="20">
        <f>_xll.DBRW($D$2,Cons_Region!$F$12,Cons_Region!H$15,$M$1,Cons_Region!$H$12,Cons_Region!$C$12,$A328,$K$1)</f>
        <v>0</v>
      </c>
      <c r="I328" s="20">
        <f>_xll.DBRW($D$2,Cons_Region!$F$12,Cons_Region!I$15,$M$1,Cons_Region!$H$12,Cons_Region!$C$12,$A328,$K$1)</f>
        <v>0</v>
      </c>
      <c r="J328" s="20">
        <f>_xll.DBRW($D$2,Cons_Region!$F$12,Cons_Region!J$15,$M$1,Cons_Region!$H$12,Cons_Region!$C$12,$A328,$K$1)</f>
        <v>0</v>
      </c>
      <c r="K328" s="20">
        <f>_xll.DBRW($D$2,Cons_Region!$F$12,Cons_Region!K$15,$M$1,Cons_Region!$H$12,Cons_Region!$C$12,$A328,$K$1)</f>
        <v>0</v>
      </c>
      <c r="L328" s="20">
        <f>_xll.DBRW($D$2,Cons_Region!$F$12,Cons_Region!L$15,$M$1,Cons_Region!$H$12,Cons_Region!$C$12,$A328,$K$1)</f>
        <v>0</v>
      </c>
      <c r="M328" s="20">
        <f>_xll.DBRW($D$2,Cons_Region!$F$12,Cons_Region!M$15,$M$1,Cons_Region!$H$12,Cons_Region!$C$12,$A328,$K$1)</f>
        <v>0</v>
      </c>
      <c r="N328" s="20">
        <f>_xll.DBRW($D$2,Cons_Region!$F$12,Cons_Region!N$15,$M$1,Cons_Region!$H$12,Cons_Region!$C$12,$A328,$K$1)</f>
        <v>0</v>
      </c>
      <c r="O328" s="20">
        <f>_xll.DBRW($D$2,O$14,Cons_Region!O$15,$M$1,Cons_Region!$H$12,Cons_Region!$C$12,$A328,$K$1)</f>
        <v>0</v>
      </c>
      <c r="P328" s="20">
        <f>_xll.DBRW($D$2,P$14,Cons_Region!P$15,$M$1,Cons_Region!$H$12,Cons_Region!$C$12,$A328,$K$1)</f>
        <v>0</v>
      </c>
      <c r="Q328" s="20">
        <f>_xll.DBRW($D$2,Q$14,Cons_Region!Q$15,$M$1,Cons_Region!$H$12,Cons_Region!$C$12,$A328,$K$1)</f>
        <v>0</v>
      </c>
      <c r="R328" s="20">
        <f>_xll.DBRW($D$2,R$14,Cons_Region!R$15,$M$1,Cons_Region!$H$12,Cons_Region!$C$12,$A328,$K$1)</f>
        <v>0</v>
      </c>
      <c r="S328" s="20">
        <f>_xll.DBRW($D$2,S$14,Cons_Region!S$15,$M$1,Cons_Region!$H$12,Cons_Region!$C$12,$A328,$K$1)</f>
        <v>0</v>
      </c>
    </row>
    <row r="329" spans="1:19" ht="15.75" customHeight="1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</row>
    <row r="330" spans="1:19" ht="15.75" customHeight="1" thickBot="1">
      <c r="B330" s="18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</row>
    <row r="331" spans="1:19" ht="15.75" customHeight="1" thickTop="1">
      <c r="B331" s="27" t="s">
        <v>158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</row>
    <row r="332" spans="1:19" ht="15.75" customHeight="1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80">
        <f>$F$12+1</f>
        <v>2027</v>
      </c>
      <c r="P332" s="80">
        <f>$F$12+2</f>
        <v>2028</v>
      </c>
      <c r="Q332" s="80">
        <f>$F$12+3</f>
        <v>2029</v>
      </c>
      <c r="R332" s="80">
        <f>$F$12+4</f>
        <v>2030</v>
      </c>
      <c r="S332" s="80">
        <f>$F$12+5</f>
        <v>2031</v>
      </c>
    </row>
    <row r="333" spans="1:19" ht="15.75" customHeight="1">
      <c r="B333" s="22"/>
      <c r="C333" s="23" t="str">
        <f t="shared" ref="C333:N333" si="29">$F$12&amp;"."&amp;C$15</f>
        <v>2026.01</v>
      </c>
      <c r="D333" s="23" t="str">
        <f t="shared" si="29"/>
        <v>2026.02</v>
      </c>
      <c r="E333" s="23" t="str">
        <f t="shared" si="29"/>
        <v>2026.03</v>
      </c>
      <c r="F333" s="23" t="str">
        <f t="shared" si="29"/>
        <v>2026.04</v>
      </c>
      <c r="G333" s="23" t="str">
        <f t="shared" si="29"/>
        <v>2026.05</v>
      </c>
      <c r="H333" s="23" t="str">
        <f t="shared" si="29"/>
        <v>2026.06</v>
      </c>
      <c r="I333" s="23" t="str">
        <f t="shared" si="29"/>
        <v>2026.07</v>
      </c>
      <c r="J333" s="23" t="str">
        <f t="shared" si="29"/>
        <v>2026.08</v>
      </c>
      <c r="K333" s="23" t="str">
        <f t="shared" si="29"/>
        <v>2026.09</v>
      </c>
      <c r="L333" s="23" t="str">
        <f t="shared" si="29"/>
        <v>2026.10</v>
      </c>
      <c r="M333" s="23" t="str">
        <f t="shared" si="29"/>
        <v>2026.11</v>
      </c>
      <c r="N333" s="23" t="str">
        <f t="shared" si="29"/>
        <v>2026.12</v>
      </c>
      <c r="O333" s="23" t="s">
        <v>304</v>
      </c>
      <c r="P333" s="23" t="s">
        <v>304</v>
      </c>
      <c r="Q333" s="23" t="s">
        <v>304</v>
      </c>
      <c r="R333" s="23" t="s">
        <v>304</v>
      </c>
      <c r="S333" s="23" t="s">
        <v>304</v>
      </c>
    </row>
    <row r="334" spans="1:19" ht="15.75" customHeight="1">
      <c r="A334" s="69" t="s">
        <v>508</v>
      </c>
      <c r="B334" s="15" t="s">
        <v>157</v>
      </c>
      <c r="C334" s="20">
        <f>_xll.DBRW($D$2,Cons_Region!$F$12,Cons_Region!C$15,$M$1,Cons_Region!$H$12,Cons_Region!$C$12,$A334,$K$1)</f>
        <v>0</v>
      </c>
      <c r="D334" s="20">
        <f>_xll.DBRW($D$2,Cons_Region!$F$12,Cons_Region!D$15,$M$1,Cons_Region!$H$12,Cons_Region!$C$12,$A334,$K$1)</f>
        <v>-389.21852231320491</v>
      </c>
      <c r="E334" s="20">
        <f>_xll.DBRW($D$2,Cons_Region!$F$12,Cons_Region!E$15,$M$1,Cons_Region!$H$12,Cons_Region!$C$12,$A334,$K$1)</f>
        <v>-516.5488649695078</v>
      </c>
      <c r="F334" s="20">
        <f>_xll.DBRW($D$2,Cons_Region!$F$12,Cons_Region!F$15,$M$1,Cons_Region!$H$12,Cons_Region!$C$12,$A334,$K$1)</f>
        <v>380.63489243766253</v>
      </c>
      <c r="G334" s="20">
        <f>_xll.DBRW($D$2,Cons_Region!$F$12,Cons_Region!G$15,$M$1,Cons_Region!$H$12,Cons_Region!$C$12,$A334,$K$1)</f>
        <v>357.82738252305535</v>
      </c>
      <c r="H334" s="20">
        <f>_xll.DBRW($D$2,Cons_Region!$F$12,Cons_Region!H$15,$M$1,Cons_Region!$H$12,Cons_Region!$C$12,$A334,$K$1)</f>
        <v>300.44019358453505</v>
      </c>
      <c r="I334" s="20">
        <f>_xll.DBRW($D$2,Cons_Region!$F$12,Cons_Region!I$15,$M$1,Cons_Region!$H$12,Cons_Region!$C$12,$A334,$K$1)</f>
        <v>342.40951908055462</v>
      </c>
      <c r="J334" s="20">
        <f>_xll.DBRW($D$2,Cons_Region!$F$12,Cons_Region!J$15,$M$1,Cons_Region!$H$12,Cons_Region!$C$12,$A334,$K$1)</f>
        <v>-398.43987902195926</v>
      </c>
      <c r="K334" s="20">
        <f>_xll.DBRW($D$2,Cons_Region!$F$12,Cons_Region!K$15,$M$1,Cons_Region!$H$12,Cons_Region!$C$12,$A334,$K$1)</f>
        <v>276.76115558255009</v>
      </c>
      <c r="L334" s="20">
        <f>_xll.DBRW($D$2,Cons_Region!$F$12,Cons_Region!L$15,$M$1,Cons_Region!$H$12,Cons_Region!$C$12,$A334,$K$1)</f>
        <v>393.44269671235475</v>
      </c>
      <c r="M334" s="20">
        <f>_xll.DBRW($D$2,Cons_Region!$F$12,Cons_Region!M$15,$M$1,Cons_Region!$H$12,Cons_Region!$C$12,$A334,$K$1)</f>
        <v>333.56538197742617</v>
      </c>
      <c r="N334" s="20">
        <f>_xll.DBRW($D$2,Cons_Region!$F$12,Cons_Region!N$15,$M$1,Cons_Region!$H$12,Cons_Region!$C$12,$A334,$K$1)</f>
        <v>283.86802368735414</v>
      </c>
      <c r="O334" s="20">
        <f>_xll.DBRW($D$2,O$14,Cons_Region!O$15,$M$1,Cons_Region!$H$12,Cons_Region!$C$12,$A334,$K$1)</f>
        <v>0</v>
      </c>
      <c r="P334" s="20">
        <f>_xll.DBRW($D$2,P$14,Cons_Region!P$15,$M$1,Cons_Region!$H$12,Cons_Region!$C$12,$A334,$K$1)</f>
        <v>0</v>
      </c>
      <c r="Q334" s="20">
        <f>_xll.DBRW($D$2,Q$14,Cons_Region!Q$15,$M$1,Cons_Region!$H$12,Cons_Region!$C$12,$A334,$K$1)</f>
        <v>0</v>
      </c>
      <c r="R334" s="20">
        <f>_xll.DBRW($D$2,R$14,Cons_Region!R$15,$M$1,Cons_Region!$H$12,Cons_Region!$C$12,$A334,$K$1)</f>
        <v>0</v>
      </c>
      <c r="S334" s="20">
        <f>_xll.DBRW($D$2,S$14,Cons_Region!S$15,$M$1,Cons_Region!$H$12,Cons_Region!$C$12,$A334,$K$1)</f>
        <v>0</v>
      </c>
    </row>
    <row r="335" spans="1:19" ht="15.75" customHeight="1">
      <c r="A335" s="69" t="s">
        <v>395</v>
      </c>
      <c r="B335" s="15" t="s">
        <v>159</v>
      </c>
      <c r="C335" s="20">
        <f>_xll.DBRW($D$2,Cons_Region!$F$12,Cons_Region!C$15,$M$1,Cons_Region!$H$12,Cons_Region!$C$12,$A335,$K$1)</f>
        <v>0</v>
      </c>
      <c r="D335" s="20">
        <f>_xll.DBRW($D$2,Cons_Region!$F$12,Cons_Region!D$15,$M$1,Cons_Region!$H$12,Cons_Region!$C$12,$A335,$K$1)</f>
        <v>265.5213</v>
      </c>
      <c r="E335" s="20">
        <f>_xll.DBRW($D$2,Cons_Region!$F$12,Cons_Region!E$15,$M$1,Cons_Region!$H$12,Cons_Region!$C$12,$A335,$K$1)</f>
        <v>183.4</v>
      </c>
      <c r="F335" s="20">
        <f>_xll.DBRW($D$2,Cons_Region!$F$12,Cons_Region!F$15,$M$1,Cons_Region!$H$12,Cons_Region!$C$12,$A335,$K$1)</f>
        <v>0</v>
      </c>
      <c r="G335" s="20">
        <f>_xll.DBRW($D$2,Cons_Region!$F$12,Cons_Region!G$15,$M$1,Cons_Region!$H$12,Cons_Region!$C$12,$A335,$K$1)</f>
        <v>0</v>
      </c>
      <c r="H335" s="20">
        <f>_xll.DBRW($D$2,Cons_Region!$F$12,Cons_Region!H$15,$M$1,Cons_Region!$H$12,Cons_Region!$C$12,$A335,$K$1)</f>
        <v>245.25</v>
      </c>
      <c r="I335" s="20">
        <f>_xll.DBRW($D$2,Cons_Region!$F$12,Cons_Region!I$15,$M$1,Cons_Region!$H$12,Cons_Region!$C$12,$A335,$K$1)</f>
        <v>0</v>
      </c>
      <c r="J335" s="20">
        <f>_xll.DBRW($D$2,Cons_Region!$F$12,Cons_Region!J$15,$M$1,Cons_Region!$H$12,Cons_Region!$C$12,$A335,$K$1)</f>
        <v>0</v>
      </c>
      <c r="K335" s="20">
        <f>_xll.DBRW($D$2,Cons_Region!$F$12,Cons_Region!K$15,$M$1,Cons_Region!$H$12,Cons_Region!$C$12,$A335,$K$1)</f>
        <v>0</v>
      </c>
      <c r="L335" s="20">
        <f>_xll.DBRW($D$2,Cons_Region!$F$12,Cons_Region!L$15,$M$1,Cons_Region!$H$12,Cons_Region!$C$12,$A335,$K$1)</f>
        <v>0</v>
      </c>
      <c r="M335" s="20">
        <f>_xll.DBRW($D$2,Cons_Region!$F$12,Cons_Region!M$15,$M$1,Cons_Region!$H$12,Cons_Region!$C$12,$A335,$K$1)</f>
        <v>0</v>
      </c>
      <c r="N335" s="20">
        <f>_xll.DBRW($D$2,Cons_Region!$F$12,Cons_Region!N$15,$M$1,Cons_Region!$H$12,Cons_Region!$C$12,$A335,$K$1)</f>
        <v>0</v>
      </c>
      <c r="O335" s="20">
        <f>_xll.DBRW($D$2,O$14,Cons_Region!O$15,$M$1,Cons_Region!$H$12,Cons_Region!$C$12,$A335,$K$1)</f>
        <v>0</v>
      </c>
      <c r="P335" s="20">
        <f>_xll.DBRW($D$2,P$14,Cons_Region!P$15,$M$1,Cons_Region!$H$12,Cons_Region!$C$12,$A335,$K$1)</f>
        <v>0</v>
      </c>
      <c r="Q335" s="20">
        <f>_xll.DBRW($D$2,Q$14,Cons_Region!Q$15,$M$1,Cons_Region!$H$12,Cons_Region!$C$12,$A335,$K$1)</f>
        <v>0</v>
      </c>
      <c r="R335" s="20">
        <f>_xll.DBRW($D$2,R$14,Cons_Region!R$15,$M$1,Cons_Region!$H$12,Cons_Region!$C$12,$A335,$K$1)</f>
        <v>0</v>
      </c>
      <c r="S335" s="20">
        <f>_xll.DBRW($D$2,S$14,Cons_Region!S$15,$M$1,Cons_Region!$H$12,Cons_Region!$C$12,$A335,$K$1)</f>
        <v>0</v>
      </c>
    </row>
    <row r="336" spans="1:19" ht="15.75" customHeight="1">
      <c r="A336" s="69" t="s">
        <v>456</v>
      </c>
      <c r="B336" s="15" t="s">
        <v>160</v>
      </c>
      <c r="C336" s="20">
        <f>_xll.DBRW($D$2,Cons_Region!$F$12,Cons_Region!C$15,$M$1,Cons_Region!$H$12,Cons_Region!$C$12,$A336,$K$1)</f>
        <v>0</v>
      </c>
      <c r="D336" s="20">
        <f>_xll.DBRW($D$2,Cons_Region!$F$12,Cons_Region!D$15,$M$1,Cons_Region!$H$12,Cons_Region!$C$12,$A336,$K$1)</f>
        <v>-14.8436</v>
      </c>
      <c r="E336" s="20">
        <f>_xll.DBRW($D$2,Cons_Region!$F$12,Cons_Region!E$15,$M$1,Cons_Region!$H$12,Cons_Region!$C$12,$A336,$K$1)</f>
        <v>-893.85900000000004</v>
      </c>
      <c r="F336" s="20">
        <f>_xll.DBRW($D$2,Cons_Region!$F$12,Cons_Region!F$15,$M$1,Cons_Region!$H$12,Cons_Region!$C$12,$A336,$K$1)</f>
        <v>-13.8787</v>
      </c>
      <c r="G336" s="20">
        <f>_xll.DBRW($D$2,Cons_Region!$F$12,Cons_Region!G$15,$M$1,Cons_Region!$H$12,Cons_Region!$C$12,$A336,$K$1)</f>
        <v>-13.9328</v>
      </c>
      <c r="H336" s="20">
        <f>_xll.DBRW($D$2,Cons_Region!$F$12,Cons_Region!H$15,$M$1,Cons_Region!$H$12,Cons_Region!$C$12,$A336,$K$1)</f>
        <v>-14.842700000000001</v>
      </c>
      <c r="I336" s="20">
        <f>_xll.DBRW($D$2,Cons_Region!$F$12,Cons_Region!I$15,$M$1,Cons_Region!$H$12,Cons_Region!$C$12,$A336,$K$1)</f>
        <v>-14.629200000000001</v>
      </c>
      <c r="J336" s="20">
        <f>_xll.DBRW($D$2,Cons_Region!$F$12,Cons_Region!J$15,$M$1,Cons_Region!$H$12,Cons_Region!$C$12,$A336,$K$1)</f>
        <v>-15.2033</v>
      </c>
      <c r="K336" s="20">
        <f>_xll.DBRW($D$2,Cons_Region!$F$12,Cons_Region!K$15,$M$1,Cons_Region!$H$12,Cons_Region!$C$12,$A336,$K$1)</f>
        <v>-16.501200000000001</v>
      </c>
      <c r="L336" s="20">
        <f>_xll.DBRW($D$2,Cons_Region!$F$12,Cons_Region!L$15,$M$1,Cons_Region!$H$12,Cons_Region!$C$12,$A336,$K$1)</f>
        <v>-14.1572</v>
      </c>
      <c r="M336" s="20">
        <f>_xll.DBRW($D$2,Cons_Region!$F$12,Cons_Region!M$15,$M$1,Cons_Region!$H$12,Cons_Region!$C$12,$A336,$K$1)</f>
        <v>-15.626899999999999</v>
      </c>
      <c r="N336" s="20">
        <f>_xll.DBRW($D$2,Cons_Region!$F$12,Cons_Region!N$15,$M$1,Cons_Region!$H$12,Cons_Region!$C$12,$A336,$K$1)</f>
        <v>0</v>
      </c>
      <c r="O336" s="20">
        <f>_xll.DBRW($D$2,O$14,Cons_Region!O$15,$M$1,Cons_Region!$H$12,Cons_Region!$C$12,$A336,$K$1)</f>
        <v>0</v>
      </c>
      <c r="P336" s="20">
        <f>_xll.DBRW($D$2,P$14,Cons_Region!P$15,$M$1,Cons_Region!$H$12,Cons_Region!$C$12,$A336,$K$1)</f>
        <v>0</v>
      </c>
      <c r="Q336" s="20">
        <f>_xll.DBRW($D$2,Q$14,Cons_Region!Q$15,$M$1,Cons_Region!$H$12,Cons_Region!$C$12,$A336,$K$1)</f>
        <v>0</v>
      </c>
      <c r="R336" s="20">
        <f>_xll.DBRW($D$2,R$14,Cons_Region!R$15,$M$1,Cons_Region!$H$12,Cons_Region!$C$12,$A336,$K$1)</f>
        <v>0</v>
      </c>
      <c r="S336" s="20">
        <f>_xll.DBRW($D$2,S$14,Cons_Region!S$15,$M$1,Cons_Region!$H$12,Cons_Region!$C$12,$A336,$K$1)</f>
        <v>0</v>
      </c>
    </row>
    <row r="337" spans="1:19" ht="15.75" customHeight="1">
      <c r="A337" s="69" t="s">
        <v>454</v>
      </c>
      <c r="B337" s="15" t="s">
        <v>100</v>
      </c>
      <c r="C337" s="20">
        <f>_xll.DBRW($D$2,Cons_Region!$F$12,Cons_Region!C$15,$M$1,Cons_Region!$H$12,Cons_Region!$C$12,$A337,$K$1)</f>
        <v>0</v>
      </c>
      <c r="D337" s="20">
        <f>_xll.DBRW($D$2,Cons_Region!$F$12,Cons_Region!D$15,$M$1,Cons_Region!$H$12,Cons_Region!$C$12,$A337,$K$1)</f>
        <v>1.5581</v>
      </c>
      <c r="E337" s="20">
        <f>_xll.DBRW($D$2,Cons_Region!$F$12,Cons_Region!E$15,$M$1,Cons_Region!$H$12,Cons_Region!$C$12,$A337,$K$1)</f>
        <v>1020</v>
      </c>
      <c r="F337" s="20">
        <f>_xll.DBRW($D$2,Cons_Region!$F$12,Cons_Region!F$15,$M$1,Cons_Region!$H$12,Cons_Region!$C$12,$A337,$K$1)</f>
        <v>0</v>
      </c>
      <c r="G337" s="20">
        <f>_xll.DBRW($D$2,Cons_Region!$F$12,Cons_Region!G$15,$M$1,Cons_Region!$H$12,Cons_Region!$C$12,$A337,$K$1)</f>
        <v>0</v>
      </c>
      <c r="H337" s="20">
        <f>_xll.DBRW($D$2,Cons_Region!$F$12,Cons_Region!H$15,$M$1,Cons_Region!$H$12,Cons_Region!$C$12,$A337,$K$1)</f>
        <v>0</v>
      </c>
      <c r="I337" s="20">
        <f>_xll.DBRW($D$2,Cons_Region!$F$12,Cons_Region!I$15,$M$1,Cons_Region!$H$12,Cons_Region!$C$12,$A337,$K$1)</f>
        <v>0</v>
      </c>
      <c r="J337" s="20">
        <f>_xll.DBRW($D$2,Cons_Region!$F$12,Cons_Region!J$15,$M$1,Cons_Region!$H$12,Cons_Region!$C$12,$A337,$K$1)</f>
        <v>0</v>
      </c>
      <c r="K337" s="20">
        <f>_xll.DBRW($D$2,Cons_Region!$F$12,Cons_Region!K$15,$M$1,Cons_Region!$H$12,Cons_Region!$C$12,$A337,$K$1)</f>
        <v>54.3</v>
      </c>
      <c r="L337" s="20">
        <f>_xll.DBRW($D$2,Cons_Region!$F$12,Cons_Region!L$15,$M$1,Cons_Region!$H$12,Cons_Region!$C$12,$A337,$K$1)</f>
        <v>0</v>
      </c>
      <c r="M337" s="20">
        <f>_xll.DBRW($D$2,Cons_Region!$F$12,Cons_Region!M$15,$M$1,Cons_Region!$H$12,Cons_Region!$C$12,$A337,$K$1)</f>
        <v>0</v>
      </c>
      <c r="N337" s="20">
        <f>_xll.DBRW($D$2,Cons_Region!$F$12,Cons_Region!N$15,$M$1,Cons_Region!$H$12,Cons_Region!$C$12,$A337,$K$1)</f>
        <v>0</v>
      </c>
      <c r="O337" s="20">
        <f>_xll.DBRW($D$2,O$14,Cons_Region!O$15,$M$1,Cons_Region!$H$12,Cons_Region!$C$12,$A337,$K$1)</f>
        <v>0</v>
      </c>
      <c r="P337" s="20">
        <f>_xll.DBRW($D$2,P$14,Cons_Region!P$15,$M$1,Cons_Region!$H$12,Cons_Region!$C$12,$A337,$K$1)</f>
        <v>0</v>
      </c>
      <c r="Q337" s="20">
        <f>_xll.DBRW($D$2,Q$14,Cons_Region!Q$15,$M$1,Cons_Region!$H$12,Cons_Region!$C$12,$A337,$K$1)</f>
        <v>0</v>
      </c>
      <c r="R337" s="20">
        <f>_xll.DBRW($D$2,R$14,Cons_Region!R$15,$M$1,Cons_Region!$H$12,Cons_Region!$C$12,$A337,$K$1)</f>
        <v>0</v>
      </c>
      <c r="S337" s="20">
        <f>_xll.DBRW($D$2,S$14,Cons_Region!S$15,$M$1,Cons_Region!$H$12,Cons_Region!$C$12,$A337,$K$1)</f>
        <v>0</v>
      </c>
    </row>
    <row r="338" spans="1:19" ht="15.75" customHeight="1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</row>
    <row r="339" spans="1:19" ht="15.75" customHeight="1" thickBot="1">
      <c r="B339" s="18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</row>
    <row r="340" spans="1:19" ht="15.75" customHeight="1" thickTop="1">
      <c r="B340" s="27" t="s">
        <v>126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</row>
    <row r="341" spans="1:19" ht="15.75" customHeight="1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80">
        <f>$F$12+1</f>
        <v>2027</v>
      </c>
      <c r="P341" s="80">
        <f>$F$12+2</f>
        <v>2028</v>
      </c>
      <c r="Q341" s="80">
        <f>$F$12+3</f>
        <v>2029</v>
      </c>
      <c r="R341" s="80">
        <f>$F$12+4</f>
        <v>2030</v>
      </c>
      <c r="S341" s="80">
        <f>$F$12+5</f>
        <v>2031</v>
      </c>
    </row>
    <row r="342" spans="1:19" ht="15.75" customHeight="1">
      <c r="B342" s="22"/>
      <c r="C342" s="23" t="str">
        <f t="shared" ref="C342:N342" si="30">$F$12&amp;"."&amp;C$15</f>
        <v>2026.01</v>
      </c>
      <c r="D342" s="23" t="str">
        <f t="shared" si="30"/>
        <v>2026.02</v>
      </c>
      <c r="E342" s="23" t="str">
        <f t="shared" si="30"/>
        <v>2026.03</v>
      </c>
      <c r="F342" s="23" t="str">
        <f t="shared" si="30"/>
        <v>2026.04</v>
      </c>
      <c r="G342" s="23" t="str">
        <f t="shared" si="30"/>
        <v>2026.05</v>
      </c>
      <c r="H342" s="23" t="str">
        <f t="shared" si="30"/>
        <v>2026.06</v>
      </c>
      <c r="I342" s="23" t="str">
        <f t="shared" si="30"/>
        <v>2026.07</v>
      </c>
      <c r="J342" s="23" t="str">
        <f t="shared" si="30"/>
        <v>2026.08</v>
      </c>
      <c r="K342" s="23" t="str">
        <f t="shared" si="30"/>
        <v>2026.09</v>
      </c>
      <c r="L342" s="23" t="str">
        <f t="shared" si="30"/>
        <v>2026.10</v>
      </c>
      <c r="M342" s="23" t="str">
        <f t="shared" si="30"/>
        <v>2026.11</v>
      </c>
      <c r="N342" s="23" t="str">
        <f t="shared" si="30"/>
        <v>2026.12</v>
      </c>
      <c r="O342" s="23" t="s">
        <v>304</v>
      </c>
      <c r="P342" s="23" t="s">
        <v>304</v>
      </c>
      <c r="Q342" s="23" t="s">
        <v>304</v>
      </c>
      <c r="R342" s="23" t="s">
        <v>304</v>
      </c>
      <c r="S342" s="23" t="s">
        <v>304</v>
      </c>
    </row>
    <row r="343" spans="1:19" ht="15.75" customHeight="1">
      <c r="A343" s="69" t="s">
        <v>509</v>
      </c>
      <c r="B343" s="15" t="s">
        <v>161</v>
      </c>
      <c r="C343" s="20">
        <f>_xll.DBRW($D$2,Cons_Region!$F$12,Cons_Region!C$15,$M$1,Cons_Region!$H$12,Cons_Region!$C$12,$A343,$K$1)</f>
        <v>0</v>
      </c>
      <c r="D343" s="20">
        <f>_xll.DBRW($D$2,Cons_Region!$F$12,Cons_Region!D$15,$M$1,Cons_Region!$H$12,Cons_Region!$C$12,$A343,$K$1)</f>
        <v>-136.98272231320493</v>
      </c>
      <c r="E343" s="20">
        <f>_xll.DBRW($D$2,Cons_Region!$F$12,Cons_Region!E$15,$M$1,Cons_Region!$H$12,Cons_Region!$C$12,$A343,$K$1)</f>
        <v>-207.00786496950786</v>
      </c>
      <c r="F343" s="20">
        <f>_xll.DBRW($D$2,Cons_Region!$F$12,Cons_Region!F$15,$M$1,Cons_Region!$H$12,Cons_Region!$C$12,$A343,$K$1)</f>
        <v>366.75619243766255</v>
      </c>
      <c r="G343" s="20">
        <f>_xll.DBRW($D$2,Cons_Region!$F$12,Cons_Region!G$15,$M$1,Cons_Region!$H$12,Cons_Region!$C$12,$A343,$K$1)</f>
        <v>343.89458252305536</v>
      </c>
      <c r="H343" s="20">
        <f>_xll.DBRW($D$2,Cons_Region!$F$12,Cons_Region!H$15,$M$1,Cons_Region!$H$12,Cons_Region!$C$12,$A343,$K$1)</f>
        <v>530.84749358453507</v>
      </c>
      <c r="I343" s="20">
        <f>_xll.DBRW($D$2,Cons_Region!$F$12,Cons_Region!I$15,$M$1,Cons_Region!$H$12,Cons_Region!$C$12,$A343,$K$1)</f>
        <v>327.78031908055459</v>
      </c>
      <c r="J343" s="20">
        <f>_xll.DBRW($D$2,Cons_Region!$F$12,Cons_Region!J$15,$M$1,Cons_Region!$H$12,Cons_Region!$C$12,$A343,$K$1)</f>
        <v>-413.64317902195927</v>
      </c>
      <c r="K343" s="20">
        <f>_xll.DBRW($D$2,Cons_Region!$F$12,Cons_Region!K$15,$M$1,Cons_Region!$H$12,Cons_Region!$C$12,$A343,$K$1)</f>
        <v>314.55995558255012</v>
      </c>
      <c r="L343" s="20">
        <f>_xll.DBRW($D$2,Cons_Region!$F$12,Cons_Region!L$15,$M$1,Cons_Region!$H$12,Cons_Region!$C$12,$A343,$K$1)</f>
        <v>379.28549671235476</v>
      </c>
      <c r="M343" s="20">
        <f>_xll.DBRW($D$2,Cons_Region!$F$12,Cons_Region!M$15,$M$1,Cons_Region!$H$12,Cons_Region!$C$12,$A343,$K$1)</f>
        <v>317.93848197742619</v>
      </c>
      <c r="N343" s="20">
        <f>_xll.DBRW($D$2,Cons_Region!$F$12,Cons_Region!N$15,$M$1,Cons_Region!$H$12,Cons_Region!$C$12,$A343,$K$1)</f>
        <v>283.86802368735414</v>
      </c>
      <c r="O343" s="20">
        <f>_xll.DBRW($D$2,O$14,Cons_Region!O$15,$M$1,Cons_Region!$H$12,Cons_Region!$C$12,$A343,$K$1)</f>
        <v>0</v>
      </c>
      <c r="P343" s="20">
        <f>_xll.DBRW($D$2,P$14,Cons_Region!P$15,$M$1,Cons_Region!$H$12,Cons_Region!$C$12,$A343,$K$1)</f>
        <v>0</v>
      </c>
      <c r="Q343" s="20">
        <f>_xll.DBRW($D$2,Q$14,Cons_Region!Q$15,$M$1,Cons_Region!$H$12,Cons_Region!$C$12,$A343,$K$1)</f>
        <v>0</v>
      </c>
      <c r="R343" s="20">
        <f>_xll.DBRW($D$2,R$14,Cons_Region!R$15,$M$1,Cons_Region!$H$12,Cons_Region!$C$12,$A343,$K$1)</f>
        <v>0</v>
      </c>
      <c r="S343" s="20">
        <f>_xll.DBRW($D$2,S$14,Cons_Region!S$15,$M$1,Cons_Region!$H$12,Cons_Region!$C$12,$A343,$K$1)</f>
        <v>0</v>
      </c>
    </row>
    <row r="344" spans="1:19" ht="15.75" customHeight="1">
      <c r="A344" s="69" t="s">
        <v>510</v>
      </c>
      <c r="B344" s="13" t="s">
        <v>127</v>
      </c>
      <c r="C344" s="12">
        <f>_xll.DBRW($B$1,Cons_Region!$F$12,Cons_Region!C$15,$M$1,Cons_Region!$H$12,Cons_Region!$C$12,$N$1,Cons_Region!$B344,$L$1,$K$1)</f>
        <v>0</v>
      </c>
      <c r="D344" s="20">
        <f>_xll.DBRW($B$1,Cons_Region!$F$12,Cons_Region!D$15,$M$1,Cons_Region!$H$12,Cons_Region!$C$12,$N$1,Cons_Region!$B344,$L$1,$K$1)</f>
        <v>0</v>
      </c>
      <c r="E344" s="20">
        <f>_xll.DBRW($B$1,Cons_Region!$F$12,Cons_Region!E$15,$M$1,Cons_Region!$H$12,Cons_Region!$C$12,$N$1,Cons_Region!$B344,$L$1,$K$1)</f>
        <v>0</v>
      </c>
      <c r="F344" s="20">
        <f>_xll.DBRW($B$1,Cons_Region!$F$12,Cons_Region!F$15,$M$1,Cons_Region!$H$12,Cons_Region!$C$12,$N$1,Cons_Region!$B344,$L$1,$K$1)</f>
        <v>0</v>
      </c>
      <c r="G344" s="20">
        <f>_xll.DBRW($B$1,Cons_Region!$F$12,Cons_Region!G$15,$M$1,Cons_Region!$H$12,Cons_Region!$C$12,$N$1,Cons_Region!$B344,$L$1,$K$1)</f>
        <v>0</v>
      </c>
      <c r="H344" s="20">
        <f>_xll.DBRW($B$1,Cons_Region!$F$12,Cons_Region!H$15,$M$1,Cons_Region!$H$12,Cons_Region!$C$12,$N$1,Cons_Region!$B344,$L$1,$K$1)</f>
        <v>0</v>
      </c>
      <c r="I344" s="20">
        <f>_xll.DBRW($B$1,Cons_Region!$F$12,Cons_Region!I$15,$M$1,Cons_Region!$H$12,Cons_Region!$C$12,$N$1,Cons_Region!$B344,$L$1,$K$1)</f>
        <v>0</v>
      </c>
      <c r="J344" s="20">
        <f>_xll.DBRW($B$1,Cons_Region!$F$12,Cons_Region!J$15,$M$1,Cons_Region!$H$12,Cons_Region!$C$12,$N$1,Cons_Region!$B344,$L$1,$K$1)</f>
        <v>0</v>
      </c>
      <c r="K344" s="20">
        <f>_xll.DBRW($B$1,Cons_Region!$F$12,Cons_Region!K$15,$M$1,Cons_Region!$H$12,Cons_Region!$C$12,$N$1,Cons_Region!$B344,$L$1,$K$1)</f>
        <v>0</v>
      </c>
      <c r="L344" s="20">
        <f>_xll.DBRW($B$1,Cons_Region!$F$12,Cons_Region!L$15,$M$1,Cons_Region!$H$12,Cons_Region!$C$12,$N$1,Cons_Region!$B344,$L$1,$K$1)</f>
        <v>0</v>
      </c>
      <c r="M344" s="20">
        <f>_xll.DBRW($B$1,Cons_Region!$F$12,Cons_Region!M$15,$M$1,Cons_Region!$H$12,Cons_Region!$C$12,$N$1,Cons_Region!$B344,$L$1,$K$1)</f>
        <v>0</v>
      </c>
      <c r="N344" s="20">
        <f>_xll.DBRW($B$1,Cons_Region!$F$12,Cons_Region!N$15,$M$1,Cons_Region!$H$12,Cons_Region!$C$12,$N$1,Cons_Region!$B344,$L$1,$K$1)</f>
        <v>0</v>
      </c>
      <c r="O344" s="20">
        <f>_xll.DBRW($D$2,O$14,Cons_Region!O$15,$M$1,Cons_Region!$H$12,Cons_Region!$C$12,$A344,$K$1)</f>
        <v>0</v>
      </c>
      <c r="P344" s="20">
        <f>_xll.DBRW($D$2,P$14,Cons_Region!P$15,$M$1,Cons_Region!$H$12,Cons_Region!$C$12,$A344,$K$1)</f>
        <v>0</v>
      </c>
      <c r="Q344" s="20">
        <f>_xll.DBRW($D$2,Q$14,Cons_Region!Q$15,$M$1,Cons_Region!$H$12,Cons_Region!$C$12,$A344,$K$1)</f>
        <v>0</v>
      </c>
      <c r="R344" s="20">
        <f>_xll.DBRW($D$2,R$14,Cons_Region!R$15,$M$1,Cons_Region!$H$12,Cons_Region!$C$12,$A344,$K$1)</f>
        <v>0</v>
      </c>
      <c r="S344" s="20">
        <f>_xll.DBRW($D$2,S$14,Cons_Region!S$15,$M$1,Cons_Region!$H$12,Cons_Region!$C$12,$A344,$K$1)</f>
        <v>0</v>
      </c>
    </row>
    <row r="345" spans="1:19" ht="15.75" customHeight="1">
      <c r="A345" s="69" t="s">
        <v>510</v>
      </c>
      <c r="B345" s="15" t="s">
        <v>162</v>
      </c>
      <c r="C345" s="20">
        <f>_xll.DBRW($D$2,Cons_Region!$F$12,Cons_Region!C$15,$M$1,Cons_Region!$H$12,Cons_Region!$C$12,$A345,$K$1)</f>
        <v>0</v>
      </c>
      <c r="D345" s="20">
        <f>_xll.DBRW($D$2,Cons_Region!$F$12,Cons_Region!D$15,$M$1,Cons_Region!$H$12,Cons_Region!$C$12,$A345,$K$1)</f>
        <v>0</v>
      </c>
      <c r="E345" s="20">
        <f>_xll.DBRW($D$2,Cons_Region!$F$12,Cons_Region!E$15,$M$1,Cons_Region!$H$12,Cons_Region!$C$12,$A345,$K$1)</f>
        <v>-136.98272231320493</v>
      </c>
      <c r="F345" s="20">
        <f>_xll.DBRW($D$2,Cons_Region!$F$12,Cons_Region!F$15,$M$1,Cons_Region!$H$12,Cons_Region!$C$12,$A345,$K$1)</f>
        <v>-343.9905872827128</v>
      </c>
      <c r="G345" s="20">
        <f>_xll.DBRW($D$2,Cons_Region!$F$12,Cons_Region!G$15,$M$1,Cons_Region!$H$12,Cons_Region!$C$12,$A345,$K$1)</f>
        <v>22.765605154949753</v>
      </c>
      <c r="H345" s="20">
        <f>_xll.DBRW($D$2,Cons_Region!$F$12,Cons_Region!H$15,$M$1,Cons_Region!$H$12,Cons_Region!$C$12,$A345,$K$1)</f>
        <v>366.66018767800512</v>
      </c>
      <c r="I345" s="20">
        <f>_xll.DBRW($D$2,Cons_Region!$F$12,Cons_Region!I$15,$M$1,Cons_Region!$H$12,Cons_Region!$C$12,$A345,$K$1)</f>
        <v>897.50768126254025</v>
      </c>
      <c r="J345" s="20">
        <f>_xll.DBRW($D$2,Cons_Region!$F$12,Cons_Region!J$15,$M$1,Cons_Region!$H$12,Cons_Region!$C$12,$A345,$K$1)</f>
        <v>1225.2880003430948</v>
      </c>
      <c r="K345" s="20">
        <f>_xll.DBRW($D$2,Cons_Region!$F$12,Cons_Region!K$15,$M$1,Cons_Region!$H$12,Cons_Region!$C$12,$A345,$K$1)</f>
        <v>811.64482132113562</v>
      </c>
      <c r="L345" s="20">
        <f>_xll.DBRW($D$2,Cons_Region!$F$12,Cons_Region!L$15,$M$1,Cons_Region!$H$12,Cons_Region!$C$12,$A345,$K$1)</f>
        <v>1126.2047769036858</v>
      </c>
      <c r="M345" s="20">
        <f>_xll.DBRW($D$2,Cons_Region!$F$12,Cons_Region!M$15,$M$1,Cons_Region!$H$12,Cons_Region!$C$12,$A345,$K$1)</f>
        <v>1505.4902736160407</v>
      </c>
      <c r="N345" s="20">
        <f>_xll.DBRW($D$2,Cons_Region!$F$12,Cons_Region!N$15,$M$1,Cons_Region!$H$12,Cons_Region!$C$12,$A345,$K$1)</f>
        <v>1823.4287555934668</v>
      </c>
      <c r="O345" s="20">
        <f>_xll.DBRW($D$2,O$14,Cons_Region!O$15,$M$1,Cons_Region!$H$12,Cons_Region!$C$12,$A345,$K$1)</f>
        <v>0</v>
      </c>
      <c r="P345" s="20">
        <f>_xll.DBRW($D$2,P$14,Cons_Region!P$15,$M$1,Cons_Region!$H$12,Cons_Region!$C$12,$A345,$K$1)</f>
        <v>0</v>
      </c>
      <c r="Q345" s="20">
        <f>_xll.DBRW($D$2,Q$14,Cons_Region!Q$15,$M$1,Cons_Region!$H$12,Cons_Region!$C$12,$A345,$K$1)</f>
        <v>0</v>
      </c>
      <c r="R345" s="20">
        <f>_xll.DBRW($D$2,R$14,Cons_Region!R$15,$M$1,Cons_Region!$H$12,Cons_Region!$C$12,$A345,$K$1)</f>
        <v>0</v>
      </c>
      <c r="S345" s="20">
        <f>_xll.DBRW($D$2,S$14,Cons_Region!S$15,$M$1,Cons_Region!$H$12,Cons_Region!$C$12,$A345,$K$1)</f>
        <v>0</v>
      </c>
    </row>
    <row r="346" spans="1:19" ht="15.75" customHeight="1">
      <c r="A346" s="69" t="s">
        <v>511</v>
      </c>
      <c r="B346" s="15" t="s">
        <v>163</v>
      </c>
      <c r="C346" s="20">
        <f>_xll.DBRW($D$2,Cons_Region!$F$12,Cons_Region!C$15,$M$1,Cons_Region!$H$12,Cons_Region!$C$12,$A346,$K$1)</f>
        <v>0</v>
      </c>
      <c r="D346" s="20">
        <f>_xll.DBRW($D$2,Cons_Region!$F$12,Cons_Region!D$15,$M$1,Cons_Region!$H$12,Cons_Region!$C$12,$A346,$K$1)</f>
        <v>-136.98272231320493</v>
      </c>
      <c r="E346" s="20">
        <f>_xll.DBRW($D$2,Cons_Region!$F$12,Cons_Region!E$15,$M$1,Cons_Region!$H$12,Cons_Region!$C$12,$A346,$K$1)</f>
        <v>-343.9905872827128</v>
      </c>
      <c r="F346" s="20">
        <f>_xll.DBRW($D$2,Cons_Region!$F$12,Cons_Region!F$15,$M$1,Cons_Region!$H$12,Cons_Region!$C$12,$A346,$K$1)</f>
        <v>22.765605154949753</v>
      </c>
      <c r="G346" s="20">
        <f>_xll.DBRW($D$2,Cons_Region!$F$12,Cons_Region!G$15,$M$1,Cons_Region!$H$12,Cons_Region!$C$12,$A346,$K$1)</f>
        <v>366.66018767800512</v>
      </c>
      <c r="H346" s="20">
        <f>_xll.DBRW($D$2,Cons_Region!$F$12,Cons_Region!H$15,$M$1,Cons_Region!$H$12,Cons_Region!$C$12,$A346,$K$1)</f>
        <v>897.50768126254025</v>
      </c>
      <c r="I346" s="20">
        <f>_xll.DBRW($D$2,Cons_Region!$F$12,Cons_Region!I$15,$M$1,Cons_Region!$H$12,Cons_Region!$C$12,$A346,$K$1)</f>
        <v>1225.2880003430948</v>
      </c>
      <c r="J346" s="20">
        <f>_xll.DBRW($D$2,Cons_Region!$F$12,Cons_Region!J$15,$M$1,Cons_Region!$H$12,Cons_Region!$C$12,$A346,$K$1)</f>
        <v>811.64482132113562</v>
      </c>
      <c r="K346" s="20">
        <f>_xll.DBRW($D$2,Cons_Region!$F$12,Cons_Region!K$15,$M$1,Cons_Region!$H$12,Cons_Region!$C$12,$A346,$K$1)</f>
        <v>1126.2047769036858</v>
      </c>
      <c r="L346" s="20">
        <f>_xll.DBRW($D$2,Cons_Region!$F$12,Cons_Region!L$15,$M$1,Cons_Region!$H$12,Cons_Region!$C$12,$A346,$K$1)</f>
        <v>1505.4902736160407</v>
      </c>
      <c r="M346" s="20">
        <f>_xll.DBRW($D$2,Cons_Region!$F$12,Cons_Region!M$15,$M$1,Cons_Region!$H$12,Cons_Region!$C$12,$A346,$K$1)</f>
        <v>1823.4287555934668</v>
      </c>
      <c r="N346" s="20">
        <f>_xll.DBRW($D$2,Cons_Region!$F$12,Cons_Region!N$15,$M$1,Cons_Region!$H$12,Cons_Region!$C$12,$A346,$K$1)</f>
        <v>2107.2967792808208</v>
      </c>
      <c r="O346" s="20">
        <f>_xll.DBRW($D$2,O$14,Cons_Region!O$15,$M$1,Cons_Region!$H$12,Cons_Region!$C$12,$A346,$K$1)</f>
        <v>0</v>
      </c>
      <c r="P346" s="20">
        <f>_xll.DBRW($D$2,P$14,Cons_Region!P$15,$M$1,Cons_Region!$H$12,Cons_Region!$C$12,$A346,$K$1)</f>
        <v>0</v>
      </c>
      <c r="Q346" s="20">
        <f>_xll.DBRW($D$2,Q$14,Cons_Region!Q$15,$M$1,Cons_Region!$H$12,Cons_Region!$C$12,$A346,$K$1)</f>
        <v>0</v>
      </c>
      <c r="R346" s="20">
        <f>_xll.DBRW($D$2,R$14,Cons_Region!R$15,$M$1,Cons_Region!$H$12,Cons_Region!$C$12,$A346,$K$1)</f>
        <v>0</v>
      </c>
      <c r="S346" s="20">
        <f>_xll.DBRW($D$2,S$14,Cons_Region!S$15,$M$1,Cons_Region!$H$12,Cons_Region!$C$12,$A346,$K$1)</f>
        <v>0</v>
      </c>
    </row>
    <row r="347" spans="1:19" ht="15.75" customHeight="1">
      <c r="A347" s="69" t="s">
        <v>512</v>
      </c>
      <c r="B347" s="15" t="s">
        <v>164</v>
      </c>
      <c r="C347" s="20">
        <f>_xll.DBRW($D$2,Cons_Region!$F$12,Cons_Region!C$15,$M$1,Cons_Region!$H$12,Cons_Region!$C$12,$A347,$K$1)</f>
        <v>0</v>
      </c>
      <c r="D347" s="20">
        <f>_xll.DBRW($D$2,Cons_Region!$F$12,Cons_Region!D$15,$M$1,Cons_Region!$H$12,Cons_Region!$C$12,$A347,$K$1)</f>
        <v>-136.98272231320493</v>
      </c>
      <c r="E347" s="20">
        <f>_xll.DBRW($D$2,Cons_Region!$F$12,Cons_Region!E$15,$M$1,Cons_Region!$H$12,Cons_Region!$C$12,$A347,$K$1)</f>
        <v>-343.9905872827128</v>
      </c>
      <c r="F347" s="20">
        <f>_xll.DBRW($D$2,Cons_Region!$F$12,Cons_Region!F$15,$M$1,Cons_Region!$H$12,Cons_Region!$C$12,$A347,$K$1)</f>
        <v>22.765605154949753</v>
      </c>
      <c r="G347" s="20">
        <f>_xll.DBRW($D$2,Cons_Region!$F$12,Cons_Region!G$15,$M$1,Cons_Region!$H$12,Cons_Region!$C$12,$A347,$K$1)</f>
        <v>366.66018767800512</v>
      </c>
      <c r="H347" s="20">
        <f>_xll.DBRW($D$2,Cons_Region!$F$12,Cons_Region!H$15,$M$1,Cons_Region!$H$12,Cons_Region!$C$12,$A347,$K$1)</f>
        <v>897.50768126254025</v>
      </c>
      <c r="I347" s="20">
        <f>_xll.DBRW($D$2,Cons_Region!$F$12,Cons_Region!I$15,$M$1,Cons_Region!$H$12,Cons_Region!$C$12,$A347,$K$1)</f>
        <v>1225.2880003430948</v>
      </c>
      <c r="J347" s="20">
        <f>_xll.DBRW($D$2,Cons_Region!$F$12,Cons_Region!J$15,$M$1,Cons_Region!$H$12,Cons_Region!$C$12,$A347,$K$1)</f>
        <v>811.64482132113562</v>
      </c>
      <c r="K347" s="20">
        <f>_xll.DBRW($D$2,Cons_Region!$F$12,Cons_Region!K$15,$M$1,Cons_Region!$H$12,Cons_Region!$C$12,$A347,$K$1)</f>
        <v>1126.2047769036858</v>
      </c>
      <c r="L347" s="20">
        <f>_xll.DBRW($D$2,Cons_Region!$F$12,Cons_Region!L$15,$M$1,Cons_Region!$H$12,Cons_Region!$C$12,$A347,$K$1)</f>
        <v>1505.4902736160407</v>
      </c>
      <c r="M347" s="20">
        <f>_xll.DBRW($D$2,Cons_Region!$F$12,Cons_Region!M$15,$M$1,Cons_Region!$H$12,Cons_Region!$C$12,$A347,$K$1)</f>
        <v>1823.4287555934668</v>
      </c>
      <c r="N347" s="20">
        <f>_xll.DBRW($D$2,Cons_Region!$F$12,Cons_Region!N$15,$M$1,Cons_Region!$H$12,Cons_Region!$C$12,$A347,$K$1)</f>
        <v>2107.2967792808208</v>
      </c>
      <c r="O347" s="20">
        <f>_xll.DBRW($D$2,O$14,Cons_Region!O$15,$M$1,Cons_Region!$H$12,Cons_Region!$C$12,$A347,$K$1)</f>
        <v>0</v>
      </c>
      <c r="P347" s="20">
        <f>_xll.DBRW($D$2,P$14,Cons_Region!P$15,$M$1,Cons_Region!$H$12,Cons_Region!$C$12,$A347,$K$1)</f>
        <v>0</v>
      </c>
      <c r="Q347" s="20">
        <f>_xll.DBRW($D$2,Q$14,Cons_Region!Q$15,$M$1,Cons_Region!$H$12,Cons_Region!$C$12,$A347,$K$1)</f>
        <v>0</v>
      </c>
      <c r="R347" s="20">
        <f>_xll.DBRW($D$2,R$14,Cons_Region!R$15,$M$1,Cons_Region!$H$12,Cons_Region!$C$12,$A347,$K$1)</f>
        <v>0</v>
      </c>
      <c r="S347" s="20">
        <f>_xll.DBRW($D$2,S$14,Cons_Region!S$15,$M$1,Cons_Region!$H$12,Cons_Region!$C$12,$A347,$K$1)</f>
        <v>0</v>
      </c>
    </row>
    <row r="348" spans="1:19" ht="15.75" customHeight="1">
      <c r="A348" s="69" t="s">
        <v>513</v>
      </c>
      <c r="B348" s="15" t="s">
        <v>165</v>
      </c>
      <c r="C348" s="20">
        <f>_xll.DBRW($D$2,Cons_Region!$F$12,Cons_Region!C$15,$M$1,Cons_Region!$H$12,Cons_Region!$C$12,$A348,$K$1)</f>
        <v>0</v>
      </c>
      <c r="D348" s="20">
        <f>_xll.DBRW($D$2,Cons_Region!$F$12,Cons_Region!D$15,$M$1,Cons_Region!$H$12,Cons_Region!$C$12,$A348,$K$1)</f>
        <v>7.2875999999999976</v>
      </c>
      <c r="E348" s="20">
        <f>_xll.DBRW($D$2,Cons_Region!$F$12,Cons_Region!E$15,$M$1,Cons_Region!$H$12,Cons_Region!$C$12,$A348,$K$1)</f>
        <v>1.8756000000000386</v>
      </c>
      <c r="F348" s="20">
        <f>_xll.DBRW($D$2,Cons_Region!$F$12,Cons_Region!F$15,$M$1,Cons_Region!$H$12,Cons_Region!$C$12,$A348,$K$1)</f>
        <v>128.06940000000003</v>
      </c>
      <c r="G348" s="20">
        <f>_xll.DBRW($D$2,Cons_Region!$F$12,Cons_Region!G$15,$M$1,Cons_Region!$H$12,Cons_Region!$C$12,$A348,$K$1)</f>
        <v>113.51940000000002</v>
      </c>
      <c r="H348" s="20">
        <f>_xll.DBRW($D$2,Cons_Region!$F$12,Cons_Region!H$15,$M$1,Cons_Region!$H$12,Cons_Region!$C$12,$A348,$K$1)</f>
        <v>175.75130000000001</v>
      </c>
      <c r="I348" s="20">
        <f>_xll.DBRW($D$2,Cons_Region!$F$12,Cons_Region!I$15,$M$1,Cons_Region!$H$12,Cons_Region!$C$12,$A348,$K$1)</f>
        <v>82.047900000000027</v>
      </c>
      <c r="J348" s="20">
        <f>_xll.DBRW($D$2,Cons_Region!$F$12,Cons_Region!J$15,$M$1,Cons_Region!$H$12,Cons_Region!$C$12,$A348,$K$1)</f>
        <v>90.030400000000029</v>
      </c>
      <c r="K348" s="20">
        <f>_xll.DBRW($D$2,Cons_Region!$F$12,Cons_Region!K$15,$M$1,Cons_Region!$H$12,Cons_Region!$C$12,$A348,$K$1)</f>
        <v>194.60720000000003</v>
      </c>
      <c r="L348" s="20">
        <f>_xll.DBRW($D$2,Cons_Region!$F$12,Cons_Region!L$15,$M$1,Cons_Region!$H$12,Cons_Region!$C$12,$A348,$K$1)</f>
        <v>337.09550000000002</v>
      </c>
      <c r="M348" s="20">
        <f>_xll.DBRW($D$2,Cons_Region!$F$12,Cons_Region!M$15,$M$1,Cons_Region!$H$12,Cons_Region!$C$12,$A348,$K$1)</f>
        <v>346.98779999999999</v>
      </c>
      <c r="N348" s="20">
        <f>_xll.DBRW($D$2,Cons_Region!$F$12,Cons_Region!N$15,$M$1,Cons_Region!$H$12,Cons_Region!$C$12,$A348,$K$1)</f>
        <v>346.98779999999999</v>
      </c>
      <c r="O348" s="20">
        <f>_xll.DBRW($D$2,O$14,Cons_Region!O$15,$M$1,Cons_Region!$H$12,Cons_Region!$C$12,$A348,$K$1)</f>
        <v>0</v>
      </c>
      <c r="P348" s="20">
        <f>_xll.DBRW($D$2,P$14,Cons_Region!P$15,$M$1,Cons_Region!$H$12,Cons_Region!$C$12,$A348,$K$1)</f>
        <v>0</v>
      </c>
      <c r="Q348" s="20">
        <f>_xll.DBRW($D$2,Q$14,Cons_Region!Q$15,$M$1,Cons_Region!$H$12,Cons_Region!$C$12,$A348,$K$1)</f>
        <v>0</v>
      </c>
      <c r="R348" s="20">
        <f>_xll.DBRW($D$2,R$14,Cons_Region!R$15,$M$1,Cons_Region!$H$12,Cons_Region!$C$12,$A348,$K$1)</f>
        <v>0</v>
      </c>
      <c r="S348" s="20">
        <f>_xll.DBRW($D$2,S$14,Cons_Region!S$15,$M$1,Cons_Region!$H$12,Cons_Region!$C$12,$A348,$K$1)</f>
        <v>0</v>
      </c>
    </row>
    <row r="349" spans="1:19" ht="15.75" customHeight="1">
      <c r="A349" s="69" t="s">
        <v>521</v>
      </c>
      <c r="B349" s="13" t="s">
        <v>173</v>
      </c>
      <c r="C349" s="12">
        <f>_xll.DBRW($B$1,Cons_Region!$F$12,Cons_Region!C$15,$M$1,Cons_Region!$H$12,Cons_Region!$C$12,$N$1,$A349,$L$1,$K$1)</f>
        <v>0</v>
      </c>
      <c r="D349" s="12">
        <f>_xll.DBRW($B$1,Cons_Region!$F$12,Cons_Region!D$15,$M$1,Cons_Region!$H$12,Cons_Region!$C$12,$N$1,$A349,$L$1,$K$1)</f>
        <v>66.662899999999993</v>
      </c>
      <c r="E349" s="12">
        <f>_xll.DBRW($B$1,Cons_Region!$F$12,Cons_Region!E$15,$M$1,Cons_Region!$H$12,Cons_Region!$C$12,$N$1,$A349,$L$1,$K$1)</f>
        <v>74.084500000000006</v>
      </c>
      <c r="F349" s="12">
        <f>_xll.DBRW($B$1,Cons_Region!$F$12,Cons_Region!F$15,$M$1,Cons_Region!$H$12,Cons_Region!$C$12,$N$1,$A349,$L$1,$K$1)</f>
        <v>90.48</v>
      </c>
      <c r="G349" s="12">
        <f>_xll.DBRW($B$1,Cons_Region!$F$12,Cons_Region!G$15,$M$1,Cons_Region!$H$12,Cons_Region!$C$12,$N$1,$A349,$L$1,$K$1)</f>
        <v>95.198999999999998</v>
      </c>
      <c r="H349" s="12">
        <f>_xll.DBRW($B$1,Cons_Region!$F$12,Cons_Region!H$15,$M$1,Cons_Region!$H$12,Cons_Region!$C$12,$N$1,$A349,$L$1,$K$1)</f>
        <v>124.3588</v>
      </c>
      <c r="I349" s="12">
        <f>_xll.DBRW($B$1,Cons_Region!$F$12,Cons_Region!I$15,$M$1,Cons_Region!$H$12,Cons_Region!$C$12,$N$1,$A349,$L$1,$K$1)</f>
        <v>168.4477</v>
      </c>
      <c r="J349" s="12">
        <f>_xll.DBRW($B$1,Cons_Region!$F$12,Cons_Region!J$15,$M$1,Cons_Region!$H$12,Cons_Region!$C$12,$N$1,$A349,$L$1,$K$1)</f>
        <v>186.8099</v>
      </c>
      <c r="K349" s="12">
        <f>_xll.DBRW($B$1,Cons_Region!$F$12,Cons_Region!K$15,$M$1,Cons_Region!$H$12,Cons_Region!$C$12,$N$1,$A349,$L$1,$K$1)</f>
        <v>187.46600000000001</v>
      </c>
      <c r="L349" s="12">
        <f>_xll.DBRW($B$1,Cons_Region!$F$12,Cons_Region!L$15,$M$1,Cons_Region!$H$12,Cons_Region!$C$12,$N$1,$A349,$L$1,$K$1)</f>
        <v>198.6277</v>
      </c>
      <c r="M349" s="12">
        <f>_xll.DBRW($B$1,Cons_Region!$F$12,Cons_Region!M$15,$M$1,Cons_Region!$H$12,Cons_Region!$C$12,$N$1,$A349,$L$1,$K$1)</f>
        <v>199.56460000000001</v>
      </c>
      <c r="N349" s="12">
        <f>_xll.DBRW($B$1,Cons_Region!$F$12,Cons_Region!N$15,$M$1,Cons_Region!$H$12,Cons_Region!$C$12,$N$1,$A349,$L$1,$K$1)</f>
        <v>0</v>
      </c>
      <c r="O349" s="12">
        <f>_xll.DBRW($B$1,O$14,Cons_Region!O$15,$M$1,Cons_Region!$H$12,Cons_Region!$C$12,$N$1,$A349,$L$1,$K$1)</f>
        <v>0</v>
      </c>
      <c r="P349" s="12">
        <f>_xll.DBRW($B$1,P$14,Cons_Region!P$15,$M$1,Cons_Region!$H$12,Cons_Region!$C$12,$N$1,$A349,$L$1,$K$1)</f>
        <v>0</v>
      </c>
      <c r="Q349" s="12">
        <f>_xll.DBRW($B$1,Q$14,Cons_Region!Q$15,$M$1,Cons_Region!$H$12,Cons_Region!$C$12,$N$1,$A349,$L$1,$K$1)</f>
        <v>0</v>
      </c>
      <c r="R349" s="12">
        <f>_xll.DBRW($B$1,R$14,Cons_Region!R$15,$M$1,Cons_Region!$H$12,Cons_Region!$C$12,$N$1,$A349,$L$1,$K$1)</f>
        <v>0</v>
      </c>
      <c r="S349" s="12">
        <f>_xll.DBRW($B$1,S$14,Cons_Region!S$15,$M$1,Cons_Region!$H$12,Cons_Region!$C$12,$N$1,$A349,$L$1,$K$1)</f>
        <v>0</v>
      </c>
    </row>
    <row r="350" spans="1:19" ht="15.75" customHeight="1">
      <c r="A350" s="69" t="s">
        <v>514</v>
      </c>
      <c r="B350" s="15" t="s">
        <v>166</v>
      </c>
      <c r="C350" s="20">
        <f>_xll.DBRW($D$2,Cons_Region!$F$12,Cons_Region!C$15,$M$1,Cons_Region!$H$12,Cons_Region!$C$12,$A350,$K$1)</f>
        <v>0</v>
      </c>
      <c r="D350" s="20">
        <f>_xll.DBRW($D$2,Cons_Region!$F$12,Cons_Region!D$15,$M$1,Cons_Region!$H$12,Cons_Region!$C$12,$A350,$K$1)</f>
        <v>-63.03222231320494</v>
      </c>
      <c r="E350" s="20">
        <f>_xll.DBRW($D$2,Cons_Region!$F$12,Cons_Region!E$15,$M$1,Cons_Region!$H$12,Cons_Region!$C$12,$A350,$K$1)</f>
        <v>-268.03048728271278</v>
      </c>
      <c r="F350" s="20">
        <f>_xll.DBRW($D$2,Cons_Region!$F$12,Cons_Region!F$15,$M$1,Cons_Region!$H$12,Cons_Region!$C$12,$A350,$K$1)</f>
        <v>241.3150051549498</v>
      </c>
      <c r="G350" s="20">
        <f>_xll.DBRW($D$2,Cons_Region!$F$12,Cons_Region!G$15,$M$1,Cons_Region!$H$12,Cons_Region!$C$12,$A350,$K$1)</f>
        <v>575.37858767800515</v>
      </c>
      <c r="H350" s="20">
        <f>_xll.DBRW($D$2,Cons_Region!$F$12,Cons_Region!H$15,$M$1,Cons_Region!$H$12,Cons_Region!$C$12,$A350,$K$1)</f>
        <v>1197.6177812625401</v>
      </c>
      <c r="I350" s="20">
        <f>_xll.DBRW($D$2,Cons_Region!$F$12,Cons_Region!I$15,$M$1,Cons_Region!$H$12,Cons_Region!$C$12,$A350,$K$1)</f>
        <v>1475.7836003430948</v>
      </c>
      <c r="J350" s="20">
        <f>_xll.DBRW($D$2,Cons_Region!$F$12,Cons_Region!J$15,$M$1,Cons_Region!$H$12,Cons_Region!$C$12,$A350,$K$1)</f>
        <v>1088.4851213211357</v>
      </c>
      <c r="K350" s="20">
        <f>_xll.DBRW($D$2,Cons_Region!$F$12,Cons_Region!K$15,$M$1,Cons_Region!$H$12,Cons_Region!$C$12,$A350,$K$1)</f>
        <v>1508.2779769036856</v>
      </c>
      <c r="L350" s="20">
        <f>_xll.DBRW($D$2,Cons_Region!$F$12,Cons_Region!L$15,$M$1,Cons_Region!$H$12,Cons_Region!$C$12,$A350,$K$1)</f>
        <v>2041.2134736160406</v>
      </c>
      <c r="M350" s="20">
        <f>_xll.DBRW($D$2,Cons_Region!$F$12,Cons_Region!M$15,$M$1,Cons_Region!$H$12,Cons_Region!$C$12,$A350,$K$1)</f>
        <v>2369.9811555934671</v>
      </c>
      <c r="N350" s="20">
        <f>_xll.DBRW($D$2,Cons_Region!$F$12,Cons_Region!N$15,$M$1,Cons_Region!$H$12,Cons_Region!$C$12,$A350,$K$1)</f>
        <v>2454.2845792808207</v>
      </c>
      <c r="O350" s="20">
        <f>_xll.DBRW($D$2,O$14,Cons_Region!O$15,$M$1,Cons_Region!$H$12,Cons_Region!$C$12,$A350,$K$1)</f>
        <v>0</v>
      </c>
      <c r="P350" s="20">
        <f>_xll.DBRW($D$2,P$14,Cons_Region!P$15,$M$1,Cons_Region!$H$12,Cons_Region!$C$12,$A350,$K$1)</f>
        <v>0</v>
      </c>
      <c r="Q350" s="20">
        <f>_xll.DBRW($D$2,Q$14,Cons_Region!Q$15,$M$1,Cons_Region!$H$12,Cons_Region!$C$12,$A350,$K$1)</f>
        <v>0</v>
      </c>
      <c r="R350" s="20">
        <f>_xll.DBRW($D$2,R$14,Cons_Region!R$15,$M$1,Cons_Region!$H$12,Cons_Region!$C$12,$A350,$K$1)</f>
        <v>0</v>
      </c>
      <c r="S350" s="20">
        <f>_xll.DBRW($D$2,S$14,Cons_Region!S$15,$M$1,Cons_Region!$H$12,Cons_Region!$C$12,$A350,$K$1)</f>
        <v>0</v>
      </c>
    </row>
    <row r="351" spans="1:19" ht="15.75" customHeight="1">
      <c r="A351" s="69" t="s">
        <v>515</v>
      </c>
      <c r="B351" s="15" t="s">
        <v>167</v>
      </c>
      <c r="C351" s="20">
        <f>_xll.DBRW($D$2,Cons_Region!$F$12,Cons_Region!C$15,$M$1,Cons_Region!$H$12,Cons_Region!$C$12,$A351,$K$1)</f>
        <v>0</v>
      </c>
      <c r="D351" s="20">
        <f>_xll.DBRW($D$2,Cons_Region!$F$12,Cons_Region!D$15,$M$1,Cons_Region!$H$12,Cons_Region!$C$12,$A351,$K$1)</f>
        <v>164.97952309587998</v>
      </c>
      <c r="E351" s="20">
        <f>_xll.DBRW($D$2,Cons_Region!$F$12,Cons_Region!E$15,$M$1,Cons_Region!$H$12,Cons_Region!$C$12,$A351,$K$1)</f>
        <v>376.53418763318018</v>
      </c>
      <c r="F351" s="20">
        <f>_xll.DBRW($D$2,Cons_Region!$F$12,Cons_Region!F$15,$M$1,Cons_Region!$H$12,Cons_Region!$C$12,$A351,$K$1)</f>
        <v>594.5839458695001</v>
      </c>
      <c r="G351" s="20">
        <f>_xll.DBRW($D$2,Cons_Region!$F$12,Cons_Region!G$15,$M$1,Cons_Region!$H$12,Cons_Region!$C$12,$A351,$K$1)</f>
        <v>874.7551886470801</v>
      </c>
      <c r="H351" s="20">
        <f>_xll.DBRW($D$2,Cons_Region!$F$12,Cons_Region!H$15,$M$1,Cons_Region!$H$12,Cons_Region!$C$12,$A351,$K$1)</f>
        <v>1191.6372129149199</v>
      </c>
      <c r="I351" s="20">
        <f>_xll.DBRW($D$2,Cons_Region!$F$12,Cons_Region!I$15,$M$1,Cons_Region!$H$12,Cons_Region!$C$12,$A351,$K$1)</f>
        <v>1582.8530918182</v>
      </c>
      <c r="J351" s="20">
        <f>_xll.DBRW($D$2,Cons_Region!$F$12,Cons_Region!J$15,$M$1,Cons_Region!$H$12,Cons_Region!$C$12,$A351,$K$1)</f>
        <v>1973.97366777516</v>
      </c>
      <c r="K351" s="20">
        <f>_xll.DBRW($D$2,Cons_Region!$F$12,Cons_Region!K$15,$M$1,Cons_Region!$H$12,Cons_Region!$C$12,$A351,$K$1)</f>
        <v>2378.9532218962499</v>
      </c>
      <c r="L351" s="20">
        <f>_xll.DBRW($D$2,Cons_Region!$F$12,Cons_Region!L$15,$M$1,Cons_Region!$H$12,Cons_Region!$C$12,$A351,$K$1)</f>
        <v>2746.7946646453702</v>
      </c>
      <c r="M351" s="20">
        <f>_xll.DBRW($D$2,Cons_Region!$F$12,Cons_Region!M$15,$M$1,Cons_Region!$H$12,Cons_Region!$C$12,$A351,$K$1)</f>
        <v>3079.8102220319606</v>
      </c>
      <c r="N351" s="20">
        <f>_xll.DBRW($D$2,Cons_Region!$F$12,Cons_Region!N$15,$M$1,Cons_Region!$H$12,Cons_Region!$C$12,$A351,$K$1)</f>
        <v>3354.7520792808209</v>
      </c>
      <c r="O351" s="20">
        <f>_xll.DBRW($D$2,O$14,Cons_Region!O$15,$M$1,Cons_Region!$H$12,Cons_Region!$C$12,$A351,$K$1)</f>
        <v>0</v>
      </c>
      <c r="P351" s="20">
        <f>_xll.DBRW($D$2,P$14,Cons_Region!P$15,$M$1,Cons_Region!$H$12,Cons_Region!$C$12,$A351,$K$1)</f>
        <v>0</v>
      </c>
      <c r="Q351" s="20">
        <f>_xll.DBRW($D$2,Q$14,Cons_Region!Q$15,$M$1,Cons_Region!$H$12,Cons_Region!$C$12,$A351,$K$1)</f>
        <v>0</v>
      </c>
      <c r="R351" s="20">
        <f>_xll.DBRW($D$2,R$14,Cons_Region!R$15,$M$1,Cons_Region!$H$12,Cons_Region!$C$12,$A351,$K$1)</f>
        <v>0</v>
      </c>
      <c r="S351" s="20">
        <f>_xll.DBRW($D$2,S$14,Cons_Region!S$15,$M$1,Cons_Region!$H$12,Cons_Region!$C$12,$A351,$K$1)</f>
        <v>0</v>
      </c>
    </row>
    <row r="352" spans="1:19" ht="15.75" customHeight="1">
      <c r="A352" s="69" t="s">
        <v>516</v>
      </c>
      <c r="B352" s="15" t="s">
        <v>168</v>
      </c>
      <c r="C352" s="20">
        <f>_xll.DBRW($D$2,Cons_Region!$F$12,Cons_Region!C$15,$M$1,Cons_Region!$H$12,Cons_Region!$C$12,$A352,$K$1)</f>
        <v>0</v>
      </c>
      <c r="D352" s="20">
        <f>_xll.DBRW($D$2,Cons_Region!$F$12,Cons_Region!D$15,$M$1,Cons_Region!$H$12,Cons_Region!$C$12,$A352,$K$1)</f>
        <v>0</v>
      </c>
      <c r="E352" s="20">
        <f>_xll.DBRW($D$2,Cons_Region!$F$12,Cons_Region!E$15,$M$1,Cons_Region!$H$12,Cons_Region!$C$12,$A352,$K$1)</f>
        <v>0</v>
      </c>
      <c r="F352" s="20">
        <f>_xll.DBRW($D$2,Cons_Region!$F$12,Cons_Region!F$15,$M$1,Cons_Region!$H$12,Cons_Region!$C$12,$A352,$K$1)</f>
        <v>0</v>
      </c>
      <c r="G352" s="20">
        <f>_xll.DBRW($D$2,Cons_Region!$F$12,Cons_Region!G$15,$M$1,Cons_Region!$H$12,Cons_Region!$C$12,$A352,$K$1)</f>
        <v>0</v>
      </c>
      <c r="H352" s="20">
        <f>_xll.DBRW($D$2,Cons_Region!$F$12,Cons_Region!H$15,$M$1,Cons_Region!$H$12,Cons_Region!$C$12,$A352,$K$1)</f>
        <v>0</v>
      </c>
      <c r="I352" s="20">
        <f>_xll.DBRW($D$2,Cons_Region!$F$12,Cons_Region!I$15,$M$1,Cons_Region!$H$12,Cons_Region!$C$12,$A352,$K$1)</f>
        <v>0</v>
      </c>
      <c r="J352" s="20">
        <f>_xll.DBRW($D$2,Cons_Region!$F$12,Cons_Region!J$15,$M$1,Cons_Region!$H$12,Cons_Region!$C$12,$A352,$K$1)</f>
        <v>0</v>
      </c>
      <c r="K352" s="20">
        <f>_xll.DBRW($D$2,Cons_Region!$F$12,Cons_Region!K$15,$M$1,Cons_Region!$H$12,Cons_Region!$C$12,$A352,$K$1)</f>
        <v>0</v>
      </c>
      <c r="L352" s="20">
        <f>_xll.DBRW($D$2,Cons_Region!$F$12,Cons_Region!L$15,$M$1,Cons_Region!$H$12,Cons_Region!$C$12,$A352,$K$1)</f>
        <v>0</v>
      </c>
      <c r="M352" s="20">
        <f>_xll.DBRW($D$2,Cons_Region!$F$12,Cons_Region!M$15,$M$1,Cons_Region!$H$12,Cons_Region!$C$12,$A352,$K$1)</f>
        <v>0</v>
      </c>
      <c r="N352" s="20">
        <f>_xll.DBRW($D$2,Cons_Region!$F$12,Cons_Region!N$15,$M$1,Cons_Region!$H$12,Cons_Region!$C$12,$A352,$K$1)</f>
        <v>0</v>
      </c>
      <c r="O352" s="20">
        <f>_xll.DBRW($D$2,O$14,Cons_Region!O$15,$M$1,Cons_Region!$H$12,Cons_Region!$C$12,$A352,$K$1)</f>
        <v>0</v>
      </c>
      <c r="P352" s="20">
        <f>_xll.DBRW($D$2,P$14,Cons_Region!P$15,$M$1,Cons_Region!$H$12,Cons_Region!$C$12,$A352,$K$1)</f>
        <v>0</v>
      </c>
      <c r="Q352" s="20">
        <f>_xll.DBRW($D$2,Q$14,Cons_Region!Q$15,$M$1,Cons_Region!$H$12,Cons_Region!$C$12,$A352,$K$1)</f>
        <v>0</v>
      </c>
      <c r="R352" s="20">
        <f>_xll.DBRW($D$2,R$14,Cons_Region!R$15,$M$1,Cons_Region!$H$12,Cons_Region!$C$12,$A352,$K$1)</f>
        <v>0</v>
      </c>
      <c r="S352" s="20">
        <f>_xll.DBRW($D$2,S$14,Cons_Region!S$15,$M$1,Cons_Region!$H$12,Cons_Region!$C$12,$A352,$K$1)</f>
        <v>0</v>
      </c>
    </row>
    <row r="353" spans="1:19" ht="15.75" customHeight="1">
      <c r="A353" s="69" t="s">
        <v>517</v>
      </c>
      <c r="B353" s="15" t="s">
        <v>169</v>
      </c>
      <c r="C353" s="20">
        <f>_xll.DBRW($D$2,Cons_Region!$F$12,Cons_Region!C$15,$M$1,Cons_Region!$H$12,Cons_Region!$C$12,$A353,$K$1)</f>
        <v>0</v>
      </c>
      <c r="D353" s="20">
        <f>_xll.DBRW($D$2,Cons_Region!$F$12,Cons_Region!D$15,$M$1,Cons_Region!$H$12,Cons_Region!$C$12,$A353,$K$1)</f>
        <v>-0.38206088325623871</v>
      </c>
      <c r="E353" s="20">
        <f>_xll.DBRW($D$2,Cons_Region!$F$12,Cons_Region!E$15,$M$1,Cons_Region!$H$12,Cons_Region!$C$12,$A353,$K$1)</f>
        <v>-0.71183572723502131</v>
      </c>
      <c r="F353" s="20">
        <f>_xll.DBRW($D$2,Cons_Region!$F$12,Cons_Region!F$15,$M$1,Cons_Region!$H$12,Cons_Region!$C$12,$A353,$K$1)</f>
        <v>0.40585523176556448</v>
      </c>
      <c r="G353" s="20">
        <f>_xll.DBRW($D$2,Cons_Region!$F$12,Cons_Region!G$15,$M$1,Cons_Region!$H$12,Cons_Region!$C$12,$A353,$K$1)</f>
        <v>0.65775955964079635</v>
      </c>
      <c r="H353" s="20">
        <f>_xll.DBRW($D$2,Cons_Region!$F$12,Cons_Region!H$15,$M$1,Cons_Region!$H$12,Cons_Region!$C$12,$A353,$K$1)</f>
        <v>1.0050187827996668</v>
      </c>
      <c r="I353" s="20">
        <f>_xll.DBRW($D$2,Cons_Region!$F$12,Cons_Region!I$15,$M$1,Cons_Region!$H$12,Cons_Region!$C$12,$A353,$K$1)</f>
        <v>0.9323566463441556</v>
      </c>
      <c r="J353" s="20">
        <f>_xll.DBRW($D$2,Cons_Region!$F$12,Cons_Region!J$15,$M$1,Cons_Region!$H$12,Cons_Region!$C$12,$A353,$K$1)</f>
        <v>0.55141825804999367</v>
      </c>
      <c r="K353" s="20">
        <f>_xll.DBRW($D$2,Cons_Region!$F$12,Cons_Region!K$15,$M$1,Cons_Region!$H$12,Cons_Region!$C$12,$A353,$K$1)</f>
        <v>0.63400909400876992</v>
      </c>
      <c r="L353" s="20">
        <f>_xll.DBRW($D$2,Cons_Region!$F$12,Cons_Region!L$15,$M$1,Cons_Region!$H$12,Cons_Region!$C$12,$A353,$K$1)</f>
        <v>0.74312561469882388</v>
      </c>
      <c r="M353" s="20">
        <f>_xll.DBRW($D$2,Cons_Region!$F$12,Cons_Region!M$15,$M$1,Cons_Region!$H$12,Cons_Region!$C$12,$A353,$K$1)</f>
        <v>0.76952181619483973</v>
      </c>
      <c r="N353" s="20">
        <f>_xll.DBRW($D$2,Cons_Region!$F$12,Cons_Region!N$15,$M$1,Cons_Region!$H$12,Cons_Region!$C$12,$A353,$K$1)</f>
        <v>0.73158448710372692</v>
      </c>
      <c r="O353" s="20">
        <f>_xll.DBRW($D$2,O$14,Cons_Region!O$15,$M$1,Cons_Region!$H$12,Cons_Region!$C$12,$A353,$K$1)</f>
        <v>0</v>
      </c>
      <c r="P353" s="20">
        <f>_xll.DBRW($D$2,P$14,Cons_Region!P$15,$M$1,Cons_Region!$H$12,Cons_Region!$C$12,$A353,$K$1)</f>
        <v>0</v>
      </c>
      <c r="Q353" s="20">
        <f>_xll.DBRW($D$2,Q$14,Cons_Region!Q$15,$M$1,Cons_Region!$H$12,Cons_Region!$C$12,$A353,$K$1)</f>
        <v>0</v>
      </c>
      <c r="R353" s="20">
        <f>_xll.DBRW($D$2,R$14,Cons_Region!R$15,$M$1,Cons_Region!$H$12,Cons_Region!$C$12,$A353,$K$1)</f>
        <v>0</v>
      </c>
      <c r="S353" s="20">
        <f>_xll.DBRW($D$2,S$14,Cons_Region!S$15,$M$1,Cons_Region!$H$12,Cons_Region!$C$12,$A353,$K$1)</f>
        <v>0</v>
      </c>
    </row>
    <row r="354" spans="1:19" ht="15.75" customHeight="1">
      <c r="A354" s="69" t="s">
        <v>518</v>
      </c>
      <c r="B354" s="15" t="s">
        <v>170</v>
      </c>
      <c r="C354" s="20">
        <f>_xll.DBRW($D$2,Cons_Region!$F$12,Cons_Region!C$15,$M$1,Cons_Region!$H$12,Cons_Region!$C$12,$A354,$K$1)</f>
        <v>0</v>
      </c>
      <c r="D354" s="20">
        <f>_xll.DBRW($D$2,Cons_Region!$F$12,Cons_Region!D$15,$M$1,Cons_Region!$H$12,Cons_Region!$C$12,$A354,$K$1)</f>
        <v>0</v>
      </c>
      <c r="E354" s="20">
        <f>_xll.DBRW($D$2,Cons_Region!$F$12,Cons_Region!E$15,$M$1,Cons_Region!$H$12,Cons_Region!$C$12,$A354,$K$1)</f>
        <v>0</v>
      </c>
      <c r="F354" s="20">
        <f>_xll.DBRW($D$2,Cons_Region!$F$12,Cons_Region!F$15,$M$1,Cons_Region!$H$12,Cons_Region!$C$12,$A354,$K$1)</f>
        <v>0</v>
      </c>
      <c r="G354" s="20">
        <f>_xll.DBRW($D$2,Cons_Region!$F$12,Cons_Region!G$15,$M$1,Cons_Region!$H$12,Cons_Region!$C$12,$A354,$K$1)</f>
        <v>0</v>
      </c>
      <c r="H354" s="20">
        <f>_xll.DBRW($D$2,Cons_Region!$F$12,Cons_Region!H$15,$M$1,Cons_Region!$H$12,Cons_Region!$C$12,$A354,$K$1)</f>
        <v>0</v>
      </c>
      <c r="I354" s="20">
        <f>_xll.DBRW($D$2,Cons_Region!$F$12,Cons_Region!I$15,$M$1,Cons_Region!$H$12,Cons_Region!$C$12,$A354,$K$1)</f>
        <v>0</v>
      </c>
      <c r="J354" s="20">
        <f>_xll.DBRW($D$2,Cons_Region!$F$12,Cons_Region!J$15,$M$1,Cons_Region!$H$12,Cons_Region!$C$12,$A354,$K$1)</f>
        <v>0</v>
      </c>
      <c r="K354" s="20">
        <f>_xll.DBRW($D$2,Cons_Region!$F$12,Cons_Region!K$15,$M$1,Cons_Region!$H$12,Cons_Region!$C$12,$A354,$K$1)</f>
        <v>0</v>
      </c>
      <c r="L354" s="20">
        <f>_xll.DBRW($D$2,Cons_Region!$F$12,Cons_Region!L$15,$M$1,Cons_Region!$H$12,Cons_Region!$C$12,$A354,$K$1)</f>
        <v>0</v>
      </c>
      <c r="M354" s="20">
        <f>_xll.DBRW($D$2,Cons_Region!$F$12,Cons_Region!M$15,$M$1,Cons_Region!$H$12,Cons_Region!$C$12,$A354,$K$1)</f>
        <v>0</v>
      </c>
      <c r="N354" s="20">
        <f>_xll.DBRW($D$2,Cons_Region!$F$12,Cons_Region!N$15,$M$1,Cons_Region!$H$12,Cons_Region!$C$12,$A354,$K$1)</f>
        <v>0</v>
      </c>
      <c r="O354" s="20">
        <f>_xll.DBRW($D$2,O$14,Cons_Region!O$15,$M$1,Cons_Region!$H$12,Cons_Region!$C$12,$A354,$K$1)</f>
        <v>0</v>
      </c>
      <c r="P354" s="20">
        <f>_xll.DBRW($D$2,P$14,Cons_Region!P$15,$M$1,Cons_Region!$H$12,Cons_Region!$C$12,$A354,$K$1)</f>
        <v>0</v>
      </c>
      <c r="Q354" s="20">
        <f>_xll.DBRW($D$2,Q$14,Cons_Region!Q$15,$M$1,Cons_Region!$H$12,Cons_Region!$C$12,$A354,$K$1)</f>
        <v>0</v>
      </c>
      <c r="R354" s="20">
        <f>_xll.DBRW($D$2,R$14,Cons_Region!R$15,$M$1,Cons_Region!$H$12,Cons_Region!$C$12,$A354,$K$1)</f>
        <v>0</v>
      </c>
      <c r="S354" s="20">
        <f>_xll.DBRW($D$2,S$14,Cons_Region!S$15,$M$1,Cons_Region!$H$12,Cons_Region!$C$12,$A354,$K$1)</f>
        <v>0</v>
      </c>
    </row>
    <row r="355" spans="1:19" ht="15.75" customHeight="1">
      <c r="A355" s="69" t="s">
        <v>519</v>
      </c>
      <c r="B355" s="15" t="s">
        <v>171</v>
      </c>
      <c r="C355" s="20">
        <f>_xll.DBRW($D$2,Cons_Region!$F$12,Cons_Region!C$15,$M$1,Cons_Region!$H$12,Cons_Region!$C$12,$A355,$K$1)</f>
        <v>0</v>
      </c>
      <c r="D355" s="20">
        <f>_xll.DBRW($D$2,Cons_Region!$F$12,Cons_Region!D$15,$M$1,Cons_Region!$H$12,Cons_Region!$C$12,$A355,$K$1)</f>
        <v>0</v>
      </c>
      <c r="E355" s="20">
        <f>_xll.DBRW($D$2,Cons_Region!$F$12,Cons_Region!E$15,$M$1,Cons_Region!$H$12,Cons_Region!$C$12,$A355,$K$1)</f>
        <v>0</v>
      </c>
      <c r="F355" s="20">
        <f>_xll.DBRW($D$2,Cons_Region!$F$12,Cons_Region!F$15,$M$1,Cons_Region!$H$12,Cons_Region!$C$12,$A355,$K$1)</f>
        <v>0</v>
      </c>
      <c r="G355" s="20">
        <f>_xll.DBRW($D$2,Cons_Region!$F$12,Cons_Region!G$15,$M$1,Cons_Region!$H$12,Cons_Region!$C$12,$A355,$K$1)</f>
        <v>0</v>
      </c>
      <c r="H355" s="20">
        <f>_xll.DBRW($D$2,Cons_Region!$F$12,Cons_Region!H$15,$M$1,Cons_Region!$H$12,Cons_Region!$C$12,$A355,$K$1)</f>
        <v>0</v>
      </c>
      <c r="I355" s="20">
        <f>_xll.DBRW($D$2,Cons_Region!$F$12,Cons_Region!I$15,$M$1,Cons_Region!$H$12,Cons_Region!$C$12,$A355,$K$1)</f>
        <v>0</v>
      </c>
      <c r="J355" s="20">
        <f>_xll.DBRW($D$2,Cons_Region!$F$12,Cons_Region!J$15,$M$1,Cons_Region!$H$12,Cons_Region!$C$12,$A355,$K$1)</f>
        <v>0</v>
      </c>
      <c r="K355" s="20">
        <f>_xll.DBRW($D$2,Cons_Region!$F$12,Cons_Region!K$15,$M$1,Cons_Region!$H$12,Cons_Region!$C$12,$A355,$K$1)</f>
        <v>0</v>
      </c>
      <c r="L355" s="20">
        <f>_xll.DBRW($D$2,Cons_Region!$F$12,Cons_Region!L$15,$M$1,Cons_Region!$H$12,Cons_Region!$C$12,$A355,$K$1)</f>
        <v>0</v>
      </c>
      <c r="M355" s="20">
        <f>_xll.DBRW($D$2,Cons_Region!$F$12,Cons_Region!M$15,$M$1,Cons_Region!$H$12,Cons_Region!$C$12,$A355,$K$1)</f>
        <v>0</v>
      </c>
      <c r="N355" s="20">
        <f>_xll.DBRW($D$2,Cons_Region!$F$12,Cons_Region!N$15,$M$1,Cons_Region!$H$12,Cons_Region!$C$12,$A355,$K$1)</f>
        <v>0</v>
      </c>
      <c r="O355" s="20">
        <f>_xll.DBRW($D$2,O$14,Cons_Region!O$15,$M$1,Cons_Region!$H$12,Cons_Region!$C$12,$A355,$K$1)</f>
        <v>0</v>
      </c>
      <c r="P355" s="20">
        <f>_xll.DBRW($D$2,P$14,Cons_Region!P$15,$M$1,Cons_Region!$H$12,Cons_Region!$C$12,$A355,$K$1)</f>
        <v>0</v>
      </c>
      <c r="Q355" s="20">
        <f>_xll.DBRW($D$2,Q$14,Cons_Region!Q$15,$M$1,Cons_Region!$H$12,Cons_Region!$C$12,$A355,$K$1)</f>
        <v>0</v>
      </c>
      <c r="R355" s="20">
        <f>_xll.DBRW($D$2,R$14,Cons_Region!R$15,$M$1,Cons_Region!$H$12,Cons_Region!$C$12,$A355,$K$1)</f>
        <v>0</v>
      </c>
      <c r="S355" s="20">
        <f>_xll.DBRW($D$2,S$14,Cons_Region!S$15,$M$1,Cons_Region!$H$12,Cons_Region!$C$12,$A355,$K$1)</f>
        <v>0</v>
      </c>
    </row>
    <row r="356" spans="1:19" ht="15.75" customHeight="1">
      <c r="B356" s="13" t="s">
        <v>174</v>
      </c>
      <c r="C356" s="10">
        <f>_xll.DBRW($C$1,Cons_Region!$F$12,Cons_Region!C$15,$M$1,Cons_Region!$C$12,Cons_Region!$B356,$K$1)</f>
        <v>0</v>
      </c>
      <c r="D356" s="10">
        <f>_xll.DBRW($C$1,Cons_Region!$F$12,Cons_Region!D$15,$M$1,Cons_Region!$C$12,Cons_Region!$B356,$K$1)</f>
        <v>0</v>
      </c>
      <c r="E356" s="10">
        <f>_xll.DBRW($C$1,Cons_Region!$F$12,Cons_Region!E$15,$M$1,Cons_Region!$C$12,Cons_Region!$B356,$K$1)</f>
        <v>0</v>
      </c>
      <c r="F356" s="10">
        <f>_xll.DBRW($C$1,Cons_Region!$F$12,Cons_Region!F$15,$M$1,Cons_Region!$C$12,Cons_Region!$B356,$K$1)</f>
        <v>0</v>
      </c>
      <c r="G356" s="10">
        <f>_xll.DBRW($C$1,Cons_Region!$F$12,Cons_Region!G$15,$M$1,Cons_Region!$C$12,Cons_Region!$B356,$K$1)</f>
        <v>0</v>
      </c>
      <c r="H356" s="10">
        <f>_xll.DBRW($C$1,Cons_Region!$F$12,Cons_Region!H$15,$M$1,Cons_Region!$C$12,Cons_Region!$B356,$K$1)</f>
        <v>0</v>
      </c>
      <c r="I356" s="10">
        <f>_xll.DBRW($C$1,Cons_Region!$F$12,Cons_Region!I$15,$M$1,Cons_Region!$C$12,Cons_Region!$B356,$K$1)</f>
        <v>0</v>
      </c>
      <c r="J356" s="10">
        <f>_xll.DBRW($C$1,Cons_Region!$F$12,Cons_Region!J$15,$M$1,Cons_Region!$C$12,Cons_Region!$B356,$K$1)</f>
        <v>0</v>
      </c>
      <c r="K356" s="10">
        <f>_xll.DBRW($C$1,Cons_Region!$F$12,Cons_Region!K$15,$M$1,Cons_Region!$C$12,Cons_Region!$B356,$K$1)</f>
        <v>0</v>
      </c>
      <c r="L356" s="10">
        <f>_xll.DBRW($C$1,Cons_Region!$F$12,Cons_Region!L$15,$M$1,Cons_Region!$C$12,Cons_Region!$B356,$K$1)</f>
        <v>0</v>
      </c>
      <c r="M356" s="10">
        <f>_xll.DBRW($C$1,Cons_Region!$F$12,Cons_Region!M$15,$M$1,Cons_Region!$C$12,Cons_Region!$B356,$K$1)</f>
        <v>0</v>
      </c>
      <c r="N356" s="10">
        <f>_xll.DBRW($C$1,Cons_Region!$F$12,Cons_Region!N$15,$M$1,Cons_Region!$C$12,Cons_Region!$B356,$K$1)</f>
        <v>0</v>
      </c>
      <c r="O356" s="10">
        <f>_xll.DBRW($C$1,O$14,Cons_Region!O$15,$M$1,Cons_Region!$C$12,Cons_Region!$B356,$K$1)</f>
        <v>0</v>
      </c>
      <c r="P356" s="10">
        <f>_xll.DBRW($C$1,P$14,Cons_Region!P$15,$M$1,Cons_Region!$C$12,Cons_Region!$B356,$K$1)</f>
        <v>0</v>
      </c>
      <c r="Q356" s="10">
        <f>_xll.DBRW($C$1,Q$14,Cons_Region!Q$15,$M$1,Cons_Region!$C$12,Cons_Region!$B356,$K$1)</f>
        <v>0</v>
      </c>
      <c r="R356" s="10">
        <f>_xll.DBRW($C$1,R$14,Cons_Region!R$15,$M$1,Cons_Region!$C$12,Cons_Region!$B356,$K$1)</f>
        <v>0</v>
      </c>
      <c r="S356" s="10">
        <f>_xll.DBRW($C$1,S$14,Cons_Region!S$15,$M$1,Cons_Region!$C$12,Cons_Region!$B356,$K$1)</f>
        <v>0</v>
      </c>
    </row>
    <row r="357" spans="1:19" ht="15.75" customHeight="1">
      <c r="A357" s="69" t="s">
        <v>520</v>
      </c>
      <c r="B357" s="15" t="s">
        <v>172</v>
      </c>
      <c r="C357" s="20">
        <f>_xll.DBRW($D$2,Cons_Region!$F$12,Cons_Region!C$15,$M$1,Cons_Region!$H$12,Cons_Region!$C$12,$A357,$K$1)</f>
        <v>0</v>
      </c>
      <c r="D357" s="20">
        <f>_xll.DBRW($D$2,Cons_Region!$F$12,Cons_Region!D$15,$M$1,Cons_Region!$H$12,Cons_Region!$C$12,$A357,$K$1)</f>
        <v>0</v>
      </c>
      <c r="E357" s="20">
        <f>_xll.DBRW($D$2,Cons_Region!$F$12,Cons_Region!E$15,$M$1,Cons_Region!$H$12,Cons_Region!$C$12,$A357,$K$1)</f>
        <v>0</v>
      </c>
      <c r="F357" s="20">
        <f>_xll.DBRW($D$2,Cons_Region!$F$12,Cons_Region!F$15,$M$1,Cons_Region!$H$12,Cons_Region!$C$12,$A357,$K$1)</f>
        <v>0</v>
      </c>
      <c r="G357" s="20">
        <f>_xll.DBRW($D$2,Cons_Region!$F$12,Cons_Region!G$15,$M$1,Cons_Region!$H$12,Cons_Region!$C$12,$A357,$K$1)</f>
        <v>0</v>
      </c>
      <c r="H357" s="20">
        <f>_xll.DBRW($D$2,Cons_Region!$F$12,Cons_Region!H$15,$M$1,Cons_Region!$H$12,Cons_Region!$C$12,$A357,$K$1)</f>
        <v>0</v>
      </c>
      <c r="I357" s="20">
        <f>_xll.DBRW($D$2,Cons_Region!$F$12,Cons_Region!I$15,$M$1,Cons_Region!$H$12,Cons_Region!$C$12,$A357,$K$1)</f>
        <v>0</v>
      </c>
      <c r="J357" s="20">
        <f>_xll.DBRW($D$2,Cons_Region!$F$12,Cons_Region!J$15,$M$1,Cons_Region!$H$12,Cons_Region!$C$12,$A357,$K$1)</f>
        <v>0</v>
      </c>
      <c r="K357" s="20">
        <f>_xll.DBRW($D$2,Cons_Region!$F$12,Cons_Region!K$15,$M$1,Cons_Region!$H$12,Cons_Region!$C$12,$A357,$K$1)</f>
        <v>0</v>
      </c>
      <c r="L357" s="20">
        <f>_xll.DBRW($D$2,Cons_Region!$F$12,Cons_Region!L$15,$M$1,Cons_Region!$H$12,Cons_Region!$C$12,$A357,$K$1)</f>
        <v>0</v>
      </c>
      <c r="M357" s="20">
        <f>_xll.DBRW($D$2,Cons_Region!$F$12,Cons_Region!M$15,$M$1,Cons_Region!$H$12,Cons_Region!$C$12,$A357,$K$1)</f>
        <v>0</v>
      </c>
      <c r="N357" s="20">
        <f>_xll.DBRW($D$2,Cons_Region!$F$12,Cons_Region!N$15,$M$1,Cons_Region!$H$12,Cons_Region!$C$12,$A357,$K$1)</f>
        <v>0</v>
      </c>
      <c r="O357" s="20">
        <f>_xll.DBRW($D$2,O$14,Cons_Region!O$15,$M$1,Cons_Region!$H$12,Cons_Region!$C$12,$A357,$K$1)</f>
        <v>0</v>
      </c>
      <c r="P357" s="20">
        <f>_xll.DBRW($D$2,P$14,Cons_Region!P$15,$M$1,Cons_Region!$H$12,Cons_Region!$C$12,$A357,$K$1)</f>
        <v>0</v>
      </c>
      <c r="Q357" s="20">
        <f>_xll.DBRW($D$2,Q$14,Cons_Region!Q$15,$M$1,Cons_Region!$H$12,Cons_Region!$C$12,$A357,$K$1)</f>
        <v>0</v>
      </c>
      <c r="R357" s="20">
        <f>_xll.DBRW($D$2,R$14,Cons_Region!R$15,$M$1,Cons_Region!$H$12,Cons_Region!$C$12,$A357,$K$1)</f>
        <v>0</v>
      </c>
      <c r="S357" s="20">
        <f>_xll.DBRW($D$2,S$14,Cons_Region!S$15,$M$1,Cons_Region!$H$12,Cons_Region!$C$12,$A357,$K$1)</f>
        <v>0</v>
      </c>
    </row>
  </sheetData>
  <mergeCells count="3">
    <mergeCell ref="L11:M11"/>
    <mergeCell ref="B7:C8"/>
    <mergeCell ref="C12:D12"/>
  </mergeCells>
  <conditionalFormatting sqref="C139">
    <cfRule type="expression" dxfId="90" priority="31">
      <formula>C$5="ACTUAL"</formula>
    </cfRule>
  </conditionalFormatting>
  <conditionalFormatting sqref="C344">
    <cfRule type="expression" dxfId="89" priority="64">
      <formula>C$5="ACTUAL"</formula>
    </cfRule>
  </conditionalFormatting>
  <conditionalFormatting sqref="C138:N138 D138:N139">
    <cfRule type="expression" dxfId="88" priority="61">
      <formula>C$5="ACTUAL"</formula>
    </cfRule>
  </conditionalFormatting>
  <conditionalFormatting sqref="C141:N141">
    <cfRule type="expression" dxfId="87" priority="32">
      <formula>C$5="ACTUAL"</formula>
    </cfRule>
  </conditionalFormatting>
  <conditionalFormatting sqref="C219:N223">
    <cfRule type="expression" dxfId="86" priority="54">
      <formula>C$5="ACTUAL"</formula>
    </cfRule>
  </conditionalFormatting>
  <conditionalFormatting sqref="C237:N237">
    <cfRule type="expression" dxfId="85" priority="82">
      <formula>C$5="ACTUAL"</formula>
    </cfRule>
  </conditionalFormatting>
  <conditionalFormatting sqref="C38:S38">
    <cfRule type="expression" dxfId="84" priority="118">
      <formula>C$5="ACTUAL"</formula>
    </cfRule>
  </conditionalFormatting>
  <conditionalFormatting sqref="C48:S52 P53:S53">
    <cfRule type="expression" dxfId="83" priority="51">
      <formula>C$5="ACTUAL"</formula>
    </cfRule>
  </conditionalFormatting>
  <conditionalFormatting sqref="C59:S59">
    <cfRule type="expression" dxfId="82" priority="46">
      <formula>C$5="ACTUAL"</formula>
    </cfRule>
  </conditionalFormatting>
  <conditionalFormatting sqref="C67:S67">
    <cfRule type="expression" dxfId="81" priority="115">
      <formula>C$5="ACTUAL"</formula>
    </cfRule>
  </conditionalFormatting>
  <conditionalFormatting sqref="C76:S76">
    <cfRule type="expression" dxfId="80" priority="44">
      <formula>C$5="ACTUAL"</formula>
    </cfRule>
  </conditionalFormatting>
  <conditionalFormatting sqref="C78:S78">
    <cfRule type="expression" dxfId="79" priority="43">
      <formula>C$5="ACTUAL"</formula>
    </cfRule>
  </conditionalFormatting>
  <conditionalFormatting sqref="C85:S85">
    <cfRule type="expression" dxfId="78" priority="42">
      <formula>C$5="ACTUAL"</formula>
    </cfRule>
  </conditionalFormatting>
  <conditionalFormatting sqref="C93:S100">
    <cfRule type="expression" dxfId="77" priority="40">
      <formula>C$5="ACTUAL"</formula>
    </cfRule>
  </conditionalFormatting>
  <conditionalFormatting sqref="C105:S108">
    <cfRule type="expression" dxfId="76" priority="36">
      <formula>C$5="ACTUAL"</formula>
    </cfRule>
  </conditionalFormatting>
  <conditionalFormatting sqref="C140:S140">
    <cfRule type="expression" dxfId="75" priority="85">
      <formula>C$5="ACTUAL"</formula>
    </cfRule>
  </conditionalFormatting>
  <conditionalFormatting sqref="C162:S169">
    <cfRule type="expression" dxfId="74" priority="30">
      <formula>C$5="ACTUAL"</formula>
    </cfRule>
  </conditionalFormatting>
  <conditionalFormatting sqref="C176:S183">
    <cfRule type="expression" dxfId="73" priority="27">
      <formula>C$5="ACTUAL"</formula>
    </cfRule>
  </conditionalFormatting>
  <conditionalFormatting sqref="C190:S197">
    <cfRule type="expression" dxfId="72" priority="25">
      <formula>C$5="ACTUAL"</formula>
    </cfRule>
  </conditionalFormatting>
  <conditionalFormatting sqref="C204:S211">
    <cfRule type="expression" dxfId="71" priority="23">
      <formula>C$5="ACTUAL"</formula>
    </cfRule>
  </conditionalFormatting>
  <conditionalFormatting sqref="C230:S231">
    <cfRule type="expression" dxfId="70" priority="21">
      <formula>C$5="ACTUAL"</formula>
    </cfRule>
  </conditionalFormatting>
  <conditionalFormatting sqref="C240:S241">
    <cfRule type="expression" dxfId="69" priority="19">
      <formula>C$5="ACTUAL"</formula>
    </cfRule>
  </conditionalFormatting>
  <conditionalFormatting sqref="C247:S252">
    <cfRule type="expression" dxfId="68" priority="16">
      <formula>C$5="ACTUAL"</formula>
    </cfRule>
  </conditionalFormatting>
  <conditionalFormatting sqref="C259:S261">
    <cfRule type="expression" dxfId="67" priority="15">
      <formula>C$5="ACTUAL"</formula>
    </cfRule>
  </conditionalFormatting>
  <conditionalFormatting sqref="C267:S270">
    <cfRule type="expression" dxfId="66" priority="12">
      <formula>C$5="ACTUAL"</formula>
    </cfRule>
  </conditionalFormatting>
  <conditionalFormatting sqref="C276:S276">
    <cfRule type="expression" dxfId="65" priority="10">
      <formula>C$5="ACTUAL"</formula>
    </cfRule>
  </conditionalFormatting>
  <conditionalFormatting sqref="C283:S283">
    <cfRule type="expression" dxfId="64" priority="9">
      <formula>C$5="ACTUAL"</formula>
    </cfRule>
  </conditionalFormatting>
  <conditionalFormatting sqref="C294:S296">
    <cfRule type="expression" dxfId="63" priority="7">
      <formula>C$5="ACTUAL"</formula>
    </cfRule>
  </conditionalFormatting>
  <conditionalFormatting sqref="C300:S301">
    <cfRule type="expression" dxfId="62" priority="5">
      <formula>C$5="ACTUAL"</formula>
    </cfRule>
  </conditionalFormatting>
  <conditionalFormatting sqref="C308:S308">
    <cfRule type="expression" dxfId="61" priority="4">
      <formula>C$5="ACTUAL"</formula>
    </cfRule>
  </conditionalFormatting>
  <conditionalFormatting sqref="C326:S326">
    <cfRule type="expression" dxfId="60" priority="3">
      <formula>C$5="ACTUAL"</formula>
    </cfRule>
  </conditionalFormatting>
  <conditionalFormatting sqref="C349:S349">
    <cfRule type="expression" dxfId="59" priority="1">
      <formula>C$5="ACTUAL"</formula>
    </cfRule>
  </conditionalFormatting>
  <conditionalFormatting sqref="C356:S356">
    <cfRule type="expression" dxfId="58" priority="88">
      <formula>C$5="ACTUAL"</formula>
    </cfRule>
  </conditionalFormatting>
  <conditionalFormatting sqref="K12">
    <cfRule type="cellIs" dxfId="57" priority="99" operator="equal">
      <formula>"Open"</formula>
    </cfRule>
    <cfRule type="cellIs" dxfId="56" priority="100" operator="equal">
      <formula>"Closed"</formula>
    </cfRule>
  </conditionalFormatting>
  <conditionalFormatting sqref="O237:S238 P239:S239">
    <cfRule type="expression" dxfId="55" priority="18">
      <formula>O$5="ACTUAL"</formula>
    </cfRule>
  </conditionalFormatting>
  <dataValidations count="1">
    <dataValidation type="list" errorStyle="information" allowBlank="1" showInputMessage="1" sqref="D5:N5" xr:uid="{7290FE4E-6B61-4093-9CAA-6482D0122A1A}">
      <formula1>cafe_validation_temp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010D-16C4-48D7-9508-A3ABE9ACECA3}">
  <sheetPr codeName="Planilha2"/>
  <dimension ref="A1:AA302"/>
  <sheetViews>
    <sheetView showGridLines="0" topLeftCell="A7" zoomScaleNormal="100" workbookViewId="0">
      <selection activeCell="E8" sqref="E8"/>
    </sheetView>
  </sheetViews>
  <sheetFormatPr defaultColWidth="12.44140625" defaultRowHeight="15.75" customHeight="1"/>
  <cols>
    <col min="1" max="1" width="3.33203125" style="68" customWidth="1"/>
    <col min="2" max="2" width="3.33203125" style="29" hidden="1" customWidth="1"/>
    <col min="3" max="3" width="29.6640625" style="29" customWidth="1"/>
    <col min="4" max="4" width="36.109375" style="29" customWidth="1"/>
    <col min="5" max="21" width="14.6640625" style="29" customWidth="1"/>
    <col min="22" max="26" width="12.44140625" style="29"/>
  </cols>
  <sheetData>
    <row r="1" spans="1:27" s="29" customFormat="1" ht="19.5" hidden="1" customHeight="1">
      <c r="A1" s="66"/>
      <c r="C1" s="29" t="str">
        <f>_xll.VIEW("CONS_VC_PRD:STG.100.DataBase_Uploads",G13)</f>
        <v>CONS_VC_PRD:STG.100.DataBase_Uploads:12384823671237949904</v>
      </c>
      <c r="E1" s="29" t="str">
        <f>_xll.VIEW("CONS_VC_PRD:ALL.015.Region_Assumptions")</f>
        <v>CONS_VC_PRD:ALL.015.Region_Assumptions:1238482367336302825</v>
      </c>
      <c r="F1" s="29" t="str">
        <f>_xll.VIEW("CONS_VC_PRD:DFS.120.Financial_Results")</f>
        <v>CONS_VC_PRD:DFS.120.Financial_Results:1238482367756964870</v>
      </c>
      <c r="M1" s="29" t="s">
        <v>53</v>
      </c>
      <c r="N1" s="29" t="s">
        <v>49</v>
      </c>
      <c r="O1" s="34" t="str">
        <f>_xll.SUBNM("CONS_VC_PRD:ALL.D.Version","","T3")</f>
        <v>T3</v>
      </c>
      <c r="P1" s="29" t="s">
        <v>54</v>
      </c>
    </row>
    <row r="2" spans="1:27" s="29" customFormat="1" ht="33" hidden="1" customHeight="1">
      <c r="A2" s="66"/>
      <c r="C2" s="29" t="str">
        <f>_xll.VIEW("CONS_VC_PRD:REV.100.Revenue_Consolidated")</f>
        <v>CONS_VC_PRD:REV.100.Revenue_Consolidated:12384823671892466621</v>
      </c>
      <c r="E2" s="29" t="str">
        <f>_xll.VIEW("CONS_VC_PRD:ALL.010.Economic_Assumptions")</f>
        <v>CONS_VC_PRD:ALL.010.Economic_Assumptions:12384823671117458081</v>
      </c>
      <c r="F2" s="29" t="str">
        <f>_xll.VIEW("CONS_VC_PRD:DFS.140.Indirect_Cash_Flow")</f>
        <v>CONS_VC_PRD:DFS.140.Indirect_Cash_Flow:12384823672022746056</v>
      </c>
      <c r="M2" s="29" t="s">
        <v>52</v>
      </c>
      <c r="P2" s="29" t="s">
        <v>55</v>
      </c>
    </row>
    <row r="3" spans="1:27" s="29" customFormat="1" ht="29.25" hidden="1" customHeight="1">
      <c r="A3" s="66"/>
      <c r="C3" s="29" t="str">
        <f>_xll.VIEW("CONS_VC_PRD:DFS.100.Profit_and_Loss")</f>
        <v>CONS_VC_PRD:DFS.100.Profit_and_Loss:1238482367-656224029</v>
      </c>
      <c r="E3" s="29" t="str">
        <f>_xll.VIEW("CONS_VC_PRD:DFS.160.Working_Capital")</f>
        <v>CONS_VC_PRD:DFS.160.Working_Capital:12384823671881473188</v>
      </c>
      <c r="F3" s="29" t="str">
        <f>_xll.VIEW("CONS_VC_PRD:ALL.004.Uploads_Status_Planning")</f>
        <v>CONS_VC_PRD:ALL.004.Uploads_Status_Planning:1238482367629058957</v>
      </c>
      <c r="I3" s="29" t="s">
        <v>63</v>
      </c>
    </row>
    <row r="4" spans="1:27" s="29" customFormat="1" ht="33" hidden="1" customHeight="1">
      <c r="A4" s="66"/>
      <c r="C4" s="29" t="str">
        <f>_xll.VIEW("CONS_VC_PRD:ALL.001.Actual_Control")</f>
        <v>CONS_VC_PRD:ALL.001.Actual_Control:1238482367343083193</v>
      </c>
      <c r="E4" s="29" t="str">
        <f>_xll.VIEW("CONS_VC_PRD:DFS.180.Gross_Debt")</f>
        <v>CONS_VC_PRD:DFS.180.Gross_Debt:12384823671210914551</v>
      </c>
    </row>
    <row r="5" spans="1:27" s="29" customFormat="1" ht="30" hidden="1" customHeight="1">
      <c r="A5" s="66"/>
      <c r="E5" t="str">
        <f>_xll.DBRW(Opening!$C$4,Opening!$G$13,Opening!E11,$O$1,$I$3)</f>
        <v>ACTUAL</v>
      </c>
      <c r="F5" t="str">
        <f>_xll.DBRW(Opening!$C$4,Opening!$G$13,Opening!F11,$O$1,$I$3)</f>
        <v/>
      </c>
      <c r="G5" t="str">
        <f>_xll.DBRW(Opening!$C$4,Opening!$G$13,Opening!G11,$O$1,$I$3)</f>
        <v/>
      </c>
      <c r="H5" t="str">
        <f>_xll.DBRW(Opening!$C$4,Opening!$G$13,Opening!H11,$O$1,$I$3)</f>
        <v/>
      </c>
      <c r="I5" t="str">
        <f>_xll.DBRW(Opening!$C$4,Opening!$G$13,Opening!I11,$O$1,$I$3)</f>
        <v/>
      </c>
      <c r="J5" t="str">
        <f>_xll.DBRW(Opening!$C$4,Opening!$G$13,Opening!J11,$O$1,$I$3)</f>
        <v/>
      </c>
      <c r="K5" t="str">
        <f>_xll.DBRW(Opening!$C$4,Opening!$G$13,Opening!K11,$O$1,$I$3)</f>
        <v/>
      </c>
      <c r="L5" t="str">
        <f>_xll.DBRW(Opening!$C$4,Opening!$G$13,Opening!L11,$O$1,$I$3)</f>
        <v/>
      </c>
      <c r="M5" t="str">
        <f>_xll.DBRW(Opening!$C$4,Opening!$G$13,Opening!M11,$O$1,$I$3)</f>
        <v/>
      </c>
      <c r="N5" t="str">
        <f>_xll.DBRW(Opening!$C$4,Opening!$G$13,Opening!N11,$O$1,$I$3)</f>
        <v/>
      </c>
      <c r="O5" t="str">
        <f>_xll.DBRW(Opening!$C$4,Opening!$G$13,Opening!O11,$O$1,$I$3)</f>
        <v/>
      </c>
      <c r="P5" t="str">
        <f>_xll.DBRW(Opening!$C$4,Opening!$G$13,Opening!P11,$O$1,$I$3)</f>
        <v/>
      </c>
    </row>
    <row r="6" spans="1:27" s="29" customFormat="1" ht="19.5" hidden="1" customHeight="1">
      <c r="A6" s="66"/>
    </row>
    <row r="7" spans="1:27" s="29" customFormat="1" ht="15.6" customHeight="1">
      <c r="A7" s="66"/>
      <c r="C7" s="82" t="s">
        <v>524</v>
      </c>
      <c r="D7" s="82"/>
      <c r="H7"/>
      <c r="K7"/>
    </row>
    <row r="8" spans="1:27" s="29" customFormat="1" ht="15.6" customHeight="1">
      <c r="A8" s="66"/>
      <c r="C8" s="82"/>
      <c r="D8" s="82"/>
    </row>
    <row r="9" spans="1:27" s="29" customFormat="1" ht="15.6" customHeight="1">
      <c r="A9" s="66"/>
    </row>
    <row r="10" spans="1:27" s="29" customFormat="1" ht="6.6" customHeight="1">
      <c r="A10" s="66"/>
      <c r="D10" s="43"/>
    </row>
    <row r="11" spans="1:27" s="29" customFormat="1" ht="45" hidden="1" customHeight="1">
      <c r="A11" s="66"/>
      <c r="E11" s="35" t="s">
        <v>30</v>
      </c>
      <c r="F11" s="35" t="s">
        <v>31</v>
      </c>
      <c r="G11" s="35" t="s">
        <v>32</v>
      </c>
      <c r="H11" s="35" t="s">
        <v>33</v>
      </c>
      <c r="I11" s="35" t="s">
        <v>34</v>
      </c>
      <c r="J11" s="35" t="s">
        <v>35</v>
      </c>
      <c r="K11" s="35" t="s">
        <v>36</v>
      </c>
      <c r="L11" s="35" t="s">
        <v>37</v>
      </c>
      <c r="M11" s="35" t="s">
        <v>38</v>
      </c>
      <c r="N11" s="35" t="s">
        <v>39</v>
      </c>
      <c r="O11" s="35" t="s">
        <v>40</v>
      </c>
      <c r="P11" s="35" t="s">
        <v>41</v>
      </c>
    </row>
    <row r="12" spans="1:27" s="29" customFormat="1" ht="15" customHeight="1">
      <c r="A12" s="66"/>
      <c r="C12" s="77"/>
      <c r="D12" s="78"/>
      <c r="E12" s="78"/>
      <c r="F12" s="78"/>
      <c r="G12" s="78"/>
      <c r="H12" s="78"/>
      <c r="I12" s="78"/>
      <c r="J12" s="78"/>
      <c r="K12" s="78"/>
      <c r="L12" s="78"/>
      <c r="M12" s="81"/>
      <c r="N12" s="81"/>
      <c r="O12" s="78"/>
      <c r="P12" s="78"/>
      <c r="Q12" s="78"/>
      <c r="R12" s="78"/>
      <c r="S12" s="78"/>
      <c r="T12" s="78"/>
      <c r="U12" s="78"/>
    </row>
    <row r="13" spans="1:27" ht="21.6" customHeight="1">
      <c r="C13" s="74"/>
      <c r="D13" s="105" t="str">
        <f>_xll.SUBNM("CONS_VC_PRD:ALL.D.Region","Nível 0","ESPA","MEMBER_NAME")</f>
        <v>ESPA</v>
      </c>
      <c r="E13" s="100"/>
      <c r="F13" s="100"/>
      <c r="G13" s="105" t="str">
        <f>_xll.SUBNM("CONS_VC_PRD:ALL.D.Year","SYS_Picklist","2026","MEMBER_NAME")</f>
        <v>2026</v>
      </c>
      <c r="H13" s="100"/>
      <c r="I13" s="105" t="str">
        <f>_xll.SUBNM("CONS_VC_PRD:ALL.D.Currency","PAX","EUR","Nome alternativo")</f>
        <v>EUR</v>
      </c>
      <c r="J13" s="100"/>
      <c r="K13" s="106" t="s">
        <v>523</v>
      </c>
      <c r="L13" s="105" t="str">
        <f>_xll.DBRW($F$3,$O$1,$D$13,"Financial_Planning","Status")</f>
        <v>Open</v>
      </c>
      <c r="M13" s="74"/>
      <c r="N13" s="74"/>
      <c r="O13" s="74"/>
      <c r="P13" s="74"/>
      <c r="Q13" s="74"/>
      <c r="R13" s="74"/>
      <c r="S13" s="74"/>
      <c r="T13" s="74"/>
      <c r="U13" s="74"/>
      <c r="V13" s="43"/>
      <c r="W13" s="43"/>
      <c r="X13" s="43"/>
      <c r="Y13" s="43"/>
      <c r="Z13" s="43"/>
      <c r="AA13" s="43"/>
    </row>
    <row r="14" spans="1:27" ht="15" customHeight="1">
      <c r="C14" s="75"/>
      <c r="D14" s="76"/>
      <c r="E14" s="75"/>
      <c r="F14" s="75"/>
      <c r="G14" s="76"/>
      <c r="H14" s="75"/>
      <c r="I14" s="75"/>
      <c r="J14" s="76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43"/>
      <c r="W14" s="43"/>
      <c r="X14" s="43"/>
      <c r="Y14" s="43"/>
      <c r="Z14" s="43"/>
      <c r="AA14" s="43"/>
    </row>
    <row r="15" spans="1:27" ht="14.4" customHeight="1">
      <c r="Q15" s="38">
        <f>$G$13+1</f>
        <v>2027</v>
      </c>
      <c r="R15" s="38">
        <f>$G$13+2</f>
        <v>2028</v>
      </c>
      <c r="S15" s="38">
        <f>$G$13+3</f>
        <v>2029</v>
      </c>
      <c r="T15" s="38">
        <f>$G$13+4</f>
        <v>2030</v>
      </c>
      <c r="U15" s="38">
        <f>$G$13+5</f>
        <v>2031</v>
      </c>
      <c r="V15"/>
      <c r="W15"/>
      <c r="X15"/>
      <c r="Y15"/>
      <c r="Z15"/>
    </row>
    <row r="16" spans="1:27" ht="15.75" customHeight="1">
      <c r="C16" s="31"/>
      <c r="D16" s="31"/>
      <c r="E16" s="38" t="str">
        <f t="shared" ref="E16:P16" si="0">$G$13&amp;"."&amp;E$11</f>
        <v>2026.01</v>
      </c>
      <c r="F16" s="38" t="str">
        <f t="shared" si="0"/>
        <v>2026.02</v>
      </c>
      <c r="G16" s="38" t="str">
        <f t="shared" si="0"/>
        <v>2026.03</v>
      </c>
      <c r="H16" s="38" t="str">
        <f t="shared" si="0"/>
        <v>2026.04</v>
      </c>
      <c r="I16" s="38" t="str">
        <f t="shared" si="0"/>
        <v>2026.05</v>
      </c>
      <c r="J16" s="38" t="str">
        <f t="shared" si="0"/>
        <v>2026.06</v>
      </c>
      <c r="K16" s="38" t="str">
        <f t="shared" si="0"/>
        <v>2026.07</v>
      </c>
      <c r="L16" s="38" t="str">
        <f t="shared" si="0"/>
        <v>2026.08</v>
      </c>
      <c r="M16" s="38" t="str">
        <f t="shared" si="0"/>
        <v>2026.09</v>
      </c>
      <c r="N16" s="38" t="str">
        <f t="shared" si="0"/>
        <v>2026.10</v>
      </c>
      <c r="O16" s="38" t="str">
        <f t="shared" si="0"/>
        <v>2026.11</v>
      </c>
      <c r="P16" s="38" t="str">
        <f t="shared" si="0"/>
        <v>2026.12</v>
      </c>
      <c r="Q16" s="38" t="s">
        <v>304</v>
      </c>
      <c r="R16" s="38" t="s">
        <v>304</v>
      </c>
      <c r="S16" s="38" t="s">
        <v>304</v>
      </c>
      <c r="T16" s="38" t="s">
        <v>304</v>
      </c>
      <c r="U16" s="38" t="s">
        <v>304</v>
      </c>
      <c r="V16"/>
      <c r="W16"/>
      <c r="X16"/>
      <c r="Y16"/>
      <c r="Z16"/>
    </row>
    <row r="17" spans="1:26" ht="15.75" customHeight="1">
      <c r="A17" s="66" t="s">
        <v>334</v>
      </c>
      <c r="B17" s="29" t="s">
        <v>257</v>
      </c>
      <c r="C17" s="42" t="s">
        <v>23</v>
      </c>
      <c r="D17" s="42" t="s">
        <v>257</v>
      </c>
      <c r="E17" s="40">
        <f>_xll.DBRW($C$1,Opening!$G$13,Opening!E$11,$O$1,Opening!$I$13,Opening!$D$13,$P$1,$A17,$D17,$M$1)</f>
        <v>0</v>
      </c>
      <c r="F17" s="40">
        <f>_xll.DBRW($C$1,Opening!$G$13,Opening!F$11,$O$1,Opening!$I$13,Opening!$D$13,$P$1,$A17,$D17,$M$1)</f>
        <v>0</v>
      </c>
      <c r="G17" s="40">
        <f>_xll.DBRW($C$1,Opening!$G$13,Opening!G$11,$O$1,Opening!$I$13,Opening!$D$13,$P$1,$A17,$D17,$M$1)</f>
        <v>0</v>
      </c>
      <c r="H17" s="40">
        <f>_xll.DBRW($C$1,Opening!$G$13,Opening!H$11,$O$1,Opening!$I$13,Opening!$D$13,$P$1,$A17,$D17,$M$1)</f>
        <v>0</v>
      </c>
      <c r="I17" s="40">
        <f>_xll.DBRW($C$1,Opening!$G$13,Opening!I$11,$O$1,Opening!$I$13,Opening!$D$13,$P$1,$A17,$D17,$M$1)</f>
        <v>0</v>
      </c>
      <c r="J17" s="40">
        <f>_xll.DBRW($C$1,Opening!$G$13,Opening!J$11,$O$1,Opening!$I$13,Opening!$D$13,$P$1,$A17,$D17,$M$1)</f>
        <v>0</v>
      </c>
      <c r="K17" s="40">
        <f>_xll.DBRW($C$1,Opening!$G$13,Opening!K$11,$O$1,Opening!$I$13,Opening!$D$13,$P$1,$A17,$D17,$M$1)</f>
        <v>0</v>
      </c>
      <c r="L17" s="40">
        <f>_xll.DBRW($C$1,Opening!$G$13,Opening!L$11,$O$1,Opening!$I$13,Opening!$D$13,$P$1,$A17,$D17,$M$1)</f>
        <v>0</v>
      </c>
      <c r="M17" s="40">
        <f>_xll.DBRW($C$1,Opening!$G$13,Opening!M$11,$O$1,Opening!$I$13,Opening!$D$13,$P$1,$A17,$D17,$M$1)</f>
        <v>0</v>
      </c>
      <c r="N17" s="40">
        <f>_xll.DBRW($C$1,Opening!$G$13,Opening!N$11,$O$1,Opening!$I$13,Opening!$D$13,$P$1,$A17,$D17,$M$1)</f>
        <v>0</v>
      </c>
      <c r="O17" s="40">
        <f>_xll.DBRW($C$1,Opening!$G$13,Opening!O$11,$O$1,Opening!$I$13,Opening!$D$13,$P$1,$A17,$D17,$M$1)</f>
        <v>0</v>
      </c>
      <c r="P17" s="40">
        <f>_xll.DBRW($C$1,Opening!$G$13,Opening!P$11,$O$1,Opening!$I$13,Opening!$D$13,$P$1,$A17,$D17,$M$1)</f>
        <v>0</v>
      </c>
      <c r="Q17" s="40">
        <f>_xll.DBRW($C$1,Q$15,$Q$16,$O$1,Opening!$I$13,Opening!$D$13,$P$1,$A17,$D17,$M$1)</f>
        <v>0</v>
      </c>
      <c r="R17" s="40">
        <f>_xll.DBRW($C$1,R$15,$Q$16,$O$1,Opening!$I$13,Opening!$D$13,$P$1,$A17,$D17,$M$1)</f>
        <v>0</v>
      </c>
      <c r="S17" s="40">
        <f>_xll.DBRW($C$1,S$15,$Q$16,$O$1,Opening!$I$13,Opening!$D$13,$P$1,$A17,$D17,$M$1)</f>
        <v>0</v>
      </c>
      <c r="T17" s="40">
        <f>_xll.DBRW($C$1,T$15,$Q$16,$O$1,Opening!$I$13,Opening!$D$13,$P$1,$A17,$D17,$M$1)</f>
        <v>0</v>
      </c>
      <c r="U17" s="40">
        <f>_xll.DBRW($C$1,U$15,$Q$16,$O$1,Opening!$I$13,Opening!$D$13,$P$1,$A17,$D17,$M$1)</f>
        <v>0</v>
      </c>
      <c r="V17"/>
      <c r="W17"/>
      <c r="X17"/>
      <c r="Y17"/>
      <c r="Z17"/>
    </row>
    <row r="18" spans="1:26" ht="15.75" customHeight="1">
      <c r="A18" s="66" t="s">
        <v>334</v>
      </c>
      <c r="B18" s="29" t="s">
        <v>316</v>
      </c>
      <c r="C18" s="49" t="s">
        <v>23</v>
      </c>
      <c r="D18" s="49" t="s">
        <v>175</v>
      </c>
      <c r="E18" s="50">
        <f>_xll.DBRW($C$1,Opening!$G$13,Opening!E$11,$O$1,Opening!$I$13,Opening!$D$13,$P$1,$A18,$B18,$M$1)</f>
        <v>0</v>
      </c>
      <c r="F18" s="50">
        <f>_xll.DBRW($C$1,Opening!$G$13,Opening!F$11,$O$1,Opening!$I$13,Opening!$D$13,$P$1,$A18,$B18,$M$1)</f>
        <v>0</v>
      </c>
      <c r="G18" s="50">
        <f>_xll.DBRW($C$1,Opening!$G$13,Opening!G$11,$O$1,Opening!$I$13,Opening!$D$13,$P$1,$A18,$B18,$M$1)</f>
        <v>0</v>
      </c>
      <c r="H18" s="50">
        <f>_xll.DBRW($C$1,Opening!$G$13,Opening!H$11,$O$1,Opening!$I$13,Opening!$D$13,$P$1,$A18,$B18,$M$1)</f>
        <v>0</v>
      </c>
      <c r="I18" s="50">
        <f>_xll.DBRW($C$1,Opening!$G$13,Opening!I$11,$O$1,Opening!$I$13,Opening!$D$13,$P$1,$A18,$B18,$M$1)</f>
        <v>0</v>
      </c>
      <c r="J18" s="50">
        <f>_xll.DBRW($C$1,Opening!$G$13,Opening!J$11,$O$1,Opening!$I$13,Opening!$D$13,$P$1,$A18,$B18,$M$1)</f>
        <v>0</v>
      </c>
      <c r="K18" s="50">
        <f>_xll.DBRW($C$1,Opening!$G$13,Opening!K$11,$O$1,Opening!$I$13,Opening!$D$13,$P$1,$A18,$B18,$M$1)</f>
        <v>0</v>
      </c>
      <c r="L18" s="50">
        <f>_xll.DBRW($C$1,Opening!$G$13,Opening!L$11,$O$1,Opening!$I$13,Opening!$D$13,$P$1,$A18,$B18,$M$1)</f>
        <v>0</v>
      </c>
      <c r="M18" s="50">
        <f>_xll.DBRW($C$1,Opening!$G$13,Opening!M$11,$O$1,Opening!$I$13,Opening!$D$13,$P$1,$A18,$B18,$M$1)</f>
        <v>0</v>
      </c>
      <c r="N18" s="50">
        <f>_xll.DBRW($C$1,Opening!$G$13,Opening!N$11,$O$1,Opening!$I$13,Opening!$D$13,$P$1,$A18,$B18,$M$1)</f>
        <v>0</v>
      </c>
      <c r="O18" s="50">
        <f>_xll.DBRW($C$1,Opening!$G$13,Opening!O$11,$O$1,Opening!$I$13,Opening!$D$13,$P$1,$A18,$B18,$M$1)</f>
        <v>0</v>
      </c>
      <c r="P18" s="50">
        <f>_xll.DBRW($C$1,Opening!$G$13,Opening!P$11,$O$1,Opening!$I$13,Opening!$D$13,$P$1,$A18,$B18,$M$1)</f>
        <v>0</v>
      </c>
      <c r="Q18" s="50">
        <f>_xll.DBRW($C$1,Q$15,$Q$16,$O$1,Opening!$I$13,Opening!$D$13,$P$1,$A18,$B18,$M$1)</f>
        <v>0</v>
      </c>
      <c r="R18" s="50">
        <f>_xll.DBRW($C$1,R$15,$Q$16,$O$1,Opening!$I$13,Opening!$D$13,$P$1,$A18,$B18,$M$1)</f>
        <v>0</v>
      </c>
      <c r="S18" s="50">
        <f>_xll.DBRW($C$1,S$15,$Q$16,$O$1,Opening!$I$13,Opening!$D$13,$P$1,$A18,$B18,$M$1)</f>
        <v>0</v>
      </c>
      <c r="T18" s="50">
        <f>_xll.DBRW($C$1,T$15,$Q$16,$O$1,Opening!$I$13,Opening!$D$13,$P$1,$A18,$B18,$M$1)</f>
        <v>0</v>
      </c>
      <c r="U18" s="50">
        <f>_xll.DBRW($C$1,U$15,$Q$16,$O$1,Opening!$I$13,Opening!$D$13,$P$1,$A18,$B18,$M$1)</f>
        <v>0</v>
      </c>
      <c r="V18"/>
      <c r="W18"/>
      <c r="X18"/>
      <c r="Y18"/>
      <c r="Z18"/>
    </row>
    <row r="19" spans="1:26" ht="15.75" customHeight="1">
      <c r="A19" s="66" t="s">
        <v>334</v>
      </c>
      <c r="B19" s="29" t="s">
        <v>317</v>
      </c>
      <c r="C19" s="51" t="s">
        <v>23</v>
      </c>
      <c r="D19" s="52" t="s">
        <v>176</v>
      </c>
      <c r="E19" s="53">
        <f>_xll.DBRW($C$1,Opening!$G$13,Opening!E$11,$O$1,Opening!$I$13,Opening!$D$13,$P$1,$A19,$B19,$M$1)</f>
        <v>0</v>
      </c>
      <c r="F19" s="53">
        <f>_xll.DBRW($C$1,Opening!$G$13,Opening!F$11,$O$1,Opening!$I$13,Opening!$D$13,$P$1,$A19,$B19,$M$1)</f>
        <v>0</v>
      </c>
      <c r="G19" s="53">
        <f>_xll.DBRW($C$1,Opening!$G$13,Opening!G$11,$O$1,Opening!$I$13,Opening!$D$13,$P$1,$A19,$B19,$M$1)</f>
        <v>0</v>
      </c>
      <c r="H19" s="53">
        <f>_xll.DBRW($C$1,Opening!$G$13,Opening!H$11,$O$1,Opening!$I$13,Opening!$D$13,$P$1,$A19,$B19,$M$1)</f>
        <v>0</v>
      </c>
      <c r="I19" s="53">
        <f>_xll.DBRW($C$1,Opening!$G$13,Opening!I$11,$O$1,Opening!$I$13,Opening!$D$13,$P$1,$A19,$B19,$M$1)</f>
        <v>0</v>
      </c>
      <c r="J19" s="53">
        <f>_xll.DBRW($C$1,Opening!$G$13,Opening!J$11,$O$1,Opening!$I$13,Opening!$D$13,$P$1,$A19,$B19,$M$1)</f>
        <v>0</v>
      </c>
      <c r="K19" s="53">
        <f>_xll.DBRW($C$1,Opening!$G$13,Opening!K$11,$O$1,Opening!$I$13,Opening!$D$13,$P$1,$A19,$B19,$M$1)</f>
        <v>0</v>
      </c>
      <c r="L19" s="53">
        <f>_xll.DBRW($C$1,Opening!$G$13,Opening!L$11,$O$1,Opening!$I$13,Opening!$D$13,$P$1,$A19,$B19,$M$1)</f>
        <v>0</v>
      </c>
      <c r="M19" s="53">
        <f>_xll.DBRW($C$1,Opening!$G$13,Opening!M$11,$O$1,Opening!$I$13,Opening!$D$13,$P$1,$A19,$B19,$M$1)</f>
        <v>0</v>
      </c>
      <c r="N19" s="53">
        <f>_xll.DBRW($C$1,Opening!$G$13,Opening!N$11,$O$1,Opening!$I$13,Opening!$D$13,$P$1,$A19,$B19,$M$1)</f>
        <v>0</v>
      </c>
      <c r="O19" s="53">
        <f>_xll.DBRW($C$1,Opening!$G$13,Opening!O$11,$O$1,Opening!$I$13,Opening!$D$13,$P$1,$A19,$B19,$M$1)</f>
        <v>0</v>
      </c>
      <c r="P19" s="53">
        <f>_xll.DBRW($C$1,Opening!$G$13,Opening!P$11,$O$1,Opening!$I$13,Opening!$D$13,$P$1,$A19,$B19,$M$1)</f>
        <v>0</v>
      </c>
      <c r="Q19" s="53">
        <f>_xll.DBRW($C$1,Q$15,$Q$16,$O$1,Opening!$I$13,Opening!$D$13,$P$1,$A19,$B19,$M$1)</f>
        <v>0</v>
      </c>
      <c r="R19" s="53">
        <f>_xll.DBRW($C$1,R$15,$Q$16,$O$1,Opening!$I$13,Opening!$D$13,$P$1,$A19,$B19,$M$1)</f>
        <v>0</v>
      </c>
      <c r="S19" s="53">
        <f>_xll.DBRW($C$1,S$15,$Q$16,$O$1,Opening!$I$13,Opening!$D$13,$P$1,$A19,$B19,$M$1)</f>
        <v>0</v>
      </c>
      <c r="T19" s="53">
        <f>_xll.DBRW($C$1,T$15,$Q$16,$O$1,Opening!$I$13,Opening!$D$13,$P$1,$A19,$B19,$M$1)</f>
        <v>0</v>
      </c>
      <c r="U19" s="53">
        <f>_xll.DBRW($C$1,U$15,$Q$16,$O$1,Opening!$I$13,Opening!$D$13,$P$1,$A19,$B19,$M$1)</f>
        <v>0</v>
      </c>
      <c r="V19"/>
      <c r="W19"/>
      <c r="X19"/>
      <c r="Y19"/>
      <c r="Z19"/>
    </row>
    <row r="20" spans="1:26" ht="15.75" customHeight="1">
      <c r="A20" s="66" t="s">
        <v>334</v>
      </c>
      <c r="B20" s="29" t="s">
        <v>318</v>
      </c>
      <c r="C20" s="51" t="s">
        <v>23</v>
      </c>
      <c r="D20" s="52" t="s">
        <v>177</v>
      </c>
      <c r="E20" s="53">
        <f>_xll.DBRW($C$1,Opening!$G$13,Opening!E$11,$O$1,Opening!$I$13,Opening!$D$13,$P$1,$A20,$B20,$M$1)</f>
        <v>0</v>
      </c>
      <c r="F20" s="53">
        <f>_xll.DBRW($C$1,Opening!$G$13,Opening!F$11,$O$1,Opening!$I$13,Opening!$D$13,$P$1,$A20,$B20,$M$1)</f>
        <v>0</v>
      </c>
      <c r="G20" s="53">
        <f>_xll.DBRW($C$1,Opening!$G$13,Opening!G$11,$O$1,Opening!$I$13,Opening!$D$13,$P$1,$A20,$B20,$M$1)</f>
        <v>0</v>
      </c>
      <c r="H20" s="53">
        <f>_xll.DBRW($C$1,Opening!$G$13,Opening!H$11,$O$1,Opening!$I$13,Opening!$D$13,$P$1,$A20,$B20,$M$1)</f>
        <v>0</v>
      </c>
      <c r="I20" s="53">
        <f>_xll.DBRW($C$1,Opening!$G$13,Opening!I$11,$O$1,Opening!$I$13,Opening!$D$13,$P$1,$A20,$B20,$M$1)</f>
        <v>0</v>
      </c>
      <c r="J20" s="53">
        <f>_xll.DBRW($C$1,Opening!$G$13,Opening!J$11,$O$1,Opening!$I$13,Opening!$D$13,$P$1,$A20,$B20,$M$1)</f>
        <v>0</v>
      </c>
      <c r="K20" s="53">
        <f>_xll.DBRW($C$1,Opening!$G$13,Opening!K$11,$O$1,Opening!$I$13,Opening!$D$13,$P$1,$A20,$B20,$M$1)</f>
        <v>0</v>
      </c>
      <c r="L20" s="53">
        <f>_xll.DBRW($C$1,Opening!$G$13,Opening!L$11,$O$1,Opening!$I$13,Opening!$D$13,$P$1,$A20,$B20,$M$1)</f>
        <v>0</v>
      </c>
      <c r="M20" s="53">
        <f>_xll.DBRW($C$1,Opening!$G$13,Opening!M$11,$O$1,Opening!$I$13,Opening!$D$13,$P$1,$A20,$B20,$M$1)</f>
        <v>0</v>
      </c>
      <c r="N20" s="53">
        <f>_xll.DBRW($C$1,Opening!$G$13,Opening!N$11,$O$1,Opening!$I$13,Opening!$D$13,$P$1,$A20,$B20,$M$1)</f>
        <v>0</v>
      </c>
      <c r="O20" s="53">
        <f>_xll.DBRW($C$1,Opening!$G$13,Opening!O$11,$O$1,Opening!$I$13,Opening!$D$13,$P$1,$A20,$B20,$M$1)</f>
        <v>0</v>
      </c>
      <c r="P20" s="53">
        <f>_xll.DBRW($C$1,Opening!$G$13,Opening!P$11,$O$1,Opening!$I$13,Opening!$D$13,$P$1,$A20,$B20,$M$1)</f>
        <v>0</v>
      </c>
      <c r="Q20" s="53">
        <f>_xll.DBRW($C$1,Q$15,$Q$16,$O$1,Opening!$I$13,Opening!$D$13,$P$1,$A20,$B20,$M$1)</f>
        <v>0</v>
      </c>
      <c r="R20" s="53">
        <f>_xll.DBRW($C$1,R$15,$Q$16,$O$1,Opening!$I$13,Opening!$D$13,$P$1,$A20,$B20,$M$1)</f>
        <v>0</v>
      </c>
      <c r="S20" s="53">
        <f>_xll.DBRW($C$1,S$15,$Q$16,$O$1,Opening!$I$13,Opening!$D$13,$P$1,$A20,$B20,$M$1)</f>
        <v>0</v>
      </c>
      <c r="T20" s="53">
        <f>_xll.DBRW($C$1,T$15,$Q$16,$O$1,Opening!$I$13,Opening!$D$13,$P$1,$A20,$B20,$M$1)</f>
        <v>0</v>
      </c>
      <c r="U20" s="53">
        <f>_xll.DBRW($C$1,U$15,$Q$16,$O$1,Opening!$I$13,Opening!$D$13,$P$1,$A20,$B20,$M$1)</f>
        <v>0</v>
      </c>
      <c r="V20"/>
      <c r="W20"/>
      <c r="X20"/>
      <c r="Y20"/>
      <c r="Z20"/>
    </row>
    <row r="21" spans="1:26" ht="15.75" customHeight="1">
      <c r="A21" s="66" t="s">
        <v>334</v>
      </c>
      <c r="B21" s="29" t="s">
        <v>319</v>
      </c>
      <c r="C21" s="51" t="s">
        <v>23</v>
      </c>
      <c r="D21" s="52" t="s">
        <v>178</v>
      </c>
      <c r="E21" s="53">
        <f>_xll.DBRW($C$1,Opening!$G$13,Opening!E$11,$O$1,Opening!$I$13,Opening!$D$13,$P$1,$A21,$B21,$M$1)</f>
        <v>0</v>
      </c>
      <c r="F21" s="53">
        <f>_xll.DBRW($C$1,Opening!$G$13,Opening!F$11,$O$1,Opening!$I$13,Opening!$D$13,$P$1,$A21,$B21,$M$1)</f>
        <v>0</v>
      </c>
      <c r="G21" s="53">
        <f>_xll.DBRW($C$1,Opening!$G$13,Opening!G$11,$O$1,Opening!$I$13,Opening!$D$13,$P$1,$A21,$B21,$M$1)</f>
        <v>0</v>
      </c>
      <c r="H21" s="53">
        <f>_xll.DBRW($C$1,Opening!$G$13,Opening!H$11,$O$1,Opening!$I$13,Opening!$D$13,$P$1,$A21,$B21,$M$1)</f>
        <v>0</v>
      </c>
      <c r="I21" s="53">
        <f>_xll.DBRW($C$1,Opening!$G$13,Opening!I$11,$O$1,Opening!$I$13,Opening!$D$13,$P$1,$A21,$B21,$M$1)</f>
        <v>0</v>
      </c>
      <c r="J21" s="53">
        <f>_xll.DBRW($C$1,Opening!$G$13,Opening!J$11,$O$1,Opening!$I$13,Opening!$D$13,$P$1,$A21,$B21,$M$1)</f>
        <v>0</v>
      </c>
      <c r="K21" s="53">
        <f>_xll.DBRW($C$1,Opening!$G$13,Opening!K$11,$O$1,Opening!$I$13,Opening!$D$13,$P$1,$A21,$B21,$M$1)</f>
        <v>0</v>
      </c>
      <c r="L21" s="53">
        <f>_xll.DBRW($C$1,Opening!$G$13,Opening!L$11,$O$1,Opening!$I$13,Opening!$D$13,$P$1,$A21,$B21,$M$1)</f>
        <v>0</v>
      </c>
      <c r="M21" s="53">
        <f>_xll.DBRW($C$1,Opening!$G$13,Opening!M$11,$O$1,Opening!$I$13,Opening!$D$13,$P$1,$A21,$B21,$M$1)</f>
        <v>0</v>
      </c>
      <c r="N21" s="53">
        <f>_xll.DBRW($C$1,Opening!$G$13,Opening!N$11,$O$1,Opening!$I$13,Opening!$D$13,$P$1,$A21,$B21,$M$1)</f>
        <v>0</v>
      </c>
      <c r="O21" s="53">
        <f>_xll.DBRW($C$1,Opening!$G$13,Opening!O$11,$O$1,Opening!$I$13,Opening!$D$13,$P$1,$A21,$B21,$M$1)</f>
        <v>0</v>
      </c>
      <c r="P21" s="53">
        <f>_xll.DBRW($C$1,Opening!$G$13,Opening!P$11,$O$1,Opening!$I$13,Opening!$D$13,$P$1,$A21,$B21,$M$1)</f>
        <v>0</v>
      </c>
      <c r="Q21" s="53">
        <f>_xll.DBRW($C$1,Q$15,$Q$16,$O$1,Opening!$I$13,Opening!$D$13,$P$1,$A21,$B21,$M$1)</f>
        <v>0</v>
      </c>
      <c r="R21" s="53">
        <f>_xll.DBRW($C$1,R$15,$Q$16,$O$1,Opening!$I$13,Opening!$D$13,$P$1,$A21,$B21,$M$1)</f>
        <v>0</v>
      </c>
      <c r="S21" s="53">
        <f>_xll.DBRW($C$1,S$15,$Q$16,$O$1,Opening!$I$13,Opening!$D$13,$P$1,$A21,$B21,$M$1)</f>
        <v>0</v>
      </c>
      <c r="T21" s="53">
        <f>_xll.DBRW($C$1,T$15,$Q$16,$O$1,Opening!$I$13,Opening!$D$13,$P$1,$A21,$B21,$M$1)</f>
        <v>0</v>
      </c>
      <c r="U21" s="53">
        <f>_xll.DBRW($C$1,U$15,$Q$16,$O$1,Opening!$I$13,Opening!$D$13,$P$1,$A21,$B21,$M$1)</f>
        <v>0</v>
      </c>
      <c r="V21"/>
      <c r="W21"/>
      <c r="X21"/>
      <c r="Y21"/>
      <c r="Z21"/>
    </row>
    <row r="22" spans="1:26" ht="15.75" customHeight="1">
      <c r="A22" s="66" t="s">
        <v>334</v>
      </c>
      <c r="B22" s="29" t="s">
        <v>320</v>
      </c>
      <c r="C22" s="51" t="s">
        <v>23</v>
      </c>
      <c r="D22" s="52" t="s">
        <v>179</v>
      </c>
      <c r="E22" s="53">
        <f>_xll.DBRW($C$1,Opening!$G$13,Opening!E$11,$O$1,Opening!$I$13,Opening!$D$13,$P$1,$A22,$B22,$M$1)</f>
        <v>0</v>
      </c>
      <c r="F22" s="53">
        <f>_xll.DBRW($C$1,Opening!$G$13,Opening!F$11,$O$1,Opening!$I$13,Opening!$D$13,$P$1,$A22,$B22,$M$1)</f>
        <v>0</v>
      </c>
      <c r="G22" s="53">
        <f>_xll.DBRW($C$1,Opening!$G$13,Opening!G$11,$O$1,Opening!$I$13,Opening!$D$13,$P$1,$A22,$B22,$M$1)</f>
        <v>0</v>
      </c>
      <c r="H22" s="53">
        <f>_xll.DBRW($C$1,Opening!$G$13,Opening!H$11,$O$1,Opening!$I$13,Opening!$D$13,$P$1,$A22,$B22,$M$1)</f>
        <v>0</v>
      </c>
      <c r="I22" s="53">
        <f>_xll.DBRW($C$1,Opening!$G$13,Opening!I$11,$O$1,Opening!$I$13,Opening!$D$13,$P$1,$A22,$B22,$M$1)</f>
        <v>0</v>
      </c>
      <c r="J22" s="53">
        <f>_xll.DBRW($C$1,Opening!$G$13,Opening!J$11,$O$1,Opening!$I$13,Opening!$D$13,$P$1,$A22,$B22,$M$1)</f>
        <v>0</v>
      </c>
      <c r="K22" s="53">
        <f>_xll.DBRW($C$1,Opening!$G$13,Opening!K$11,$O$1,Opening!$I$13,Opening!$D$13,$P$1,$A22,$B22,$M$1)</f>
        <v>0</v>
      </c>
      <c r="L22" s="53">
        <f>_xll.DBRW($C$1,Opening!$G$13,Opening!L$11,$O$1,Opening!$I$13,Opening!$D$13,$P$1,$A22,$B22,$M$1)</f>
        <v>0</v>
      </c>
      <c r="M22" s="53">
        <f>_xll.DBRW($C$1,Opening!$G$13,Opening!M$11,$O$1,Opening!$I$13,Opening!$D$13,$P$1,$A22,$B22,$M$1)</f>
        <v>0</v>
      </c>
      <c r="N22" s="53">
        <f>_xll.DBRW($C$1,Opening!$G$13,Opening!N$11,$O$1,Opening!$I$13,Opening!$D$13,$P$1,$A22,$B22,$M$1)</f>
        <v>0</v>
      </c>
      <c r="O22" s="53">
        <f>_xll.DBRW($C$1,Opening!$G$13,Opening!O$11,$O$1,Opening!$I$13,Opening!$D$13,$P$1,$A22,$B22,$M$1)</f>
        <v>0</v>
      </c>
      <c r="P22" s="53">
        <f>_xll.DBRW($C$1,Opening!$G$13,Opening!P$11,$O$1,Opening!$I$13,Opening!$D$13,$P$1,$A22,$B22,$M$1)</f>
        <v>0</v>
      </c>
      <c r="Q22" s="53">
        <f>_xll.DBRW($C$1,Q$15,$Q$16,$O$1,Opening!$I$13,Opening!$D$13,$P$1,$A22,$B22,$M$1)</f>
        <v>0</v>
      </c>
      <c r="R22" s="53">
        <f>_xll.DBRW($C$1,R$15,$Q$16,$O$1,Opening!$I$13,Opening!$D$13,$P$1,$A22,$B22,$M$1)</f>
        <v>0</v>
      </c>
      <c r="S22" s="53">
        <f>_xll.DBRW($C$1,S$15,$Q$16,$O$1,Opening!$I$13,Opening!$D$13,$P$1,$A22,$B22,$M$1)</f>
        <v>0</v>
      </c>
      <c r="T22" s="53">
        <f>_xll.DBRW($C$1,T$15,$Q$16,$O$1,Opening!$I$13,Opening!$D$13,$P$1,$A22,$B22,$M$1)</f>
        <v>0</v>
      </c>
      <c r="U22" s="53">
        <f>_xll.DBRW($C$1,U$15,$Q$16,$O$1,Opening!$I$13,Opening!$D$13,$P$1,$A22,$B22,$M$1)</f>
        <v>0</v>
      </c>
      <c r="V22"/>
      <c r="W22"/>
      <c r="X22"/>
      <c r="Y22"/>
      <c r="Z22"/>
    </row>
    <row r="23" spans="1:26" ht="15.75" customHeight="1">
      <c r="A23" s="66" t="s">
        <v>334</v>
      </c>
      <c r="B23" s="29" t="s">
        <v>321</v>
      </c>
      <c r="C23" s="51" t="s">
        <v>23</v>
      </c>
      <c r="D23" s="52" t="s">
        <v>185</v>
      </c>
      <c r="E23" s="53">
        <f>_xll.DBRW($C$1,Opening!$G$13,Opening!E$11,$O$1,Opening!$I$13,Opening!$D$13,$P$1,$A23,$B23,$M$1)</f>
        <v>0</v>
      </c>
      <c r="F23" s="53">
        <f>_xll.DBRW($C$1,Opening!$G$13,Opening!F$11,$O$1,Opening!$I$13,Opening!$D$13,$P$1,$A23,$B23,$M$1)</f>
        <v>0</v>
      </c>
      <c r="G23" s="53">
        <f>_xll.DBRW($C$1,Opening!$G$13,Opening!G$11,$O$1,Opening!$I$13,Opening!$D$13,$P$1,$A23,$B23,$M$1)</f>
        <v>0</v>
      </c>
      <c r="H23" s="53">
        <f>_xll.DBRW($C$1,Opening!$G$13,Opening!H$11,$O$1,Opening!$I$13,Opening!$D$13,$P$1,$A23,$B23,$M$1)</f>
        <v>0</v>
      </c>
      <c r="I23" s="53">
        <f>_xll.DBRW($C$1,Opening!$G$13,Opening!I$11,$O$1,Opening!$I$13,Opening!$D$13,$P$1,$A23,$B23,$M$1)</f>
        <v>0</v>
      </c>
      <c r="J23" s="53">
        <f>_xll.DBRW($C$1,Opening!$G$13,Opening!J$11,$O$1,Opening!$I$13,Opening!$D$13,$P$1,$A23,$B23,$M$1)</f>
        <v>0</v>
      </c>
      <c r="K23" s="53">
        <f>_xll.DBRW($C$1,Opening!$G$13,Opening!K$11,$O$1,Opening!$I$13,Opening!$D$13,$P$1,$A23,$B23,$M$1)</f>
        <v>0</v>
      </c>
      <c r="L23" s="53">
        <f>_xll.DBRW($C$1,Opening!$G$13,Opening!L$11,$O$1,Opening!$I$13,Opening!$D$13,$P$1,$A23,$B23,$M$1)</f>
        <v>0</v>
      </c>
      <c r="M23" s="53">
        <f>_xll.DBRW($C$1,Opening!$G$13,Opening!M$11,$O$1,Opening!$I$13,Opening!$D$13,$P$1,$A23,$B23,$M$1)</f>
        <v>0</v>
      </c>
      <c r="N23" s="53">
        <f>_xll.DBRW($C$1,Opening!$G$13,Opening!N$11,$O$1,Opening!$I$13,Opening!$D$13,$P$1,$A23,$B23,$M$1)</f>
        <v>0</v>
      </c>
      <c r="O23" s="53">
        <f>_xll.DBRW($C$1,Opening!$G$13,Opening!O$11,$O$1,Opening!$I$13,Opening!$D$13,$P$1,$A23,$B23,$M$1)</f>
        <v>0</v>
      </c>
      <c r="P23" s="53">
        <f>_xll.DBRW($C$1,Opening!$G$13,Opening!P$11,$O$1,Opening!$I$13,Opening!$D$13,$P$1,$A23,$B23,$M$1)</f>
        <v>0</v>
      </c>
      <c r="Q23" s="53">
        <f>_xll.DBRW($C$1,Q$15,$Q$16,$O$1,Opening!$I$13,Opening!$D$13,$P$1,$A23,$B23,$M$1)</f>
        <v>0</v>
      </c>
      <c r="R23" s="53">
        <f>_xll.DBRW($C$1,R$15,$Q$16,$O$1,Opening!$I$13,Opening!$D$13,$P$1,$A23,$B23,$M$1)</f>
        <v>0</v>
      </c>
      <c r="S23" s="53">
        <f>_xll.DBRW($C$1,S$15,$Q$16,$O$1,Opening!$I$13,Opening!$D$13,$P$1,$A23,$B23,$M$1)</f>
        <v>0</v>
      </c>
      <c r="T23" s="53">
        <f>_xll.DBRW($C$1,T$15,$Q$16,$O$1,Opening!$I$13,Opening!$D$13,$P$1,$A23,$B23,$M$1)</f>
        <v>0</v>
      </c>
      <c r="U23" s="53">
        <f>_xll.DBRW($C$1,U$15,$Q$16,$O$1,Opening!$I$13,Opening!$D$13,$P$1,$A23,$B23,$M$1)</f>
        <v>0</v>
      </c>
      <c r="V23"/>
      <c r="W23"/>
      <c r="X23"/>
      <c r="Y23"/>
      <c r="Z23"/>
    </row>
    <row r="24" spans="1:26" ht="15.75" customHeight="1">
      <c r="A24" s="66" t="s">
        <v>334</v>
      </c>
      <c r="B24" s="29" t="s">
        <v>322</v>
      </c>
      <c r="C24" s="51" t="s">
        <v>23</v>
      </c>
      <c r="D24" s="52" t="s">
        <v>186</v>
      </c>
      <c r="E24" s="53">
        <f>_xll.DBRW($C$1,Opening!$G$13,Opening!E$11,$O$1,Opening!$I$13,Opening!$D$13,$P$1,$A24,$B24,$M$1)</f>
        <v>0</v>
      </c>
      <c r="F24" s="53">
        <f>_xll.DBRW($C$1,Opening!$G$13,Opening!F$11,$O$1,Opening!$I$13,Opening!$D$13,$P$1,$A24,$B24,$M$1)</f>
        <v>0</v>
      </c>
      <c r="G24" s="53">
        <f>_xll.DBRW($C$1,Opening!$G$13,Opening!G$11,$O$1,Opening!$I$13,Opening!$D$13,$P$1,$A24,$B24,$M$1)</f>
        <v>0</v>
      </c>
      <c r="H24" s="53">
        <f>_xll.DBRW($C$1,Opening!$G$13,Opening!H$11,$O$1,Opening!$I$13,Opening!$D$13,$P$1,$A24,$B24,$M$1)</f>
        <v>0</v>
      </c>
      <c r="I24" s="53">
        <f>_xll.DBRW($C$1,Opening!$G$13,Opening!I$11,$O$1,Opening!$I$13,Opening!$D$13,$P$1,$A24,$B24,$M$1)</f>
        <v>0</v>
      </c>
      <c r="J24" s="53">
        <f>_xll.DBRW($C$1,Opening!$G$13,Opening!J$11,$O$1,Opening!$I$13,Opening!$D$13,$P$1,$A24,$B24,$M$1)</f>
        <v>0</v>
      </c>
      <c r="K24" s="53">
        <f>_xll.DBRW($C$1,Opening!$G$13,Opening!K$11,$O$1,Opening!$I$13,Opening!$D$13,$P$1,$A24,$B24,$M$1)</f>
        <v>0</v>
      </c>
      <c r="L24" s="53">
        <f>_xll.DBRW($C$1,Opening!$G$13,Opening!L$11,$O$1,Opening!$I$13,Opening!$D$13,$P$1,$A24,$B24,$M$1)</f>
        <v>0</v>
      </c>
      <c r="M24" s="53">
        <f>_xll.DBRW($C$1,Opening!$G$13,Opening!M$11,$O$1,Opening!$I$13,Opening!$D$13,$P$1,$A24,$B24,$M$1)</f>
        <v>0</v>
      </c>
      <c r="N24" s="53">
        <f>_xll.DBRW($C$1,Opening!$G$13,Opening!N$11,$O$1,Opening!$I$13,Opening!$D$13,$P$1,$A24,$B24,$M$1)</f>
        <v>0</v>
      </c>
      <c r="O24" s="53">
        <f>_xll.DBRW($C$1,Opening!$G$13,Opening!O$11,$O$1,Opening!$I$13,Opening!$D$13,$P$1,$A24,$B24,$M$1)</f>
        <v>0</v>
      </c>
      <c r="P24" s="53">
        <f>_xll.DBRW($C$1,Opening!$G$13,Opening!P$11,$O$1,Opening!$I$13,Opening!$D$13,$P$1,$A24,$B24,$M$1)</f>
        <v>0</v>
      </c>
      <c r="Q24" s="53">
        <f>_xll.DBRW($C$1,Q$15,$Q$16,$O$1,Opening!$I$13,Opening!$D$13,$P$1,$A24,$B24,$M$1)</f>
        <v>0</v>
      </c>
      <c r="R24" s="53">
        <f>_xll.DBRW($C$1,R$15,$Q$16,$O$1,Opening!$I$13,Opening!$D$13,$P$1,$A24,$B24,$M$1)</f>
        <v>0</v>
      </c>
      <c r="S24" s="53">
        <f>_xll.DBRW($C$1,S$15,$Q$16,$O$1,Opening!$I$13,Opening!$D$13,$P$1,$A24,$B24,$M$1)</f>
        <v>0</v>
      </c>
      <c r="T24" s="53">
        <f>_xll.DBRW($C$1,T$15,$Q$16,$O$1,Opening!$I$13,Opening!$D$13,$P$1,$A24,$B24,$M$1)</f>
        <v>0</v>
      </c>
      <c r="U24" s="53">
        <f>_xll.DBRW($C$1,U$15,$Q$16,$O$1,Opening!$I$13,Opening!$D$13,$P$1,$A24,$B24,$M$1)</f>
        <v>0</v>
      </c>
      <c r="V24"/>
      <c r="W24"/>
      <c r="X24"/>
      <c r="Y24"/>
      <c r="Z24"/>
    </row>
    <row r="25" spans="1:26" ht="15.75" customHeight="1">
      <c r="A25" s="66" t="s">
        <v>334</v>
      </c>
      <c r="B25" s="29" t="s">
        <v>323</v>
      </c>
      <c r="C25" s="51" t="s">
        <v>23</v>
      </c>
      <c r="D25" s="52" t="s">
        <v>180</v>
      </c>
      <c r="E25" s="53">
        <f>_xll.DBRW($C$1,Opening!$G$13,Opening!E$11,$O$1,Opening!$I$13,Opening!$D$13,$P$1,$A25,$B25,$M$1)</f>
        <v>0</v>
      </c>
      <c r="F25" s="53">
        <f>_xll.DBRW($C$1,Opening!$G$13,Opening!F$11,$O$1,Opening!$I$13,Opening!$D$13,$P$1,$A25,$B25,$M$1)</f>
        <v>0</v>
      </c>
      <c r="G25" s="53">
        <f>_xll.DBRW($C$1,Opening!$G$13,Opening!G$11,$O$1,Opening!$I$13,Opening!$D$13,$P$1,$A25,$B25,$M$1)</f>
        <v>0</v>
      </c>
      <c r="H25" s="53">
        <f>_xll.DBRW($C$1,Opening!$G$13,Opening!H$11,$O$1,Opening!$I$13,Opening!$D$13,$P$1,$A25,$B25,$M$1)</f>
        <v>0</v>
      </c>
      <c r="I25" s="53">
        <f>_xll.DBRW($C$1,Opening!$G$13,Opening!I$11,$O$1,Opening!$I$13,Opening!$D$13,$P$1,$A25,$B25,$M$1)</f>
        <v>0</v>
      </c>
      <c r="J25" s="53">
        <f>_xll.DBRW($C$1,Opening!$G$13,Opening!J$11,$O$1,Opening!$I$13,Opening!$D$13,$P$1,$A25,$B25,$M$1)</f>
        <v>0</v>
      </c>
      <c r="K25" s="53">
        <f>_xll.DBRW($C$1,Opening!$G$13,Opening!K$11,$O$1,Opening!$I$13,Opening!$D$13,$P$1,$A25,$B25,$M$1)</f>
        <v>0</v>
      </c>
      <c r="L25" s="53">
        <f>_xll.DBRW($C$1,Opening!$G$13,Opening!L$11,$O$1,Opening!$I$13,Opening!$D$13,$P$1,$A25,$B25,$M$1)</f>
        <v>0</v>
      </c>
      <c r="M25" s="53">
        <f>_xll.DBRW($C$1,Opening!$G$13,Opening!M$11,$O$1,Opening!$I$13,Opening!$D$13,$P$1,$A25,$B25,$M$1)</f>
        <v>0</v>
      </c>
      <c r="N25" s="53">
        <f>_xll.DBRW($C$1,Opening!$G$13,Opening!N$11,$O$1,Opening!$I$13,Opening!$D$13,$P$1,$A25,$B25,$M$1)</f>
        <v>0</v>
      </c>
      <c r="O25" s="53">
        <f>_xll.DBRW($C$1,Opening!$G$13,Opening!O$11,$O$1,Opening!$I$13,Opening!$D$13,$P$1,$A25,$B25,$M$1)</f>
        <v>0</v>
      </c>
      <c r="P25" s="53">
        <f>_xll.DBRW($C$1,Opening!$G$13,Opening!P$11,$O$1,Opening!$I$13,Opening!$D$13,$P$1,$A25,$B25,$M$1)</f>
        <v>0</v>
      </c>
      <c r="Q25" s="53">
        <f>_xll.DBRW($C$1,Q$15,$Q$16,$O$1,Opening!$I$13,Opening!$D$13,$P$1,$A25,$B25,$M$1)</f>
        <v>0</v>
      </c>
      <c r="R25" s="53">
        <f>_xll.DBRW($C$1,R$15,$Q$16,$O$1,Opening!$I$13,Opening!$D$13,$P$1,$A25,$B25,$M$1)</f>
        <v>0</v>
      </c>
      <c r="S25" s="53">
        <f>_xll.DBRW($C$1,S$15,$Q$16,$O$1,Opening!$I$13,Opening!$D$13,$P$1,$A25,$B25,$M$1)</f>
        <v>0</v>
      </c>
      <c r="T25" s="53">
        <f>_xll.DBRW($C$1,T$15,$Q$16,$O$1,Opening!$I$13,Opening!$D$13,$P$1,$A25,$B25,$M$1)</f>
        <v>0</v>
      </c>
      <c r="U25" s="53">
        <f>_xll.DBRW($C$1,U$15,$Q$16,$O$1,Opening!$I$13,Opening!$D$13,$P$1,$A25,$B25,$M$1)</f>
        <v>0</v>
      </c>
      <c r="V25"/>
      <c r="W25"/>
      <c r="X25"/>
      <c r="Y25"/>
      <c r="Z25"/>
    </row>
    <row r="26" spans="1:26" ht="15.75" customHeight="1">
      <c r="A26" s="66" t="s">
        <v>334</v>
      </c>
      <c r="B26" s="29" t="s">
        <v>324</v>
      </c>
      <c r="C26" s="51" t="s">
        <v>23</v>
      </c>
      <c r="D26" s="52" t="s">
        <v>181</v>
      </c>
      <c r="E26" s="53">
        <f>_xll.DBRW($C$1,Opening!$G$13,Opening!E$11,$O$1,Opening!$I$13,Opening!$D$13,$P$1,$A26,$B26,$M$1)</f>
        <v>0</v>
      </c>
      <c r="F26" s="53">
        <f>_xll.DBRW($C$1,Opening!$G$13,Opening!F$11,$O$1,Opening!$I$13,Opening!$D$13,$P$1,$A26,$B26,$M$1)</f>
        <v>0</v>
      </c>
      <c r="G26" s="53">
        <f>_xll.DBRW($C$1,Opening!$G$13,Opening!G$11,$O$1,Opening!$I$13,Opening!$D$13,$P$1,$A26,$B26,$M$1)</f>
        <v>0</v>
      </c>
      <c r="H26" s="53">
        <f>_xll.DBRW($C$1,Opening!$G$13,Opening!H$11,$O$1,Opening!$I$13,Opening!$D$13,$P$1,$A26,$B26,$M$1)</f>
        <v>0</v>
      </c>
      <c r="I26" s="53">
        <f>_xll.DBRW($C$1,Opening!$G$13,Opening!I$11,$O$1,Opening!$I$13,Opening!$D$13,$P$1,$A26,$B26,$M$1)</f>
        <v>0</v>
      </c>
      <c r="J26" s="53">
        <f>_xll.DBRW($C$1,Opening!$G$13,Opening!J$11,$O$1,Opening!$I$13,Opening!$D$13,$P$1,$A26,$B26,$M$1)</f>
        <v>0</v>
      </c>
      <c r="K26" s="53">
        <f>_xll.DBRW($C$1,Opening!$G$13,Opening!K$11,$O$1,Opening!$I$13,Opening!$D$13,$P$1,$A26,$B26,$M$1)</f>
        <v>0</v>
      </c>
      <c r="L26" s="53">
        <f>_xll.DBRW($C$1,Opening!$G$13,Opening!L$11,$O$1,Opening!$I$13,Opening!$D$13,$P$1,$A26,$B26,$M$1)</f>
        <v>0</v>
      </c>
      <c r="M26" s="53">
        <f>_xll.DBRW($C$1,Opening!$G$13,Opening!M$11,$O$1,Opening!$I$13,Opening!$D$13,$P$1,$A26,$B26,$M$1)</f>
        <v>0</v>
      </c>
      <c r="N26" s="53">
        <f>_xll.DBRW($C$1,Opening!$G$13,Opening!N$11,$O$1,Opening!$I$13,Opening!$D$13,$P$1,$A26,$B26,$M$1)</f>
        <v>0</v>
      </c>
      <c r="O26" s="53">
        <f>_xll.DBRW($C$1,Opening!$G$13,Opening!O$11,$O$1,Opening!$I$13,Opening!$D$13,$P$1,$A26,$B26,$M$1)</f>
        <v>0</v>
      </c>
      <c r="P26" s="53">
        <f>_xll.DBRW($C$1,Opening!$G$13,Opening!P$11,$O$1,Opening!$I$13,Opening!$D$13,$P$1,$A26,$B26,$M$1)</f>
        <v>0</v>
      </c>
      <c r="Q26" s="53">
        <f>_xll.DBRW($C$1,Q$15,$Q$16,$O$1,Opening!$I$13,Opening!$D$13,$P$1,$A26,$B26,$M$1)</f>
        <v>0</v>
      </c>
      <c r="R26" s="53">
        <f>_xll.DBRW($C$1,R$15,$Q$16,$O$1,Opening!$I$13,Opening!$D$13,$P$1,$A26,$B26,$M$1)</f>
        <v>0</v>
      </c>
      <c r="S26" s="53">
        <f>_xll.DBRW($C$1,S$15,$Q$16,$O$1,Opening!$I$13,Opening!$D$13,$P$1,$A26,$B26,$M$1)</f>
        <v>0</v>
      </c>
      <c r="T26" s="53">
        <f>_xll.DBRW($C$1,T$15,$Q$16,$O$1,Opening!$I$13,Opening!$D$13,$P$1,$A26,$B26,$M$1)</f>
        <v>0</v>
      </c>
      <c r="U26" s="53">
        <f>_xll.DBRW($C$1,U$15,$Q$16,$O$1,Opening!$I$13,Opening!$D$13,$P$1,$A26,$B26,$M$1)</f>
        <v>0</v>
      </c>
      <c r="V26"/>
      <c r="W26"/>
      <c r="X26"/>
      <c r="Y26"/>
      <c r="Z26"/>
    </row>
    <row r="27" spans="1:26" ht="15.75" customHeight="1">
      <c r="A27" s="66" t="s">
        <v>334</v>
      </c>
      <c r="B27" s="29" t="s">
        <v>325</v>
      </c>
      <c r="C27" s="51" t="s">
        <v>23</v>
      </c>
      <c r="D27" s="52" t="s">
        <v>187</v>
      </c>
      <c r="E27" s="53">
        <f>_xll.DBRW($C$1,Opening!$G$13,Opening!E$11,$O$1,Opening!$I$13,Opening!$D$13,$P$1,$A27,$B27,$M$1)</f>
        <v>0</v>
      </c>
      <c r="F27" s="53">
        <f>_xll.DBRW($C$1,Opening!$G$13,Opening!F$11,$O$1,Opening!$I$13,Opening!$D$13,$P$1,$A27,$B27,$M$1)</f>
        <v>0</v>
      </c>
      <c r="G27" s="53">
        <f>_xll.DBRW($C$1,Opening!$G$13,Opening!G$11,$O$1,Opening!$I$13,Opening!$D$13,$P$1,$A27,$B27,$M$1)</f>
        <v>0</v>
      </c>
      <c r="H27" s="53">
        <f>_xll.DBRW($C$1,Opening!$G$13,Opening!H$11,$O$1,Opening!$I$13,Opening!$D$13,$P$1,$A27,$B27,$M$1)</f>
        <v>0</v>
      </c>
      <c r="I27" s="53">
        <f>_xll.DBRW($C$1,Opening!$G$13,Opening!I$11,$O$1,Opening!$I$13,Opening!$D$13,$P$1,$A27,$B27,$M$1)</f>
        <v>0</v>
      </c>
      <c r="J27" s="53">
        <f>_xll.DBRW($C$1,Opening!$G$13,Opening!J$11,$O$1,Opening!$I$13,Opening!$D$13,$P$1,$A27,$B27,$M$1)</f>
        <v>0</v>
      </c>
      <c r="K27" s="53">
        <f>_xll.DBRW($C$1,Opening!$G$13,Opening!K$11,$O$1,Opening!$I$13,Opening!$D$13,$P$1,$A27,$B27,$M$1)</f>
        <v>0</v>
      </c>
      <c r="L27" s="53">
        <f>_xll.DBRW($C$1,Opening!$G$13,Opening!L$11,$O$1,Opening!$I$13,Opening!$D$13,$P$1,$A27,$B27,$M$1)</f>
        <v>0</v>
      </c>
      <c r="M27" s="53">
        <f>_xll.DBRW($C$1,Opening!$G$13,Opening!M$11,$O$1,Opening!$I$13,Opening!$D$13,$P$1,$A27,$B27,$M$1)</f>
        <v>0</v>
      </c>
      <c r="N27" s="53">
        <f>_xll.DBRW($C$1,Opening!$G$13,Opening!N$11,$O$1,Opening!$I$13,Opening!$D$13,$P$1,$A27,$B27,$M$1)</f>
        <v>0</v>
      </c>
      <c r="O27" s="53">
        <f>_xll.DBRW($C$1,Opening!$G$13,Opening!O$11,$O$1,Opening!$I$13,Opening!$D$13,$P$1,$A27,$B27,$M$1)</f>
        <v>0</v>
      </c>
      <c r="P27" s="53">
        <f>_xll.DBRW($C$1,Opening!$G$13,Opening!P$11,$O$1,Opening!$I$13,Opening!$D$13,$P$1,$A27,$B27,$M$1)</f>
        <v>0</v>
      </c>
      <c r="Q27" s="53">
        <f>_xll.DBRW($C$1,Q$15,$Q$16,$O$1,Opening!$I$13,Opening!$D$13,$P$1,$A27,$B27,$M$1)</f>
        <v>0</v>
      </c>
      <c r="R27" s="53">
        <f>_xll.DBRW($C$1,R$15,$Q$16,$O$1,Opening!$I$13,Opening!$D$13,$P$1,$A27,$B27,$M$1)</f>
        <v>0</v>
      </c>
      <c r="S27" s="53">
        <f>_xll.DBRW($C$1,S$15,$Q$16,$O$1,Opening!$I$13,Opening!$D$13,$P$1,$A27,$B27,$M$1)</f>
        <v>0</v>
      </c>
      <c r="T27" s="53">
        <f>_xll.DBRW($C$1,T$15,$Q$16,$O$1,Opening!$I$13,Opening!$D$13,$P$1,$A27,$B27,$M$1)</f>
        <v>0</v>
      </c>
      <c r="U27" s="53">
        <f>_xll.DBRW($C$1,U$15,$Q$16,$O$1,Opening!$I$13,Opening!$D$13,$P$1,$A27,$B27,$M$1)</f>
        <v>0</v>
      </c>
      <c r="V27"/>
      <c r="W27"/>
      <c r="X27"/>
      <c r="Y27"/>
      <c r="Z27"/>
    </row>
    <row r="28" spans="1:26" ht="15.75" customHeight="1">
      <c r="A28" s="66" t="s">
        <v>334</v>
      </c>
      <c r="B28" s="29" t="s">
        <v>326</v>
      </c>
      <c r="C28" s="51" t="s">
        <v>23</v>
      </c>
      <c r="D28" s="52" t="s">
        <v>188</v>
      </c>
      <c r="E28" s="53">
        <f>_xll.DBRW($C$1,Opening!$G$13,Opening!E$11,$O$1,Opening!$I$13,Opening!$D$13,$P$1,$A28,$B28,$M$1)</f>
        <v>0</v>
      </c>
      <c r="F28" s="53">
        <f>_xll.DBRW($C$1,Opening!$G$13,Opening!F$11,$O$1,Opening!$I$13,Opening!$D$13,$P$1,$A28,$B28,$M$1)</f>
        <v>0</v>
      </c>
      <c r="G28" s="53">
        <f>_xll.DBRW($C$1,Opening!$G$13,Opening!G$11,$O$1,Opening!$I$13,Opening!$D$13,$P$1,$A28,$B28,$M$1)</f>
        <v>0</v>
      </c>
      <c r="H28" s="53">
        <f>_xll.DBRW($C$1,Opening!$G$13,Opening!H$11,$O$1,Opening!$I$13,Opening!$D$13,$P$1,$A28,$B28,$M$1)</f>
        <v>0</v>
      </c>
      <c r="I28" s="53">
        <f>_xll.DBRW($C$1,Opening!$G$13,Opening!I$11,$O$1,Opening!$I$13,Opening!$D$13,$P$1,$A28,$B28,$M$1)</f>
        <v>0</v>
      </c>
      <c r="J28" s="53">
        <f>_xll.DBRW($C$1,Opening!$G$13,Opening!J$11,$O$1,Opening!$I$13,Opening!$D$13,$P$1,$A28,$B28,$M$1)</f>
        <v>0</v>
      </c>
      <c r="K28" s="53">
        <f>_xll.DBRW($C$1,Opening!$G$13,Opening!K$11,$O$1,Opening!$I$13,Opening!$D$13,$P$1,$A28,$B28,$M$1)</f>
        <v>0</v>
      </c>
      <c r="L28" s="53">
        <f>_xll.DBRW($C$1,Opening!$G$13,Opening!L$11,$O$1,Opening!$I$13,Opening!$D$13,$P$1,$A28,$B28,$M$1)</f>
        <v>0</v>
      </c>
      <c r="M28" s="53">
        <f>_xll.DBRW($C$1,Opening!$G$13,Opening!M$11,$O$1,Opening!$I$13,Opening!$D$13,$P$1,$A28,$B28,$M$1)</f>
        <v>0</v>
      </c>
      <c r="N28" s="53">
        <f>_xll.DBRW($C$1,Opening!$G$13,Opening!N$11,$O$1,Opening!$I$13,Opening!$D$13,$P$1,$A28,$B28,$M$1)</f>
        <v>0</v>
      </c>
      <c r="O28" s="53">
        <f>_xll.DBRW($C$1,Opening!$G$13,Opening!O$11,$O$1,Opening!$I$13,Opening!$D$13,$P$1,$A28,$B28,$M$1)</f>
        <v>0</v>
      </c>
      <c r="P28" s="53">
        <f>_xll.DBRW($C$1,Opening!$G$13,Opening!P$11,$O$1,Opening!$I$13,Opening!$D$13,$P$1,$A28,$B28,$M$1)</f>
        <v>0</v>
      </c>
      <c r="Q28" s="53">
        <f>_xll.DBRW($C$1,Q$15,$Q$16,$O$1,Opening!$I$13,Opening!$D$13,$P$1,$A28,$B28,$M$1)</f>
        <v>0</v>
      </c>
      <c r="R28" s="53">
        <f>_xll.DBRW($C$1,R$15,$Q$16,$O$1,Opening!$I$13,Opening!$D$13,$P$1,$A28,$B28,$M$1)</f>
        <v>0</v>
      </c>
      <c r="S28" s="53">
        <f>_xll.DBRW($C$1,S$15,$Q$16,$O$1,Opening!$I$13,Opening!$D$13,$P$1,$A28,$B28,$M$1)</f>
        <v>0</v>
      </c>
      <c r="T28" s="53">
        <f>_xll.DBRW($C$1,T$15,$Q$16,$O$1,Opening!$I$13,Opening!$D$13,$P$1,$A28,$B28,$M$1)</f>
        <v>0</v>
      </c>
      <c r="U28" s="53">
        <f>_xll.DBRW($C$1,U$15,$Q$16,$O$1,Opening!$I$13,Opening!$D$13,$P$1,$A28,$B28,$M$1)</f>
        <v>0</v>
      </c>
      <c r="V28"/>
      <c r="W28"/>
      <c r="X28"/>
      <c r="Y28"/>
      <c r="Z28"/>
    </row>
    <row r="29" spans="1:26" ht="15.75" customHeight="1">
      <c r="A29" s="66" t="s">
        <v>334</v>
      </c>
      <c r="B29" s="29" t="s">
        <v>327</v>
      </c>
      <c r="C29" s="51" t="s">
        <v>23</v>
      </c>
      <c r="D29" s="52" t="s">
        <v>182</v>
      </c>
      <c r="E29" s="53">
        <f>_xll.DBRW($C$1,Opening!$G$13,Opening!E$11,$O$1,Opening!$I$13,Opening!$D$13,$P$1,$A29,$B29,$M$1)</f>
        <v>0</v>
      </c>
      <c r="F29" s="53">
        <f>_xll.DBRW($C$1,Opening!$G$13,Opening!F$11,$O$1,Opening!$I$13,Opening!$D$13,$P$1,$A29,$B29,$M$1)</f>
        <v>0</v>
      </c>
      <c r="G29" s="53">
        <f>_xll.DBRW($C$1,Opening!$G$13,Opening!G$11,$O$1,Opening!$I$13,Opening!$D$13,$P$1,$A29,$B29,$M$1)</f>
        <v>0</v>
      </c>
      <c r="H29" s="53">
        <f>_xll.DBRW($C$1,Opening!$G$13,Opening!H$11,$O$1,Opening!$I$13,Opening!$D$13,$P$1,$A29,$B29,$M$1)</f>
        <v>0</v>
      </c>
      <c r="I29" s="53">
        <f>_xll.DBRW($C$1,Opening!$G$13,Opening!I$11,$O$1,Opening!$I$13,Opening!$D$13,$P$1,$A29,$B29,$M$1)</f>
        <v>0</v>
      </c>
      <c r="J29" s="53">
        <f>_xll.DBRW($C$1,Opening!$G$13,Opening!J$11,$O$1,Opening!$I$13,Opening!$D$13,$P$1,$A29,$B29,$M$1)</f>
        <v>0</v>
      </c>
      <c r="K29" s="53">
        <f>_xll.DBRW($C$1,Opening!$G$13,Opening!K$11,$O$1,Opening!$I$13,Opening!$D$13,$P$1,$A29,$B29,$M$1)</f>
        <v>0</v>
      </c>
      <c r="L29" s="53">
        <f>_xll.DBRW($C$1,Opening!$G$13,Opening!L$11,$O$1,Opening!$I$13,Opening!$D$13,$P$1,$A29,$B29,$M$1)</f>
        <v>0</v>
      </c>
      <c r="M29" s="53">
        <f>_xll.DBRW($C$1,Opening!$G$13,Opening!M$11,$O$1,Opening!$I$13,Opening!$D$13,$P$1,$A29,$B29,$M$1)</f>
        <v>0</v>
      </c>
      <c r="N29" s="53">
        <f>_xll.DBRW($C$1,Opening!$G$13,Opening!N$11,$O$1,Opening!$I$13,Opening!$D$13,$P$1,$A29,$B29,$M$1)</f>
        <v>0</v>
      </c>
      <c r="O29" s="53">
        <f>_xll.DBRW($C$1,Opening!$G$13,Opening!O$11,$O$1,Opening!$I$13,Opening!$D$13,$P$1,$A29,$B29,$M$1)</f>
        <v>0</v>
      </c>
      <c r="P29" s="53">
        <f>_xll.DBRW($C$1,Opening!$G$13,Opening!P$11,$O$1,Opening!$I$13,Opening!$D$13,$P$1,$A29,$B29,$M$1)</f>
        <v>0</v>
      </c>
      <c r="Q29" s="53">
        <f>_xll.DBRW($C$1,Q$15,$Q$16,$O$1,Opening!$I$13,Opening!$D$13,$P$1,$A29,$B29,$M$1)</f>
        <v>0</v>
      </c>
      <c r="R29" s="53">
        <f>_xll.DBRW($C$1,R$15,$Q$16,$O$1,Opening!$I$13,Opening!$D$13,$P$1,$A29,$B29,$M$1)</f>
        <v>0</v>
      </c>
      <c r="S29" s="53">
        <f>_xll.DBRW($C$1,S$15,$Q$16,$O$1,Opening!$I$13,Opening!$D$13,$P$1,$A29,$B29,$M$1)</f>
        <v>0</v>
      </c>
      <c r="T29" s="53">
        <f>_xll.DBRW($C$1,T$15,$Q$16,$O$1,Opening!$I$13,Opening!$D$13,$P$1,$A29,$B29,$M$1)</f>
        <v>0</v>
      </c>
      <c r="U29" s="53">
        <f>_xll.DBRW($C$1,U$15,$Q$16,$O$1,Opening!$I$13,Opening!$D$13,$P$1,$A29,$B29,$M$1)</f>
        <v>0</v>
      </c>
      <c r="V29"/>
      <c r="W29"/>
      <c r="X29"/>
      <c r="Y29"/>
      <c r="Z29"/>
    </row>
    <row r="30" spans="1:26" ht="15.75" customHeight="1">
      <c r="A30" s="66" t="s">
        <v>334</v>
      </c>
      <c r="B30" s="29" t="s">
        <v>328</v>
      </c>
      <c r="C30" s="51" t="s">
        <v>23</v>
      </c>
      <c r="D30" s="52" t="s">
        <v>189</v>
      </c>
      <c r="E30" s="53">
        <f>_xll.DBRW($C$1,Opening!$G$13,Opening!E$11,$O$1,Opening!$I$13,Opening!$D$13,$P$1,$A30,$B30,$M$1)</f>
        <v>0</v>
      </c>
      <c r="F30" s="53">
        <f>_xll.DBRW($C$1,Opening!$G$13,Opening!F$11,$O$1,Opening!$I$13,Opening!$D$13,$P$1,$A30,$B30,$M$1)</f>
        <v>0</v>
      </c>
      <c r="G30" s="53">
        <f>_xll.DBRW($C$1,Opening!$G$13,Opening!G$11,$O$1,Opening!$I$13,Opening!$D$13,$P$1,$A30,$B30,$M$1)</f>
        <v>0</v>
      </c>
      <c r="H30" s="53">
        <f>_xll.DBRW($C$1,Opening!$G$13,Opening!H$11,$O$1,Opening!$I$13,Opening!$D$13,$P$1,$A30,$B30,$M$1)</f>
        <v>0</v>
      </c>
      <c r="I30" s="53">
        <f>_xll.DBRW($C$1,Opening!$G$13,Opening!I$11,$O$1,Opening!$I$13,Opening!$D$13,$P$1,$A30,$B30,$M$1)</f>
        <v>0</v>
      </c>
      <c r="J30" s="53">
        <f>_xll.DBRW($C$1,Opening!$G$13,Opening!J$11,$O$1,Opening!$I$13,Opening!$D$13,$P$1,$A30,$B30,$M$1)</f>
        <v>0</v>
      </c>
      <c r="K30" s="53">
        <f>_xll.DBRW($C$1,Opening!$G$13,Opening!K$11,$O$1,Opening!$I$13,Opening!$D$13,$P$1,$A30,$B30,$M$1)</f>
        <v>0</v>
      </c>
      <c r="L30" s="53">
        <f>_xll.DBRW($C$1,Opening!$G$13,Opening!L$11,$O$1,Opening!$I$13,Opening!$D$13,$P$1,$A30,$B30,$M$1)</f>
        <v>0</v>
      </c>
      <c r="M30" s="53">
        <f>_xll.DBRW($C$1,Opening!$G$13,Opening!M$11,$O$1,Opening!$I$13,Opening!$D$13,$P$1,$A30,$B30,$M$1)</f>
        <v>0</v>
      </c>
      <c r="N30" s="53">
        <f>_xll.DBRW($C$1,Opening!$G$13,Opening!N$11,$O$1,Opening!$I$13,Opening!$D$13,$P$1,$A30,$B30,$M$1)</f>
        <v>0</v>
      </c>
      <c r="O30" s="53">
        <f>_xll.DBRW($C$1,Opening!$G$13,Opening!O$11,$O$1,Opening!$I$13,Opening!$D$13,$P$1,$A30,$B30,$M$1)</f>
        <v>0</v>
      </c>
      <c r="P30" s="53">
        <f>_xll.DBRW($C$1,Opening!$G$13,Opening!P$11,$O$1,Opening!$I$13,Opening!$D$13,$P$1,$A30,$B30,$M$1)</f>
        <v>0</v>
      </c>
      <c r="Q30" s="53">
        <f>_xll.DBRW($C$1,Q$15,$Q$16,$O$1,Opening!$I$13,Opening!$D$13,$P$1,$A30,$B30,$M$1)</f>
        <v>0</v>
      </c>
      <c r="R30" s="53">
        <f>_xll.DBRW($C$1,R$15,$Q$16,$O$1,Opening!$I$13,Opening!$D$13,$P$1,$A30,$B30,$M$1)</f>
        <v>0</v>
      </c>
      <c r="S30" s="53">
        <f>_xll.DBRW($C$1,S$15,$Q$16,$O$1,Opening!$I$13,Opening!$D$13,$P$1,$A30,$B30,$M$1)</f>
        <v>0</v>
      </c>
      <c r="T30" s="53">
        <f>_xll.DBRW($C$1,T$15,$Q$16,$O$1,Opening!$I$13,Opening!$D$13,$P$1,$A30,$B30,$M$1)</f>
        <v>0</v>
      </c>
      <c r="U30" s="53">
        <f>_xll.DBRW($C$1,U$15,$Q$16,$O$1,Opening!$I$13,Opening!$D$13,$P$1,$A30,$B30,$M$1)</f>
        <v>0</v>
      </c>
      <c r="V30"/>
      <c r="W30"/>
      <c r="X30"/>
      <c r="Y30"/>
      <c r="Z30"/>
    </row>
    <row r="31" spans="1:26" ht="15.75" customHeight="1">
      <c r="A31" s="66" t="s">
        <v>334</v>
      </c>
      <c r="B31" s="29" t="s">
        <v>329</v>
      </c>
      <c r="C31" s="51" t="s">
        <v>23</v>
      </c>
      <c r="D31" s="52" t="s">
        <v>190</v>
      </c>
      <c r="E31" s="53">
        <f>_xll.DBRW($C$1,Opening!$G$13,Opening!E$11,$O$1,Opening!$I$13,Opening!$D$13,$P$1,$A31,$B31,$M$1)</f>
        <v>0</v>
      </c>
      <c r="F31" s="53">
        <f>_xll.DBRW($C$1,Opening!$G$13,Opening!F$11,$O$1,Opening!$I$13,Opening!$D$13,$P$1,$A31,$B31,$M$1)</f>
        <v>0</v>
      </c>
      <c r="G31" s="53">
        <f>_xll.DBRW($C$1,Opening!$G$13,Opening!G$11,$O$1,Opening!$I$13,Opening!$D$13,$P$1,$A31,$B31,$M$1)</f>
        <v>0</v>
      </c>
      <c r="H31" s="53">
        <f>_xll.DBRW($C$1,Opening!$G$13,Opening!H$11,$O$1,Opening!$I$13,Opening!$D$13,$P$1,$A31,$B31,$M$1)</f>
        <v>0</v>
      </c>
      <c r="I31" s="53">
        <f>_xll.DBRW($C$1,Opening!$G$13,Opening!I$11,$O$1,Opening!$I$13,Opening!$D$13,$P$1,$A31,$B31,$M$1)</f>
        <v>0</v>
      </c>
      <c r="J31" s="53">
        <f>_xll.DBRW($C$1,Opening!$G$13,Opening!J$11,$O$1,Opening!$I$13,Opening!$D$13,$P$1,$A31,$B31,$M$1)</f>
        <v>0</v>
      </c>
      <c r="K31" s="53">
        <f>_xll.DBRW($C$1,Opening!$G$13,Opening!K$11,$O$1,Opening!$I$13,Opening!$D$13,$P$1,$A31,$B31,$M$1)</f>
        <v>0</v>
      </c>
      <c r="L31" s="53">
        <f>_xll.DBRW($C$1,Opening!$G$13,Opening!L$11,$O$1,Opening!$I$13,Opening!$D$13,$P$1,$A31,$B31,$M$1)</f>
        <v>0</v>
      </c>
      <c r="M31" s="53">
        <f>_xll.DBRW($C$1,Opening!$G$13,Opening!M$11,$O$1,Opening!$I$13,Opening!$D$13,$P$1,$A31,$B31,$M$1)</f>
        <v>0</v>
      </c>
      <c r="N31" s="53">
        <f>_xll.DBRW($C$1,Opening!$G$13,Opening!N$11,$O$1,Opening!$I$13,Opening!$D$13,$P$1,$A31,$B31,$M$1)</f>
        <v>0</v>
      </c>
      <c r="O31" s="53">
        <f>_xll.DBRW($C$1,Opening!$G$13,Opening!O$11,$O$1,Opening!$I$13,Opening!$D$13,$P$1,$A31,$B31,$M$1)</f>
        <v>0</v>
      </c>
      <c r="P31" s="53">
        <f>_xll.DBRW($C$1,Opening!$G$13,Opening!P$11,$O$1,Opening!$I$13,Opening!$D$13,$P$1,$A31,$B31,$M$1)</f>
        <v>0</v>
      </c>
      <c r="Q31" s="53">
        <f>_xll.DBRW($C$1,Q$15,$Q$16,$O$1,Opening!$I$13,Opening!$D$13,$P$1,$A31,$B31,$M$1)</f>
        <v>0</v>
      </c>
      <c r="R31" s="53">
        <f>_xll.DBRW($C$1,R$15,$Q$16,$O$1,Opening!$I$13,Opening!$D$13,$P$1,$A31,$B31,$M$1)</f>
        <v>0</v>
      </c>
      <c r="S31" s="53">
        <f>_xll.DBRW($C$1,S$15,$Q$16,$O$1,Opening!$I$13,Opening!$D$13,$P$1,$A31,$B31,$M$1)</f>
        <v>0</v>
      </c>
      <c r="T31" s="53">
        <f>_xll.DBRW($C$1,T$15,$Q$16,$O$1,Opening!$I$13,Opening!$D$13,$P$1,$A31,$B31,$M$1)</f>
        <v>0</v>
      </c>
      <c r="U31" s="53">
        <f>_xll.DBRW($C$1,U$15,$Q$16,$O$1,Opening!$I$13,Opening!$D$13,$P$1,$A31,$B31,$M$1)</f>
        <v>0</v>
      </c>
      <c r="V31"/>
      <c r="W31"/>
      <c r="X31"/>
      <c r="Y31"/>
      <c r="Z31"/>
    </row>
    <row r="32" spans="1:26" ht="15.75" customHeight="1">
      <c r="A32" s="66" t="s">
        <v>334</v>
      </c>
      <c r="B32" s="29" t="s">
        <v>330</v>
      </c>
      <c r="C32" s="51" t="s">
        <v>23</v>
      </c>
      <c r="D32" s="52" t="s">
        <v>183</v>
      </c>
      <c r="E32" s="53">
        <f>_xll.DBRW($C$1,Opening!$G$13,Opening!E$11,$O$1,Opening!$I$13,Opening!$D$13,$P$1,$A32,$B32,$M$1)</f>
        <v>0</v>
      </c>
      <c r="F32" s="53">
        <f>_xll.DBRW($C$1,Opening!$G$13,Opening!F$11,$O$1,Opening!$I$13,Opening!$D$13,$P$1,$A32,$B32,$M$1)</f>
        <v>0</v>
      </c>
      <c r="G32" s="53">
        <f>_xll.DBRW($C$1,Opening!$G$13,Opening!G$11,$O$1,Opening!$I$13,Opening!$D$13,$P$1,$A32,$B32,$M$1)</f>
        <v>0</v>
      </c>
      <c r="H32" s="53">
        <f>_xll.DBRW($C$1,Opening!$G$13,Opening!H$11,$O$1,Opening!$I$13,Opening!$D$13,$P$1,$A32,$B32,$M$1)</f>
        <v>0</v>
      </c>
      <c r="I32" s="53">
        <f>_xll.DBRW($C$1,Opening!$G$13,Opening!I$11,$O$1,Opening!$I$13,Opening!$D$13,$P$1,$A32,$B32,$M$1)</f>
        <v>0</v>
      </c>
      <c r="J32" s="53">
        <f>_xll.DBRW($C$1,Opening!$G$13,Opening!J$11,$O$1,Opening!$I$13,Opening!$D$13,$P$1,$A32,$B32,$M$1)</f>
        <v>0</v>
      </c>
      <c r="K32" s="53">
        <f>_xll.DBRW($C$1,Opening!$G$13,Opening!K$11,$O$1,Opening!$I$13,Opening!$D$13,$P$1,$A32,$B32,$M$1)</f>
        <v>0</v>
      </c>
      <c r="L32" s="53">
        <f>_xll.DBRW($C$1,Opening!$G$13,Opening!L$11,$O$1,Opening!$I$13,Opening!$D$13,$P$1,$A32,$B32,$M$1)</f>
        <v>0</v>
      </c>
      <c r="M32" s="53">
        <f>_xll.DBRW($C$1,Opening!$G$13,Opening!M$11,$O$1,Opening!$I$13,Opening!$D$13,$P$1,$A32,$B32,$M$1)</f>
        <v>0</v>
      </c>
      <c r="N32" s="53">
        <f>_xll.DBRW($C$1,Opening!$G$13,Opening!N$11,$O$1,Opening!$I$13,Opening!$D$13,$P$1,$A32,$B32,$M$1)</f>
        <v>0</v>
      </c>
      <c r="O32" s="53">
        <f>_xll.DBRW($C$1,Opening!$G$13,Opening!O$11,$O$1,Opening!$I$13,Opening!$D$13,$P$1,$A32,$B32,$M$1)</f>
        <v>0</v>
      </c>
      <c r="P32" s="53">
        <f>_xll.DBRW($C$1,Opening!$G$13,Opening!P$11,$O$1,Opening!$I$13,Opening!$D$13,$P$1,$A32,$B32,$M$1)</f>
        <v>0</v>
      </c>
      <c r="Q32" s="53">
        <f>_xll.DBRW($C$1,Q$15,$Q$16,$O$1,Opening!$I$13,Opening!$D$13,$P$1,$A32,$B32,$M$1)</f>
        <v>0</v>
      </c>
      <c r="R32" s="53">
        <f>_xll.DBRW($C$1,R$15,$Q$16,$O$1,Opening!$I$13,Opening!$D$13,$P$1,$A32,$B32,$M$1)</f>
        <v>0</v>
      </c>
      <c r="S32" s="53">
        <f>_xll.DBRW($C$1,S$15,$Q$16,$O$1,Opening!$I$13,Opening!$D$13,$P$1,$A32,$B32,$M$1)</f>
        <v>0</v>
      </c>
      <c r="T32" s="53">
        <f>_xll.DBRW($C$1,T$15,$Q$16,$O$1,Opening!$I$13,Opening!$D$13,$P$1,$A32,$B32,$M$1)</f>
        <v>0</v>
      </c>
      <c r="U32" s="53">
        <f>_xll.DBRW($C$1,U$15,$Q$16,$O$1,Opening!$I$13,Opening!$D$13,$P$1,$A32,$B32,$M$1)</f>
        <v>0</v>
      </c>
      <c r="V32"/>
      <c r="W32"/>
      <c r="X32"/>
      <c r="Y32"/>
      <c r="Z32"/>
    </row>
    <row r="33" spans="1:27" ht="15.75" customHeight="1">
      <c r="A33" s="66" t="s">
        <v>334</v>
      </c>
      <c r="B33" s="29" t="s">
        <v>49</v>
      </c>
      <c r="C33" s="51" t="s">
        <v>23</v>
      </c>
      <c r="D33" s="52" t="s">
        <v>49</v>
      </c>
      <c r="E33" s="53">
        <f>_xll.DBRW($C$1,Opening!$G$13,Opening!E$11,$O$1,Opening!$I$13,Opening!$D$13,$P$1,$A33,$B33,$M$1)</f>
        <v>0</v>
      </c>
      <c r="F33" s="53">
        <f>_xll.DBRW($C$1,Opening!$G$13,Opening!F$11,$O$1,Opening!$I$13,Opening!$D$13,$P$1,$A33,$B33,$M$1)</f>
        <v>0</v>
      </c>
      <c r="G33" s="53">
        <f>_xll.DBRW($C$1,Opening!$G$13,Opening!G$11,$O$1,Opening!$I$13,Opening!$D$13,$P$1,$A33,$B33,$M$1)</f>
        <v>0</v>
      </c>
      <c r="H33" s="53">
        <f>_xll.DBRW($C$1,Opening!$G$13,Opening!H$11,$O$1,Opening!$I$13,Opening!$D$13,$P$1,$A33,$B33,$M$1)</f>
        <v>0</v>
      </c>
      <c r="I33" s="53">
        <f>_xll.DBRW($C$1,Opening!$G$13,Opening!I$11,$O$1,Opening!$I$13,Opening!$D$13,$P$1,$A33,$B33,$M$1)</f>
        <v>0</v>
      </c>
      <c r="J33" s="53">
        <f>_xll.DBRW($C$1,Opening!$G$13,Opening!J$11,$O$1,Opening!$I$13,Opening!$D$13,$P$1,$A33,$B33,$M$1)</f>
        <v>0</v>
      </c>
      <c r="K33" s="53">
        <f>_xll.DBRW($C$1,Opening!$G$13,Opening!K$11,$O$1,Opening!$I$13,Opening!$D$13,$P$1,$A33,$B33,$M$1)</f>
        <v>0</v>
      </c>
      <c r="L33" s="53">
        <f>_xll.DBRW($C$1,Opening!$G$13,Opening!L$11,$O$1,Opening!$I$13,Opening!$D$13,$P$1,$A33,$B33,$M$1)</f>
        <v>0</v>
      </c>
      <c r="M33" s="53">
        <f>_xll.DBRW($C$1,Opening!$G$13,Opening!M$11,$O$1,Opening!$I$13,Opening!$D$13,$P$1,$A33,$B33,$M$1)</f>
        <v>0</v>
      </c>
      <c r="N33" s="53">
        <f>_xll.DBRW($C$1,Opening!$G$13,Opening!N$11,$O$1,Opening!$I$13,Opening!$D$13,$P$1,$A33,$B33,$M$1)</f>
        <v>0</v>
      </c>
      <c r="O33" s="53">
        <f>_xll.DBRW($C$1,Opening!$G$13,Opening!O$11,$O$1,Opening!$I$13,Opening!$D$13,$P$1,$A33,$B33,$M$1)</f>
        <v>0</v>
      </c>
      <c r="P33" s="53">
        <f>_xll.DBRW($C$1,Opening!$G$13,Opening!P$11,$O$1,Opening!$I$13,Opening!$D$13,$P$1,$A33,$B33,$M$1)</f>
        <v>0</v>
      </c>
      <c r="Q33" s="53">
        <f>_xll.DBRW($C$1,Q$15,$Q$16,$O$1,Opening!$I$13,Opening!$D$13,$P$1,$A33,$B33,$M$1)</f>
        <v>0</v>
      </c>
      <c r="R33" s="53">
        <f>_xll.DBRW($C$1,R$15,$Q$16,$O$1,Opening!$I$13,Opening!$D$13,$P$1,$A33,$B33,$M$1)</f>
        <v>0</v>
      </c>
      <c r="S33" s="53">
        <f>_xll.DBRW($C$1,S$15,$Q$16,$O$1,Opening!$I$13,Opening!$D$13,$P$1,$A33,$B33,$M$1)</f>
        <v>0</v>
      </c>
      <c r="T33" s="53">
        <f>_xll.DBRW($C$1,T$15,$Q$16,$O$1,Opening!$I$13,Opening!$D$13,$P$1,$A33,$B33,$M$1)</f>
        <v>0</v>
      </c>
      <c r="U33" s="53">
        <f>_xll.DBRW($C$1,U$15,$Q$16,$O$1,Opening!$I$13,Opening!$D$13,$P$1,$A33,$B33,$M$1)</f>
        <v>0</v>
      </c>
      <c r="V33"/>
      <c r="W33"/>
      <c r="X33"/>
      <c r="Y33"/>
      <c r="Z33"/>
    </row>
    <row r="34" spans="1:27" ht="15.75" customHeight="1"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15.75" customHeight="1" thickBot="1">
      <c r="C35" s="3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15.75" customHeight="1" thickTop="1">
      <c r="C36" s="32" t="s">
        <v>191</v>
      </c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ht="15.75" customHeight="1">
      <c r="Q37" s="38">
        <f>$G$13+1</f>
        <v>2027</v>
      </c>
      <c r="R37" s="38">
        <f>$G$13+2</f>
        <v>2028</v>
      </c>
      <c r="S37" s="38">
        <f>$G$13+3</f>
        <v>2029</v>
      </c>
      <c r="T37" s="38">
        <f>$G$13+4</f>
        <v>2030</v>
      </c>
      <c r="U37" s="38">
        <f>$G$13+5</f>
        <v>2031</v>
      </c>
      <c r="V37"/>
      <c r="W37"/>
      <c r="X37"/>
      <c r="Y37"/>
      <c r="Z37"/>
    </row>
    <row r="38" spans="1:27" ht="15.75" customHeight="1">
      <c r="C38" s="31"/>
      <c r="D38" s="31"/>
      <c r="E38" s="38" t="str">
        <f t="shared" ref="E38:P38" si="1">$G$13&amp;"."&amp;E$11</f>
        <v>2026.01</v>
      </c>
      <c r="F38" s="38" t="str">
        <f t="shared" si="1"/>
        <v>2026.02</v>
      </c>
      <c r="G38" s="38" t="str">
        <f t="shared" si="1"/>
        <v>2026.03</v>
      </c>
      <c r="H38" s="38" t="str">
        <f t="shared" si="1"/>
        <v>2026.04</v>
      </c>
      <c r="I38" s="38" t="str">
        <f t="shared" si="1"/>
        <v>2026.05</v>
      </c>
      <c r="J38" s="38" t="str">
        <f t="shared" si="1"/>
        <v>2026.06</v>
      </c>
      <c r="K38" s="38" t="str">
        <f t="shared" si="1"/>
        <v>2026.07</v>
      </c>
      <c r="L38" s="38" t="str">
        <f t="shared" si="1"/>
        <v>2026.08</v>
      </c>
      <c r="M38" s="38" t="str">
        <f t="shared" si="1"/>
        <v>2026.09</v>
      </c>
      <c r="N38" s="38" t="str">
        <f t="shared" si="1"/>
        <v>2026.10</v>
      </c>
      <c r="O38" s="38" t="str">
        <f t="shared" si="1"/>
        <v>2026.11</v>
      </c>
      <c r="P38" s="38" t="str">
        <f t="shared" si="1"/>
        <v>2026.12</v>
      </c>
      <c r="Q38" s="38" t="s">
        <v>304</v>
      </c>
      <c r="R38" s="38" t="s">
        <v>304</v>
      </c>
      <c r="S38" s="38" t="s">
        <v>304</v>
      </c>
      <c r="T38" s="38" t="s">
        <v>304</v>
      </c>
      <c r="U38" s="38" t="s">
        <v>304</v>
      </c>
      <c r="V38"/>
      <c r="W38"/>
      <c r="X38"/>
      <c r="Y38"/>
      <c r="Z38"/>
    </row>
    <row r="39" spans="1:27" ht="15.75" customHeight="1">
      <c r="A39" s="68" t="s">
        <v>345</v>
      </c>
      <c r="C39" s="42" t="s">
        <v>46</v>
      </c>
      <c r="D39" s="42" t="s">
        <v>257</v>
      </c>
      <c r="E39" s="40">
        <f>_xll.DBRW($C$1,Opening!$G$13,Opening!E$11,$O$1,Opening!$I$13,Opening!$D$13,$P$1,$A39,$D39,$M$1)</f>
        <v>0</v>
      </c>
      <c r="F39" s="40">
        <f>_xll.DBRW($C$1,Opening!$G$13,Opening!F$11,$O$1,Opening!$I$13,Opening!$D$13,$P$1,$A39,$D39,$M$1)</f>
        <v>0</v>
      </c>
      <c r="G39" s="40">
        <f>_xll.DBRW($C$1,Opening!$G$13,Opening!G$11,$O$1,Opening!$I$13,Opening!$D$13,$P$1,$A39,$D39,$M$1)</f>
        <v>0</v>
      </c>
      <c r="H39" s="40">
        <f>_xll.DBRW($C$1,Opening!$G$13,Opening!H$11,$O$1,Opening!$I$13,Opening!$D$13,$P$1,$A39,$D39,$M$1)</f>
        <v>0</v>
      </c>
      <c r="I39" s="40">
        <f>_xll.DBRW($C$1,Opening!$G$13,Opening!I$11,$O$1,Opening!$I$13,Opening!$D$13,$P$1,$A39,$D39,$M$1)</f>
        <v>0</v>
      </c>
      <c r="J39" s="40">
        <f>_xll.DBRW($C$1,Opening!$G$13,Opening!J$11,$O$1,Opening!$I$13,Opening!$D$13,$P$1,$A39,$D39,$M$1)</f>
        <v>0</v>
      </c>
      <c r="K39" s="40">
        <f>_xll.DBRW($C$1,Opening!$G$13,Opening!K$11,$O$1,Opening!$I$13,Opening!$D$13,$P$1,$A39,$D39,$M$1)</f>
        <v>0</v>
      </c>
      <c r="L39" s="40">
        <f>_xll.DBRW($C$1,Opening!$G$13,Opening!L$11,$O$1,Opening!$I$13,Opening!$D$13,$P$1,$A39,$D39,$M$1)</f>
        <v>0</v>
      </c>
      <c r="M39" s="40">
        <f>_xll.DBRW($C$1,Opening!$G$13,Opening!M$11,$O$1,Opening!$I$13,Opening!$D$13,$P$1,$A39,$D39,$M$1)</f>
        <v>0</v>
      </c>
      <c r="N39" s="40">
        <f>_xll.DBRW($C$1,Opening!$G$13,Opening!N$11,$O$1,Opening!$I$13,Opening!$D$13,$P$1,$A39,$D39,$M$1)</f>
        <v>0</v>
      </c>
      <c r="O39" s="40">
        <f>_xll.DBRW($C$1,Opening!$G$13,Opening!O$11,$O$1,Opening!$I$13,Opening!$D$13,$P$1,$A39,$D39,$M$1)</f>
        <v>0</v>
      </c>
      <c r="P39" s="40">
        <f>_xll.DBRW($C$1,Opening!$G$13,Opening!P$11,$O$1,Opening!$I$13,Opening!$D$13,$P$1,$A39,$D39,$M$1)</f>
        <v>0</v>
      </c>
      <c r="Q39" s="40">
        <f>_xll.DBRW($C$1,Q$37,$Q$16,$O$1,Opening!$I$13,Opening!$D$13,$P$1,$A39,$D39,$M$1)</f>
        <v>0</v>
      </c>
      <c r="R39" s="40">
        <f>_xll.DBRW($C$1,R$37,$Q$16,$O$1,Opening!$I$13,Opening!$D$13,$P$1,$A39,$D39,$M$1)</f>
        <v>0</v>
      </c>
      <c r="S39" s="40">
        <f>_xll.DBRW($C$1,S$37,$Q$16,$O$1,Opening!$I$13,Opening!$D$13,$P$1,$A39,$D39,$M$1)</f>
        <v>0</v>
      </c>
      <c r="T39" s="40">
        <f>_xll.DBRW($C$1,T$37,$Q$16,$O$1,Opening!$I$13,Opening!$D$13,$P$1,$A39,$D39,$M$1)</f>
        <v>0</v>
      </c>
      <c r="U39" s="40">
        <f>_xll.DBRW($C$1,U$37,$Q$16,$O$1,Opening!$I$13,Opening!$D$13,$P$1,$A39,$D39,$M$1)</f>
        <v>0</v>
      </c>
      <c r="V39"/>
      <c r="W39"/>
      <c r="X39"/>
      <c r="Y39"/>
      <c r="Z39"/>
    </row>
    <row r="40" spans="1:27" ht="15.75" customHeight="1">
      <c r="A40" s="68" t="s">
        <v>345</v>
      </c>
      <c r="B40" s="29" t="s">
        <v>335</v>
      </c>
      <c r="C40" s="37" t="s">
        <v>46</v>
      </c>
      <c r="D40" s="37" t="s">
        <v>192</v>
      </c>
      <c r="E40" s="36">
        <f>_xll.DBRW($C$1,Opening!$G$13,Opening!E$11,$O$1,Opening!$I$13,Opening!$D$13,$P$1,$A40,$B40,$M$1)</f>
        <v>0</v>
      </c>
      <c r="F40" s="36">
        <f>_xll.DBRW($C$1,Opening!$G$13,Opening!F$11,$O$1,Opening!$I$13,Opening!$D$13,$P$1,$A40,$B40,$M$1)</f>
        <v>0</v>
      </c>
      <c r="G40" s="36">
        <f>_xll.DBRW($C$1,Opening!$G$13,Opening!G$11,$O$1,Opening!$I$13,Opening!$D$13,$P$1,$A40,$B40,$M$1)</f>
        <v>0</v>
      </c>
      <c r="H40" s="36">
        <f>_xll.DBRW($C$1,Opening!$G$13,Opening!H$11,$O$1,Opening!$I$13,Opening!$D$13,$P$1,$A40,$B40,$M$1)</f>
        <v>0</v>
      </c>
      <c r="I40" s="36">
        <f>_xll.DBRW($C$1,Opening!$G$13,Opening!I$11,$O$1,Opening!$I$13,Opening!$D$13,$P$1,$A40,$B40,$M$1)</f>
        <v>0</v>
      </c>
      <c r="J40" s="36">
        <f>_xll.DBRW($C$1,Opening!$G$13,Opening!J$11,$O$1,Opening!$I$13,Opening!$D$13,$P$1,$A40,$B40,$M$1)</f>
        <v>0</v>
      </c>
      <c r="K40" s="36">
        <f>_xll.DBRW($C$1,Opening!$G$13,Opening!K$11,$O$1,Opening!$I$13,Opening!$D$13,$P$1,$A40,$B40,$M$1)</f>
        <v>0</v>
      </c>
      <c r="L40" s="36">
        <f>_xll.DBRW($C$1,Opening!$G$13,Opening!L$11,$O$1,Opening!$I$13,Opening!$D$13,$P$1,$A40,$B40,$M$1)</f>
        <v>0</v>
      </c>
      <c r="M40" s="36">
        <f>_xll.DBRW($C$1,Opening!$G$13,Opening!M$11,$O$1,Opening!$I$13,Opening!$D$13,$P$1,$A40,$B40,$M$1)</f>
        <v>0</v>
      </c>
      <c r="N40" s="36">
        <f>_xll.DBRW($C$1,Opening!$G$13,Opening!N$11,$O$1,Opening!$I$13,Opening!$D$13,$P$1,$A40,$B40,$M$1)</f>
        <v>0</v>
      </c>
      <c r="O40" s="36">
        <f>_xll.DBRW($C$1,Opening!$G$13,Opening!O$11,$O$1,Opening!$I$13,Opening!$D$13,$P$1,$A40,$B40,$M$1)</f>
        <v>0</v>
      </c>
      <c r="P40" s="36">
        <f>_xll.DBRW($C$1,Opening!$G$13,Opening!P$11,$O$1,Opening!$I$13,Opening!$D$13,$P$1,$A40,$B40,$M$1)</f>
        <v>0</v>
      </c>
      <c r="Q40" s="36">
        <f>_xll.DBRW($C$1,Q$15,$Q$16,$O$1,Opening!$I$13,Opening!$D$13,$P$1,$A40,$B40,$M$1)</f>
        <v>0</v>
      </c>
      <c r="R40" s="36">
        <f>_xll.DBRW($C$1,R$15,$Q$16,$O$1,Opening!$I$13,Opening!$D$13,$P$1,$A40,$B40,$M$1)</f>
        <v>0</v>
      </c>
      <c r="S40" s="36">
        <f>_xll.DBRW($C$1,S$15,$Q$16,$O$1,Opening!$I$13,Opening!$D$13,$P$1,$A40,$B40,$M$1)</f>
        <v>0</v>
      </c>
      <c r="T40" s="36">
        <f>_xll.DBRW($C$1,T$15,$Q$16,$O$1,Opening!$I$13,Opening!$D$13,$P$1,$A40,$B40,$M$1)</f>
        <v>0</v>
      </c>
      <c r="U40" s="36">
        <f>_xll.DBRW($C$1,U$15,$Q$16,$O$1,Opening!$I$13,Opening!$D$13,$P$1,$A40,$B40,$M$1)</f>
        <v>0</v>
      </c>
      <c r="V40"/>
      <c r="W40"/>
      <c r="X40"/>
      <c r="Y40"/>
      <c r="Z40"/>
    </row>
    <row r="41" spans="1:27" ht="41.4">
      <c r="A41" s="68" t="s">
        <v>345</v>
      </c>
      <c r="B41" s="29" t="s">
        <v>336</v>
      </c>
      <c r="C41" s="37" t="s">
        <v>46</v>
      </c>
      <c r="D41" s="37" t="s">
        <v>193</v>
      </c>
      <c r="E41" s="36">
        <f>_xll.DBRW($C$1,Opening!$G$13,Opening!E$11,$O$1,Opening!$I$13,Opening!$D$13,$P$1,$A41,$B41,$M$1)</f>
        <v>0</v>
      </c>
      <c r="F41" s="36">
        <f>_xll.DBRW($C$1,Opening!$G$13,Opening!F$11,$O$1,Opening!$I$13,Opening!$D$13,$P$1,$A41,$B41,$M$1)</f>
        <v>0</v>
      </c>
      <c r="G41" s="36">
        <f>_xll.DBRW($C$1,Opening!$G$13,Opening!G$11,$O$1,Opening!$I$13,Opening!$D$13,$P$1,$A41,$B41,$M$1)</f>
        <v>0</v>
      </c>
      <c r="H41" s="36">
        <f>_xll.DBRW($C$1,Opening!$G$13,Opening!H$11,$O$1,Opening!$I$13,Opening!$D$13,$P$1,$A41,$B41,$M$1)</f>
        <v>0</v>
      </c>
      <c r="I41" s="36">
        <f>_xll.DBRW($C$1,Opening!$G$13,Opening!I$11,$O$1,Opening!$I$13,Opening!$D$13,$P$1,$A41,$B41,$M$1)</f>
        <v>0</v>
      </c>
      <c r="J41" s="36">
        <f>_xll.DBRW($C$1,Opening!$G$13,Opening!J$11,$O$1,Opening!$I$13,Opening!$D$13,$P$1,$A41,$B41,$M$1)</f>
        <v>0</v>
      </c>
      <c r="K41" s="36">
        <f>_xll.DBRW($C$1,Opening!$G$13,Opening!K$11,$O$1,Opening!$I$13,Opening!$D$13,$P$1,$A41,$B41,$M$1)</f>
        <v>0</v>
      </c>
      <c r="L41" s="36">
        <f>_xll.DBRW($C$1,Opening!$G$13,Opening!L$11,$O$1,Opening!$I$13,Opening!$D$13,$P$1,$A41,$B41,$M$1)</f>
        <v>0</v>
      </c>
      <c r="M41" s="36">
        <f>_xll.DBRW($C$1,Opening!$G$13,Opening!M$11,$O$1,Opening!$I$13,Opening!$D$13,$P$1,$A41,$B41,$M$1)</f>
        <v>0</v>
      </c>
      <c r="N41" s="36">
        <f>_xll.DBRW($C$1,Opening!$G$13,Opening!N$11,$O$1,Opening!$I$13,Opening!$D$13,$P$1,$A41,$B41,$M$1)</f>
        <v>0</v>
      </c>
      <c r="O41" s="36">
        <f>_xll.DBRW($C$1,Opening!$G$13,Opening!O$11,$O$1,Opening!$I$13,Opening!$D$13,$P$1,$A41,$B41,$M$1)</f>
        <v>0</v>
      </c>
      <c r="P41" s="36">
        <f>_xll.DBRW($C$1,Opening!$G$13,Opening!P$11,$O$1,Opening!$I$13,Opening!$D$13,$P$1,$A41,$B41,$M$1)</f>
        <v>0</v>
      </c>
      <c r="Q41" s="36">
        <f>_xll.DBRW($C$1,Q$15,$Q$16,$O$1,Opening!$I$13,Opening!$D$13,$P$1,$A41,$B41,$M$1)</f>
        <v>0</v>
      </c>
      <c r="R41" s="36">
        <f>_xll.DBRW($C$1,R$15,$Q$16,$O$1,Opening!$I$13,Opening!$D$13,$P$1,$A41,$B41,$M$1)</f>
        <v>0</v>
      </c>
      <c r="S41" s="36">
        <f>_xll.DBRW($C$1,S$15,$Q$16,$O$1,Opening!$I$13,Opening!$D$13,$P$1,$A41,$B41,$M$1)</f>
        <v>0</v>
      </c>
      <c r="T41" s="36">
        <f>_xll.DBRW($C$1,T$15,$Q$16,$O$1,Opening!$I$13,Opening!$D$13,$P$1,$A41,$B41,$M$1)</f>
        <v>0</v>
      </c>
      <c r="U41" s="36">
        <f>_xll.DBRW($C$1,U$15,$Q$16,$O$1,Opening!$I$13,Opening!$D$13,$P$1,$A41,$B41,$M$1)</f>
        <v>0</v>
      </c>
      <c r="V41"/>
      <c r="W41"/>
      <c r="X41"/>
      <c r="Y41"/>
      <c r="Z41"/>
    </row>
    <row r="42" spans="1:27" ht="15.75" customHeight="1">
      <c r="A42" s="68" t="s">
        <v>345</v>
      </c>
      <c r="B42" s="29" t="s">
        <v>337</v>
      </c>
      <c r="C42" s="37" t="s">
        <v>46</v>
      </c>
      <c r="D42" s="37" t="s">
        <v>194</v>
      </c>
      <c r="E42" s="36">
        <f>_xll.DBRW($C$1,Opening!$G$13,Opening!E$11,$O$1,Opening!$I$13,Opening!$D$13,$P$1,$A42,$B42,$M$1)</f>
        <v>0</v>
      </c>
      <c r="F42" s="36">
        <f>_xll.DBRW($C$1,Opening!$G$13,Opening!F$11,$O$1,Opening!$I$13,Opening!$D$13,$P$1,$A42,$B42,$M$1)</f>
        <v>0</v>
      </c>
      <c r="G42" s="36">
        <f>_xll.DBRW($C$1,Opening!$G$13,Opening!G$11,$O$1,Opening!$I$13,Opening!$D$13,$P$1,$A42,$B42,$M$1)</f>
        <v>0</v>
      </c>
      <c r="H42" s="36">
        <f>_xll.DBRW($C$1,Opening!$G$13,Opening!H$11,$O$1,Opening!$I$13,Opening!$D$13,$P$1,$A42,$B42,$M$1)</f>
        <v>0</v>
      </c>
      <c r="I42" s="36">
        <f>_xll.DBRW($C$1,Opening!$G$13,Opening!I$11,$O$1,Opening!$I$13,Opening!$D$13,$P$1,$A42,$B42,$M$1)</f>
        <v>0</v>
      </c>
      <c r="J42" s="36">
        <f>_xll.DBRW($C$1,Opening!$G$13,Opening!J$11,$O$1,Opening!$I$13,Opening!$D$13,$P$1,$A42,$B42,$M$1)</f>
        <v>0</v>
      </c>
      <c r="K42" s="36">
        <f>_xll.DBRW($C$1,Opening!$G$13,Opening!K$11,$O$1,Opening!$I$13,Opening!$D$13,$P$1,$A42,$B42,$M$1)</f>
        <v>0</v>
      </c>
      <c r="L42" s="36">
        <f>_xll.DBRW($C$1,Opening!$G$13,Opening!L$11,$O$1,Opening!$I$13,Opening!$D$13,$P$1,$A42,$B42,$M$1)</f>
        <v>0</v>
      </c>
      <c r="M42" s="36">
        <f>_xll.DBRW($C$1,Opening!$G$13,Opening!M$11,$O$1,Opening!$I$13,Opening!$D$13,$P$1,$A42,$B42,$M$1)</f>
        <v>0</v>
      </c>
      <c r="N42" s="36">
        <f>_xll.DBRW($C$1,Opening!$G$13,Opening!N$11,$O$1,Opening!$I$13,Opening!$D$13,$P$1,$A42,$B42,$M$1)</f>
        <v>0</v>
      </c>
      <c r="O42" s="36">
        <f>_xll.DBRW($C$1,Opening!$G$13,Opening!O$11,$O$1,Opening!$I$13,Opening!$D$13,$P$1,$A42,$B42,$M$1)</f>
        <v>0</v>
      </c>
      <c r="P42" s="36">
        <f>_xll.DBRW($C$1,Opening!$G$13,Opening!P$11,$O$1,Opening!$I$13,Opening!$D$13,$P$1,$A42,$B42,$M$1)</f>
        <v>0</v>
      </c>
      <c r="Q42" s="36">
        <f>_xll.DBRW($C$1,Q$15,$Q$16,$O$1,Opening!$I$13,Opening!$D$13,$P$1,$A42,$B42,$M$1)</f>
        <v>0</v>
      </c>
      <c r="R42" s="36">
        <f>_xll.DBRW($C$1,R$15,$Q$16,$O$1,Opening!$I$13,Opening!$D$13,$P$1,$A42,$B42,$M$1)</f>
        <v>0</v>
      </c>
      <c r="S42" s="36">
        <f>_xll.DBRW($C$1,S$15,$Q$16,$O$1,Opening!$I$13,Opening!$D$13,$P$1,$A42,$B42,$M$1)</f>
        <v>0</v>
      </c>
      <c r="T42" s="36">
        <f>_xll.DBRW($C$1,T$15,$Q$16,$O$1,Opening!$I$13,Opening!$D$13,$P$1,$A42,$B42,$M$1)</f>
        <v>0</v>
      </c>
      <c r="U42" s="36">
        <f>_xll.DBRW($C$1,U$15,$Q$16,$O$1,Opening!$I$13,Opening!$D$13,$P$1,$A42,$B42,$M$1)</f>
        <v>0</v>
      </c>
      <c r="V42"/>
      <c r="W42"/>
      <c r="X42"/>
      <c r="Y42"/>
      <c r="Z42"/>
    </row>
    <row r="43" spans="1:27" ht="15.75" customHeight="1">
      <c r="A43" s="68" t="s">
        <v>345</v>
      </c>
      <c r="B43" s="29" t="s">
        <v>338</v>
      </c>
      <c r="C43" s="37" t="s">
        <v>46</v>
      </c>
      <c r="D43" s="37" t="s">
        <v>195</v>
      </c>
      <c r="E43" s="36">
        <f>_xll.DBRW($C$1,Opening!$G$13,Opening!E$11,$O$1,Opening!$I$13,Opening!$D$13,$P$1,$A43,$B43,$M$1)</f>
        <v>0</v>
      </c>
      <c r="F43" s="36">
        <f>_xll.DBRW($C$1,Opening!$G$13,Opening!F$11,$O$1,Opening!$I$13,Opening!$D$13,$P$1,$A43,$B43,$M$1)</f>
        <v>0</v>
      </c>
      <c r="G43" s="36">
        <f>_xll.DBRW($C$1,Opening!$G$13,Opening!G$11,$O$1,Opening!$I$13,Opening!$D$13,$P$1,$A43,$B43,$M$1)</f>
        <v>0</v>
      </c>
      <c r="H43" s="36">
        <f>_xll.DBRW($C$1,Opening!$G$13,Opening!H$11,$O$1,Opening!$I$13,Opening!$D$13,$P$1,$A43,$B43,$M$1)</f>
        <v>0</v>
      </c>
      <c r="I43" s="36">
        <f>_xll.DBRW($C$1,Opening!$G$13,Opening!I$11,$O$1,Opening!$I$13,Opening!$D$13,$P$1,$A43,$B43,$M$1)</f>
        <v>0</v>
      </c>
      <c r="J43" s="36">
        <f>_xll.DBRW($C$1,Opening!$G$13,Opening!J$11,$O$1,Opening!$I$13,Opening!$D$13,$P$1,$A43,$B43,$M$1)</f>
        <v>0</v>
      </c>
      <c r="K43" s="36">
        <f>_xll.DBRW($C$1,Opening!$G$13,Opening!K$11,$O$1,Opening!$I$13,Opening!$D$13,$P$1,$A43,$B43,$M$1)</f>
        <v>0</v>
      </c>
      <c r="L43" s="36">
        <f>_xll.DBRW($C$1,Opening!$G$13,Opening!L$11,$O$1,Opening!$I$13,Opening!$D$13,$P$1,$A43,$B43,$M$1)</f>
        <v>0</v>
      </c>
      <c r="M43" s="36">
        <f>_xll.DBRW($C$1,Opening!$G$13,Opening!M$11,$O$1,Opening!$I$13,Opening!$D$13,$P$1,$A43,$B43,$M$1)</f>
        <v>0</v>
      </c>
      <c r="N43" s="36">
        <f>_xll.DBRW($C$1,Opening!$G$13,Opening!N$11,$O$1,Opening!$I$13,Opening!$D$13,$P$1,$A43,$B43,$M$1)</f>
        <v>0</v>
      </c>
      <c r="O43" s="36">
        <f>_xll.DBRW($C$1,Opening!$G$13,Opening!O$11,$O$1,Opening!$I$13,Opening!$D$13,$P$1,$A43,$B43,$M$1)</f>
        <v>0</v>
      </c>
      <c r="P43" s="36">
        <f>_xll.DBRW($C$1,Opening!$G$13,Opening!P$11,$O$1,Opening!$I$13,Opening!$D$13,$P$1,$A43,$B43,$M$1)</f>
        <v>0</v>
      </c>
      <c r="Q43" s="36">
        <f>_xll.DBRW($C$1,Q$15,$Q$16,$O$1,Opening!$I$13,Opening!$D$13,$P$1,$A43,$B43,$M$1)</f>
        <v>0</v>
      </c>
      <c r="R43" s="36">
        <f>_xll.DBRW($C$1,R$15,$Q$16,$O$1,Opening!$I$13,Opening!$D$13,$P$1,$A43,$B43,$M$1)</f>
        <v>0</v>
      </c>
      <c r="S43" s="36">
        <f>_xll.DBRW($C$1,S$15,$Q$16,$O$1,Opening!$I$13,Opening!$D$13,$P$1,$A43,$B43,$M$1)</f>
        <v>0</v>
      </c>
      <c r="T43" s="36">
        <f>_xll.DBRW($C$1,T$15,$Q$16,$O$1,Opening!$I$13,Opening!$D$13,$P$1,$A43,$B43,$M$1)</f>
        <v>0</v>
      </c>
      <c r="U43" s="36">
        <f>_xll.DBRW($C$1,U$15,$Q$16,$O$1,Opening!$I$13,Opening!$D$13,$P$1,$A43,$B43,$M$1)</f>
        <v>0</v>
      </c>
      <c r="V43"/>
      <c r="W43"/>
      <c r="X43"/>
      <c r="Y43"/>
      <c r="Z43"/>
    </row>
    <row r="44" spans="1:27" ht="15.75" customHeight="1">
      <c r="A44" s="68" t="s">
        <v>345</v>
      </c>
      <c r="B44" s="29" t="s">
        <v>339</v>
      </c>
      <c r="C44" s="37" t="s">
        <v>46</v>
      </c>
      <c r="D44" s="37" t="s">
        <v>196</v>
      </c>
      <c r="E44" s="36">
        <f>_xll.DBRW($C$1,Opening!$G$13,Opening!E$11,$O$1,Opening!$I$13,Opening!$D$13,$P$1,$A44,$B44,$M$1)</f>
        <v>0</v>
      </c>
      <c r="F44" s="36">
        <f>_xll.DBRW($C$1,Opening!$G$13,Opening!F$11,$O$1,Opening!$I$13,Opening!$D$13,$P$1,$A44,$B44,$M$1)</f>
        <v>0</v>
      </c>
      <c r="G44" s="36">
        <f>_xll.DBRW($C$1,Opening!$G$13,Opening!G$11,$O$1,Opening!$I$13,Opening!$D$13,$P$1,$A44,$B44,$M$1)</f>
        <v>0</v>
      </c>
      <c r="H44" s="36">
        <f>_xll.DBRW($C$1,Opening!$G$13,Opening!H$11,$O$1,Opening!$I$13,Opening!$D$13,$P$1,$A44,$B44,$M$1)</f>
        <v>0</v>
      </c>
      <c r="I44" s="36">
        <f>_xll.DBRW($C$1,Opening!$G$13,Opening!I$11,$O$1,Opening!$I$13,Opening!$D$13,$P$1,$A44,$B44,$M$1)</f>
        <v>0</v>
      </c>
      <c r="J44" s="36">
        <f>_xll.DBRW($C$1,Opening!$G$13,Opening!J$11,$O$1,Opening!$I$13,Opening!$D$13,$P$1,$A44,$B44,$M$1)</f>
        <v>0</v>
      </c>
      <c r="K44" s="36">
        <f>_xll.DBRW($C$1,Opening!$G$13,Opening!K$11,$O$1,Opening!$I$13,Opening!$D$13,$P$1,$A44,$B44,$M$1)</f>
        <v>0</v>
      </c>
      <c r="L44" s="36">
        <f>_xll.DBRW($C$1,Opening!$G$13,Opening!L$11,$O$1,Opening!$I$13,Opening!$D$13,$P$1,$A44,$B44,$M$1)</f>
        <v>0</v>
      </c>
      <c r="M44" s="36">
        <f>_xll.DBRW($C$1,Opening!$G$13,Opening!M$11,$O$1,Opening!$I$13,Opening!$D$13,$P$1,$A44,$B44,$M$1)</f>
        <v>0</v>
      </c>
      <c r="N44" s="36">
        <f>_xll.DBRW($C$1,Opening!$G$13,Opening!N$11,$O$1,Opening!$I$13,Opening!$D$13,$P$1,$A44,$B44,$M$1)</f>
        <v>0</v>
      </c>
      <c r="O44" s="36">
        <f>_xll.DBRW($C$1,Opening!$G$13,Opening!O$11,$O$1,Opening!$I$13,Opening!$D$13,$P$1,$A44,$B44,$M$1)</f>
        <v>0</v>
      </c>
      <c r="P44" s="36">
        <f>_xll.DBRW($C$1,Opening!$G$13,Opening!P$11,$O$1,Opening!$I$13,Opening!$D$13,$P$1,$A44,$B44,$M$1)</f>
        <v>0</v>
      </c>
      <c r="Q44" s="36">
        <f>_xll.DBRW($C$1,Q$15,$Q$16,$O$1,Opening!$I$13,Opening!$D$13,$P$1,$A44,$B44,$M$1)</f>
        <v>0</v>
      </c>
      <c r="R44" s="36">
        <f>_xll.DBRW($C$1,R$15,$Q$16,$O$1,Opening!$I$13,Opening!$D$13,$P$1,$A44,$B44,$M$1)</f>
        <v>0</v>
      </c>
      <c r="S44" s="36">
        <f>_xll.DBRW($C$1,S$15,$Q$16,$O$1,Opening!$I$13,Opening!$D$13,$P$1,$A44,$B44,$M$1)</f>
        <v>0</v>
      </c>
      <c r="T44" s="36">
        <f>_xll.DBRW($C$1,T$15,$Q$16,$O$1,Opening!$I$13,Opening!$D$13,$P$1,$A44,$B44,$M$1)</f>
        <v>0</v>
      </c>
      <c r="U44" s="36">
        <f>_xll.DBRW($C$1,U$15,$Q$16,$O$1,Opening!$I$13,Opening!$D$13,$P$1,$A44,$B44,$M$1)</f>
        <v>0</v>
      </c>
      <c r="V44"/>
      <c r="W44"/>
      <c r="X44"/>
      <c r="Y44"/>
      <c r="Z44"/>
    </row>
    <row r="45" spans="1:27" ht="15.75" customHeight="1">
      <c r="A45" s="68" t="s">
        <v>345</v>
      </c>
      <c r="B45" s="29" t="s">
        <v>340</v>
      </c>
      <c r="C45" s="37" t="s">
        <v>46</v>
      </c>
      <c r="D45" s="37" t="s">
        <v>197</v>
      </c>
      <c r="E45" s="36">
        <f>_xll.DBRW($C$1,Opening!$G$13,Opening!E$11,$O$1,Opening!$I$13,Opening!$D$13,$P$1,$A45,$B45,$M$1)</f>
        <v>0</v>
      </c>
      <c r="F45" s="36">
        <f>_xll.DBRW($C$1,Opening!$G$13,Opening!F$11,$O$1,Opening!$I$13,Opening!$D$13,$P$1,$A45,$B45,$M$1)</f>
        <v>0</v>
      </c>
      <c r="G45" s="36">
        <f>_xll.DBRW($C$1,Opening!$G$13,Opening!G$11,$O$1,Opening!$I$13,Opening!$D$13,$P$1,$A45,$B45,$M$1)</f>
        <v>0</v>
      </c>
      <c r="H45" s="36">
        <f>_xll.DBRW($C$1,Opening!$G$13,Opening!H$11,$O$1,Opening!$I$13,Opening!$D$13,$P$1,$A45,$B45,$M$1)</f>
        <v>0</v>
      </c>
      <c r="I45" s="36">
        <f>_xll.DBRW($C$1,Opening!$G$13,Opening!I$11,$O$1,Opening!$I$13,Opening!$D$13,$P$1,$A45,$B45,$M$1)</f>
        <v>0</v>
      </c>
      <c r="J45" s="36">
        <f>_xll.DBRW($C$1,Opening!$G$13,Opening!J$11,$O$1,Opening!$I$13,Opening!$D$13,$P$1,$A45,$B45,$M$1)</f>
        <v>0</v>
      </c>
      <c r="K45" s="36">
        <f>_xll.DBRW($C$1,Opening!$G$13,Opening!K$11,$O$1,Opening!$I$13,Opening!$D$13,$P$1,$A45,$B45,$M$1)</f>
        <v>0</v>
      </c>
      <c r="L45" s="36">
        <f>_xll.DBRW($C$1,Opening!$G$13,Opening!L$11,$O$1,Opening!$I$13,Opening!$D$13,$P$1,$A45,$B45,$M$1)</f>
        <v>0</v>
      </c>
      <c r="M45" s="36">
        <f>_xll.DBRW($C$1,Opening!$G$13,Opening!M$11,$O$1,Opening!$I$13,Opening!$D$13,$P$1,$A45,$B45,$M$1)</f>
        <v>0</v>
      </c>
      <c r="N45" s="36">
        <f>_xll.DBRW($C$1,Opening!$G$13,Opening!N$11,$O$1,Opening!$I$13,Opening!$D$13,$P$1,$A45,$B45,$M$1)</f>
        <v>0</v>
      </c>
      <c r="O45" s="36">
        <f>_xll.DBRW($C$1,Opening!$G$13,Opening!O$11,$O$1,Opening!$I$13,Opening!$D$13,$P$1,$A45,$B45,$M$1)</f>
        <v>0</v>
      </c>
      <c r="P45" s="36">
        <f>_xll.DBRW($C$1,Opening!$G$13,Opening!P$11,$O$1,Opening!$I$13,Opening!$D$13,$P$1,$A45,$B45,$M$1)</f>
        <v>0</v>
      </c>
      <c r="Q45" s="36">
        <f>_xll.DBRW($C$1,Q$15,$Q$16,$O$1,Opening!$I$13,Opening!$D$13,$P$1,$A45,$B45,$M$1)</f>
        <v>0</v>
      </c>
      <c r="R45" s="36">
        <f>_xll.DBRW($C$1,R$15,$Q$16,$O$1,Opening!$I$13,Opening!$D$13,$P$1,$A45,$B45,$M$1)</f>
        <v>0</v>
      </c>
      <c r="S45" s="36">
        <f>_xll.DBRW($C$1,S$15,$Q$16,$O$1,Opening!$I$13,Opening!$D$13,$P$1,$A45,$B45,$M$1)</f>
        <v>0</v>
      </c>
      <c r="T45" s="36">
        <f>_xll.DBRW($C$1,T$15,$Q$16,$O$1,Opening!$I$13,Opening!$D$13,$P$1,$A45,$B45,$M$1)</f>
        <v>0</v>
      </c>
      <c r="U45" s="36">
        <f>_xll.DBRW($C$1,U$15,$Q$16,$O$1,Opening!$I$13,Opening!$D$13,$P$1,$A45,$B45,$M$1)</f>
        <v>0</v>
      </c>
      <c r="V45"/>
      <c r="W45"/>
      <c r="X45"/>
      <c r="Y45"/>
      <c r="Z45"/>
    </row>
    <row r="46" spans="1:27" ht="15.75" customHeight="1">
      <c r="A46" s="68" t="s">
        <v>345</v>
      </c>
      <c r="B46" s="29" t="s">
        <v>341</v>
      </c>
      <c r="C46" s="37" t="s">
        <v>46</v>
      </c>
      <c r="D46" s="37" t="s">
        <v>198</v>
      </c>
      <c r="E46" s="36">
        <f>_xll.DBRW($C$1,Opening!$G$13,Opening!E$11,$O$1,Opening!$I$13,Opening!$D$13,$P$1,$A46,$B46,$M$1)</f>
        <v>0</v>
      </c>
      <c r="F46" s="36">
        <f>_xll.DBRW($C$1,Opening!$G$13,Opening!F$11,$O$1,Opening!$I$13,Opening!$D$13,$P$1,$A46,$B46,$M$1)</f>
        <v>0</v>
      </c>
      <c r="G46" s="36">
        <f>_xll.DBRW($C$1,Opening!$G$13,Opening!G$11,$O$1,Opening!$I$13,Opening!$D$13,$P$1,$A46,$B46,$M$1)</f>
        <v>0</v>
      </c>
      <c r="H46" s="36">
        <f>_xll.DBRW($C$1,Opening!$G$13,Opening!H$11,$O$1,Opening!$I$13,Opening!$D$13,$P$1,$A46,$B46,$M$1)</f>
        <v>0</v>
      </c>
      <c r="I46" s="36">
        <f>_xll.DBRW($C$1,Opening!$G$13,Opening!I$11,$O$1,Opening!$I$13,Opening!$D$13,$P$1,$A46,$B46,$M$1)</f>
        <v>0</v>
      </c>
      <c r="J46" s="36">
        <f>_xll.DBRW($C$1,Opening!$G$13,Opening!J$11,$O$1,Opening!$I$13,Opening!$D$13,$P$1,$A46,$B46,$M$1)</f>
        <v>0</v>
      </c>
      <c r="K46" s="36">
        <f>_xll.DBRW($C$1,Opening!$G$13,Opening!K$11,$O$1,Opening!$I$13,Opening!$D$13,$P$1,$A46,$B46,$M$1)</f>
        <v>0</v>
      </c>
      <c r="L46" s="36">
        <f>_xll.DBRW($C$1,Opening!$G$13,Opening!L$11,$O$1,Opening!$I$13,Opening!$D$13,$P$1,$A46,$B46,$M$1)</f>
        <v>0</v>
      </c>
      <c r="M46" s="36">
        <f>_xll.DBRW($C$1,Opening!$G$13,Opening!M$11,$O$1,Opening!$I$13,Opening!$D$13,$P$1,$A46,$B46,$M$1)</f>
        <v>0</v>
      </c>
      <c r="N46" s="36">
        <f>_xll.DBRW($C$1,Opening!$G$13,Opening!N$11,$O$1,Opening!$I$13,Opening!$D$13,$P$1,$A46,$B46,$M$1)</f>
        <v>0</v>
      </c>
      <c r="O46" s="36">
        <f>_xll.DBRW($C$1,Opening!$G$13,Opening!O$11,$O$1,Opening!$I$13,Opening!$D$13,$P$1,$A46,$B46,$M$1)</f>
        <v>0</v>
      </c>
      <c r="P46" s="36">
        <f>_xll.DBRW($C$1,Opening!$G$13,Opening!P$11,$O$1,Opening!$I$13,Opening!$D$13,$P$1,$A46,$B46,$M$1)</f>
        <v>0</v>
      </c>
      <c r="Q46" s="36">
        <f>_xll.DBRW($C$1,Q$15,$Q$16,$O$1,Opening!$I$13,Opening!$D$13,$P$1,$A46,$B46,$M$1)</f>
        <v>0</v>
      </c>
      <c r="R46" s="36">
        <f>_xll.DBRW($C$1,R$15,$Q$16,$O$1,Opening!$I$13,Opening!$D$13,$P$1,$A46,$B46,$M$1)</f>
        <v>0</v>
      </c>
      <c r="S46" s="36">
        <f>_xll.DBRW($C$1,S$15,$Q$16,$O$1,Opening!$I$13,Opening!$D$13,$P$1,$A46,$B46,$M$1)</f>
        <v>0</v>
      </c>
      <c r="T46" s="36">
        <f>_xll.DBRW($C$1,T$15,$Q$16,$O$1,Opening!$I$13,Opening!$D$13,$P$1,$A46,$B46,$M$1)</f>
        <v>0</v>
      </c>
      <c r="U46" s="36">
        <f>_xll.DBRW($C$1,U$15,$Q$16,$O$1,Opening!$I$13,Opening!$D$13,$P$1,$A46,$B46,$M$1)</f>
        <v>0</v>
      </c>
      <c r="V46"/>
      <c r="W46"/>
      <c r="X46"/>
      <c r="Y46"/>
      <c r="Z46"/>
    </row>
    <row r="47" spans="1:27" ht="15.75" customHeight="1">
      <c r="A47" s="68" t="s">
        <v>345</v>
      </c>
      <c r="B47" s="29" t="s">
        <v>342</v>
      </c>
      <c r="C47" s="37" t="s">
        <v>46</v>
      </c>
      <c r="D47" s="37" t="s">
        <v>199</v>
      </c>
      <c r="E47" s="36">
        <f>_xll.DBRW($C$1,Opening!$G$13,Opening!E$11,$O$1,Opening!$I$13,Opening!$D$13,$P$1,$A47,$B47,$M$1)</f>
        <v>0</v>
      </c>
      <c r="F47" s="36">
        <f>_xll.DBRW($C$1,Opening!$G$13,Opening!F$11,$O$1,Opening!$I$13,Opening!$D$13,$P$1,$A47,$B47,$M$1)</f>
        <v>0</v>
      </c>
      <c r="G47" s="36">
        <f>_xll.DBRW($C$1,Opening!$G$13,Opening!G$11,$O$1,Opening!$I$13,Opening!$D$13,$P$1,$A47,$B47,$M$1)</f>
        <v>0</v>
      </c>
      <c r="H47" s="36">
        <f>_xll.DBRW($C$1,Opening!$G$13,Opening!H$11,$O$1,Opening!$I$13,Opening!$D$13,$P$1,$A47,$B47,$M$1)</f>
        <v>0</v>
      </c>
      <c r="I47" s="36">
        <f>_xll.DBRW($C$1,Opening!$G$13,Opening!I$11,$O$1,Opening!$I$13,Opening!$D$13,$P$1,$A47,$B47,$M$1)</f>
        <v>0</v>
      </c>
      <c r="J47" s="36">
        <f>_xll.DBRW($C$1,Opening!$G$13,Opening!J$11,$O$1,Opening!$I$13,Opening!$D$13,$P$1,$A47,$B47,$M$1)</f>
        <v>0</v>
      </c>
      <c r="K47" s="36">
        <f>_xll.DBRW($C$1,Opening!$G$13,Opening!K$11,$O$1,Opening!$I$13,Opening!$D$13,$P$1,$A47,$B47,$M$1)</f>
        <v>0</v>
      </c>
      <c r="L47" s="36">
        <f>_xll.DBRW($C$1,Opening!$G$13,Opening!L$11,$O$1,Opening!$I$13,Opening!$D$13,$P$1,$A47,$B47,$M$1)</f>
        <v>0</v>
      </c>
      <c r="M47" s="36">
        <f>_xll.DBRW($C$1,Opening!$G$13,Opening!M$11,$O$1,Opening!$I$13,Opening!$D$13,$P$1,$A47,$B47,$M$1)</f>
        <v>0</v>
      </c>
      <c r="N47" s="36">
        <f>_xll.DBRW($C$1,Opening!$G$13,Opening!N$11,$O$1,Opening!$I$13,Opening!$D$13,$P$1,$A47,$B47,$M$1)</f>
        <v>0</v>
      </c>
      <c r="O47" s="36">
        <f>_xll.DBRW($C$1,Opening!$G$13,Opening!O$11,$O$1,Opening!$I$13,Opening!$D$13,$P$1,$A47,$B47,$M$1)</f>
        <v>0</v>
      </c>
      <c r="P47" s="36">
        <f>_xll.DBRW($C$1,Opening!$G$13,Opening!P$11,$O$1,Opening!$I$13,Opening!$D$13,$P$1,$A47,$B47,$M$1)</f>
        <v>0</v>
      </c>
      <c r="Q47" s="36">
        <f>_xll.DBRW($C$1,Q$15,$Q$16,$O$1,Opening!$I$13,Opening!$D$13,$P$1,$A47,$B47,$M$1)</f>
        <v>0</v>
      </c>
      <c r="R47" s="36">
        <f>_xll.DBRW($C$1,R$15,$Q$16,$O$1,Opening!$I$13,Opening!$D$13,$P$1,$A47,$B47,$M$1)</f>
        <v>0</v>
      </c>
      <c r="S47" s="36">
        <f>_xll.DBRW($C$1,S$15,$Q$16,$O$1,Opening!$I$13,Opening!$D$13,$P$1,$A47,$B47,$M$1)</f>
        <v>0</v>
      </c>
      <c r="T47" s="36">
        <f>_xll.DBRW($C$1,T$15,$Q$16,$O$1,Opening!$I$13,Opening!$D$13,$P$1,$A47,$B47,$M$1)</f>
        <v>0</v>
      </c>
      <c r="U47" s="36">
        <f>_xll.DBRW($C$1,U$15,$Q$16,$O$1,Opening!$I$13,Opening!$D$13,$P$1,$A47,$B47,$M$1)</f>
        <v>0</v>
      </c>
      <c r="V47"/>
      <c r="W47"/>
      <c r="X47"/>
      <c r="Y47"/>
      <c r="Z47"/>
    </row>
    <row r="48" spans="1:27" ht="15.75" customHeight="1">
      <c r="A48" s="68" t="s">
        <v>345</v>
      </c>
      <c r="B48" s="29" t="s">
        <v>343</v>
      </c>
      <c r="C48" s="37" t="s">
        <v>46</v>
      </c>
      <c r="D48" s="37" t="s">
        <v>200</v>
      </c>
      <c r="E48" s="36">
        <f>_xll.DBRW($C$1,Opening!$G$13,Opening!E$11,$O$1,Opening!$I$13,Opening!$D$13,$P$1,$A48,$B48,$M$1)</f>
        <v>0</v>
      </c>
      <c r="F48" s="36">
        <f>_xll.DBRW($C$1,Opening!$G$13,Opening!F$11,$O$1,Opening!$I$13,Opening!$D$13,$P$1,$A48,$B48,$M$1)</f>
        <v>0</v>
      </c>
      <c r="G48" s="36">
        <f>_xll.DBRW($C$1,Opening!$G$13,Opening!G$11,$O$1,Opening!$I$13,Opening!$D$13,$P$1,$A48,$B48,$M$1)</f>
        <v>0</v>
      </c>
      <c r="H48" s="36">
        <f>_xll.DBRW($C$1,Opening!$G$13,Opening!H$11,$O$1,Opening!$I$13,Opening!$D$13,$P$1,$A48,$B48,$M$1)</f>
        <v>0</v>
      </c>
      <c r="I48" s="36">
        <f>_xll.DBRW($C$1,Opening!$G$13,Opening!I$11,$O$1,Opening!$I$13,Opening!$D$13,$P$1,$A48,$B48,$M$1)</f>
        <v>0</v>
      </c>
      <c r="J48" s="36">
        <f>_xll.DBRW($C$1,Opening!$G$13,Opening!J$11,$O$1,Opening!$I$13,Opening!$D$13,$P$1,$A48,$B48,$M$1)</f>
        <v>0</v>
      </c>
      <c r="K48" s="36">
        <f>_xll.DBRW($C$1,Opening!$G$13,Opening!K$11,$O$1,Opening!$I$13,Opening!$D$13,$P$1,$A48,$B48,$M$1)</f>
        <v>0</v>
      </c>
      <c r="L48" s="36">
        <f>_xll.DBRW($C$1,Opening!$G$13,Opening!L$11,$O$1,Opening!$I$13,Opening!$D$13,$P$1,$A48,$B48,$M$1)</f>
        <v>0</v>
      </c>
      <c r="M48" s="36">
        <f>_xll.DBRW($C$1,Opening!$G$13,Opening!M$11,$O$1,Opening!$I$13,Opening!$D$13,$P$1,$A48,$B48,$M$1)</f>
        <v>0</v>
      </c>
      <c r="N48" s="36">
        <f>_xll.DBRW($C$1,Opening!$G$13,Opening!N$11,$O$1,Opening!$I$13,Opening!$D$13,$P$1,$A48,$B48,$M$1)</f>
        <v>0</v>
      </c>
      <c r="O48" s="36">
        <f>_xll.DBRW($C$1,Opening!$G$13,Opening!O$11,$O$1,Opening!$I$13,Opening!$D$13,$P$1,$A48,$B48,$M$1)</f>
        <v>0</v>
      </c>
      <c r="P48" s="36">
        <f>_xll.DBRW($C$1,Opening!$G$13,Opening!P$11,$O$1,Opening!$I$13,Opening!$D$13,$P$1,$A48,$B48,$M$1)</f>
        <v>0</v>
      </c>
      <c r="Q48" s="36">
        <f>_xll.DBRW($C$1,Q$15,$Q$16,$O$1,Opening!$I$13,Opening!$D$13,$P$1,$A48,$B48,$M$1)</f>
        <v>0</v>
      </c>
      <c r="R48" s="36">
        <f>_xll.DBRW($C$1,R$15,$Q$16,$O$1,Opening!$I$13,Opening!$D$13,$P$1,$A48,$B48,$M$1)</f>
        <v>0</v>
      </c>
      <c r="S48" s="36">
        <f>_xll.DBRW($C$1,S$15,$Q$16,$O$1,Opening!$I$13,Opening!$D$13,$P$1,$A48,$B48,$M$1)</f>
        <v>0</v>
      </c>
      <c r="T48" s="36">
        <f>_xll.DBRW($C$1,T$15,$Q$16,$O$1,Opening!$I$13,Opening!$D$13,$P$1,$A48,$B48,$M$1)</f>
        <v>0</v>
      </c>
      <c r="U48" s="36">
        <f>_xll.DBRW($C$1,U$15,$Q$16,$O$1,Opening!$I$13,Opening!$D$13,$P$1,$A48,$B48,$M$1)</f>
        <v>0</v>
      </c>
      <c r="V48"/>
      <c r="W48"/>
      <c r="X48"/>
      <c r="Y48"/>
      <c r="Z48"/>
    </row>
    <row r="49" spans="1:27" ht="15.75" customHeight="1">
      <c r="A49" s="68" t="s">
        <v>345</v>
      </c>
      <c r="B49" s="29" t="s">
        <v>344</v>
      </c>
      <c r="C49" s="37" t="s">
        <v>46</v>
      </c>
      <c r="D49" s="37" t="s">
        <v>201</v>
      </c>
      <c r="E49" s="36">
        <f>_xll.DBRW($C$1,Opening!$G$13,Opening!E$11,$O$1,Opening!$I$13,Opening!$D$13,$P$1,$A49,$B49,$M$1)</f>
        <v>0</v>
      </c>
      <c r="F49" s="36">
        <f>_xll.DBRW($C$1,Opening!$G$13,Opening!F$11,$O$1,Opening!$I$13,Opening!$D$13,$P$1,$A49,$B49,$M$1)</f>
        <v>0</v>
      </c>
      <c r="G49" s="36">
        <f>_xll.DBRW($C$1,Opening!$G$13,Opening!G$11,$O$1,Opening!$I$13,Opening!$D$13,$P$1,$A49,$B49,$M$1)</f>
        <v>0</v>
      </c>
      <c r="H49" s="36">
        <f>_xll.DBRW($C$1,Opening!$G$13,Opening!H$11,$O$1,Opening!$I$13,Opening!$D$13,$P$1,$A49,$B49,$M$1)</f>
        <v>0</v>
      </c>
      <c r="I49" s="36">
        <f>_xll.DBRW($C$1,Opening!$G$13,Opening!I$11,$O$1,Opening!$I$13,Opening!$D$13,$P$1,$A49,$B49,$M$1)</f>
        <v>0</v>
      </c>
      <c r="J49" s="36">
        <f>_xll.DBRW($C$1,Opening!$G$13,Opening!J$11,$O$1,Opening!$I$13,Opening!$D$13,$P$1,$A49,$B49,$M$1)</f>
        <v>0</v>
      </c>
      <c r="K49" s="36">
        <f>_xll.DBRW($C$1,Opening!$G$13,Opening!K$11,$O$1,Opening!$I$13,Opening!$D$13,$P$1,$A49,$B49,$M$1)</f>
        <v>0</v>
      </c>
      <c r="L49" s="36">
        <f>_xll.DBRW($C$1,Opening!$G$13,Opening!L$11,$O$1,Opening!$I$13,Opening!$D$13,$P$1,$A49,$B49,$M$1)</f>
        <v>0</v>
      </c>
      <c r="M49" s="36">
        <f>_xll.DBRW($C$1,Opening!$G$13,Opening!M$11,$O$1,Opening!$I$13,Opening!$D$13,$P$1,$A49,$B49,$M$1)</f>
        <v>0</v>
      </c>
      <c r="N49" s="36">
        <f>_xll.DBRW($C$1,Opening!$G$13,Opening!N$11,$O$1,Opening!$I$13,Opening!$D$13,$P$1,$A49,$B49,$M$1)</f>
        <v>0</v>
      </c>
      <c r="O49" s="36">
        <f>_xll.DBRW($C$1,Opening!$G$13,Opening!O$11,$O$1,Opening!$I$13,Opening!$D$13,$P$1,$A49,$B49,$M$1)</f>
        <v>0</v>
      </c>
      <c r="P49" s="36">
        <f>_xll.DBRW($C$1,Opening!$G$13,Opening!P$11,$O$1,Opening!$I$13,Opening!$D$13,$P$1,$A49,$B49,$M$1)</f>
        <v>0</v>
      </c>
      <c r="Q49" s="36">
        <f>_xll.DBRW($C$1,Q$15,$Q$16,$O$1,Opening!$I$13,Opening!$D$13,$P$1,$A49,$B49,$M$1)</f>
        <v>0</v>
      </c>
      <c r="R49" s="36">
        <f>_xll.DBRW($C$1,R$15,$Q$16,$O$1,Opening!$I$13,Opening!$D$13,$P$1,$A49,$B49,$M$1)</f>
        <v>0</v>
      </c>
      <c r="S49" s="36">
        <f>_xll.DBRW($C$1,S$15,$Q$16,$O$1,Opening!$I$13,Opening!$D$13,$P$1,$A49,$B49,$M$1)</f>
        <v>0</v>
      </c>
      <c r="T49" s="36">
        <f>_xll.DBRW($C$1,T$15,$Q$16,$O$1,Opening!$I$13,Opening!$D$13,$P$1,$A49,$B49,$M$1)</f>
        <v>0</v>
      </c>
      <c r="U49" s="36">
        <f>_xll.DBRW($C$1,U$15,$Q$16,$O$1,Opening!$I$13,Opening!$D$13,$P$1,$A49,$B49,$M$1)</f>
        <v>0</v>
      </c>
      <c r="V49"/>
      <c r="W49"/>
      <c r="X49"/>
      <c r="Y49"/>
      <c r="Z49"/>
    </row>
    <row r="50" spans="1:27" ht="15.75" customHeight="1">
      <c r="A50" s="68" t="s">
        <v>345</v>
      </c>
      <c r="B50" s="29" t="s">
        <v>49</v>
      </c>
      <c r="C50" s="37" t="s">
        <v>46</v>
      </c>
      <c r="D50" s="37" t="s">
        <v>49</v>
      </c>
      <c r="E50" s="36">
        <f>_xll.DBRW($C$1,Opening!$G$13,Opening!E$11,$O$1,Opening!$I$13,Opening!$D$13,$P$1,$A50,$B50,$M$1)</f>
        <v>0</v>
      </c>
      <c r="F50" s="36">
        <f>_xll.DBRW($C$1,Opening!$G$13,Opening!F$11,$O$1,Opening!$I$13,Opening!$D$13,$P$1,$A50,$B50,$M$1)</f>
        <v>0</v>
      </c>
      <c r="G50" s="36">
        <f>_xll.DBRW($C$1,Opening!$G$13,Opening!G$11,$O$1,Opening!$I$13,Opening!$D$13,$P$1,$A50,$B50,$M$1)</f>
        <v>0</v>
      </c>
      <c r="H50" s="36">
        <f>_xll.DBRW($C$1,Opening!$G$13,Opening!H$11,$O$1,Opening!$I$13,Opening!$D$13,$P$1,$A50,$B50,$M$1)</f>
        <v>0</v>
      </c>
      <c r="I50" s="36">
        <f>_xll.DBRW($C$1,Opening!$G$13,Opening!I$11,$O$1,Opening!$I$13,Opening!$D$13,$P$1,$A50,$B50,$M$1)</f>
        <v>0</v>
      </c>
      <c r="J50" s="36">
        <f>_xll.DBRW($C$1,Opening!$G$13,Opening!J$11,$O$1,Opening!$I$13,Opening!$D$13,$P$1,$A50,$B50,$M$1)</f>
        <v>0</v>
      </c>
      <c r="K50" s="36">
        <f>_xll.DBRW($C$1,Opening!$G$13,Opening!K$11,$O$1,Opening!$I$13,Opening!$D$13,$P$1,$A50,$B50,$M$1)</f>
        <v>0</v>
      </c>
      <c r="L50" s="36">
        <f>_xll.DBRW($C$1,Opening!$G$13,Opening!L$11,$O$1,Opening!$I$13,Opening!$D$13,$P$1,$A50,$B50,$M$1)</f>
        <v>0</v>
      </c>
      <c r="M50" s="36">
        <f>_xll.DBRW($C$1,Opening!$G$13,Opening!M$11,$O$1,Opening!$I$13,Opening!$D$13,$P$1,$A50,$B50,$M$1)</f>
        <v>0</v>
      </c>
      <c r="N50" s="36">
        <f>_xll.DBRW($C$1,Opening!$G$13,Opening!N$11,$O$1,Opening!$I$13,Opening!$D$13,$P$1,$A50,$B50,$M$1)</f>
        <v>0</v>
      </c>
      <c r="O50" s="36">
        <f>_xll.DBRW($C$1,Opening!$G$13,Opening!O$11,$O$1,Opening!$I$13,Opening!$D$13,$P$1,$A50,$B50,$M$1)</f>
        <v>0</v>
      </c>
      <c r="P50" s="36">
        <f>_xll.DBRW($C$1,Opening!$G$13,Opening!P$11,$O$1,Opening!$I$13,Opening!$D$13,$P$1,$A50,$B50,$M$1)</f>
        <v>0</v>
      </c>
      <c r="Q50" s="36">
        <f>_xll.DBRW($C$1,Q$15,$Q$16,$O$1,Opening!$I$13,Opening!$D$13,$P$1,$A50,$B50,$M$1)</f>
        <v>0</v>
      </c>
      <c r="R50" s="36">
        <f>_xll.DBRW($C$1,R$15,$Q$16,$O$1,Opening!$I$13,Opening!$D$13,$P$1,$A50,$B50,$M$1)</f>
        <v>0</v>
      </c>
      <c r="S50" s="36">
        <f>_xll.DBRW($C$1,S$15,$Q$16,$O$1,Opening!$I$13,Opening!$D$13,$P$1,$A50,$B50,$M$1)</f>
        <v>0</v>
      </c>
      <c r="T50" s="36">
        <f>_xll.DBRW($C$1,T$15,$Q$16,$O$1,Opening!$I$13,Opening!$D$13,$P$1,$A50,$B50,$M$1)</f>
        <v>0</v>
      </c>
      <c r="U50" s="36">
        <f>_xll.DBRW($C$1,U$15,$Q$16,$O$1,Opening!$I$13,Opening!$D$13,$P$1,$A50,$B50,$M$1)</f>
        <v>0</v>
      </c>
      <c r="V50"/>
      <c r="W50"/>
      <c r="X50"/>
      <c r="Y50"/>
      <c r="Z50"/>
    </row>
    <row r="51" spans="1:27" ht="15.75" customHeight="1"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15.75" customHeight="1" thickBot="1">
      <c r="C52" s="3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ht="15.75" customHeight="1" thickTop="1">
      <c r="C53" s="32" t="s">
        <v>202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ht="15.75" customHeight="1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8">
        <f>$G$13+1</f>
        <v>2027</v>
      </c>
      <c r="R54" s="38">
        <f>$G$13+2</f>
        <v>2028</v>
      </c>
      <c r="S54" s="38">
        <f>$G$13+3</f>
        <v>2029</v>
      </c>
      <c r="T54" s="38">
        <f>$G$13+4</f>
        <v>2030</v>
      </c>
      <c r="U54" s="38">
        <f>$G$13+5</f>
        <v>2031</v>
      </c>
      <c r="V54" s="43"/>
      <c r="W54" s="43"/>
      <c r="X54" s="43"/>
      <c r="Y54" s="43"/>
      <c r="Z54" s="43"/>
      <c r="AA54" s="43"/>
    </row>
    <row r="55" spans="1:27" ht="15.75" customHeight="1">
      <c r="C55" s="31"/>
      <c r="D55" s="31"/>
      <c r="E55" s="38" t="str">
        <f t="shared" ref="E55:P55" si="2">$G$13&amp;"."&amp;E$11</f>
        <v>2026.01</v>
      </c>
      <c r="F55" s="38" t="str">
        <f t="shared" si="2"/>
        <v>2026.02</v>
      </c>
      <c r="G55" s="38" t="str">
        <f t="shared" si="2"/>
        <v>2026.03</v>
      </c>
      <c r="H55" s="38" t="str">
        <f t="shared" si="2"/>
        <v>2026.04</v>
      </c>
      <c r="I55" s="38" t="str">
        <f t="shared" si="2"/>
        <v>2026.05</v>
      </c>
      <c r="J55" s="38" t="str">
        <f t="shared" si="2"/>
        <v>2026.06</v>
      </c>
      <c r="K55" s="38" t="str">
        <f t="shared" si="2"/>
        <v>2026.07</v>
      </c>
      <c r="L55" s="38" t="str">
        <f t="shared" si="2"/>
        <v>2026.08</v>
      </c>
      <c r="M55" s="38" t="str">
        <f t="shared" si="2"/>
        <v>2026.09</v>
      </c>
      <c r="N55" s="38" t="str">
        <f t="shared" si="2"/>
        <v>2026.10</v>
      </c>
      <c r="O55" s="38" t="str">
        <f t="shared" si="2"/>
        <v>2026.11</v>
      </c>
      <c r="P55" s="38" t="str">
        <f t="shared" si="2"/>
        <v>2026.12</v>
      </c>
      <c r="Q55" s="38" t="s">
        <v>304</v>
      </c>
      <c r="R55" s="38" t="s">
        <v>304</v>
      </c>
      <c r="S55" s="38" t="s">
        <v>304</v>
      </c>
      <c r="T55" s="38" t="s">
        <v>304</v>
      </c>
      <c r="U55" s="38" t="s">
        <v>304</v>
      </c>
      <c r="V55"/>
      <c r="W55"/>
      <c r="X55"/>
      <c r="Y55"/>
      <c r="Z55"/>
    </row>
    <row r="56" spans="1:27" ht="22.8">
      <c r="A56" s="68" t="s">
        <v>349</v>
      </c>
      <c r="C56" s="42" t="s">
        <v>131</v>
      </c>
      <c r="D56" s="42" t="s">
        <v>257</v>
      </c>
      <c r="E56" s="40">
        <f>_xll.DBRW($C$1,Opening!$G$13,Opening!E$11,$O$1,Opening!$I$13,Opening!$D$13,$P$2,$A56,$D56,$M$1)</f>
        <v>0</v>
      </c>
      <c r="F56" s="40">
        <f>_xll.DBRW($C$1,Opening!$G$13,Opening!F$11,$O$1,Opening!$I$13,Opening!$D$13,$P$2,$A56,$D56,$M$1)</f>
        <v>0</v>
      </c>
      <c r="G56" s="40">
        <f>_xll.DBRW($C$1,Opening!$G$13,Opening!G$11,$O$1,Opening!$I$13,Opening!$D$13,$P$2,$A56,$D56,$M$1)</f>
        <v>0</v>
      </c>
      <c r="H56" s="40">
        <f>_xll.DBRW($C$1,Opening!$G$13,Opening!H$11,$O$1,Opening!$I$13,Opening!$D$13,$P$2,$A56,$D56,$M$1)</f>
        <v>0</v>
      </c>
      <c r="I56" s="40">
        <f>_xll.DBRW($C$1,Opening!$G$13,Opening!I$11,$O$1,Opening!$I$13,Opening!$D$13,$P$2,$A56,$D56,$M$1)</f>
        <v>0</v>
      </c>
      <c r="J56" s="40">
        <f>_xll.DBRW($C$1,Opening!$G$13,Opening!J$11,$O$1,Opening!$I$13,Opening!$D$13,$P$2,$A56,$D56,$M$1)</f>
        <v>0</v>
      </c>
      <c r="K56" s="40">
        <f>_xll.DBRW($C$1,Opening!$G$13,Opening!K$11,$O$1,Opening!$I$13,Opening!$D$13,$P$2,$A56,$D56,$M$1)</f>
        <v>0</v>
      </c>
      <c r="L56" s="40">
        <f>_xll.DBRW($C$1,Opening!$G$13,Opening!L$11,$O$1,Opening!$I$13,Opening!$D$13,$P$2,$A56,$D56,$M$1)</f>
        <v>0</v>
      </c>
      <c r="M56" s="40">
        <f>_xll.DBRW($C$1,Opening!$G$13,Opening!M$11,$O$1,Opening!$I$13,Opening!$D$13,$P$2,$A56,$D56,$M$1)</f>
        <v>0</v>
      </c>
      <c r="N56" s="40">
        <f>_xll.DBRW($C$1,Opening!$G$13,Opening!N$11,$O$1,Opening!$I$13,Opening!$D$13,$P$2,$A56,$D56,$M$1)</f>
        <v>0</v>
      </c>
      <c r="O56" s="40">
        <f>_xll.DBRW($C$1,Opening!$G$13,Opening!O$11,$O$1,Opening!$I$13,Opening!$D$13,$P$2,$A56,$D56,$M$1)</f>
        <v>0</v>
      </c>
      <c r="P56" s="40">
        <f>_xll.DBRW($C$1,Opening!$G$13,Opening!P$11,$O$1,Opening!$I$13,Opening!$D$13,$P$2,$A56,$D56,$M$1)</f>
        <v>0</v>
      </c>
      <c r="Q56" s="40">
        <f>_xll.DBRW($C$1,Q$37,$Q$16,$O$1,Opening!$I$13,Opening!$D$13,$P$1,$A56,$D56,$M$1)</f>
        <v>0</v>
      </c>
      <c r="R56" s="40">
        <f>_xll.DBRW($C$1,R$37,$Q$16,$O$1,Opening!$I$13,Opening!$D$13,$P$1,$A56,$D56,$M$1)</f>
        <v>0</v>
      </c>
      <c r="S56" s="40">
        <f>_xll.DBRW($C$1,S$37,$Q$16,$O$1,Opening!$I$13,Opening!$D$13,$P$1,$A56,$D56,$M$1)</f>
        <v>0</v>
      </c>
      <c r="T56" s="40">
        <f>_xll.DBRW($C$1,T$37,$Q$16,$O$1,Opening!$I$13,Opening!$D$13,$P$1,$A56,$D56,$M$1)</f>
        <v>0</v>
      </c>
      <c r="U56" s="40">
        <f>_xll.DBRW($C$1,U$37,$Q$16,$O$1,Opening!$I$13,Opening!$D$13,$P$1,$A56,$D56,$M$1)</f>
        <v>0</v>
      </c>
      <c r="V56"/>
      <c r="W56"/>
      <c r="X56"/>
      <c r="Y56"/>
      <c r="Z56"/>
    </row>
    <row r="57" spans="1:27" ht="22.8">
      <c r="A57" s="68" t="s">
        <v>349</v>
      </c>
      <c r="B57" s="29" t="s">
        <v>346</v>
      </c>
      <c r="C57" s="37" t="s">
        <v>131</v>
      </c>
      <c r="D57" s="37" t="s">
        <v>203</v>
      </c>
      <c r="E57" s="36">
        <f>_xll.DBRW($C$1,Opening!$G$13,Opening!E$11,$O$1,Opening!$I$13,Opening!$D$13,$P$1,$A57,$B57,$M$1)</f>
        <v>0</v>
      </c>
      <c r="F57" s="36">
        <f>_xll.DBRW($C$1,Opening!$G$13,Opening!F$11,$O$1,Opening!$I$13,Opening!$D$13,$P$1,$A57,$B57,$M$1)</f>
        <v>0</v>
      </c>
      <c r="G57" s="36">
        <f>_xll.DBRW($C$1,Opening!$G$13,Opening!G$11,$O$1,Opening!$I$13,Opening!$D$13,$P$1,$A57,$B57,$M$1)</f>
        <v>0</v>
      </c>
      <c r="H57" s="36">
        <f>_xll.DBRW($C$1,Opening!$G$13,Opening!H$11,$O$1,Opening!$I$13,Opening!$D$13,$P$1,$A57,$B57,$M$1)</f>
        <v>0</v>
      </c>
      <c r="I57" s="36">
        <f>_xll.DBRW($C$1,Opening!$G$13,Opening!I$11,$O$1,Opening!$I$13,Opening!$D$13,$P$1,$A57,$B57,$M$1)</f>
        <v>0</v>
      </c>
      <c r="J57" s="36">
        <f>_xll.DBRW($C$1,Opening!$G$13,Opening!J$11,$O$1,Opening!$I$13,Opening!$D$13,$P$1,$A57,$B57,$M$1)</f>
        <v>0</v>
      </c>
      <c r="K57" s="36">
        <f>_xll.DBRW($C$1,Opening!$G$13,Opening!K$11,$O$1,Opening!$I$13,Opening!$D$13,$P$1,$A57,$B57,$M$1)</f>
        <v>0</v>
      </c>
      <c r="L57" s="36">
        <f>_xll.DBRW($C$1,Opening!$G$13,Opening!L$11,$O$1,Opening!$I$13,Opening!$D$13,$P$1,$A57,$B57,$M$1)</f>
        <v>0</v>
      </c>
      <c r="M57" s="36">
        <f>_xll.DBRW($C$1,Opening!$G$13,Opening!M$11,$O$1,Opening!$I$13,Opening!$D$13,$P$1,$A57,$B57,$M$1)</f>
        <v>0</v>
      </c>
      <c r="N57" s="36">
        <f>_xll.DBRW($C$1,Opening!$G$13,Opening!N$11,$O$1,Opening!$I$13,Opening!$D$13,$P$1,$A57,$B57,$M$1)</f>
        <v>0</v>
      </c>
      <c r="O57" s="36">
        <f>_xll.DBRW($C$1,Opening!$G$13,Opening!O$11,$O$1,Opening!$I$13,Opening!$D$13,$P$1,$A57,$B57,$M$1)</f>
        <v>0</v>
      </c>
      <c r="P57" s="36">
        <f>_xll.DBRW($C$1,Opening!$G$13,Opening!P$11,$O$1,Opening!$I$13,Opening!$D$13,$P$1,$A57,$B57,$M$1)</f>
        <v>0</v>
      </c>
      <c r="Q57" s="36">
        <f>_xll.DBRW($C$1,Q$15,$Q$16,$O$1,Opening!$I$13,Opening!$D$13,$P$1,$A57,$B57,$M$1)</f>
        <v>0</v>
      </c>
      <c r="R57" s="36">
        <f>_xll.DBRW($C$1,R$15,$Q$16,$O$1,Opening!$I$13,Opening!$D$13,$P$1,$A57,$B57,$M$1)</f>
        <v>0</v>
      </c>
      <c r="S57" s="36">
        <f>_xll.DBRW($C$1,S$15,$Q$16,$O$1,Opening!$I$13,Opening!$D$13,$P$1,$A57,$B57,$M$1)</f>
        <v>0</v>
      </c>
      <c r="T57" s="36">
        <f>_xll.DBRW($C$1,T$15,$Q$16,$O$1,Opening!$I$13,Opening!$D$13,$P$1,$A57,$B57,$M$1)</f>
        <v>0</v>
      </c>
      <c r="U57" s="36">
        <f>_xll.DBRW($C$1,U$15,$Q$16,$O$1,Opening!$I$13,Opening!$D$13,$P$1,$A57,$B57,$M$1)</f>
        <v>0</v>
      </c>
      <c r="V57"/>
      <c r="W57"/>
      <c r="X57"/>
      <c r="Y57"/>
      <c r="Z57"/>
    </row>
    <row r="58" spans="1:27" ht="29.25" customHeight="1">
      <c r="A58" s="68" t="s">
        <v>349</v>
      </c>
      <c r="B58" s="29" t="s">
        <v>347</v>
      </c>
      <c r="C58" s="37" t="s">
        <v>131</v>
      </c>
      <c r="D58" s="37" t="s">
        <v>204</v>
      </c>
      <c r="E58" s="36">
        <f>_xll.DBRW($C$1,Opening!$G$13,Opening!E$11,$O$1,Opening!$I$13,Opening!$D$13,$P$1,$A58,$B58,$M$1)</f>
        <v>0</v>
      </c>
      <c r="F58" s="36">
        <f>_xll.DBRW($C$1,Opening!$G$13,Opening!F$11,$O$1,Opening!$I$13,Opening!$D$13,$P$1,$A58,$B58,$M$1)</f>
        <v>0</v>
      </c>
      <c r="G58" s="36">
        <f>_xll.DBRW($C$1,Opening!$G$13,Opening!G$11,$O$1,Opening!$I$13,Opening!$D$13,$P$1,$A58,$B58,$M$1)</f>
        <v>0</v>
      </c>
      <c r="H58" s="36">
        <f>_xll.DBRW($C$1,Opening!$G$13,Opening!H$11,$O$1,Opening!$I$13,Opening!$D$13,$P$1,$A58,$B58,$M$1)</f>
        <v>0</v>
      </c>
      <c r="I58" s="36">
        <f>_xll.DBRW($C$1,Opening!$G$13,Opening!I$11,$O$1,Opening!$I$13,Opening!$D$13,$P$1,$A58,$B58,$M$1)</f>
        <v>0</v>
      </c>
      <c r="J58" s="36">
        <f>_xll.DBRW($C$1,Opening!$G$13,Opening!J$11,$O$1,Opening!$I$13,Opening!$D$13,$P$1,$A58,$B58,$M$1)</f>
        <v>0</v>
      </c>
      <c r="K58" s="36">
        <f>_xll.DBRW($C$1,Opening!$G$13,Opening!K$11,$O$1,Opening!$I$13,Opening!$D$13,$P$1,$A58,$B58,$M$1)</f>
        <v>0</v>
      </c>
      <c r="L58" s="36">
        <f>_xll.DBRW($C$1,Opening!$G$13,Opening!L$11,$O$1,Opening!$I$13,Opening!$D$13,$P$1,$A58,$B58,$M$1)</f>
        <v>0</v>
      </c>
      <c r="M58" s="36">
        <f>_xll.DBRW($C$1,Opening!$G$13,Opening!M$11,$O$1,Opening!$I$13,Opening!$D$13,$P$1,$A58,$B58,$M$1)</f>
        <v>0</v>
      </c>
      <c r="N58" s="36">
        <f>_xll.DBRW($C$1,Opening!$G$13,Opening!N$11,$O$1,Opening!$I$13,Opening!$D$13,$P$1,$A58,$B58,$M$1)</f>
        <v>0</v>
      </c>
      <c r="O58" s="36">
        <f>_xll.DBRW($C$1,Opening!$G$13,Opening!O$11,$O$1,Opening!$I$13,Opening!$D$13,$P$1,$A58,$B58,$M$1)</f>
        <v>0</v>
      </c>
      <c r="P58" s="36">
        <f>_xll.DBRW($C$1,Opening!$G$13,Opening!P$11,$O$1,Opening!$I$13,Opening!$D$13,$P$1,$A58,$B58,$M$1)</f>
        <v>0</v>
      </c>
      <c r="Q58" s="36">
        <f>_xll.DBRW($C$1,Q$15,$Q$16,$O$1,Opening!$I$13,Opening!$D$13,$P$1,$A58,$B58,$M$1)</f>
        <v>0</v>
      </c>
      <c r="R58" s="36">
        <f>_xll.DBRW($C$1,R$15,$Q$16,$O$1,Opening!$I$13,Opening!$D$13,$P$1,$A58,$B58,$M$1)</f>
        <v>0</v>
      </c>
      <c r="S58" s="36">
        <f>_xll.DBRW($C$1,S$15,$Q$16,$O$1,Opening!$I$13,Opening!$D$13,$P$1,$A58,$B58,$M$1)</f>
        <v>0</v>
      </c>
      <c r="T58" s="36">
        <f>_xll.DBRW($C$1,T$15,$Q$16,$O$1,Opening!$I$13,Opening!$D$13,$P$1,$A58,$B58,$M$1)</f>
        <v>0</v>
      </c>
      <c r="U58" s="36">
        <f>_xll.DBRW($C$1,U$15,$Q$16,$O$1,Opening!$I$13,Opening!$D$13,$P$1,$A58,$B58,$M$1)</f>
        <v>0</v>
      </c>
      <c r="V58"/>
      <c r="W58"/>
      <c r="X58"/>
      <c r="Y58"/>
      <c r="Z58"/>
    </row>
    <row r="59" spans="1:27" ht="22.8">
      <c r="A59" s="68" t="s">
        <v>349</v>
      </c>
      <c r="B59" s="29" t="s">
        <v>348</v>
      </c>
      <c r="C59" s="37" t="s">
        <v>131</v>
      </c>
      <c r="D59" s="37" t="s">
        <v>205</v>
      </c>
      <c r="E59" s="36">
        <f>_xll.DBRW($C$1,Opening!$G$13,Opening!E$11,$O$1,Opening!$I$13,Opening!$D$13,$P$1,$A59,$B59,$M$1)</f>
        <v>0</v>
      </c>
      <c r="F59" s="36">
        <f>_xll.DBRW($C$1,Opening!$G$13,Opening!F$11,$O$1,Opening!$I$13,Opening!$D$13,$P$1,$A59,$B59,$M$1)</f>
        <v>0</v>
      </c>
      <c r="G59" s="36">
        <f>_xll.DBRW($C$1,Opening!$G$13,Opening!G$11,$O$1,Opening!$I$13,Opening!$D$13,$P$1,$A59,$B59,$M$1)</f>
        <v>0</v>
      </c>
      <c r="H59" s="36">
        <f>_xll.DBRW($C$1,Opening!$G$13,Opening!H$11,$O$1,Opening!$I$13,Opening!$D$13,$P$1,$A59,$B59,$M$1)</f>
        <v>0</v>
      </c>
      <c r="I59" s="36">
        <f>_xll.DBRW($C$1,Opening!$G$13,Opening!I$11,$O$1,Opening!$I$13,Opening!$D$13,$P$1,$A59,$B59,$M$1)</f>
        <v>0</v>
      </c>
      <c r="J59" s="36">
        <f>_xll.DBRW($C$1,Opening!$G$13,Opening!J$11,$O$1,Opening!$I$13,Opening!$D$13,$P$1,$A59,$B59,$M$1)</f>
        <v>0</v>
      </c>
      <c r="K59" s="36">
        <f>_xll.DBRW($C$1,Opening!$G$13,Opening!K$11,$O$1,Opening!$I$13,Opening!$D$13,$P$1,$A59,$B59,$M$1)</f>
        <v>0</v>
      </c>
      <c r="L59" s="36">
        <f>_xll.DBRW($C$1,Opening!$G$13,Opening!L$11,$O$1,Opening!$I$13,Opening!$D$13,$P$1,$A59,$B59,$M$1)</f>
        <v>0</v>
      </c>
      <c r="M59" s="36">
        <f>_xll.DBRW($C$1,Opening!$G$13,Opening!M$11,$O$1,Opening!$I$13,Opening!$D$13,$P$1,$A59,$B59,$M$1)</f>
        <v>0</v>
      </c>
      <c r="N59" s="36">
        <f>_xll.DBRW($C$1,Opening!$G$13,Opening!N$11,$O$1,Opening!$I$13,Opening!$D$13,$P$1,$A59,$B59,$M$1)</f>
        <v>0</v>
      </c>
      <c r="O59" s="36">
        <f>_xll.DBRW($C$1,Opening!$G$13,Opening!O$11,$O$1,Opening!$I$13,Opening!$D$13,$P$1,$A59,$B59,$M$1)</f>
        <v>0</v>
      </c>
      <c r="P59" s="36">
        <f>_xll.DBRW($C$1,Opening!$G$13,Opening!P$11,$O$1,Opening!$I$13,Opening!$D$13,$P$1,$A59,$B59,$M$1)</f>
        <v>0</v>
      </c>
      <c r="Q59" s="36">
        <f>_xll.DBRW($C$1,Q$15,$Q$16,$O$1,Opening!$I$13,Opening!$D$13,$P$1,$A59,$B59,$M$1)</f>
        <v>0</v>
      </c>
      <c r="R59" s="36">
        <f>_xll.DBRW($C$1,R$15,$Q$16,$O$1,Opening!$I$13,Opening!$D$13,$P$1,$A59,$B59,$M$1)</f>
        <v>0</v>
      </c>
      <c r="S59" s="36">
        <f>_xll.DBRW($C$1,S$15,$Q$16,$O$1,Opening!$I$13,Opening!$D$13,$P$1,$A59,$B59,$M$1)</f>
        <v>0</v>
      </c>
      <c r="T59" s="36">
        <f>_xll.DBRW($C$1,T$15,$Q$16,$O$1,Opening!$I$13,Opening!$D$13,$P$1,$A59,$B59,$M$1)</f>
        <v>0</v>
      </c>
      <c r="U59" s="36">
        <f>_xll.DBRW($C$1,U$15,$Q$16,$O$1,Opening!$I$13,Opening!$D$13,$P$1,$A59,$B59,$M$1)</f>
        <v>0</v>
      </c>
      <c r="V59"/>
      <c r="W59"/>
      <c r="X59"/>
      <c r="Y59"/>
      <c r="Z59"/>
    </row>
    <row r="60" spans="1:27" ht="22.8">
      <c r="A60" s="68" t="s">
        <v>349</v>
      </c>
      <c r="B60" s="29" t="s">
        <v>49</v>
      </c>
      <c r="C60" s="37" t="s">
        <v>131</v>
      </c>
      <c r="D60" s="37" t="s">
        <v>49</v>
      </c>
      <c r="E60" s="36">
        <f>_xll.DBRW($C$1,Opening!$G$13,Opening!E$11,$O$1,Opening!$I$13,Opening!$D$13,$P$1,$A60,$B60,$M$1)</f>
        <v>0</v>
      </c>
      <c r="F60" s="36">
        <f>_xll.DBRW($C$1,Opening!$G$13,Opening!F$11,$O$1,Opening!$I$13,Opening!$D$13,$P$1,$A60,$B60,$M$1)</f>
        <v>0</v>
      </c>
      <c r="G60" s="36">
        <f>_xll.DBRW($C$1,Opening!$G$13,Opening!G$11,$O$1,Opening!$I$13,Opening!$D$13,$P$1,$A60,$B60,$M$1)</f>
        <v>0</v>
      </c>
      <c r="H60" s="36">
        <f>_xll.DBRW($C$1,Opening!$G$13,Opening!H$11,$O$1,Opening!$I$13,Opening!$D$13,$P$1,$A60,$B60,$M$1)</f>
        <v>0</v>
      </c>
      <c r="I60" s="36">
        <f>_xll.DBRW($C$1,Opening!$G$13,Opening!I$11,$O$1,Opening!$I$13,Opening!$D$13,$P$1,$A60,$B60,$M$1)</f>
        <v>0</v>
      </c>
      <c r="J60" s="36">
        <f>_xll.DBRW($C$1,Opening!$G$13,Opening!J$11,$O$1,Opening!$I$13,Opening!$D$13,$P$1,$A60,$B60,$M$1)</f>
        <v>0</v>
      </c>
      <c r="K60" s="36">
        <f>_xll.DBRW($C$1,Opening!$G$13,Opening!K$11,$O$1,Opening!$I$13,Opening!$D$13,$P$1,$A60,$B60,$M$1)</f>
        <v>0</v>
      </c>
      <c r="L60" s="36">
        <f>_xll.DBRW($C$1,Opening!$G$13,Opening!L$11,$O$1,Opening!$I$13,Opening!$D$13,$P$1,$A60,$B60,$M$1)</f>
        <v>0</v>
      </c>
      <c r="M60" s="36">
        <f>_xll.DBRW($C$1,Opening!$G$13,Opening!M$11,$O$1,Opening!$I$13,Opening!$D$13,$P$1,$A60,$B60,$M$1)</f>
        <v>0</v>
      </c>
      <c r="N60" s="36">
        <f>_xll.DBRW($C$1,Opening!$G$13,Opening!N$11,$O$1,Opening!$I$13,Opening!$D$13,$P$1,$A60,$B60,$M$1)</f>
        <v>0</v>
      </c>
      <c r="O60" s="36">
        <f>_xll.DBRW($C$1,Opening!$G$13,Opening!O$11,$O$1,Opening!$I$13,Opening!$D$13,$P$1,$A60,$B60,$M$1)</f>
        <v>0</v>
      </c>
      <c r="P60" s="36">
        <f>_xll.DBRW($C$1,Opening!$G$13,Opening!P$11,$O$1,Opening!$I$13,Opening!$D$13,$P$1,$A60,$B60,$M$1)</f>
        <v>0</v>
      </c>
      <c r="Q60" s="36">
        <f>_xll.DBRW($C$1,Q$15,$Q$16,$O$1,Opening!$I$13,Opening!$D$13,$P$1,$A60,$B60,$M$1)</f>
        <v>0</v>
      </c>
      <c r="R60" s="36">
        <f>_xll.DBRW($C$1,R$15,$Q$16,$O$1,Opening!$I$13,Opening!$D$13,$P$1,$A60,$B60,$M$1)</f>
        <v>0</v>
      </c>
      <c r="S60" s="36">
        <f>_xll.DBRW($C$1,S$15,$Q$16,$O$1,Opening!$I$13,Opening!$D$13,$P$1,$A60,$B60,$M$1)</f>
        <v>0</v>
      </c>
      <c r="T60" s="36">
        <f>_xll.DBRW($C$1,T$15,$Q$16,$O$1,Opening!$I$13,Opening!$D$13,$P$1,$A60,$B60,$M$1)</f>
        <v>0</v>
      </c>
      <c r="U60" s="36">
        <f>_xll.DBRW($C$1,U$15,$Q$16,$O$1,Opening!$I$13,Opening!$D$13,$P$1,$A60,$B60,$M$1)</f>
        <v>0</v>
      </c>
      <c r="V60"/>
      <c r="W60"/>
      <c r="X60"/>
      <c r="Y60"/>
      <c r="Z60"/>
    </row>
    <row r="61" spans="1:27" ht="15.75" customHeight="1"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ht="15.75" customHeight="1" thickBot="1">
      <c r="C62" s="33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ht="15.75" customHeight="1" thickTop="1">
      <c r="C63" s="32" t="s">
        <v>206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5.75" customHeight="1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8">
        <f>$G$13+1</f>
        <v>2027</v>
      </c>
      <c r="R64" s="38">
        <f>$G$13+2</f>
        <v>2028</v>
      </c>
      <c r="S64" s="38">
        <f>$G$13+3</f>
        <v>2029</v>
      </c>
      <c r="T64" s="38">
        <f>$G$13+4</f>
        <v>2030</v>
      </c>
      <c r="U64" s="38">
        <f>$G$13+5</f>
        <v>2031</v>
      </c>
      <c r="V64" s="43"/>
      <c r="W64" s="43"/>
      <c r="X64" s="43"/>
      <c r="Y64" s="43"/>
      <c r="Z64" s="43"/>
      <c r="AA64" s="43"/>
    </row>
    <row r="65" spans="1:26" ht="15.75" customHeight="1">
      <c r="C65" s="31"/>
      <c r="D65" s="31"/>
      <c r="E65" s="38" t="str">
        <f t="shared" ref="E65:P65" si="3">$G$13&amp;"."&amp;E$11</f>
        <v>2026.01</v>
      </c>
      <c r="F65" s="38" t="str">
        <f t="shared" si="3"/>
        <v>2026.02</v>
      </c>
      <c r="G65" s="38" t="str">
        <f t="shared" si="3"/>
        <v>2026.03</v>
      </c>
      <c r="H65" s="38" t="str">
        <f t="shared" si="3"/>
        <v>2026.04</v>
      </c>
      <c r="I65" s="38" t="str">
        <f t="shared" si="3"/>
        <v>2026.05</v>
      </c>
      <c r="J65" s="38" t="str">
        <f t="shared" si="3"/>
        <v>2026.06</v>
      </c>
      <c r="K65" s="38" t="str">
        <f t="shared" si="3"/>
        <v>2026.07</v>
      </c>
      <c r="L65" s="38" t="str">
        <f t="shared" si="3"/>
        <v>2026.08</v>
      </c>
      <c r="M65" s="38" t="str">
        <f t="shared" si="3"/>
        <v>2026.09</v>
      </c>
      <c r="N65" s="38" t="str">
        <f t="shared" si="3"/>
        <v>2026.10</v>
      </c>
      <c r="O65" s="38" t="str">
        <f t="shared" si="3"/>
        <v>2026.11</v>
      </c>
      <c r="P65" s="38" t="str">
        <f t="shared" si="3"/>
        <v>2026.12</v>
      </c>
      <c r="Q65" s="38" t="s">
        <v>304</v>
      </c>
      <c r="R65" s="38" t="s">
        <v>304</v>
      </c>
      <c r="S65" s="38" t="s">
        <v>304</v>
      </c>
      <c r="T65" s="38" t="s">
        <v>304</v>
      </c>
      <c r="U65" s="38" t="s">
        <v>304</v>
      </c>
      <c r="V65"/>
      <c r="W65"/>
      <c r="X65"/>
      <c r="Y65"/>
      <c r="Z65"/>
    </row>
    <row r="66" spans="1:26" ht="15.75" customHeight="1">
      <c r="A66" s="68" t="s">
        <v>350</v>
      </c>
      <c r="C66" s="42" t="s">
        <v>130</v>
      </c>
      <c r="D66" s="42" t="s">
        <v>257</v>
      </c>
      <c r="E66" s="40">
        <f>_xll.DBRW($C$1,Opening!$G$13,Opening!E$11,$O$1,Opening!$I$13,Opening!$D$13,$P$2,$A66,$D66,$M$1)</f>
        <v>0</v>
      </c>
      <c r="F66" s="40">
        <f>_xll.DBRW($C$1,Opening!$G$13,Opening!F$11,$O$1,Opening!$I$13,Opening!$D$13,$P$2,$A66,$D66,$M$1)</f>
        <v>0</v>
      </c>
      <c r="G66" s="40">
        <f>_xll.DBRW($C$1,Opening!$G$13,Opening!G$11,$O$1,Opening!$I$13,Opening!$D$13,$P$2,$A66,$D66,$M$1)</f>
        <v>0</v>
      </c>
      <c r="H66" s="40">
        <f>_xll.DBRW($C$1,Opening!$G$13,Opening!H$11,$O$1,Opening!$I$13,Opening!$D$13,$P$2,$A66,$D66,$M$1)</f>
        <v>0</v>
      </c>
      <c r="I66" s="40">
        <f>_xll.DBRW($C$1,Opening!$G$13,Opening!I$11,$O$1,Opening!$I$13,Opening!$D$13,$P$2,$A66,$D66,$M$1)</f>
        <v>0</v>
      </c>
      <c r="J66" s="40">
        <f>_xll.DBRW($C$1,Opening!$G$13,Opening!J$11,$O$1,Opening!$I$13,Opening!$D$13,$P$2,$A66,$D66,$M$1)</f>
        <v>0</v>
      </c>
      <c r="K66" s="40">
        <f>_xll.DBRW($C$1,Opening!$G$13,Opening!K$11,$O$1,Opening!$I$13,Opening!$D$13,$P$2,$A66,$D66,$M$1)</f>
        <v>0</v>
      </c>
      <c r="L66" s="40">
        <f>_xll.DBRW($C$1,Opening!$G$13,Opening!L$11,$O$1,Opening!$I$13,Opening!$D$13,$P$2,$A66,$D66,$M$1)</f>
        <v>0</v>
      </c>
      <c r="M66" s="40">
        <f>_xll.DBRW($C$1,Opening!$G$13,Opening!M$11,$O$1,Opening!$I$13,Opening!$D$13,$P$2,$A66,$D66,$M$1)</f>
        <v>0</v>
      </c>
      <c r="N66" s="40">
        <f>_xll.DBRW($C$1,Opening!$G$13,Opening!N$11,$O$1,Opening!$I$13,Opening!$D$13,$P$2,$A66,$D66,$M$1)</f>
        <v>0</v>
      </c>
      <c r="O66" s="40">
        <f>_xll.DBRW($C$1,Opening!$G$13,Opening!O$11,$O$1,Opening!$I$13,Opening!$D$13,$P$2,$A66,$D66,$M$1)</f>
        <v>0</v>
      </c>
      <c r="P66" s="40">
        <f>_xll.DBRW($C$1,Opening!$G$13,Opening!P$11,$O$1,Opening!$I$13,Opening!$D$13,$P$2,$A66,$D66,$M$1)</f>
        <v>0</v>
      </c>
      <c r="Q66" s="40">
        <f>_xll.DBRW($C$1,Q$37,$Q$16,$O$1,Opening!$I$13,Opening!$D$13,$P$1,$A66,$D66,$M$1)</f>
        <v>0</v>
      </c>
      <c r="R66" s="40">
        <f>_xll.DBRW($C$1,R$37,$Q$16,$O$1,Opening!$I$13,Opening!$D$13,$P$1,$A66,$D66,$M$1)</f>
        <v>0</v>
      </c>
      <c r="S66" s="40">
        <f>_xll.DBRW($C$1,S$37,$Q$16,$O$1,Opening!$I$13,Opening!$D$13,$P$1,$A66,$D66,$M$1)</f>
        <v>0</v>
      </c>
      <c r="T66" s="40">
        <f>_xll.DBRW($C$1,T$37,$Q$16,$O$1,Opening!$I$13,Opening!$D$13,$P$1,$A66,$D66,$M$1)</f>
        <v>0</v>
      </c>
      <c r="U66" s="40">
        <f>_xll.DBRW($C$1,U$37,$Q$16,$O$1,Opening!$I$13,Opening!$D$13,$P$1,$A66,$D66,$M$1)</f>
        <v>0</v>
      </c>
      <c r="V66"/>
      <c r="W66"/>
      <c r="X66"/>
      <c r="Y66"/>
      <c r="Z66"/>
    </row>
    <row r="67" spans="1:26" ht="15.75" customHeight="1">
      <c r="A67" s="68" t="s">
        <v>350</v>
      </c>
      <c r="B67" s="29" t="s">
        <v>351</v>
      </c>
      <c r="C67" s="37" t="s">
        <v>207</v>
      </c>
      <c r="D67" s="56" t="s">
        <v>294</v>
      </c>
      <c r="E67" s="36">
        <f>_xll.DBRW($C$1,Opening!$G$13,Opening!E$11,$O$1,Opening!$I$13,Opening!$D$13,$P$1,$A67,$B67,$M$1)</f>
        <v>0</v>
      </c>
      <c r="F67" s="36">
        <f>_xll.DBRW($C$1,Opening!$G$13,Opening!F$11,$O$1,Opening!$I$13,Opening!$D$13,$P$1,$A67,$B67,$M$1)</f>
        <v>0</v>
      </c>
      <c r="G67" s="36">
        <f>_xll.DBRW($C$1,Opening!$G$13,Opening!G$11,$O$1,Opening!$I$13,Opening!$D$13,$P$1,$A67,$B67,$M$1)</f>
        <v>0</v>
      </c>
      <c r="H67" s="36">
        <f>_xll.DBRW($C$1,Opening!$G$13,Opening!H$11,$O$1,Opening!$I$13,Opening!$D$13,$P$1,$A67,$B67,$M$1)</f>
        <v>0</v>
      </c>
      <c r="I67" s="36">
        <f>_xll.DBRW($C$1,Opening!$G$13,Opening!I$11,$O$1,Opening!$I$13,Opening!$D$13,$P$1,$A67,$B67,$M$1)</f>
        <v>0</v>
      </c>
      <c r="J67" s="36">
        <f>_xll.DBRW($C$1,Opening!$G$13,Opening!J$11,$O$1,Opening!$I$13,Opening!$D$13,$P$1,$A67,$B67,$M$1)</f>
        <v>0</v>
      </c>
      <c r="K67" s="36">
        <f>_xll.DBRW($C$1,Opening!$G$13,Opening!K$11,$O$1,Opening!$I$13,Opening!$D$13,$P$1,$A67,$B67,$M$1)</f>
        <v>0</v>
      </c>
      <c r="L67" s="36">
        <f>_xll.DBRW($C$1,Opening!$G$13,Opening!L$11,$O$1,Opening!$I$13,Opening!$D$13,$P$1,$A67,$B67,$M$1)</f>
        <v>0</v>
      </c>
      <c r="M67" s="36">
        <f>_xll.DBRW($C$1,Opening!$G$13,Opening!M$11,$O$1,Opening!$I$13,Opening!$D$13,$P$1,$A67,$B67,$M$1)</f>
        <v>0</v>
      </c>
      <c r="N67" s="36">
        <f>_xll.DBRW($C$1,Opening!$G$13,Opening!N$11,$O$1,Opening!$I$13,Opening!$D$13,$P$1,$A67,$B67,$M$1)</f>
        <v>0</v>
      </c>
      <c r="O67" s="36">
        <f>_xll.DBRW($C$1,Opening!$G$13,Opening!O$11,$O$1,Opening!$I$13,Opening!$D$13,$P$1,$A67,$B67,$M$1)</f>
        <v>0</v>
      </c>
      <c r="P67" s="36">
        <f>_xll.DBRW($C$1,Opening!$G$13,Opening!P$11,$O$1,Opening!$I$13,Opening!$D$13,$P$1,$A67,$B67,$M$1)</f>
        <v>0</v>
      </c>
      <c r="Q67" s="36">
        <f>_xll.DBRW($C$1,Q$15,$Q$16,$O$1,Opening!$I$13,Opening!$D$13,$P$1,$A67,$B67,$M$1)</f>
        <v>0</v>
      </c>
      <c r="R67" s="36">
        <f>_xll.DBRW($C$1,R$15,$Q$16,$O$1,Opening!$I$13,Opening!$D$13,$P$1,$A67,$B67,$M$1)</f>
        <v>0</v>
      </c>
      <c r="S67" s="36">
        <f>_xll.DBRW($C$1,S$15,$Q$16,$O$1,Opening!$I$13,Opening!$D$13,$P$1,$A67,$B67,$M$1)</f>
        <v>0</v>
      </c>
      <c r="T67" s="36">
        <f>_xll.DBRW($C$1,T$15,$Q$16,$O$1,Opening!$I$13,Opening!$D$13,$P$1,$A67,$B67,$M$1)</f>
        <v>0</v>
      </c>
      <c r="U67" s="36">
        <f>_xll.DBRW($C$1,U$15,$Q$16,$O$1,Opening!$I$13,Opening!$D$13,$P$1,$A67,$B67,$M$1)</f>
        <v>0</v>
      </c>
      <c r="V67"/>
      <c r="W67"/>
      <c r="X67"/>
      <c r="Y67"/>
      <c r="Z67"/>
    </row>
    <row r="68" spans="1:26" ht="15.75" customHeight="1">
      <c r="A68" s="68" t="s">
        <v>350</v>
      </c>
      <c r="B68" s="29" t="s">
        <v>351</v>
      </c>
      <c r="C68" s="37" t="s">
        <v>207</v>
      </c>
      <c r="D68" s="56" t="s">
        <v>292</v>
      </c>
      <c r="E68" s="36">
        <f>_xll.DBRW($C$1,Opening!$G$13,Opening!E$11,$O$1,Opening!$I$13,Opening!$D$13,$P$1,$A68,$B68,$M$1)</f>
        <v>0</v>
      </c>
      <c r="F68" s="36">
        <f>_xll.DBRW($C$1,Opening!$G$13,Opening!F$11,$O$1,Opening!$I$13,Opening!$D$13,$P$1,$A68,$B68,$M$1)</f>
        <v>0</v>
      </c>
      <c r="G68" s="36">
        <f>_xll.DBRW($C$1,Opening!$G$13,Opening!G$11,$O$1,Opening!$I$13,Opening!$D$13,$P$1,$A68,$B68,$M$1)</f>
        <v>0</v>
      </c>
      <c r="H68" s="36">
        <f>_xll.DBRW($C$1,Opening!$G$13,Opening!H$11,$O$1,Opening!$I$13,Opening!$D$13,$P$1,$A68,$B68,$M$1)</f>
        <v>0</v>
      </c>
      <c r="I68" s="36">
        <f>_xll.DBRW($C$1,Opening!$G$13,Opening!I$11,$O$1,Opening!$I$13,Opening!$D$13,$P$1,$A68,$B68,$M$1)</f>
        <v>0</v>
      </c>
      <c r="J68" s="36">
        <f>_xll.DBRW($C$1,Opening!$G$13,Opening!J$11,$O$1,Opening!$I$13,Opening!$D$13,$P$1,$A68,$B68,$M$1)</f>
        <v>0</v>
      </c>
      <c r="K68" s="36">
        <f>_xll.DBRW($C$1,Opening!$G$13,Opening!K$11,$O$1,Opening!$I$13,Opening!$D$13,$P$1,$A68,$B68,$M$1)</f>
        <v>0</v>
      </c>
      <c r="L68" s="36">
        <f>_xll.DBRW($C$1,Opening!$G$13,Opening!L$11,$O$1,Opening!$I$13,Opening!$D$13,$P$1,$A68,$B68,$M$1)</f>
        <v>0</v>
      </c>
      <c r="M68" s="36">
        <f>_xll.DBRW($C$1,Opening!$G$13,Opening!M$11,$O$1,Opening!$I$13,Opening!$D$13,$P$1,$A68,$B68,$M$1)</f>
        <v>0</v>
      </c>
      <c r="N68" s="36">
        <f>_xll.DBRW($C$1,Opening!$G$13,Opening!N$11,$O$1,Opening!$I$13,Opening!$D$13,$P$1,$A68,$B68,$M$1)</f>
        <v>0</v>
      </c>
      <c r="O68" s="36">
        <f>_xll.DBRW($C$1,Opening!$G$13,Opening!O$11,$O$1,Opening!$I$13,Opening!$D$13,$P$1,$A68,$B68,$M$1)</f>
        <v>0</v>
      </c>
      <c r="P68" s="36">
        <f>_xll.DBRW($C$1,Opening!$G$13,Opening!P$11,$O$1,Opening!$I$13,Opening!$D$13,$P$1,$A68,$B68,$M$1)</f>
        <v>0</v>
      </c>
      <c r="Q68" s="36">
        <f>_xll.DBRW($C$1,Q$15,$Q$16,$O$1,Opening!$I$13,Opening!$D$13,$P$1,$A68,$B68,$M$1)</f>
        <v>0</v>
      </c>
      <c r="R68" s="36">
        <f>_xll.DBRW($C$1,R$15,$Q$16,$O$1,Opening!$I$13,Opening!$D$13,$P$1,$A68,$B68,$M$1)</f>
        <v>0</v>
      </c>
      <c r="S68" s="36">
        <f>_xll.DBRW($C$1,S$15,$Q$16,$O$1,Opening!$I$13,Opening!$D$13,$P$1,$A68,$B68,$M$1)</f>
        <v>0</v>
      </c>
      <c r="T68" s="36">
        <f>_xll.DBRW($C$1,T$15,$Q$16,$O$1,Opening!$I$13,Opening!$D$13,$P$1,$A68,$B68,$M$1)</f>
        <v>0</v>
      </c>
      <c r="U68" s="36">
        <f>_xll.DBRW($C$1,U$15,$Q$16,$O$1,Opening!$I$13,Opening!$D$13,$P$1,$A68,$B68,$M$1)</f>
        <v>0</v>
      </c>
      <c r="V68"/>
      <c r="W68"/>
      <c r="X68"/>
      <c r="Y68"/>
      <c r="Z68"/>
    </row>
    <row r="69" spans="1:26" ht="15.75" customHeight="1">
      <c r="A69" s="68" t="s">
        <v>350</v>
      </c>
      <c r="B69" s="29" t="s">
        <v>351</v>
      </c>
      <c r="C69" s="37" t="s">
        <v>207</v>
      </c>
      <c r="D69" s="56" t="s">
        <v>293</v>
      </c>
      <c r="E69" s="36">
        <f>_xll.DBRW($C$1,Opening!$G$13,Opening!E$11,$O$1,Opening!$I$13,Opening!$D$13,$P$1,$A69,$B69,$M$1)</f>
        <v>0</v>
      </c>
      <c r="F69" s="36">
        <f>_xll.DBRW($C$1,Opening!$G$13,Opening!F$11,$O$1,Opening!$I$13,Opening!$D$13,$P$1,$A69,$B69,$M$1)</f>
        <v>0</v>
      </c>
      <c r="G69" s="36">
        <f>_xll.DBRW($C$1,Opening!$G$13,Opening!G$11,$O$1,Opening!$I$13,Opening!$D$13,$P$1,$A69,$B69,$M$1)</f>
        <v>0</v>
      </c>
      <c r="H69" s="36">
        <f>_xll.DBRW($C$1,Opening!$G$13,Opening!H$11,$O$1,Opening!$I$13,Opening!$D$13,$P$1,$A69,$B69,$M$1)</f>
        <v>0</v>
      </c>
      <c r="I69" s="36">
        <f>_xll.DBRW($C$1,Opening!$G$13,Opening!I$11,$O$1,Opening!$I$13,Opening!$D$13,$P$1,$A69,$B69,$M$1)</f>
        <v>0</v>
      </c>
      <c r="J69" s="36">
        <f>_xll.DBRW($C$1,Opening!$G$13,Opening!J$11,$O$1,Opening!$I$13,Opening!$D$13,$P$1,$A69,$B69,$M$1)</f>
        <v>0</v>
      </c>
      <c r="K69" s="36">
        <f>_xll.DBRW($C$1,Opening!$G$13,Opening!K$11,$O$1,Opening!$I$13,Opening!$D$13,$P$1,$A69,$B69,$M$1)</f>
        <v>0</v>
      </c>
      <c r="L69" s="36">
        <f>_xll.DBRW($C$1,Opening!$G$13,Opening!L$11,$O$1,Opening!$I$13,Opening!$D$13,$P$1,$A69,$B69,$M$1)</f>
        <v>0</v>
      </c>
      <c r="M69" s="36">
        <f>_xll.DBRW($C$1,Opening!$G$13,Opening!M$11,$O$1,Opening!$I$13,Opening!$D$13,$P$1,$A69,$B69,$M$1)</f>
        <v>0</v>
      </c>
      <c r="N69" s="36">
        <f>_xll.DBRW($C$1,Opening!$G$13,Opening!N$11,$O$1,Opening!$I$13,Opening!$D$13,$P$1,$A69,$B69,$M$1)</f>
        <v>0</v>
      </c>
      <c r="O69" s="36">
        <f>_xll.DBRW($C$1,Opening!$G$13,Opening!O$11,$O$1,Opening!$I$13,Opening!$D$13,$P$1,$A69,$B69,$M$1)</f>
        <v>0</v>
      </c>
      <c r="P69" s="36">
        <f>_xll.DBRW($C$1,Opening!$G$13,Opening!P$11,$O$1,Opening!$I$13,Opening!$D$13,$P$1,$A69,$B69,$M$1)</f>
        <v>0</v>
      </c>
      <c r="Q69" s="36">
        <f>_xll.DBRW($C$1,Q$15,$Q$16,$O$1,Opening!$I$13,Opening!$D$13,$P$1,$A69,$B69,$M$1)</f>
        <v>0</v>
      </c>
      <c r="R69" s="36">
        <f>_xll.DBRW($C$1,R$15,$Q$16,$O$1,Opening!$I$13,Opening!$D$13,$P$1,$A69,$B69,$M$1)</f>
        <v>0</v>
      </c>
      <c r="S69" s="36">
        <f>_xll.DBRW($C$1,S$15,$Q$16,$O$1,Opening!$I$13,Opening!$D$13,$P$1,$A69,$B69,$M$1)</f>
        <v>0</v>
      </c>
      <c r="T69" s="36">
        <f>_xll.DBRW($C$1,T$15,$Q$16,$O$1,Opening!$I$13,Opening!$D$13,$P$1,$A69,$B69,$M$1)</f>
        <v>0</v>
      </c>
      <c r="U69" s="36">
        <f>_xll.DBRW($C$1,U$15,$Q$16,$O$1,Opening!$I$13,Opening!$D$13,$P$1,$A69,$B69,$M$1)</f>
        <v>0</v>
      </c>
      <c r="V69"/>
      <c r="W69"/>
      <c r="X69"/>
      <c r="Y69"/>
      <c r="Z69"/>
    </row>
    <row r="70" spans="1:26" ht="15.75" customHeight="1">
      <c r="A70" s="68" t="s">
        <v>350</v>
      </c>
      <c r="B70" s="29" t="s">
        <v>351</v>
      </c>
      <c r="C70" s="37" t="s">
        <v>207</v>
      </c>
      <c r="D70" s="56" t="s">
        <v>295</v>
      </c>
      <c r="E70" s="36">
        <f>_xll.DBRW($C$1,Opening!$G$13,Opening!E$11,$O$1,Opening!$I$13,Opening!$D$13,$P$1,$A70,$B70,$M$1)</f>
        <v>0</v>
      </c>
      <c r="F70" s="36">
        <f>_xll.DBRW($C$1,Opening!$G$13,Opening!F$11,$O$1,Opening!$I$13,Opening!$D$13,$P$1,$A70,$B70,$M$1)</f>
        <v>0</v>
      </c>
      <c r="G70" s="36">
        <f>_xll.DBRW($C$1,Opening!$G$13,Opening!G$11,$O$1,Opening!$I$13,Opening!$D$13,$P$1,$A70,$B70,$M$1)</f>
        <v>0</v>
      </c>
      <c r="H70" s="36">
        <f>_xll.DBRW($C$1,Opening!$G$13,Opening!H$11,$O$1,Opening!$I$13,Opening!$D$13,$P$1,$A70,$B70,$M$1)</f>
        <v>0</v>
      </c>
      <c r="I70" s="36">
        <f>_xll.DBRW($C$1,Opening!$G$13,Opening!I$11,$O$1,Opening!$I$13,Opening!$D$13,$P$1,$A70,$B70,$M$1)</f>
        <v>0</v>
      </c>
      <c r="J70" s="36">
        <f>_xll.DBRW($C$1,Opening!$G$13,Opening!J$11,$O$1,Opening!$I$13,Opening!$D$13,$P$1,$A70,$B70,$M$1)</f>
        <v>0</v>
      </c>
      <c r="K70" s="36">
        <f>_xll.DBRW($C$1,Opening!$G$13,Opening!K$11,$O$1,Opening!$I$13,Opening!$D$13,$P$1,$A70,$B70,$M$1)</f>
        <v>0</v>
      </c>
      <c r="L70" s="36">
        <f>_xll.DBRW($C$1,Opening!$G$13,Opening!L$11,$O$1,Opening!$I$13,Opening!$D$13,$P$1,$A70,$B70,$M$1)</f>
        <v>0</v>
      </c>
      <c r="M70" s="36">
        <f>_xll.DBRW($C$1,Opening!$G$13,Opening!M$11,$O$1,Opening!$I$13,Opening!$D$13,$P$1,$A70,$B70,$M$1)</f>
        <v>0</v>
      </c>
      <c r="N70" s="36">
        <f>_xll.DBRW($C$1,Opening!$G$13,Opening!N$11,$O$1,Opening!$I$13,Opening!$D$13,$P$1,$A70,$B70,$M$1)</f>
        <v>0</v>
      </c>
      <c r="O70" s="36">
        <f>_xll.DBRW($C$1,Opening!$G$13,Opening!O$11,$O$1,Opening!$I$13,Opening!$D$13,$P$1,$A70,$B70,$M$1)</f>
        <v>0</v>
      </c>
      <c r="P70" s="36">
        <f>_xll.DBRW($C$1,Opening!$G$13,Opening!P$11,$O$1,Opening!$I$13,Opening!$D$13,$P$1,$A70,$B70,$M$1)</f>
        <v>0</v>
      </c>
      <c r="Q70" s="36">
        <f>_xll.DBRW($C$1,Q$15,$Q$16,$O$1,Opening!$I$13,Opening!$D$13,$P$1,$A70,$B70,$M$1)</f>
        <v>0</v>
      </c>
      <c r="R70" s="36">
        <f>_xll.DBRW($C$1,R$15,$Q$16,$O$1,Opening!$I$13,Opening!$D$13,$P$1,$A70,$B70,$M$1)</f>
        <v>0</v>
      </c>
      <c r="S70" s="36">
        <f>_xll.DBRW($C$1,S$15,$Q$16,$O$1,Opening!$I$13,Opening!$D$13,$P$1,$A70,$B70,$M$1)</f>
        <v>0</v>
      </c>
      <c r="T70" s="36">
        <f>_xll.DBRW($C$1,T$15,$Q$16,$O$1,Opening!$I$13,Opening!$D$13,$P$1,$A70,$B70,$M$1)</f>
        <v>0</v>
      </c>
      <c r="U70" s="36">
        <f>_xll.DBRW($C$1,U$15,$Q$16,$O$1,Opening!$I$13,Opening!$D$13,$P$1,$A70,$B70,$M$1)</f>
        <v>0</v>
      </c>
      <c r="V70"/>
      <c r="W70"/>
      <c r="X70"/>
      <c r="Y70"/>
      <c r="Z70"/>
    </row>
    <row r="71" spans="1:26" ht="15.75" customHeight="1">
      <c r="A71" s="68" t="s">
        <v>350</v>
      </c>
      <c r="B71" s="29" t="s">
        <v>351</v>
      </c>
      <c r="C71" s="37" t="s">
        <v>207</v>
      </c>
      <c r="D71" s="56" t="s">
        <v>296</v>
      </c>
      <c r="E71" s="36">
        <f>_xll.DBRW($C$1,Opening!$G$13,Opening!E$11,$O$1,Opening!$I$13,Opening!$D$13,$P$1,$A71,$B71,$M$1)</f>
        <v>0</v>
      </c>
      <c r="F71" s="36">
        <f>_xll.DBRW($C$1,Opening!$G$13,Opening!F$11,$O$1,Opening!$I$13,Opening!$D$13,$P$1,$A71,$B71,$M$1)</f>
        <v>0</v>
      </c>
      <c r="G71" s="36">
        <f>_xll.DBRW($C$1,Opening!$G$13,Opening!G$11,$O$1,Opening!$I$13,Opening!$D$13,$P$1,$A71,$B71,$M$1)</f>
        <v>0</v>
      </c>
      <c r="H71" s="36">
        <f>_xll.DBRW($C$1,Opening!$G$13,Opening!H$11,$O$1,Opening!$I$13,Opening!$D$13,$P$1,$A71,$B71,$M$1)</f>
        <v>0</v>
      </c>
      <c r="I71" s="36">
        <f>_xll.DBRW($C$1,Opening!$G$13,Opening!I$11,$O$1,Opening!$I$13,Opening!$D$13,$P$1,$A71,$B71,$M$1)</f>
        <v>0</v>
      </c>
      <c r="J71" s="36">
        <f>_xll.DBRW($C$1,Opening!$G$13,Opening!J$11,$O$1,Opening!$I$13,Opening!$D$13,$P$1,$A71,$B71,$M$1)</f>
        <v>0</v>
      </c>
      <c r="K71" s="36">
        <f>_xll.DBRW($C$1,Opening!$G$13,Opening!K$11,$O$1,Opening!$I$13,Opening!$D$13,$P$1,$A71,$B71,$M$1)</f>
        <v>0</v>
      </c>
      <c r="L71" s="36">
        <f>_xll.DBRW($C$1,Opening!$G$13,Opening!L$11,$O$1,Opening!$I$13,Opening!$D$13,$P$1,$A71,$B71,$M$1)</f>
        <v>0</v>
      </c>
      <c r="M71" s="36">
        <f>_xll.DBRW($C$1,Opening!$G$13,Opening!M$11,$O$1,Opening!$I$13,Opening!$D$13,$P$1,$A71,$B71,$M$1)</f>
        <v>0</v>
      </c>
      <c r="N71" s="36">
        <f>_xll.DBRW($C$1,Opening!$G$13,Opening!N$11,$O$1,Opening!$I$13,Opening!$D$13,$P$1,$A71,$B71,$M$1)</f>
        <v>0</v>
      </c>
      <c r="O71" s="36">
        <f>_xll.DBRW($C$1,Opening!$G$13,Opening!O$11,$O$1,Opening!$I$13,Opening!$D$13,$P$1,$A71,$B71,$M$1)</f>
        <v>0</v>
      </c>
      <c r="P71" s="36">
        <f>_xll.DBRW($C$1,Opening!$G$13,Opening!P$11,$O$1,Opening!$I$13,Opening!$D$13,$P$1,$A71,$B71,$M$1)</f>
        <v>0</v>
      </c>
      <c r="Q71" s="36">
        <f>_xll.DBRW($C$1,Q$15,$Q$16,$O$1,Opening!$I$13,Opening!$D$13,$P$1,$A71,$B71,$M$1)</f>
        <v>0</v>
      </c>
      <c r="R71" s="36">
        <f>_xll.DBRW($C$1,R$15,$Q$16,$O$1,Opening!$I$13,Opening!$D$13,$P$1,$A71,$B71,$M$1)</f>
        <v>0</v>
      </c>
      <c r="S71" s="36">
        <f>_xll.DBRW($C$1,S$15,$Q$16,$O$1,Opening!$I$13,Opening!$D$13,$P$1,$A71,$B71,$M$1)</f>
        <v>0</v>
      </c>
      <c r="T71" s="36">
        <f>_xll.DBRW($C$1,T$15,$Q$16,$O$1,Opening!$I$13,Opening!$D$13,$P$1,$A71,$B71,$M$1)</f>
        <v>0</v>
      </c>
      <c r="U71" s="36">
        <f>_xll.DBRW($C$1,U$15,$Q$16,$O$1,Opening!$I$13,Opening!$D$13,$P$1,$A71,$B71,$M$1)</f>
        <v>0</v>
      </c>
      <c r="V71"/>
      <c r="W71"/>
      <c r="X71"/>
      <c r="Y71"/>
      <c r="Z71"/>
    </row>
    <row r="72" spans="1:26" ht="15.75" customHeight="1">
      <c r="A72" s="68" t="s">
        <v>350</v>
      </c>
      <c r="B72" s="29" t="s">
        <v>351</v>
      </c>
      <c r="C72" s="37" t="s">
        <v>207</v>
      </c>
      <c r="D72" s="56" t="s">
        <v>297</v>
      </c>
      <c r="E72" s="36">
        <f>_xll.DBRW($C$1,Opening!$G$13,Opening!E$11,$O$1,Opening!$I$13,Opening!$D$13,$P$1,$A72,$B72,$M$1)</f>
        <v>0</v>
      </c>
      <c r="F72" s="36">
        <f>_xll.DBRW($C$1,Opening!$G$13,Opening!F$11,$O$1,Opening!$I$13,Opening!$D$13,$P$1,$A72,$B72,$M$1)</f>
        <v>0</v>
      </c>
      <c r="G72" s="36">
        <f>_xll.DBRW($C$1,Opening!$G$13,Opening!G$11,$O$1,Opening!$I$13,Opening!$D$13,$P$1,$A72,$B72,$M$1)</f>
        <v>0</v>
      </c>
      <c r="H72" s="36">
        <f>_xll.DBRW($C$1,Opening!$G$13,Opening!H$11,$O$1,Opening!$I$13,Opening!$D$13,$P$1,$A72,$B72,$M$1)</f>
        <v>0</v>
      </c>
      <c r="I72" s="36">
        <f>_xll.DBRW($C$1,Opening!$G$13,Opening!I$11,$O$1,Opening!$I$13,Opening!$D$13,$P$1,$A72,$B72,$M$1)</f>
        <v>0</v>
      </c>
      <c r="J72" s="36">
        <f>_xll.DBRW($C$1,Opening!$G$13,Opening!J$11,$O$1,Opening!$I$13,Opening!$D$13,$P$1,$A72,$B72,$M$1)</f>
        <v>0</v>
      </c>
      <c r="K72" s="36">
        <f>_xll.DBRW($C$1,Opening!$G$13,Opening!K$11,$O$1,Opening!$I$13,Opening!$D$13,$P$1,$A72,$B72,$M$1)</f>
        <v>0</v>
      </c>
      <c r="L72" s="36">
        <f>_xll.DBRW($C$1,Opening!$G$13,Opening!L$11,$O$1,Opening!$I$13,Opening!$D$13,$P$1,$A72,$B72,$M$1)</f>
        <v>0</v>
      </c>
      <c r="M72" s="36">
        <f>_xll.DBRW($C$1,Opening!$G$13,Opening!M$11,$O$1,Opening!$I$13,Opening!$D$13,$P$1,$A72,$B72,$M$1)</f>
        <v>0</v>
      </c>
      <c r="N72" s="36">
        <f>_xll.DBRW($C$1,Opening!$G$13,Opening!N$11,$O$1,Opening!$I$13,Opening!$D$13,$P$1,$A72,$B72,$M$1)</f>
        <v>0</v>
      </c>
      <c r="O72" s="36">
        <f>_xll.DBRW($C$1,Opening!$G$13,Opening!O$11,$O$1,Opening!$I$13,Opening!$D$13,$P$1,$A72,$B72,$M$1)</f>
        <v>0</v>
      </c>
      <c r="P72" s="36">
        <f>_xll.DBRW($C$1,Opening!$G$13,Opening!P$11,$O$1,Opening!$I$13,Opening!$D$13,$P$1,$A72,$B72,$M$1)</f>
        <v>0</v>
      </c>
      <c r="Q72" s="36">
        <f>_xll.DBRW($C$1,Q$15,$Q$16,$O$1,Opening!$I$13,Opening!$D$13,$P$1,$A72,$B72,$M$1)</f>
        <v>0</v>
      </c>
      <c r="R72" s="36">
        <f>_xll.DBRW($C$1,R$15,$Q$16,$O$1,Opening!$I$13,Opening!$D$13,$P$1,$A72,$B72,$M$1)</f>
        <v>0</v>
      </c>
      <c r="S72" s="36">
        <f>_xll.DBRW($C$1,S$15,$Q$16,$O$1,Opening!$I$13,Opening!$D$13,$P$1,$A72,$B72,$M$1)</f>
        <v>0</v>
      </c>
      <c r="T72" s="36">
        <f>_xll.DBRW($C$1,T$15,$Q$16,$O$1,Opening!$I$13,Opening!$D$13,$P$1,$A72,$B72,$M$1)</f>
        <v>0</v>
      </c>
      <c r="U72" s="36">
        <f>_xll.DBRW($C$1,U$15,$Q$16,$O$1,Opening!$I$13,Opening!$D$13,$P$1,$A72,$B72,$M$1)</f>
        <v>0</v>
      </c>
      <c r="V72"/>
      <c r="W72"/>
      <c r="X72"/>
      <c r="Y72"/>
      <c r="Z72"/>
    </row>
    <row r="73" spans="1:26" ht="15.75" customHeight="1">
      <c r="A73" s="68" t="s">
        <v>350</v>
      </c>
      <c r="B73" s="29" t="s">
        <v>351</v>
      </c>
      <c r="C73" s="37" t="s">
        <v>207</v>
      </c>
      <c r="D73" s="56" t="s">
        <v>298</v>
      </c>
      <c r="E73" s="36">
        <f>_xll.DBRW($C$1,Opening!$G$13,Opening!E$11,$O$1,Opening!$I$13,Opening!$D$13,$P$1,$A73,$B73,$M$1)</f>
        <v>0</v>
      </c>
      <c r="F73" s="36">
        <f>_xll.DBRW($C$1,Opening!$G$13,Opening!F$11,$O$1,Opening!$I$13,Opening!$D$13,$P$1,$A73,$B73,$M$1)</f>
        <v>0</v>
      </c>
      <c r="G73" s="36">
        <f>_xll.DBRW($C$1,Opening!$G$13,Opening!G$11,$O$1,Opening!$I$13,Opening!$D$13,$P$1,$A73,$B73,$M$1)</f>
        <v>0</v>
      </c>
      <c r="H73" s="36">
        <f>_xll.DBRW($C$1,Opening!$G$13,Opening!H$11,$O$1,Opening!$I$13,Opening!$D$13,$P$1,$A73,$B73,$M$1)</f>
        <v>0</v>
      </c>
      <c r="I73" s="36">
        <f>_xll.DBRW($C$1,Opening!$G$13,Opening!I$11,$O$1,Opening!$I$13,Opening!$D$13,$P$1,$A73,$B73,$M$1)</f>
        <v>0</v>
      </c>
      <c r="J73" s="36">
        <f>_xll.DBRW($C$1,Opening!$G$13,Opening!J$11,$O$1,Opening!$I$13,Opening!$D$13,$P$1,$A73,$B73,$M$1)</f>
        <v>0</v>
      </c>
      <c r="K73" s="36">
        <f>_xll.DBRW($C$1,Opening!$G$13,Opening!K$11,$O$1,Opening!$I$13,Opening!$D$13,$P$1,$A73,$B73,$M$1)</f>
        <v>0</v>
      </c>
      <c r="L73" s="36">
        <f>_xll.DBRW($C$1,Opening!$G$13,Opening!L$11,$O$1,Opening!$I$13,Opening!$D$13,$P$1,$A73,$B73,$M$1)</f>
        <v>0</v>
      </c>
      <c r="M73" s="36">
        <f>_xll.DBRW($C$1,Opening!$G$13,Opening!M$11,$O$1,Opening!$I$13,Opening!$D$13,$P$1,$A73,$B73,$M$1)</f>
        <v>0</v>
      </c>
      <c r="N73" s="36">
        <f>_xll.DBRW($C$1,Opening!$G$13,Opening!N$11,$O$1,Opening!$I$13,Opening!$D$13,$P$1,$A73,$B73,$M$1)</f>
        <v>0</v>
      </c>
      <c r="O73" s="36">
        <f>_xll.DBRW($C$1,Opening!$G$13,Opening!O$11,$O$1,Opening!$I$13,Opening!$D$13,$P$1,$A73,$B73,$M$1)</f>
        <v>0</v>
      </c>
      <c r="P73" s="36">
        <f>_xll.DBRW($C$1,Opening!$G$13,Opening!P$11,$O$1,Opening!$I$13,Opening!$D$13,$P$1,$A73,$B73,$M$1)</f>
        <v>0</v>
      </c>
      <c r="Q73" s="36">
        <f>_xll.DBRW($C$1,Q$15,$Q$16,$O$1,Opening!$I$13,Opening!$D$13,$P$1,$A73,$B73,$M$1)</f>
        <v>0</v>
      </c>
      <c r="R73" s="36">
        <f>_xll.DBRW($C$1,R$15,$Q$16,$O$1,Opening!$I$13,Opening!$D$13,$P$1,$A73,$B73,$M$1)</f>
        <v>0</v>
      </c>
      <c r="S73" s="36">
        <f>_xll.DBRW($C$1,S$15,$Q$16,$O$1,Opening!$I$13,Opening!$D$13,$P$1,$A73,$B73,$M$1)</f>
        <v>0</v>
      </c>
      <c r="T73" s="36">
        <f>_xll.DBRW($C$1,T$15,$Q$16,$O$1,Opening!$I$13,Opening!$D$13,$P$1,$A73,$B73,$M$1)</f>
        <v>0</v>
      </c>
      <c r="U73" s="36">
        <f>_xll.DBRW($C$1,U$15,$Q$16,$O$1,Opening!$I$13,Opening!$D$13,$P$1,$A73,$B73,$M$1)</f>
        <v>0</v>
      </c>
      <c r="V73"/>
      <c r="W73"/>
      <c r="X73"/>
      <c r="Y73"/>
      <c r="Z73"/>
    </row>
    <row r="74" spans="1:26" ht="15.75" customHeight="1">
      <c r="A74" s="68" t="s">
        <v>350</v>
      </c>
      <c r="B74" s="29" t="s">
        <v>351</v>
      </c>
      <c r="C74" s="37" t="s">
        <v>207</v>
      </c>
      <c r="D74" s="56" t="s">
        <v>299</v>
      </c>
      <c r="E74" s="36">
        <f>_xll.DBRW($C$1,Opening!$G$13,Opening!E$11,$O$1,Opening!$I$13,Opening!$D$13,$P$1,$A74,$B74,$M$1)</f>
        <v>0</v>
      </c>
      <c r="F74" s="36">
        <f>_xll.DBRW($C$1,Opening!$G$13,Opening!F$11,$O$1,Opening!$I$13,Opening!$D$13,$P$1,$A74,$B74,$M$1)</f>
        <v>0</v>
      </c>
      <c r="G74" s="36">
        <f>_xll.DBRW($C$1,Opening!$G$13,Opening!G$11,$O$1,Opening!$I$13,Opening!$D$13,$P$1,$A74,$B74,$M$1)</f>
        <v>0</v>
      </c>
      <c r="H74" s="36">
        <f>_xll.DBRW($C$1,Opening!$G$13,Opening!H$11,$O$1,Opening!$I$13,Opening!$D$13,$P$1,$A74,$B74,$M$1)</f>
        <v>0</v>
      </c>
      <c r="I74" s="36">
        <f>_xll.DBRW($C$1,Opening!$G$13,Opening!I$11,$O$1,Opening!$I$13,Opening!$D$13,$P$1,$A74,$B74,$M$1)</f>
        <v>0</v>
      </c>
      <c r="J74" s="36">
        <f>_xll.DBRW($C$1,Opening!$G$13,Opening!J$11,$O$1,Opening!$I$13,Opening!$D$13,$P$1,$A74,$B74,$M$1)</f>
        <v>0</v>
      </c>
      <c r="K74" s="36">
        <f>_xll.DBRW($C$1,Opening!$G$13,Opening!K$11,$O$1,Opening!$I$13,Opening!$D$13,$P$1,$A74,$B74,$M$1)</f>
        <v>0</v>
      </c>
      <c r="L74" s="36">
        <f>_xll.DBRW($C$1,Opening!$G$13,Opening!L$11,$O$1,Opening!$I$13,Opening!$D$13,$P$1,$A74,$B74,$M$1)</f>
        <v>0</v>
      </c>
      <c r="M74" s="36">
        <f>_xll.DBRW($C$1,Opening!$G$13,Opening!M$11,$O$1,Opening!$I$13,Opening!$D$13,$P$1,$A74,$B74,$M$1)</f>
        <v>0</v>
      </c>
      <c r="N74" s="36">
        <f>_xll.DBRW($C$1,Opening!$G$13,Opening!N$11,$O$1,Opening!$I$13,Opening!$D$13,$P$1,$A74,$B74,$M$1)</f>
        <v>0</v>
      </c>
      <c r="O74" s="36">
        <f>_xll.DBRW($C$1,Opening!$G$13,Opening!O$11,$O$1,Opening!$I$13,Opening!$D$13,$P$1,$A74,$B74,$M$1)</f>
        <v>0</v>
      </c>
      <c r="P74" s="36">
        <f>_xll.DBRW($C$1,Opening!$G$13,Opening!P$11,$O$1,Opening!$I$13,Opening!$D$13,$P$1,$A74,$B74,$M$1)</f>
        <v>0</v>
      </c>
      <c r="Q74" s="36">
        <f>_xll.DBRW($C$1,Q$15,$Q$16,$O$1,Opening!$I$13,Opening!$D$13,$P$1,$A74,$B74,$M$1)</f>
        <v>0</v>
      </c>
      <c r="R74" s="36">
        <f>_xll.DBRW($C$1,R$15,$Q$16,$O$1,Opening!$I$13,Opening!$D$13,$P$1,$A74,$B74,$M$1)</f>
        <v>0</v>
      </c>
      <c r="S74" s="36">
        <f>_xll.DBRW($C$1,S$15,$Q$16,$O$1,Opening!$I$13,Opening!$D$13,$P$1,$A74,$B74,$M$1)</f>
        <v>0</v>
      </c>
      <c r="T74" s="36">
        <f>_xll.DBRW($C$1,T$15,$Q$16,$O$1,Opening!$I$13,Opening!$D$13,$P$1,$A74,$B74,$M$1)</f>
        <v>0</v>
      </c>
      <c r="U74" s="36">
        <f>_xll.DBRW($C$1,U$15,$Q$16,$O$1,Opening!$I$13,Opening!$D$13,$P$1,$A74,$B74,$M$1)</f>
        <v>0</v>
      </c>
      <c r="V74"/>
      <c r="W74"/>
      <c r="X74"/>
      <c r="Y74"/>
      <c r="Z74"/>
    </row>
    <row r="75" spans="1:26" ht="15.75" customHeight="1">
      <c r="A75" s="68" t="s">
        <v>350</v>
      </c>
      <c r="B75" s="29" t="s">
        <v>351</v>
      </c>
      <c r="C75" s="37" t="s">
        <v>207</v>
      </c>
      <c r="D75" s="56" t="s">
        <v>300</v>
      </c>
      <c r="E75" s="36">
        <f>_xll.DBRW($C$1,Opening!$G$13,Opening!E$11,$O$1,Opening!$I$13,Opening!$D$13,$P$1,$A75,$B75,$M$1)</f>
        <v>0</v>
      </c>
      <c r="F75" s="36">
        <f>_xll.DBRW($C$1,Opening!$G$13,Opening!F$11,$O$1,Opening!$I$13,Opening!$D$13,$P$1,$A75,$B75,$M$1)</f>
        <v>0</v>
      </c>
      <c r="G75" s="36">
        <f>_xll.DBRW($C$1,Opening!$G$13,Opening!G$11,$O$1,Opening!$I$13,Opening!$D$13,$P$1,$A75,$B75,$M$1)</f>
        <v>0</v>
      </c>
      <c r="H75" s="36">
        <f>_xll.DBRW($C$1,Opening!$G$13,Opening!H$11,$O$1,Opening!$I$13,Opening!$D$13,$P$1,$A75,$B75,$M$1)</f>
        <v>0</v>
      </c>
      <c r="I75" s="36">
        <f>_xll.DBRW($C$1,Opening!$G$13,Opening!I$11,$O$1,Opening!$I$13,Opening!$D$13,$P$1,$A75,$B75,$M$1)</f>
        <v>0</v>
      </c>
      <c r="J75" s="36">
        <f>_xll.DBRW($C$1,Opening!$G$13,Opening!J$11,$O$1,Opening!$I$13,Opening!$D$13,$P$1,$A75,$B75,$M$1)</f>
        <v>0</v>
      </c>
      <c r="K75" s="36">
        <f>_xll.DBRW($C$1,Opening!$G$13,Opening!K$11,$O$1,Opening!$I$13,Opening!$D$13,$P$1,$A75,$B75,$M$1)</f>
        <v>0</v>
      </c>
      <c r="L75" s="36">
        <f>_xll.DBRW($C$1,Opening!$G$13,Opening!L$11,$O$1,Opening!$I$13,Opening!$D$13,$P$1,$A75,$B75,$M$1)</f>
        <v>0</v>
      </c>
      <c r="M75" s="36">
        <f>_xll.DBRW($C$1,Opening!$G$13,Opening!M$11,$O$1,Opening!$I$13,Opening!$D$13,$P$1,$A75,$B75,$M$1)</f>
        <v>0</v>
      </c>
      <c r="N75" s="36">
        <f>_xll.DBRW($C$1,Opening!$G$13,Opening!N$11,$O$1,Opening!$I$13,Opening!$D$13,$P$1,$A75,$B75,$M$1)</f>
        <v>0</v>
      </c>
      <c r="O75" s="36">
        <f>_xll.DBRW($C$1,Opening!$G$13,Opening!O$11,$O$1,Opening!$I$13,Opening!$D$13,$P$1,$A75,$B75,$M$1)</f>
        <v>0</v>
      </c>
      <c r="P75" s="36">
        <f>_xll.DBRW($C$1,Opening!$G$13,Opening!P$11,$O$1,Opening!$I$13,Opening!$D$13,$P$1,$A75,$B75,$M$1)</f>
        <v>0</v>
      </c>
      <c r="Q75" s="36">
        <f>_xll.DBRW($C$1,Q$15,$Q$16,$O$1,Opening!$I$13,Opening!$D$13,$P$1,$A75,$B75,$M$1)</f>
        <v>0</v>
      </c>
      <c r="R75" s="36">
        <f>_xll.DBRW($C$1,R$15,$Q$16,$O$1,Opening!$I$13,Opening!$D$13,$P$1,$A75,$B75,$M$1)</f>
        <v>0</v>
      </c>
      <c r="S75" s="36">
        <f>_xll.DBRW($C$1,S$15,$Q$16,$O$1,Opening!$I$13,Opening!$D$13,$P$1,$A75,$B75,$M$1)</f>
        <v>0</v>
      </c>
      <c r="T75" s="36">
        <f>_xll.DBRW($C$1,T$15,$Q$16,$O$1,Opening!$I$13,Opening!$D$13,$P$1,$A75,$B75,$M$1)</f>
        <v>0</v>
      </c>
      <c r="U75" s="36">
        <f>_xll.DBRW($C$1,U$15,$Q$16,$O$1,Opening!$I$13,Opening!$D$13,$P$1,$A75,$B75,$M$1)</f>
        <v>0</v>
      </c>
      <c r="V75"/>
      <c r="W75"/>
      <c r="X75"/>
      <c r="Y75"/>
      <c r="Z75"/>
    </row>
    <row r="76" spans="1:26" ht="15.75" customHeight="1">
      <c r="A76" s="68" t="s">
        <v>350</v>
      </c>
      <c r="B76" s="29" t="s">
        <v>353</v>
      </c>
      <c r="C76" s="37" t="s">
        <v>208</v>
      </c>
      <c r="D76" s="56" t="s">
        <v>294</v>
      </c>
      <c r="E76" s="36">
        <f>_xll.DBRW($C$1,Opening!$G$13,Opening!E$11,$O$1,Opening!$I$13,Opening!$D$13,$P$1,$A76,$B76,$M$1)</f>
        <v>0</v>
      </c>
      <c r="F76" s="36">
        <f>_xll.DBRW($C$1,Opening!$G$13,Opening!F$11,$O$1,Opening!$I$13,Opening!$D$13,$P$1,$A76,$B76,$M$1)</f>
        <v>0</v>
      </c>
      <c r="G76" s="36">
        <f>_xll.DBRW($C$1,Opening!$G$13,Opening!G$11,$O$1,Opening!$I$13,Opening!$D$13,$P$1,$A76,$B76,$M$1)</f>
        <v>0</v>
      </c>
      <c r="H76" s="36">
        <f>_xll.DBRW($C$1,Opening!$G$13,Opening!H$11,$O$1,Opening!$I$13,Opening!$D$13,$P$1,$A76,$B76,$M$1)</f>
        <v>0</v>
      </c>
      <c r="I76" s="36">
        <f>_xll.DBRW($C$1,Opening!$G$13,Opening!I$11,$O$1,Opening!$I$13,Opening!$D$13,$P$1,$A76,$B76,$M$1)</f>
        <v>0</v>
      </c>
      <c r="J76" s="36">
        <f>_xll.DBRW($C$1,Opening!$G$13,Opening!J$11,$O$1,Opening!$I$13,Opening!$D$13,$P$1,$A76,$B76,$M$1)</f>
        <v>0</v>
      </c>
      <c r="K76" s="36">
        <f>_xll.DBRW($C$1,Opening!$G$13,Opening!K$11,$O$1,Opening!$I$13,Opening!$D$13,$P$1,$A76,$B76,$M$1)</f>
        <v>0</v>
      </c>
      <c r="L76" s="36">
        <f>_xll.DBRW($C$1,Opening!$G$13,Opening!L$11,$O$1,Opening!$I$13,Opening!$D$13,$P$1,$A76,$B76,$M$1)</f>
        <v>0</v>
      </c>
      <c r="M76" s="36">
        <f>_xll.DBRW($C$1,Opening!$G$13,Opening!M$11,$O$1,Opening!$I$13,Opening!$D$13,$P$1,$A76,$B76,$M$1)</f>
        <v>0</v>
      </c>
      <c r="N76" s="36">
        <f>_xll.DBRW($C$1,Opening!$G$13,Opening!N$11,$O$1,Opening!$I$13,Opening!$D$13,$P$1,$A76,$B76,$M$1)</f>
        <v>0</v>
      </c>
      <c r="O76" s="36">
        <f>_xll.DBRW($C$1,Opening!$G$13,Opening!O$11,$O$1,Opening!$I$13,Opening!$D$13,$P$1,$A76,$B76,$M$1)</f>
        <v>0</v>
      </c>
      <c r="P76" s="36">
        <f>_xll.DBRW($C$1,Opening!$G$13,Opening!P$11,$O$1,Opening!$I$13,Opening!$D$13,$P$1,$A76,$B76,$M$1)</f>
        <v>0</v>
      </c>
      <c r="Q76" s="36">
        <f>_xll.DBRW($C$1,Q$15,$Q$16,$O$1,Opening!$I$13,Opening!$D$13,$P$1,$A76,$B76,$M$1)</f>
        <v>0</v>
      </c>
      <c r="R76" s="36">
        <f>_xll.DBRW($C$1,R$15,$Q$16,$O$1,Opening!$I$13,Opening!$D$13,$P$1,$A76,$B76,$M$1)</f>
        <v>0</v>
      </c>
      <c r="S76" s="36">
        <f>_xll.DBRW($C$1,S$15,$Q$16,$O$1,Opening!$I$13,Opening!$D$13,$P$1,$A76,$B76,$M$1)</f>
        <v>0</v>
      </c>
      <c r="T76" s="36">
        <f>_xll.DBRW($C$1,T$15,$Q$16,$O$1,Opening!$I$13,Opening!$D$13,$P$1,$A76,$B76,$M$1)</f>
        <v>0</v>
      </c>
      <c r="U76" s="36">
        <f>_xll.DBRW($C$1,U$15,$Q$16,$O$1,Opening!$I$13,Opening!$D$13,$P$1,$A76,$B76,$M$1)</f>
        <v>0</v>
      </c>
      <c r="V76"/>
      <c r="W76"/>
      <c r="X76"/>
      <c r="Y76"/>
      <c r="Z76"/>
    </row>
    <row r="77" spans="1:26" ht="15.75" customHeight="1">
      <c r="A77" s="68" t="s">
        <v>350</v>
      </c>
      <c r="B77" s="29" t="s">
        <v>353</v>
      </c>
      <c r="C77" s="37" t="s">
        <v>208</v>
      </c>
      <c r="D77" s="56" t="s">
        <v>292</v>
      </c>
      <c r="E77" s="36">
        <f>_xll.DBRW($C$1,Opening!$G$13,Opening!E$11,$O$1,Opening!$I$13,Opening!$D$13,$P$1,$A77,$B77,$M$1)</f>
        <v>0</v>
      </c>
      <c r="F77" s="36">
        <f>_xll.DBRW($C$1,Opening!$G$13,Opening!F$11,$O$1,Opening!$I$13,Opening!$D$13,$P$1,$A77,$B77,$M$1)</f>
        <v>0</v>
      </c>
      <c r="G77" s="36">
        <f>_xll.DBRW($C$1,Opening!$G$13,Opening!G$11,$O$1,Opening!$I$13,Opening!$D$13,$P$1,$A77,$B77,$M$1)</f>
        <v>0</v>
      </c>
      <c r="H77" s="36">
        <f>_xll.DBRW($C$1,Opening!$G$13,Opening!H$11,$O$1,Opening!$I$13,Opening!$D$13,$P$1,$A77,$B77,$M$1)</f>
        <v>0</v>
      </c>
      <c r="I77" s="36">
        <f>_xll.DBRW($C$1,Opening!$G$13,Opening!I$11,$O$1,Opening!$I$13,Opening!$D$13,$P$1,$A77,$B77,$M$1)</f>
        <v>0</v>
      </c>
      <c r="J77" s="36">
        <f>_xll.DBRW($C$1,Opening!$G$13,Opening!J$11,$O$1,Opening!$I$13,Opening!$D$13,$P$1,$A77,$B77,$M$1)</f>
        <v>0</v>
      </c>
      <c r="K77" s="36">
        <f>_xll.DBRW($C$1,Opening!$G$13,Opening!K$11,$O$1,Opening!$I$13,Opening!$D$13,$P$1,$A77,$B77,$M$1)</f>
        <v>0</v>
      </c>
      <c r="L77" s="36">
        <f>_xll.DBRW($C$1,Opening!$G$13,Opening!L$11,$O$1,Opening!$I$13,Opening!$D$13,$P$1,$A77,$B77,$M$1)</f>
        <v>0</v>
      </c>
      <c r="M77" s="36">
        <f>_xll.DBRW($C$1,Opening!$G$13,Opening!M$11,$O$1,Opening!$I$13,Opening!$D$13,$P$1,$A77,$B77,$M$1)</f>
        <v>0</v>
      </c>
      <c r="N77" s="36">
        <f>_xll.DBRW($C$1,Opening!$G$13,Opening!N$11,$O$1,Opening!$I$13,Opening!$D$13,$P$1,$A77,$B77,$M$1)</f>
        <v>0</v>
      </c>
      <c r="O77" s="36">
        <f>_xll.DBRW($C$1,Opening!$G$13,Opening!O$11,$O$1,Opening!$I$13,Opening!$D$13,$P$1,$A77,$B77,$M$1)</f>
        <v>0</v>
      </c>
      <c r="P77" s="36">
        <f>_xll.DBRW($C$1,Opening!$G$13,Opening!P$11,$O$1,Opening!$I$13,Opening!$D$13,$P$1,$A77,$B77,$M$1)</f>
        <v>0</v>
      </c>
      <c r="Q77" s="36">
        <f>_xll.DBRW($C$1,Q$15,$Q$16,$O$1,Opening!$I$13,Opening!$D$13,$P$1,$A77,$B77,$M$1)</f>
        <v>0</v>
      </c>
      <c r="R77" s="36">
        <f>_xll.DBRW($C$1,R$15,$Q$16,$O$1,Opening!$I$13,Opening!$D$13,$P$1,$A77,$B77,$M$1)</f>
        <v>0</v>
      </c>
      <c r="S77" s="36">
        <f>_xll.DBRW($C$1,S$15,$Q$16,$O$1,Opening!$I$13,Opening!$D$13,$P$1,$A77,$B77,$M$1)</f>
        <v>0</v>
      </c>
      <c r="T77" s="36">
        <f>_xll.DBRW($C$1,T$15,$Q$16,$O$1,Opening!$I$13,Opening!$D$13,$P$1,$A77,$B77,$M$1)</f>
        <v>0</v>
      </c>
      <c r="U77" s="36">
        <f>_xll.DBRW($C$1,U$15,$Q$16,$O$1,Opening!$I$13,Opening!$D$13,$P$1,$A77,$B77,$M$1)</f>
        <v>0</v>
      </c>
      <c r="V77"/>
      <c r="W77"/>
      <c r="X77"/>
      <c r="Y77"/>
      <c r="Z77"/>
    </row>
    <row r="78" spans="1:26" ht="15.75" customHeight="1">
      <c r="A78" s="68" t="s">
        <v>350</v>
      </c>
      <c r="B78" s="29" t="s">
        <v>353</v>
      </c>
      <c r="C78" s="37" t="s">
        <v>208</v>
      </c>
      <c r="D78" s="56" t="s">
        <v>293</v>
      </c>
      <c r="E78" s="36">
        <f>_xll.DBRW($C$1,Opening!$G$13,Opening!E$11,$O$1,Opening!$I$13,Opening!$D$13,$P$1,$A78,$B78,$M$1)</f>
        <v>0</v>
      </c>
      <c r="F78" s="36">
        <f>_xll.DBRW($C$1,Opening!$G$13,Opening!F$11,$O$1,Opening!$I$13,Opening!$D$13,$P$1,$A78,$B78,$M$1)</f>
        <v>0</v>
      </c>
      <c r="G78" s="36">
        <f>_xll.DBRW($C$1,Opening!$G$13,Opening!G$11,$O$1,Opening!$I$13,Opening!$D$13,$P$1,$A78,$B78,$M$1)</f>
        <v>0</v>
      </c>
      <c r="H78" s="36">
        <f>_xll.DBRW($C$1,Opening!$G$13,Opening!H$11,$O$1,Opening!$I$13,Opening!$D$13,$P$1,$A78,$B78,$M$1)</f>
        <v>0</v>
      </c>
      <c r="I78" s="36">
        <f>_xll.DBRW($C$1,Opening!$G$13,Opening!I$11,$O$1,Opening!$I$13,Opening!$D$13,$P$1,$A78,$B78,$M$1)</f>
        <v>0</v>
      </c>
      <c r="J78" s="36">
        <f>_xll.DBRW($C$1,Opening!$G$13,Opening!J$11,$O$1,Opening!$I$13,Opening!$D$13,$P$1,$A78,$B78,$M$1)</f>
        <v>0</v>
      </c>
      <c r="K78" s="36">
        <f>_xll.DBRW($C$1,Opening!$G$13,Opening!K$11,$O$1,Opening!$I$13,Opening!$D$13,$P$1,$A78,$B78,$M$1)</f>
        <v>0</v>
      </c>
      <c r="L78" s="36">
        <f>_xll.DBRW($C$1,Opening!$G$13,Opening!L$11,$O$1,Opening!$I$13,Opening!$D$13,$P$1,$A78,$B78,$M$1)</f>
        <v>0</v>
      </c>
      <c r="M78" s="36">
        <f>_xll.DBRW($C$1,Opening!$G$13,Opening!M$11,$O$1,Opening!$I$13,Opening!$D$13,$P$1,$A78,$B78,$M$1)</f>
        <v>0</v>
      </c>
      <c r="N78" s="36">
        <f>_xll.DBRW($C$1,Opening!$G$13,Opening!N$11,$O$1,Opening!$I$13,Opening!$D$13,$P$1,$A78,$B78,$M$1)</f>
        <v>0</v>
      </c>
      <c r="O78" s="36">
        <f>_xll.DBRW($C$1,Opening!$G$13,Opening!O$11,$O$1,Opening!$I$13,Opening!$D$13,$P$1,$A78,$B78,$M$1)</f>
        <v>0</v>
      </c>
      <c r="P78" s="36">
        <f>_xll.DBRW($C$1,Opening!$G$13,Opening!P$11,$O$1,Opening!$I$13,Opening!$D$13,$P$1,$A78,$B78,$M$1)</f>
        <v>0</v>
      </c>
      <c r="Q78" s="36">
        <f>_xll.DBRW($C$1,Q$15,$Q$16,$O$1,Opening!$I$13,Opening!$D$13,$P$1,$A78,$B78,$M$1)</f>
        <v>0</v>
      </c>
      <c r="R78" s="36">
        <f>_xll.DBRW($C$1,R$15,$Q$16,$O$1,Opening!$I$13,Opening!$D$13,$P$1,$A78,$B78,$M$1)</f>
        <v>0</v>
      </c>
      <c r="S78" s="36">
        <f>_xll.DBRW($C$1,S$15,$Q$16,$O$1,Opening!$I$13,Opening!$D$13,$P$1,$A78,$B78,$M$1)</f>
        <v>0</v>
      </c>
      <c r="T78" s="36">
        <f>_xll.DBRW($C$1,T$15,$Q$16,$O$1,Opening!$I$13,Opening!$D$13,$P$1,$A78,$B78,$M$1)</f>
        <v>0</v>
      </c>
      <c r="U78" s="36">
        <f>_xll.DBRW($C$1,U$15,$Q$16,$O$1,Opening!$I$13,Opening!$D$13,$P$1,$A78,$B78,$M$1)</f>
        <v>0</v>
      </c>
      <c r="V78"/>
      <c r="W78"/>
      <c r="X78"/>
      <c r="Y78"/>
      <c r="Z78"/>
    </row>
    <row r="79" spans="1:26" ht="15.75" customHeight="1">
      <c r="A79" s="68" t="s">
        <v>350</v>
      </c>
      <c r="B79" s="29" t="s">
        <v>353</v>
      </c>
      <c r="C79" s="37" t="s">
        <v>208</v>
      </c>
      <c r="D79" s="56" t="s">
        <v>295</v>
      </c>
      <c r="E79" s="36">
        <f>_xll.DBRW($C$1,Opening!$G$13,Opening!E$11,$O$1,Opening!$I$13,Opening!$D$13,$P$1,$A79,$B79,$M$1)</f>
        <v>0</v>
      </c>
      <c r="F79" s="36">
        <f>_xll.DBRW($C$1,Opening!$G$13,Opening!F$11,$O$1,Opening!$I$13,Opening!$D$13,$P$1,$A79,$B79,$M$1)</f>
        <v>0</v>
      </c>
      <c r="G79" s="36">
        <f>_xll.DBRW($C$1,Opening!$G$13,Opening!G$11,$O$1,Opening!$I$13,Opening!$D$13,$P$1,$A79,$B79,$M$1)</f>
        <v>0</v>
      </c>
      <c r="H79" s="36">
        <f>_xll.DBRW($C$1,Opening!$G$13,Opening!H$11,$O$1,Opening!$I$13,Opening!$D$13,$P$1,$A79,$B79,$M$1)</f>
        <v>0</v>
      </c>
      <c r="I79" s="36">
        <f>_xll.DBRW($C$1,Opening!$G$13,Opening!I$11,$O$1,Opening!$I$13,Opening!$D$13,$P$1,$A79,$B79,$M$1)</f>
        <v>0</v>
      </c>
      <c r="J79" s="36">
        <f>_xll.DBRW($C$1,Opening!$G$13,Opening!J$11,$O$1,Opening!$I$13,Opening!$D$13,$P$1,$A79,$B79,$M$1)</f>
        <v>0</v>
      </c>
      <c r="K79" s="36">
        <f>_xll.DBRW($C$1,Opening!$G$13,Opening!K$11,$O$1,Opening!$I$13,Opening!$D$13,$P$1,$A79,$B79,$M$1)</f>
        <v>0</v>
      </c>
      <c r="L79" s="36">
        <f>_xll.DBRW($C$1,Opening!$G$13,Opening!L$11,$O$1,Opening!$I$13,Opening!$D$13,$P$1,$A79,$B79,$M$1)</f>
        <v>0</v>
      </c>
      <c r="M79" s="36">
        <f>_xll.DBRW($C$1,Opening!$G$13,Opening!M$11,$O$1,Opening!$I$13,Opening!$D$13,$P$1,$A79,$B79,$M$1)</f>
        <v>0</v>
      </c>
      <c r="N79" s="36">
        <f>_xll.DBRW($C$1,Opening!$G$13,Opening!N$11,$O$1,Opening!$I$13,Opening!$D$13,$P$1,$A79,$B79,$M$1)</f>
        <v>0</v>
      </c>
      <c r="O79" s="36">
        <f>_xll.DBRW($C$1,Opening!$G$13,Opening!O$11,$O$1,Opening!$I$13,Opening!$D$13,$P$1,$A79,$B79,$M$1)</f>
        <v>0</v>
      </c>
      <c r="P79" s="36">
        <f>_xll.DBRW($C$1,Opening!$G$13,Opening!P$11,$O$1,Opening!$I$13,Opening!$D$13,$P$1,$A79,$B79,$M$1)</f>
        <v>0</v>
      </c>
      <c r="Q79" s="36">
        <f>_xll.DBRW($C$1,Q$15,$Q$16,$O$1,Opening!$I$13,Opening!$D$13,$P$1,$A79,$B79,$M$1)</f>
        <v>0</v>
      </c>
      <c r="R79" s="36">
        <f>_xll.DBRW($C$1,R$15,$Q$16,$O$1,Opening!$I$13,Opening!$D$13,$P$1,$A79,$B79,$M$1)</f>
        <v>0</v>
      </c>
      <c r="S79" s="36">
        <f>_xll.DBRW($C$1,S$15,$Q$16,$O$1,Opening!$I$13,Opening!$D$13,$P$1,$A79,$B79,$M$1)</f>
        <v>0</v>
      </c>
      <c r="T79" s="36">
        <f>_xll.DBRW($C$1,T$15,$Q$16,$O$1,Opening!$I$13,Opening!$D$13,$P$1,$A79,$B79,$M$1)</f>
        <v>0</v>
      </c>
      <c r="U79" s="36">
        <f>_xll.DBRW($C$1,U$15,$Q$16,$O$1,Opening!$I$13,Opening!$D$13,$P$1,$A79,$B79,$M$1)</f>
        <v>0</v>
      </c>
      <c r="V79"/>
      <c r="W79"/>
      <c r="X79"/>
      <c r="Y79"/>
      <c r="Z79"/>
    </row>
    <row r="80" spans="1:26" ht="15.75" customHeight="1">
      <c r="A80" s="68" t="s">
        <v>350</v>
      </c>
      <c r="B80" s="29" t="s">
        <v>353</v>
      </c>
      <c r="C80" s="37" t="s">
        <v>208</v>
      </c>
      <c r="D80" s="56" t="s">
        <v>296</v>
      </c>
      <c r="E80" s="36">
        <f>_xll.DBRW($C$1,Opening!$G$13,Opening!E$11,$O$1,Opening!$I$13,Opening!$D$13,$P$1,$A80,$B80,$M$1)</f>
        <v>0</v>
      </c>
      <c r="F80" s="36">
        <f>_xll.DBRW($C$1,Opening!$G$13,Opening!F$11,$O$1,Opening!$I$13,Opening!$D$13,$P$1,$A80,$B80,$M$1)</f>
        <v>0</v>
      </c>
      <c r="G80" s="36">
        <f>_xll.DBRW($C$1,Opening!$G$13,Opening!G$11,$O$1,Opening!$I$13,Opening!$D$13,$P$1,$A80,$B80,$M$1)</f>
        <v>0</v>
      </c>
      <c r="H80" s="36">
        <f>_xll.DBRW($C$1,Opening!$G$13,Opening!H$11,$O$1,Opening!$I$13,Opening!$D$13,$P$1,$A80,$B80,$M$1)</f>
        <v>0</v>
      </c>
      <c r="I80" s="36">
        <f>_xll.DBRW($C$1,Opening!$G$13,Opening!I$11,$O$1,Opening!$I$13,Opening!$D$13,$P$1,$A80,$B80,$M$1)</f>
        <v>0</v>
      </c>
      <c r="J80" s="36">
        <f>_xll.DBRW($C$1,Opening!$G$13,Opening!J$11,$O$1,Opening!$I$13,Opening!$D$13,$P$1,$A80,$B80,$M$1)</f>
        <v>0</v>
      </c>
      <c r="K80" s="36">
        <f>_xll.DBRW($C$1,Opening!$G$13,Opening!K$11,$O$1,Opening!$I$13,Opening!$D$13,$P$1,$A80,$B80,$M$1)</f>
        <v>0</v>
      </c>
      <c r="L80" s="36">
        <f>_xll.DBRW($C$1,Opening!$G$13,Opening!L$11,$O$1,Opening!$I$13,Opening!$D$13,$P$1,$A80,$B80,$M$1)</f>
        <v>0</v>
      </c>
      <c r="M80" s="36">
        <f>_xll.DBRW($C$1,Opening!$G$13,Opening!M$11,$O$1,Opening!$I$13,Opening!$D$13,$P$1,$A80,$B80,$M$1)</f>
        <v>0</v>
      </c>
      <c r="N80" s="36">
        <f>_xll.DBRW($C$1,Opening!$G$13,Opening!N$11,$O$1,Opening!$I$13,Opening!$D$13,$P$1,$A80,$B80,$M$1)</f>
        <v>0</v>
      </c>
      <c r="O80" s="36">
        <f>_xll.DBRW($C$1,Opening!$G$13,Opening!O$11,$O$1,Opening!$I$13,Opening!$D$13,$P$1,$A80,$B80,$M$1)</f>
        <v>0</v>
      </c>
      <c r="P80" s="36">
        <f>_xll.DBRW($C$1,Opening!$G$13,Opening!P$11,$O$1,Opening!$I$13,Opening!$D$13,$P$1,$A80,$B80,$M$1)</f>
        <v>0</v>
      </c>
      <c r="Q80" s="36">
        <f>_xll.DBRW($C$1,Q$15,$Q$16,$O$1,Opening!$I$13,Opening!$D$13,$P$1,$A80,$B80,$M$1)</f>
        <v>0</v>
      </c>
      <c r="R80" s="36">
        <f>_xll.DBRW($C$1,R$15,$Q$16,$O$1,Opening!$I$13,Opening!$D$13,$P$1,$A80,$B80,$M$1)</f>
        <v>0</v>
      </c>
      <c r="S80" s="36">
        <f>_xll.DBRW($C$1,S$15,$Q$16,$O$1,Opening!$I$13,Opening!$D$13,$P$1,$A80,$B80,$M$1)</f>
        <v>0</v>
      </c>
      <c r="T80" s="36">
        <f>_xll.DBRW($C$1,T$15,$Q$16,$O$1,Opening!$I$13,Opening!$D$13,$P$1,$A80,$B80,$M$1)</f>
        <v>0</v>
      </c>
      <c r="U80" s="36">
        <f>_xll.DBRW($C$1,U$15,$Q$16,$O$1,Opening!$I$13,Opening!$D$13,$P$1,$A80,$B80,$M$1)</f>
        <v>0</v>
      </c>
      <c r="V80"/>
      <c r="W80"/>
      <c r="X80"/>
      <c r="Y80"/>
      <c r="Z80"/>
    </row>
    <row r="81" spans="1:26" ht="15.75" customHeight="1">
      <c r="A81" s="68" t="s">
        <v>350</v>
      </c>
      <c r="B81" s="29" t="s">
        <v>353</v>
      </c>
      <c r="C81" s="37" t="s">
        <v>208</v>
      </c>
      <c r="D81" s="56" t="s">
        <v>297</v>
      </c>
      <c r="E81" s="36">
        <f>_xll.DBRW($C$1,Opening!$G$13,Opening!E$11,$O$1,Opening!$I$13,Opening!$D$13,$P$1,$A81,$B81,$M$1)</f>
        <v>0</v>
      </c>
      <c r="F81" s="36">
        <f>_xll.DBRW($C$1,Opening!$G$13,Opening!F$11,$O$1,Opening!$I$13,Opening!$D$13,$P$1,$A81,$B81,$M$1)</f>
        <v>0</v>
      </c>
      <c r="G81" s="36">
        <f>_xll.DBRW($C$1,Opening!$G$13,Opening!G$11,$O$1,Opening!$I$13,Opening!$D$13,$P$1,$A81,$B81,$M$1)</f>
        <v>0</v>
      </c>
      <c r="H81" s="36">
        <f>_xll.DBRW($C$1,Opening!$G$13,Opening!H$11,$O$1,Opening!$I$13,Opening!$D$13,$P$1,$A81,$B81,$M$1)</f>
        <v>0</v>
      </c>
      <c r="I81" s="36">
        <f>_xll.DBRW($C$1,Opening!$G$13,Opening!I$11,$O$1,Opening!$I$13,Opening!$D$13,$P$1,$A81,$B81,$M$1)</f>
        <v>0</v>
      </c>
      <c r="J81" s="36">
        <f>_xll.DBRW($C$1,Opening!$G$13,Opening!J$11,$O$1,Opening!$I$13,Opening!$D$13,$P$1,$A81,$B81,$M$1)</f>
        <v>0</v>
      </c>
      <c r="K81" s="36">
        <f>_xll.DBRW($C$1,Opening!$G$13,Opening!K$11,$O$1,Opening!$I$13,Opening!$D$13,$P$1,$A81,$B81,$M$1)</f>
        <v>0</v>
      </c>
      <c r="L81" s="36">
        <f>_xll.DBRW($C$1,Opening!$G$13,Opening!L$11,$O$1,Opening!$I$13,Opening!$D$13,$P$1,$A81,$B81,$M$1)</f>
        <v>0</v>
      </c>
      <c r="M81" s="36">
        <f>_xll.DBRW($C$1,Opening!$G$13,Opening!M$11,$O$1,Opening!$I$13,Opening!$D$13,$P$1,$A81,$B81,$M$1)</f>
        <v>0</v>
      </c>
      <c r="N81" s="36">
        <f>_xll.DBRW($C$1,Opening!$G$13,Opening!N$11,$O$1,Opening!$I$13,Opening!$D$13,$P$1,$A81,$B81,$M$1)</f>
        <v>0</v>
      </c>
      <c r="O81" s="36">
        <f>_xll.DBRW($C$1,Opening!$G$13,Opening!O$11,$O$1,Opening!$I$13,Opening!$D$13,$P$1,$A81,$B81,$M$1)</f>
        <v>0</v>
      </c>
      <c r="P81" s="36">
        <f>_xll.DBRW($C$1,Opening!$G$13,Opening!P$11,$O$1,Opening!$I$13,Opening!$D$13,$P$1,$A81,$B81,$M$1)</f>
        <v>0</v>
      </c>
      <c r="Q81" s="36">
        <f>_xll.DBRW($C$1,Q$15,$Q$16,$O$1,Opening!$I$13,Opening!$D$13,$P$1,$A81,$B81,$M$1)</f>
        <v>0</v>
      </c>
      <c r="R81" s="36">
        <f>_xll.DBRW($C$1,R$15,$Q$16,$O$1,Opening!$I$13,Opening!$D$13,$P$1,$A81,$B81,$M$1)</f>
        <v>0</v>
      </c>
      <c r="S81" s="36">
        <f>_xll.DBRW($C$1,S$15,$Q$16,$O$1,Opening!$I$13,Opening!$D$13,$P$1,$A81,$B81,$M$1)</f>
        <v>0</v>
      </c>
      <c r="T81" s="36">
        <f>_xll.DBRW($C$1,T$15,$Q$16,$O$1,Opening!$I$13,Opening!$D$13,$P$1,$A81,$B81,$M$1)</f>
        <v>0</v>
      </c>
      <c r="U81" s="36">
        <f>_xll.DBRW($C$1,U$15,$Q$16,$O$1,Opening!$I$13,Opening!$D$13,$P$1,$A81,$B81,$M$1)</f>
        <v>0</v>
      </c>
      <c r="V81"/>
      <c r="W81"/>
      <c r="X81"/>
      <c r="Y81"/>
      <c r="Z81"/>
    </row>
    <row r="82" spans="1:26" ht="15.75" customHeight="1">
      <c r="A82" s="68" t="s">
        <v>350</v>
      </c>
      <c r="B82" s="29" t="s">
        <v>353</v>
      </c>
      <c r="C82" s="37" t="s">
        <v>208</v>
      </c>
      <c r="D82" s="56" t="s">
        <v>298</v>
      </c>
      <c r="E82" s="36">
        <f>_xll.DBRW($C$1,Opening!$G$13,Opening!E$11,$O$1,Opening!$I$13,Opening!$D$13,$P$1,$A82,$B82,$M$1)</f>
        <v>0</v>
      </c>
      <c r="F82" s="36">
        <f>_xll.DBRW($C$1,Opening!$G$13,Opening!F$11,$O$1,Opening!$I$13,Opening!$D$13,$P$1,$A82,$B82,$M$1)</f>
        <v>0</v>
      </c>
      <c r="G82" s="36">
        <f>_xll.DBRW($C$1,Opening!$G$13,Opening!G$11,$O$1,Opening!$I$13,Opening!$D$13,$P$1,$A82,$B82,$M$1)</f>
        <v>0</v>
      </c>
      <c r="H82" s="36">
        <f>_xll.DBRW($C$1,Opening!$G$13,Opening!H$11,$O$1,Opening!$I$13,Opening!$D$13,$P$1,$A82,$B82,$M$1)</f>
        <v>0</v>
      </c>
      <c r="I82" s="36">
        <f>_xll.DBRW($C$1,Opening!$G$13,Opening!I$11,$O$1,Opening!$I$13,Opening!$D$13,$P$1,$A82,$B82,$M$1)</f>
        <v>0</v>
      </c>
      <c r="J82" s="36">
        <f>_xll.DBRW($C$1,Opening!$G$13,Opening!J$11,$O$1,Opening!$I$13,Opening!$D$13,$P$1,$A82,$B82,$M$1)</f>
        <v>0</v>
      </c>
      <c r="K82" s="36">
        <f>_xll.DBRW($C$1,Opening!$G$13,Opening!K$11,$O$1,Opening!$I$13,Opening!$D$13,$P$1,$A82,$B82,$M$1)</f>
        <v>0</v>
      </c>
      <c r="L82" s="36">
        <f>_xll.DBRW($C$1,Opening!$G$13,Opening!L$11,$O$1,Opening!$I$13,Opening!$D$13,$P$1,$A82,$B82,$M$1)</f>
        <v>0</v>
      </c>
      <c r="M82" s="36">
        <f>_xll.DBRW($C$1,Opening!$G$13,Opening!M$11,$O$1,Opening!$I$13,Opening!$D$13,$P$1,$A82,$B82,$M$1)</f>
        <v>0</v>
      </c>
      <c r="N82" s="36">
        <f>_xll.DBRW($C$1,Opening!$G$13,Opening!N$11,$O$1,Opening!$I$13,Opening!$D$13,$P$1,$A82,$B82,$M$1)</f>
        <v>0</v>
      </c>
      <c r="O82" s="36">
        <f>_xll.DBRW($C$1,Opening!$G$13,Opening!O$11,$O$1,Opening!$I$13,Opening!$D$13,$P$1,$A82,$B82,$M$1)</f>
        <v>0</v>
      </c>
      <c r="P82" s="36">
        <f>_xll.DBRW($C$1,Opening!$G$13,Opening!P$11,$O$1,Opening!$I$13,Opening!$D$13,$P$1,$A82,$B82,$M$1)</f>
        <v>0</v>
      </c>
      <c r="Q82" s="36">
        <f>_xll.DBRW($C$1,Q$15,$Q$16,$O$1,Opening!$I$13,Opening!$D$13,$P$1,$A82,$B82,$M$1)</f>
        <v>0</v>
      </c>
      <c r="R82" s="36">
        <f>_xll.DBRW($C$1,R$15,$Q$16,$O$1,Opening!$I$13,Opening!$D$13,$P$1,$A82,$B82,$M$1)</f>
        <v>0</v>
      </c>
      <c r="S82" s="36">
        <f>_xll.DBRW($C$1,S$15,$Q$16,$O$1,Opening!$I$13,Opening!$D$13,$P$1,$A82,$B82,$M$1)</f>
        <v>0</v>
      </c>
      <c r="T82" s="36">
        <f>_xll.DBRW($C$1,T$15,$Q$16,$O$1,Opening!$I$13,Opening!$D$13,$P$1,$A82,$B82,$M$1)</f>
        <v>0</v>
      </c>
      <c r="U82" s="36">
        <f>_xll.DBRW($C$1,U$15,$Q$16,$O$1,Opening!$I$13,Opening!$D$13,$P$1,$A82,$B82,$M$1)</f>
        <v>0</v>
      </c>
      <c r="V82"/>
      <c r="W82"/>
      <c r="X82"/>
      <c r="Y82"/>
      <c r="Z82"/>
    </row>
    <row r="83" spans="1:26" ht="15.75" customHeight="1">
      <c r="A83" s="68" t="s">
        <v>350</v>
      </c>
      <c r="B83" s="29" t="s">
        <v>353</v>
      </c>
      <c r="C83" s="37" t="s">
        <v>208</v>
      </c>
      <c r="D83" s="56" t="s">
        <v>299</v>
      </c>
      <c r="E83" s="36">
        <f>_xll.DBRW($C$1,Opening!$G$13,Opening!E$11,$O$1,Opening!$I$13,Opening!$D$13,$P$1,$A83,$B83,$M$1)</f>
        <v>0</v>
      </c>
      <c r="F83" s="36">
        <f>_xll.DBRW($C$1,Opening!$G$13,Opening!F$11,$O$1,Opening!$I$13,Opening!$D$13,$P$1,$A83,$B83,$M$1)</f>
        <v>0</v>
      </c>
      <c r="G83" s="36">
        <f>_xll.DBRW($C$1,Opening!$G$13,Opening!G$11,$O$1,Opening!$I$13,Opening!$D$13,$P$1,$A83,$B83,$M$1)</f>
        <v>0</v>
      </c>
      <c r="H83" s="36">
        <f>_xll.DBRW($C$1,Opening!$G$13,Opening!H$11,$O$1,Opening!$I$13,Opening!$D$13,$P$1,$A83,$B83,$M$1)</f>
        <v>0</v>
      </c>
      <c r="I83" s="36">
        <f>_xll.DBRW($C$1,Opening!$G$13,Opening!I$11,$O$1,Opening!$I$13,Opening!$D$13,$P$1,$A83,$B83,$M$1)</f>
        <v>0</v>
      </c>
      <c r="J83" s="36">
        <f>_xll.DBRW($C$1,Opening!$G$13,Opening!J$11,$O$1,Opening!$I$13,Opening!$D$13,$P$1,$A83,$B83,$M$1)</f>
        <v>0</v>
      </c>
      <c r="K83" s="36">
        <f>_xll.DBRW($C$1,Opening!$G$13,Opening!K$11,$O$1,Opening!$I$13,Opening!$D$13,$P$1,$A83,$B83,$M$1)</f>
        <v>0</v>
      </c>
      <c r="L83" s="36">
        <f>_xll.DBRW($C$1,Opening!$G$13,Opening!L$11,$O$1,Opening!$I$13,Opening!$D$13,$P$1,$A83,$B83,$M$1)</f>
        <v>0</v>
      </c>
      <c r="M83" s="36">
        <f>_xll.DBRW($C$1,Opening!$G$13,Opening!M$11,$O$1,Opening!$I$13,Opening!$D$13,$P$1,$A83,$B83,$M$1)</f>
        <v>0</v>
      </c>
      <c r="N83" s="36">
        <f>_xll.DBRW($C$1,Opening!$G$13,Opening!N$11,$O$1,Opening!$I$13,Opening!$D$13,$P$1,$A83,$B83,$M$1)</f>
        <v>0</v>
      </c>
      <c r="O83" s="36">
        <f>_xll.DBRW($C$1,Opening!$G$13,Opening!O$11,$O$1,Opening!$I$13,Opening!$D$13,$P$1,$A83,$B83,$M$1)</f>
        <v>0</v>
      </c>
      <c r="P83" s="36">
        <f>_xll.DBRW($C$1,Opening!$G$13,Opening!P$11,$O$1,Opening!$I$13,Opening!$D$13,$P$1,$A83,$B83,$M$1)</f>
        <v>0</v>
      </c>
      <c r="Q83" s="36">
        <f>_xll.DBRW($C$1,Q$15,$Q$16,$O$1,Opening!$I$13,Opening!$D$13,$P$1,$A83,$B83,$M$1)</f>
        <v>0</v>
      </c>
      <c r="R83" s="36">
        <f>_xll.DBRW($C$1,R$15,$Q$16,$O$1,Opening!$I$13,Opening!$D$13,$P$1,$A83,$B83,$M$1)</f>
        <v>0</v>
      </c>
      <c r="S83" s="36">
        <f>_xll.DBRW($C$1,S$15,$Q$16,$O$1,Opening!$I$13,Opening!$D$13,$P$1,$A83,$B83,$M$1)</f>
        <v>0</v>
      </c>
      <c r="T83" s="36">
        <f>_xll.DBRW($C$1,T$15,$Q$16,$O$1,Opening!$I$13,Opening!$D$13,$P$1,$A83,$B83,$M$1)</f>
        <v>0</v>
      </c>
      <c r="U83" s="36">
        <f>_xll.DBRW($C$1,U$15,$Q$16,$O$1,Opening!$I$13,Opening!$D$13,$P$1,$A83,$B83,$M$1)</f>
        <v>0</v>
      </c>
      <c r="V83"/>
      <c r="W83"/>
      <c r="X83"/>
      <c r="Y83"/>
      <c r="Z83"/>
    </row>
    <row r="84" spans="1:26" ht="15.75" customHeight="1">
      <c r="A84" s="68" t="s">
        <v>350</v>
      </c>
      <c r="B84" s="29" t="s">
        <v>353</v>
      </c>
      <c r="C84" s="37" t="s">
        <v>208</v>
      </c>
      <c r="D84" s="56" t="s">
        <v>300</v>
      </c>
      <c r="E84" s="36">
        <f>_xll.DBRW($C$1,Opening!$G$13,Opening!E$11,$O$1,Opening!$I$13,Opening!$D$13,$P$1,$A84,$B84,$M$1)</f>
        <v>0</v>
      </c>
      <c r="F84" s="36">
        <f>_xll.DBRW($C$1,Opening!$G$13,Opening!F$11,$O$1,Opening!$I$13,Opening!$D$13,$P$1,$A84,$B84,$M$1)</f>
        <v>0</v>
      </c>
      <c r="G84" s="36">
        <f>_xll.DBRW($C$1,Opening!$G$13,Opening!G$11,$O$1,Opening!$I$13,Opening!$D$13,$P$1,$A84,$B84,$M$1)</f>
        <v>0</v>
      </c>
      <c r="H84" s="36">
        <f>_xll.DBRW($C$1,Opening!$G$13,Opening!H$11,$O$1,Opening!$I$13,Opening!$D$13,$P$1,$A84,$B84,$M$1)</f>
        <v>0</v>
      </c>
      <c r="I84" s="36">
        <f>_xll.DBRW($C$1,Opening!$G$13,Opening!I$11,$O$1,Opening!$I$13,Opening!$D$13,$P$1,$A84,$B84,$M$1)</f>
        <v>0</v>
      </c>
      <c r="J84" s="36">
        <f>_xll.DBRW($C$1,Opening!$G$13,Opening!J$11,$O$1,Opening!$I$13,Opening!$D$13,$P$1,$A84,$B84,$M$1)</f>
        <v>0</v>
      </c>
      <c r="K84" s="36">
        <f>_xll.DBRW($C$1,Opening!$G$13,Opening!K$11,$O$1,Opening!$I$13,Opening!$D$13,$P$1,$A84,$B84,$M$1)</f>
        <v>0</v>
      </c>
      <c r="L84" s="36">
        <f>_xll.DBRW($C$1,Opening!$G$13,Opening!L$11,$O$1,Opening!$I$13,Opening!$D$13,$P$1,$A84,$B84,$M$1)</f>
        <v>0</v>
      </c>
      <c r="M84" s="36">
        <f>_xll.DBRW($C$1,Opening!$G$13,Opening!M$11,$O$1,Opening!$I$13,Opening!$D$13,$P$1,$A84,$B84,$M$1)</f>
        <v>0</v>
      </c>
      <c r="N84" s="36">
        <f>_xll.DBRW($C$1,Opening!$G$13,Opening!N$11,$O$1,Opening!$I$13,Opening!$D$13,$P$1,$A84,$B84,$M$1)</f>
        <v>0</v>
      </c>
      <c r="O84" s="36">
        <f>_xll.DBRW($C$1,Opening!$G$13,Opening!O$11,$O$1,Opening!$I$13,Opening!$D$13,$P$1,$A84,$B84,$M$1)</f>
        <v>0</v>
      </c>
      <c r="P84" s="36">
        <f>_xll.DBRW($C$1,Opening!$G$13,Opening!P$11,$O$1,Opening!$I$13,Opening!$D$13,$P$1,$A84,$B84,$M$1)</f>
        <v>0</v>
      </c>
      <c r="Q84" s="36">
        <f>_xll.DBRW($C$1,Q$15,$Q$16,$O$1,Opening!$I$13,Opening!$D$13,$P$1,$A84,$B84,$M$1)</f>
        <v>0</v>
      </c>
      <c r="R84" s="36">
        <f>_xll.DBRW($C$1,R$15,$Q$16,$O$1,Opening!$I$13,Opening!$D$13,$P$1,$A84,$B84,$M$1)</f>
        <v>0</v>
      </c>
      <c r="S84" s="36">
        <f>_xll.DBRW($C$1,S$15,$Q$16,$O$1,Opening!$I$13,Opening!$D$13,$P$1,$A84,$B84,$M$1)</f>
        <v>0</v>
      </c>
      <c r="T84" s="36">
        <f>_xll.DBRW($C$1,T$15,$Q$16,$O$1,Opening!$I$13,Opening!$D$13,$P$1,$A84,$B84,$M$1)</f>
        <v>0</v>
      </c>
      <c r="U84" s="36">
        <f>_xll.DBRW($C$1,U$15,$Q$16,$O$1,Opening!$I$13,Opening!$D$13,$P$1,$A84,$B84,$M$1)</f>
        <v>0</v>
      </c>
      <c r="V84"/>
      <c r="W84"/>
      <c r="X84"/>
      <c r="Y84"/>
      <c r="Z84"/>
    </row>
    <row r="85" spans="1:26" ht="15.75" customHeight="1">
      <c r="A85" s="68" t="s">
        <v>350</v>
      </c>
      <c r="B85" s="29" t="s">
        <v>352</v>
      </c>
      <c r="C85" s="37" t="s">
        <v>209</v>
      </c>
      <c r="D85" s="56" t="s">
        <v>294</v>
      </c>
      <c r="E85" s="36">
        <f>_xll.DBRW($C$1,Opening!$G$13,Opening!E$11,$O$1,Opening!$I$13,Opening!$D$13,$P$1,$A85,$B85,$M$1)</f>
        <v>0</v>
      </c>
      <c r="F85" s="36">
        <f>_xll.DBRW($C$1,Opening!$G$13,Opening!F$11,$O$1,Opening!$I$13,Opening!$D$13,$P$1,$A85,$B85,$M$1)</f>
        <v>0</v>
      </c>
      <c r="G85" s="36">
        <f>_xll.DBRW($C$1,Opening!$G$13,Opening!G$11,$O$1,Opening!$I$13,Opening!$D$13,$P$1,$A85,$B85,$M$1)</f>
        <v>0</v>
      </c>
      <c r="H85" s="36">
        <f>_xll.DBRW($C$1,Opening!$G$13,Opening!H$11,$O$1,Opening!$I$13,Opening!$D$13,$P$1,$A85,$B85,$M$1)</f>
        <v>0</v>
      </c>
      <c r="I85" s="36">
        <f>_xll.DBRW($C$1,Opening!$G$13,Opening!I$11,$O$1,Opening!$I$13,Opening!$D$13,$P$1,$A85,$B85,$M$1)</f>
        <v>0</v>
      </c>
      <c r="J85" s="36">
        <f>_xll.DBRW($C$1,Opening!$G$13,Opening!J$11,$O$1,Opening!$I$13,Opening!$D$13,$P$1,$A85,$B85,$M$1)</f>
        <v>0</v>
      </c>
      <c r="K85" s="36">
        <f>_xll.DBRW($C$1,Opening!$G$13,Opening!K$11,$O$1,Opening!$I$13,Opening!$D$13,$P$1,$A85,$B85,$M$1)</f>
        <v>0</v>
      </c>
      <c r="L85" s="36">
        <f>_xll.DBRW($C$1,Opening!$G$13,Opening!L$11,$O$1,Opening!$I$13,Opening!$D$13,$P$1,$A85,$B85,$M$1)</f>
        <v>0</v>
      </c>
      <c r="M85" s="36">
        <f>_xll.DBRW($C$1,Opening!$G$13,Opening!M$11,$O$1,Opening!$I$13,Opening!$D$13,$P$1,$A85,$B85,$M$1)</f>
        <v>0</v>
      </c>
      <c r="N85" s="36">
        <f>_xll.DBRW($C$1,Opening!$G$13,Opening!N$11,$O$1,Opening!$I$13,Opening!$D$13,$P$1,$A85,$B85,$M$1)</f>
        <v>0</v>
      </c>
      <c r="O85" s="36">
        <f>_xll.DBRW($C$1,Opening!$G$13,Opening!O$11,$O$1,Opening!$I$13,Opening!$D$13,$P$1,$A85,$B85,$M$1)</f>
        <v>0</v>
      </c>
      <c r="P85" s="36">
        <f>_xll.DBRW($C$1,Opening!$G$13,Opening!P$11,$O$1,Opening!$I$13,Opening!$D$13,$P$1,$A85,$B85,$M$1)</f>
        <v>0</v>
      </c>
      <c r="Q85" s="36">
        <f>_xll.DBRW($C$1,Q$15,$Q$16,$O$1,Opening!$I$13,Opening!$D$13,$P$1,$A85,$B85,$M$1)</f>
        <v>0</v>
      </c>
      <c r="R85" s="36">
        <f>_xll.DBRW($C$1,R$15,$Q$16,$O$1,Opening!$I$13,Opening!$D$13,$P$1,$A85,$B85,$M$1)</f>
        <v>0</v>
      </c>
      <c r="S85" s="36">
        <f>_xll.DBRW($C$1,S$15,$Q$16,$O$1,Opening!$I$13,Opening!$D$13,$P$1,$A85,$B85,$M$1)</f>
        <v>0</v>
      </c>
      <c r="T85" s="36">
        <f>_xll.DBRW($C$1,T$15,$Q$16,$O$1,Opening!$I$13,Opening!$D$13,$P$1,$A85,$B85,$M$1)</f>
        <v>0</v>
      </c>
      <c r="U85" s="36">
        <f>_xll.DBRW($C$1,U$15,$Q$16,$O$1,Opening!$I$13,Opening!$D$13,$P$1,$A85,$B85,$M$1)</f>
        <v>0</v>
      </c>
      <c r="V85"/>
      <c r="W85"/>
      <c r="X85"/>
      <c r="Y85"/>
      <c r="Z85"/>
    </row>
    <row r="86" spans="1:26" ht="15.75" customHeight="1">
      <c r="A86" s="68" t="s">
        <v>350</v>
      </c>
      <c r="B86" s="29" t="s">
        <v>352</v>
      </c>
      <c r="C86" s="37" t="s">
        <v>209</v>
      </c>
      <c r="D86" s="56" t="s">
        <v>292</v>
      </c>
      <c r="E86" s="36">
        <f>_xll.DBRW($C$1,Opening!$G$13,Opening!E$11,$O$1,Opening!$I$13,Opening!$D$13,$P$1,$A86,$B86,$M$1)</f>
        <v>0</v>
      </c>
      <c r="F86" s="36">
        <f>_xll.DBRW($C$1,Opening!$G$13,Opening!F$11,$O$1,Opening!$I$13,Opening!$D$13,$P$1,$A86,$B86,$M$1)</f>
        <v>0</v>
      </c>
      <c r="G86" s="36">
        <f>_xll.DBRW($C$1,Opening!$G$13,Opening!G$11,$O$1,Opening!$I$13,Opening!$D$13,$P$1,$A86,$B86,$M$1)</f>
        <v>0</v>
      </c>
      <c r="H86" s="36">
        <f>_xll.DBRW($C$1,Opening!$G$13,Opening!H$11,$O$1,Opening!$I$13,Opening!$D$13,$P$1,$A86,$B86,$M$1)</f>
        <v>0</v>
      </c>
      <c r="I86" s="36">
        <f>_xll.DBRW($C$1,Opening!$G$13,Opening!I$11,$O$1,Opening!$I$13,Opening!$D$13,$P$1,$A86,$B86,$M$1)</f>
        <v>0</v>
      </c>
      <c r="J86" s="36">
        <f>_xll.DBRW($C$1,Opening!$G$13,Opening!J$11,$O$1,Opening!$I$13,Opening!$D$13,$P$1,$A86,$B86,$M$1)</f>
        <v>0</v>
      </c>
      <c r="K86" s="36">
        <f>_xll.DBRW($C$1,Opening!$G$13,Opening!K$11,$O$1,Opening!$I$13,Opening!$D$13,$P$1,$A86,$B86,$M$1)</f>
        <v>0</v>
      </c>
      <c r="L86" s="36">
        <f>_xll.DBRW($C$1,Opening!$G$13,Opening!L$11,$O$1,Opening!$I$13,Opening!$D$13,$P$1,$A86,$B86,$M$1)</f>
        <v>0</v>
      </c>
      <c r="M86" s="36">
        <f>_xll.DBRW($C$1,Opening!$G$13,Opening!M$11,$O$1,Opening!$I$13,Opening!$D$13,$P$1,$A86,$B86,$M$1)</f>
        <v>0</v>
      </c>
      <c r="N86" s="36">
        <f>_xll.DBRW($C$1,Opening!$G$13,Opening!N$11,$O$1,Opening!$I$13,Opening!$D$13,$P$1,$A86,$B86,$M$1)</f>
        <v>0</v>
      </c>
      <c r="O86" s="36">
        <f>_xll.DBRW($C$1,Opening!$G$13,Opening!O$11,$O$1,Opening!$I$13,Opening!$D$13,$P$1,$A86,$B86,$M$1)</f>
        <v>0</v>
      </c>
      <c r="P86" s="36">
        <f>_xll.DBRW($C$1,Opening!$G$13,Opening!P$11,$O$1,Opening!$I$13,Opening!$D$13,$P$1,$A86,$B86,$M$1)</f>
        <v>0</v>
      </c>
      <c r="Q86" s="36">
        <f>_xll.DBRW($C$1,Q$15,$Q$16,$O$1,Opening!$I$13,Opening!$D$13,$P$1,$A86,$B86,$M$1)</f>
        <v>0</v>
      </c>
      <c r="R86" s="36">
        <f>_xll.DBRW($C$1,R$15,$Q$16,$O$1,Opening!$I$13,Opening!$D$13,$P$1,$A86,$B86,$M$1)</f>
        <v>0</v>
      </c>
      <c r="S86" s="36">
        <f>_xll.DBRW($C$1,S$15,$Q$16,$O$1,Opening!$I$13,Opening!$D$13,$P$1,$A86,$B86,$M$1)</f>
        <v>0</v>
      </c>
      <c r="T86" s="36">
        <f>_xll.DBRW($C$1,T$15,$Q$16,$O$1,Opening!$I$13,Opening!$D$13,$P$1,$A86,$B86,$M$1)</f>
        <v>0</v>
      </c>
      <c r="U86" s="36">
        <f>_xll.DBRW($C$1,U$15,$Q$16,$O$1,Opening!$I$13,Opening!$D$13,$P$1,$A86,$B86,$M$1)</f>
        <v>0</v>
      </c>
      <c r="V86"/>
      <c r="W86"/>
      <c r="X86"/>
      <c r="Y86"/>
      <c r="Z86"/>
    </row>
    <row r="87" spans="1:26" ht="15.75" customHeight="1">
      <c r="A87" s="68" t="s">
        <v>350</v>
      </c>
      <c r="B87" s="29" t="s">
        <v>352</v>
      </c>
      <c r="C87" s="37" t="s">
        <v>209</v>
      </c>
      <c r="D87" s="56" t="s">
        <v>293</v>
      </c>
      <c r="E87" s="36">
        <f>_xll.DBRW($C$1,Opening!$G$13,Opening!E$11,$O$1,Opening!$I$13,Opening!$D$13,$P$1,$A87,$B87,$M$1)</f>
        <v>0</v>
      </c>
      <c r="F87" s="36">
        <f>_xll.DBRW($C$1,Opening!$G$13,Opening!F$11,$O$1,Opening!$I$13,Opening!$D$13,$P$1,$A87,$B87,$M$1)</f>
        <v>0</v>
      </c>
      <c r="G87" s="36">
        <f>_xll.DBRW($C$1,Opening!$G$13,Opening!G$11,$O$1,Opening!$I$13,Opening!$D$13,$P$1,$A87,$B87,$M$1)</f>
        <v>0</v>
      </c>
      <c r="H87" s="36">
        <f>_xll.DBRW($C$1,Opening!$G$13,Opening!H$11,$O$1,Opening!$I$13,Opening!$D$13,$P$1,$A87,$B87,$M$1)</f>
        <v>0</v>
      </c>
      <c r="I87" s="36">
        <f>_xll.DBRW($C$1,Opening!$G$13,Opening!I$11,$O$1,Opening!$I$13,Opening!$D$13,$P$1,$A87,$B87,$M$1)</f>
        <v>0</v>
      </c>
      <c r="J87" s="36">
        <f>_xll.DBRW($C$1,Opening!$G$13,Opening!J$11,$O$1,Opening!$I$13,Opening!$D$13,$P$1,$A87,$B87,$M$1)</f>
        <v>0</v>
      </c>
      <c r="K87" s="36">
        <f>_xll.DBRW($C$1,Opening!$G$13,Opening!K$11,$O$1,Opening!$I$13,Opening!$D$13,$P$1,$A87,$B87,$M$1)</f>
        <v>0</v>
      </c>
      <c r="L87" s="36">
        <f>_xll.DBRW($C$1,Opening!$G$13,Opening!L$11,$O$1,Opening!$I$13,Opening!$D$13,$P$1,$A87,$B87,$M$1)</f>
        <v>0</v>
      </c>
      <c r="M87" s="36">
        <f>_xll.DBRW($C$1,Opening!$G$13,Opening!M$11,$O$1,Opening!$I$13,Opening!$D$13,$P$1,$A87,$B87,$M$1)</f>
        <v>0</v>
      </c>
      <c r="N87" s="36">
        <f>_xll.DBRW($C$1,Opening!$G$13,Opening!N$11,$O$1,Opening!$I$13,Opening!$D$13,$P$1,$A87,$B87,$M$1)</f>
        <v>0</v>
      </c>
      <c r="O87" s="36">
        <f>_xll.DBRW($C$1,Opening!$G$13,Opening!O$11,$O$1,Opening!$I$13,Opening!$D$13,$P$1,$A87,$B87,$M$1)</f>
        <v>0</v>
      </c>
      <c r="P87" s="36">
        <f>_xll.DBRW($C$1,Opening!$G$13,Opening!P$11,$O$1,Opening!$I$13,Opening!$D$13,$P$1,$A87,$B87,$M$1)</f>
        <v>0</v>
      </c>
      <c r="Q87" s="36">
        <f>_xll.DBRW($C$1,Q$15,$Q$16,$O$1,Opening!$I$13,Opening!$D$13,$P$1,$A87,$B87,$M$1)</f>
        <v>0</v>
      </c>
      <c r="R87" s="36">
        <f>_xll.DBRW($C$1,R$15,$Q$16,$O$1,Opening!$I$13,Opening!$D$13,$P$1,$A87,$B87,$M$1)</f>
        <v>0</v>
      </c>
      <c r="S87" s="36">
        <f>_xll.DBRW($C$1,S$15,$Q$16,$O$1,Opening!$I$13,Opening!$D$13,$P$1,$A87,$B87,$M$1)</f>
        <v>0</v>
      </c>
      <c r="T87" s="36">
        <f>_xll.DBRW($C$1,T$15,$Q$16,$O$1,Opening!$I$13,Opening!$D$13,$P$1,$A87,$B87,$M$1)</f>
        <v>0</v>
      </c>
      <c r="U87" s="36">
        <f>_xll.DBRW($C$1,U$15,$Q$16,$O$1,Opening!$I$13,Opening!$D$13,$P$1,$A87,$B87,$M$1)</f>
        <v>0</v>
      </c>
      <c r="V87"/>
      <c r="W87"/>
      <c r="X87"/>
      <c r="Y87"/>
      <c r="Z87"/>
    </row>
    <row r="88" spans="1:26" ht="15.75" customHeight="1">
      <c r="A88" s="68" t="s">
        <v>350</v>
      </c>
      <c r="B88" s="29" t="s">
        <v>352</v>
      </c>
      <c r="C88" s="37" t="s">
        <v>209</v>
      </c>
      <c r="D88" s="56" t="s">
        <v>295</v>
      </c>
      <c r="E88" s="36">
        <f>_xll.DBRW($C$1,Opening!$G$13,Opening!E$11,$O$1,Opening!$I$13,Opening!$D$13,$P$1,$A88,$B88,$M$1)</f>
        <v>0</v>
      </c>
      <c r="F88" s="36">
        <f>_xll.DBRW($C$1,Opening!$G$13,Opening!F$11,$O$1,Opening!$I$13,Opening!$D$13,$P$1,$A88,$B88,$M$1)</f>
        <v>0</v>
      </c>
      <c r="G88" s="36">
        <f>_xll.DBRW($C$1,Opening!$G$13,Opening!G$11,$O$1,Opening!$I$13,Opening!$D$13,$P$1,$A88,$B88,$M$1)</f>
        <v>0</v>
      </c>
      <c r="H88" s="36">
        <f>_xll.DBRW($C$1,Opening!$G$13,Opening!H$11,$O$1,Opening!$I$13,Opening!$D$13,$P$1,$A88,$B88,$M$1)</f>
        <v>0</v>
      </c>
      <c r="I88" s="36">
        <f>_xll.DBRW($C$1,Opening!$G$13,Opening!I$11,$O$1,Opening!$I$13,Opening!$D$13,$P$1,$A88,$B88,$M$1)</f>
        <v>0</v>
      </c>
      <c r="J88" s="36">
        <f>_xll.DBRW($C$1,Opening!$G$13,Opening!J$11,$O$1,Opening!$I$13,Opening!$D$13,$P$1,$A88,$B88,$M$1)</f>
        <v>0</v>
      </c>
      <c r="K88" s="36">
        <f>_xll.DBRW($C$1,Opening!$G$13,Opening!K$11,$O$1,Opening!$I$13,Opening!$D$13,$P$1,$A88,$B88,$M$1)</f>
        <v>0</v>
      </c>
      <c r="L88" s="36">
        <f>_xll.DBRW($C$1,Opening!$G$13,Opening!L$11,$O$1,Opening!$I$13,Opening!$D$13,$P$1,$A88,$B88,$M$1)</f>
        <v>0</v>
      </c>
      <c r="M88" s="36">
        <f>_xll.DBRW($C$1,Opening!$G$13,Opening!M$11,$O$1,Opening!$I$13,Opening!$D$13,$P$1,$A88,$B88,$M$1)</f>
        <v>0</v>
      </c>
      <c r="N88" s="36">
        <f>_xll.DBRW($C$1,Opening!$G$13,Opening!N$11,$O$1,Opening!$I$13,Opening!$D$13,$P$1,$A88,$B88,$M$1)</f>
        <v>0</v>
      </c>
      <c r="O88" s="36">
        <f>_xll.DBRW($C$1,Opening!$G$13,Opening!O$11,$O$1,Opening!$I$13,Opening!$D$13,$P$1,$A88,$B88,$M$1)</f>
        <v>0</v>
      </c>
      <c r="P88" s="36">
        <f>_xll.DBRW($C$1,Opening!$G$13,Opening!P$11,$O$1,Opening!$I$13,Opening!$D$13,$P$1,$A88,$B88,$M$1)</f>
        <v>0</v>
      </c>
      <c r="Q88" s="36">
        <f>_xll.DBRW($C$1,Q$15,$Q$16,$O$1,Opening!$I$13,Opening!$D$13,$P$1,$A88,$B88,$M$1)</f>
        <v>0</v>
      </c>
      <c r="R88" s="36">
        <f>_xll.DBRW($C$1,R$15,$Q$16,$O$1,Opening!$I$13,Opening!$D$13,$P$1,$A88,$B88,$M$1)</f>
        <v>0</v>
      </c>
      <c r="S88" s="36">
        <f>_xll.DBRW($C$1,S$15,$Q$16,$O$1,Opening!$I$13,Opening!$D$13,$P$1,$A88,$B88,$M$1)</f>
        <v>0</v>
      </c>
      <c r="T88" s="36">
        <f>_xll.DBRW($C$1,T$15,$Q$16,$O$1,Opening!$I$13,Opening!$D$13,$P$1,$A88,$B88,$M$1)</f>
        <v>0</v>
      </c>
      <c r="U88" s="36">
        <f>_xll.DBRW($C$1,U$15,$Q$16,$O$1,Opening!$I$13,Opening!$D$13,$P$1,$A88,$B88,$M$1)</f>
        <v>0</v>
      </c>
      <c r="V88"/>
      <c r="W88"/>
      <c r="X88"/>
      <c r="Y88"/>
      <c r="Z88"/>
    </row>
    <row r="89" spans="1:26" ht="15.75" customHeight="1">
      <c r="A89" s="68" t="s">
        <v>350</v>
      </c>
      <c r="B89" s="29" t="s">
        <v>352</v>
      </c>
      <c r="C89" s="37" t="s">
        <v>209</v>
      </c>
      <c r="D89" s="56" t="s">
        <v>296</v>
      </c>
      <c r="E89" s="36">
        <f>_xll.DBRW($C$1,Opening!$G$13,Opening!E$11,$O$1,Opening!$I$13,Opening!$D$13,$P$1,$A89,$B89,$M$1)</f>
        <v>0</v>
      </c>
      <c r="F89" s="36">
        <f>_xll.DBRW($C$1,Opening!$G$13,Opening!F$11,$O$1,Opening!$I$13,Opening!$D$13,$P$1,$A89,$B89,$M$1)</f>
        <v>0</v>
      </c>
      <c r="G89" s="36">
        <f>_xll.DBRW($C$1,Opening!$G$13,Opening!G$11,$O$1,Opening!$I$13,Opening!$D$13,$P$1,$A89,$B89,$M$1)</f>
        <v>0</v>
      </c>
      <c r="H89" s="36">
        <f>_xll.DBRW($C$1,Opening!$G$13,Opening!H$11,$O$1,Opening!$I$13,Opening!$D$13,$P$1,$A89,$B89,$M$1)</f>
        <v>0</v>
      </c>
      <c r="I89" s="36">
        <f>_xll.DBRW($C$1,Opening!$G$13,Opening!I$11,$O$1,Opening!$I$13,Opening!$D$13,$P$1,$A89,$B89,$M$1)</f>
        <v>0</v>
      </c>
      <c r="J89" s="36">
        <f>_xll.DBRW($C$1,Opening!$G$13,Opening!J$11,$O$1,Opening!$I$13,Opening!$D$13,$P$1,$A89,$B89,$M$1)</f>
        <v>0</v>
      </c>
      <c r="K89" s="36">
        <f>_xll.DBRW($C$1,Opening!$G$13,Opening!K$11,$O$1,Opening!$I$13,Opening!$D$13,$P$1,$A89,$B89,$M$1)</f>
        <v>0</v>
      </c>
      <c r="L89" s="36">
        <f>_xll.DBRW($C$1,Opening!$G$13,Opening!L$11,$O$1,Opening!$I$13,Opening!$D$13,$P$1,$A89,$B89,$M$1)</f>
        <v>0</v>
      </c>
      <c r="M89" s="36">
        <f>_xll.DBRW($C$1,Opening!$G$13,Opening!M$11,$O$1,Opening!$I$13,Opening!$D$13,$P$1,$A89,$B89,$M$1)</f>
        <v>0</v>
      </c>
      <c r="N89" s="36">
        <f>_xll.DBRW($C$1,Opening!$G$13,Opening!N$11,$O$1,Opening!$I$13,Opening!$D$13,$P$1,$A89,$B89,$M$1)</f>
        <v>0</v>
      </c>
      <c r="O89" s="36">
        <f>_xll.DBRW($C$1,Opening!$G$13,Opening!O$11,$O$1,Opening!$I$13,Opening!$D$13,$P$1,$A89,$B89,$M$1)</f>
        <v>0</v>
      </c>
      <c r="P89" s="36">
        <f>_xll.DBRW($C$1,Opening!$G$13,Opening!P$11,$O$1,Opening!$I$13,Opening!$D$13,$P$1,$A89,$B89,$M$1)</f>
        <v>0</v>
      </c>
      <c r="Q89" s="36">
        <f>_xll.DBRW($C$1,Q$15,$Q$16,$O$1,Opening!$I$13,Opening!$D$13,$P$1,$A89,$B89,$M$1)</f>
        <v>0</v>
      </c>
      <c r="R89" s="36">
        <f>_xll.DBRW($C$1,R$15,$Q$16,$O$1,Opening!$I$13,Opening!$D$13,$P$1,$A89,$B89,$M$1)</f>
        <v>0</v>
      </c>
      <c r="S89" s="36">
        <f>_xll.DBRW($C$1,S$15,$Q$16,$O$1,Opening!$I$13,Opening!$D$13,$P$1,$A89,$B89,$M$1)</f>
        <v>0</v>
      </c>
      <c r="T89" s="36">
        <f>_xll.DBRW($C$1,T$15,$Q$16,$O$1,Opening!$I$13,Opening!$D$13,$P$1,$A89,$B89,$M$1)</f>
        <v>0</v>
      </c>
      <c r="U89" s="36">
        <f>_xll.DBRW($C$1,U$15,$Q$16,$O$1,Opening!$I$13,Opening!$D$13,$P$1,$A89,$B89,$M$1)</f>
        <v>0</v>
      </c>
      <c r="V89"/>
      <c r="W89"/>
      <c r="X89"/>
      <c r="Y89"/>
      <c r="Z89"/>
    </row>
    <row r="90" spans="1:26" ht="15.75" customHeight="1">
      <c r="A90" s="68" t="s">
        <v>350</v>
      </c>
      <c r="B90" s="29" t="s">
        <v>352</v>
      </c>
      <c r="C90" s="37" t="s">
        <v>209</v>
      </c>
      <c r="D90" s="56" t="s">
        <v>297</v>
      </c>
      <c r="E90" s="36">
        <f>_xll.DBRW($C$1,Opening!$G$13,Opening!E$11,$O$1,Opening!$I$13,Opening!$D$13,$P$1,$A90,$B90,$M$1)</f>
        <v>0</v>
      </c>
      <c r="F90" s="36">
        <f>_xll.DBRW($C$1,Opening!$G$13,Opening!F$11,$O$1,Opening!$I$13,Opening!$D$13,$P$1,$A90,$B90,$M$1)</f>
        <v>0</v>
      </c>
      <c r="G90" s="36">
        <f>_xll.DBRW($C$1,Opening!$G$13,Opening!G$11,$O$1,Opening!$I$13,Opening!$D$13,$P$1,$A90,$B90,$M$1)</f>
        <v>0</v>
      </c>
      <c r="H90" s="36">
        <f>_xll.DBRW($C$1,Opening!$G$13,Opening!H$11,$O$1,Opening!$I$13,Opening!$D$13,$P$1,$A90,$B90,$M$1)</f>
        <v>0</v>
      </c>
      <c r="I90" s="36">
        <f>_xll.DBRW($C$1,Opening!$G$13,Opening!I$11,$O$1,Opening!$I$13,Opening!$D$13,$P$1,$A90,$B90,$M$1)</f>
        <v>0</v>
      </c>
      <c r="J90" s="36">
        <f>_xll.DBRW($C$1,Opening!$G$13,Opening!J$11,$O$1,Opening!$I$13,Opening!$D$13,$P$1,$A90,$B90,$M$1)</f>
        <v>0</v>
      </c>
      <c r="K90" s="36">
        <f>_xll.DBRW($C$1,Opening!$G$13,Opening!K$11,$O$1,Opening!$I$13,Opening!$D$13,$P$1,$A90,$B90,$M$1)</f>
        <v>0</v>
      </c>
      <c r="L90" s="36">
        <f>_xll.DBRW($C$1,Opening!$G$13,Opening!L$11,$O$1,Opening!$I$13,Opening!$D$13,$P$1,$A90,$B90,$M$1)</f>
        <v>0</v>
      </c>
      <c r="M90" s="36">
        <f>_xll.DBRW($C$1,Opening!$G$13,Opening!M$11,$O$1,Opening!$I$13,Opening!$D$13,$P$1,$A90,$B90,$M$1)</f>
        <v>0</v>
      </c>
      <c r="N90" s="36">
        <f>_xll.DBRW($C$1,Opening!$G$13,Opening!N$11,$O$1,Opening!$I$13,Opening!$D$13,$P$1,$A90,$B90,$M$1)</f>
        <v>0</v>
      </c>
      <c r="O90" s="36">
        <f>_xll.DBRW($C$1,Opening!$G$13,Opening!O$11,$O$1,Opening!$I$13,Opening!$D$13,$P$1,$A90,$B90,$M$1)</f>
        <v>0</v>
      </c>
      <c r="P90" s="36">
        <f>_xll.DBRW($C$1,Opening!$G$13,Opening!P$11,$O$1,Opening!$I$13,Opening!$D$13,$P$1,$A90,$B90,$M$1)</f>
        <v>0</v>
      </c>
      <c r="Q90" s="36">
        <f>_xll.DBRW($C$1,Q$15,$Q$16,$O$1,Opening!$I$13,Opening!$D$13,$P$1,$A90,$B90,$M$1)</f>
        <v>0</v>
      </c>
      <c r="R90" s="36">
        <f>_xll.DBRW($C$1,R$15,$Q$16,$O$1,Opening!$I$13,Opening!$D$13,$P$1,$A90,$B90,$M$1)</f>
        <v>0</v>
      </c>
      <c r="S90" s="36">
        <f>_xll.DBRW($C$1,S$15,$Q$16,$O$1,Opening!$I$13,Opening!$D$13,$P$1,$A90,$B90,$M$1)</f>
        <v>0</v>
      </c>
      <c r="T90" s="36">
        <f>_xll.DBRW($C$1,T$15,$Q$16,$O$1,Opening!$I$13,Opening!$D$13,$P$1,$A90,$B90,$M$1)</f>
        <v>0</v>
      </c>
      <c r="U90" s="36">
        <f>_xll.DBRW($C$1,U$15,$Q$16,$O$1,Opening!$I$13,Opening!$D$13,$P$1,$A90,$B90,$M$1)</f>
        <v>0</v>
      </c>
      <c r="V90"/>
      <c r="W90"/>
      <c r="X90"/>
      <c r="Y90"/>
      <c r="Z90"/>
    </row>
    <row r="91" spans="1:26" ht="15.75" customHeight="1">
      <c r="A91" s="68" t="s">
        <v>350</v>
      </c>
      <c r="B91" s="29" t="s">
        <v>352</v>
      </c>
      <c r="C91" s="37" t="s">
        <v>209</v>
      </c>
      <c r="D91" s="56" t="s">
        <v>298</v>
      </c>
      <c r="E91" s="36">
        <f>_xll.DBRW($C$1,Opening!$G$13,Opening!E$11,$O$1,Opening!$I$13,Opening!$D$13,$P$1,$A91,$B91,$M$1)</f>
        <v>0</v>
      </c>
      <c r="F91" s="36">
        <f>_xll.DBRW($C$1,Opening!$G$13,Opening!F$11,$O$1,Opening!$I$13,Opening!$D$13,$P$1,$A91,$B91,$M$1)</f>
        <v>0</v>
      </c>
      <c r="G91" s="36">
        <f>_xll.DBRW($C$1,Opening!$G$13,Opening!G$11,$O$1,Opening!$I$13,Opening!$D$13,$P$1,$A91,$B91,$M$1)</f>
        <v>0</v>
      </c>
      <c r="H91" s="36">
        <f>_xll.DBRW($C$1,Opening!$G$13,Opening!H$11,$O$1,Opening!$I$13,Opening!$D$13,$P$1,$A91,$B91,$M$1)</f>
        <v>0</v>
      </c>
      <c r="I91" s="36">
        <f>_xll.DBRW($C$1,Opening!$G$13,Opening!I$11,$O$1,Opening!$I$13,Opening!$D$13,$P$1,$A91,$B91,$M$1)</f>
        <v>0</v>
      </c>
      <c r="J91" s="36">
        <f>_xll.DBRW($C$1,Opening!$G$13,Opening!J$11,$O$1,Opening!$I$13,Opening!$D$13,$P$1,$A91,$B91,$M$1)</f>
        <v>0</v>
      </c>
      <c r="K91" s="36">
        <f>_xll.DBRW($C$1,Opening!$G$13,Opening!K$11,$O$1,Opening!$I$13,Opening!$D$13,$P$1,$A91,$B91,$M$1)</f>
        <v>0</v>
      </c>
      <c r="L91" s="36">
        <f>_xll.DBRW($C$1,Opening!$G$13,Opening!L$11,$O$1,Opening!$I$13,Opening!$D$13,$P$1,$A91,$B91,$M$1)</f>
        <v>0</v>
      </c>
      <c r="M91" s="36">
        <f>_xll.DBRW($C$1,Opening!$G$13,Opening!M$11,$O$1,Opening!$I$13,Opening!$D$13,$P$1,$A91,$B91,$M$1)</f>
        <v>0</v>
      </c>
      <c r="N91" s="36">
        <f>_xll.DBRW($C$1,Opening!$G$13,Opening!N$11,$O$1,Opening!$I$13,Opening!$D$13,$P$1,$A91,$B91,$M$1)</f>
        <v>0</v>
      </c>
      <c r="O91" s="36">
        <f>_xll.DBRW($C$1,Opening!$G$13,Opening!O$11,$O$1,Opening!$I$13,Opening!$D$13,$P$1,$A91,$B91,$M$1)</f>
        <v>0</v>
      </c>
      <c r="P91" s="36">
        <f>_xll.DBRW($C$1,Opening!$G$13,Opening!P$11,$O$1,Opening!$I$13,Opening!$D$13,$P$1,$A91,$B91,$M$1)</f>
        <v>0</v>
      </c>
      <c r="Q91" s="36">
        <f>_xll.DBRW($C$1,Q$15,$Q$16,$O$1,Opening!$I$13,Opening!$D$13,$P$1,$A91,$B91,$M$1)</f>
        <v>0</v>
      </c>
      <c r="R91" s="36">
        <f>_xll.DBRW($C$1,R$15,$Q$16,$O$1,Opening!$I$13,Opening!$D$13,$P$1,$A91,$B91,$M$1)</f>
        <v>0</v>
      </c>
      <c r="S91" s="36">
        <f>_xll.DBRW($C$1,S$15,$Q$16,$O$1,Opening!$I$13,Opening!$D$13,$P$1,$A91,$B91,$M$1)</f>
        <v>0</v>
      </c>
      <c r="T91" s="36">
        <f>_xll.DBRW($C$1,T$15,$Q$16,$O$1,Opening!$I$13,Opening!$D$13,$P$1,$A91,$B91,$M$1)</f>
        <v>0</v>
      </c>
      <c r="U91" s="36">
        <f>_xll.DBRW($C$1,U$15,$Q$16,$O$1,Opening!$I$13,Opening!$D$13,$P$1,$A91,$B91,$M$1)</f>
        <v>0</v>
      </c>
      <c r="V91"/>
      <c r="W91"/>
      <c r="X91"/>
      <c r="Y91"/>
      <c r="Z91"/>
    </row>
    <row r="92" spans="1:26" ht="15.75" customHeight="1">
      <c r="A92" s="68" t="s">
        <v>350</v>
      </c>
      <c r="B92" s="29" t="s">
        <v>352</v>
      </c>
      <c r="C92" s="37" t="s">
        <v>209</v>
      </c>
      <c r="D92" s="56" t="s">
        <v>299</v>
      </c>
      <c r="E92" s="36">
        <f>_xll.DBRW($C$1,Opening!$G$13,Opening!E$11,$O$1,Opening!$I$13,Opening!$D$13,$P$1,$A92,$B92,$M$1)</f>
        <v>0</v>
      </c>
      <c r="F92" s="36">
        <f>_xll.DBRW($C$1,Opening!$G$13,Opening!F$11,$O$1,Opening!$I$13,Opening!$D$13,$P$1,$A92,$B92,$M$1)</f>
        <v>0</v>
      </c>
      <c r="G92" s="36">
        <f>_xll.DBRW($C$1,Opening!$G$13,Opening!G$11,$O$1,Opening!$I$13,Opening!$D$13,$P$1,$A92,$B92,$M$1)</f>
        <v>0</v>
      </c>
      <c r="H92" s="36">
        <f>_xll.DBRW($C$1,Opening!$G$13,Opening!H$11,$O$1,Opening!$I$13,Opening!$D$13,$P$1,$A92,$B92,$M$1)</f>
        <v>0</v>
      </c>
      <c r="I92" s="36">
        <f>_xll.DBRW($C$1,Opening!$G$13,Opening!I$11,$O$1,Opening!$I$13,Opening!$D$13,$P$1,$A92,$B92,$M$1)</f>
        <v>0</v>
      </c>
      <c r="J92" s="36">
        <f>_xll.DBRW($C$1,Opening!$G$13,Opening!J$11,$O$1,Opening!$I$13,Opening!$D$13,$P$1,$A92,$B92,$M$1)</f>
        <v>0</v>
      </c>
      <c r="K92" s="36">
        <f>_xll.DBRW($C$1,Opening!$G$13,Opening!K$11,$O$1,Opening!$I$13,Opening!$D$13,$P$1,$A92,$B92,$M$1)</f>
        <v>0</v>
      </c>
      <c r="L92" s="36">
        <f>_xll.DBRW($C$1,Opening!$G$13,Opening!L$11,$O$1,Opening!$I$13,Opening!$D$13,$P$1,$A92,$B92,$M$1)</f>
        <v>0</v>
      </c>
      <c r="M92" s="36">
        <f>_xll.DBRW($C$1,Opening!$G$13,Opening!M$11,$O$1,Opening!$I$13,Opening!$D$13,$P$1,$A92,$B92,$M$1)</f>
        <v>0</v>
      </c>
      <c r="N92" s="36">
        <f>_xll.DBRW($C$1,Opening!$G$13,Opening!N$11,$O$1,Opening!$I$13,Opening!$D$13,$P$1,$A92,$B92,$M$1)</f>
        <v>0</v>
      </c>
      <c r="O92" s="36">
        <f>_xll.DBRW($C$1,Opening!$G$13,Opening!O$11,$O$1,Opening!$I$13,Opening!$D$13,$P$1,$A92,$B92,$M$1)</f>
        <v>0</v>
      </c>
      <c r="P92" s="36">
        <f>_xll.DBRW($C$1,Opening!$G$13,Opening!P$11,$O$1,Opening!$I$13,Opening!$D$13,$P$1,$A92,$B92,$M$1)</f>
        <v>0</v>
      </c>
      <c r="Q92" s="36">
        <f>_xll.DBRW($C$1,Q$15,$Q$16,$O$1,Opening!$I$13,Opening!$D$13,$P$1,$A92,$B92,$M$1)</f>
        <v>0</v>
      </c>
      <c r="R92" s="36">
        <f>_xll.DBRW($C$1,R$15,$Q$16,$O$1,Opening!$I$13,Opening!$D$13,$P$1,$A92,$B92,$M$1)</f>
        <v>0</v>
      </c>
      <c r="S92" s="36">
        <f>_xll.DBRW($C$1,S$15,$Q$16,$O$1,Opening!$I$13,Opening!$D$13,$P$1,$A92,$B92,$M$1)</f>
        <v>0</v>
      </c>
      <c r="T92" s="36">
        <f>_xll.DBRW($C$1,T$15,$Q$16,$O$1,Opening!$I$13,Opening!$D$13,$P$1,$A92,$B92,$M$1)</f>
        <v>0</v>
      </c>
      <c r="U92" s="36">
        <f>_xll.DBRW($C$1,U$15,$Q$16,$O$1,Opening!$I$13,Opening!$D$13,$P$1,$A92,$B92,$M$1)</f>
        <v>0</v>
      </c>
      <c r="V92"/>
      <c r="W92"/>
      <c r="X92"/>
      <c r="Y92"/>
      <c r="Z92"/>
    </row>
    <row r="93" spans="1:26" ht="15.75" customHeight="1">
      <c r="A93" s="68" t="s">
        <v>350</v>
      </c>
      <c r="B93" s="29" t="s">
        <v>352</v>
      </c>
      <c r="C93" s="37" t="s">
        <v>209</v>
      </c>
      <c r="D93" s="56" t="s">
        <v>300</v>
      </c>
      <c r="E93" s="36">
        <f>_xll.DBRW($C$1,Opening!$G$13,Opening!E$11,$O$1,Opening!$I$13,Opening!$D$13,$P$1,$A93,$B93,$M$1)</f>
        <v>0</v>
      </c>
      <c r="F93" s="36">
        <f>_xll.DBRW($C$1,Opening!$G$13,Opening!F$11,$O$1,Opening!$I$13,Opening!$D$13,$P$1,$A93,$B93,$M$1)</f>
        <v>0</v>
      </c>
      <c r="G93" s="36">
        <f>_xll.DBRW($C$1,Opening!$G$13,Opening!G$11,$O$1,Opening!$I$13,Opening!$D$13,$P$1,$A93,$B93,$M$1)</f>
        <v>0</v>
      </c>
      <c r="H93" s="36">
        <f>_xll.DBRW($C$1,Opening!$G$13,Opening!H$11,$O$1,Opening!$I$13,Opening!$D$13,$P$1,$A93,$B93,$M$1)</f>
        <v>0</v>
      </c>
      <c r="I93" s="36">
        <f>_xll.DBRW($C$1,Opening!$G$13,Opening!I$11,$O$1,Opening!$I$13,Opening!$D$13,$P$1,$A93,$B93,$M$1)</f>
        <v>0</v>
      </c>
      <c r="J93" s="36">
        <f>_xll.DBRW($C$1,Opening!$G$13,Opening!J$11,$O$1,Opening!$I$13,Opening!$D$13,$P$1,$A93,$B93,$M$1)</f>
        <v>0</v>
      </c>
      <c r="K93" s="36">
        <f>_xll.DBRW($C$1,Opening!$G$13,Opening!K$11,$O$1,Opening!$I$13,Opening!$D$13,$P$1,$A93,$B93,$M$1)</f>
        <v>0</v>
      </c>
      <c r="L93" s="36">
        <f>_xll.DBRW($C$1,Opening!$G$13,Opening!L$11,$O$1,Opening!$I$13,Opening!$D$13,$P$1,$A93,$B93,$M$1)</f>
        <v>0</v>
      </c>
      <c r="M93" s="36">
        <f>_xll.DBRW($C$1,Opening!$G$13,Opening!M$11,$O$1,Opening!$I$13,Opening!$D$13,$P$1,$A93,$B93,$M$1)</f>
        <v>0</v>
      </c>
      <c r="N93" s="36">
        <f>_xll.DBRW($C$1,Opening!$G$13,Opening!N$11,$O$1,Opening!$I$13,Opening!$D$13,$P$1,$A93,$B93,$M$1)</f>
        <v>0</v>
      </c>
      <c r="O93" s="36">
        <f>_xll.DBRW($C$1,Opening!$G$13,Opening!O$11,$O$1,Opening!$I$13,Opening!$D$13,$P$1,$A93,$B93,$M$1)</f>
        <v>0</v>
      </c>
      <c r="P93" s="36">
        <f>_xll.DBRW($C$1,Opening!$G$13,Opening!P$11,$O$1,Opening!$I$13,Opening!$D$13,$P$1,$A93,$B93,$M$1)</f>
        <v>0</v>
      </c>
      <c r="Q93" s="36">
        <f>_xll.DBRW($C$1,Q$15,$Q$16,$O$1,Opening!$I$13,Opening!$D$13,$P$1,$A93,$B93,$M$1)</f>
        <v>0</v>
      </c>
      <c r="R93" s="36">
        <f>_xll.DBRW($C$1,R$15,$Q$16,$O$1,Opening!$I$13,Opening!$D$13,$P$1,$A93,$B93,$M$1)</f>
        <v>0</v>
      </c>
      <c r="S93" s="36">
        <f>_xll.DBRW($C$1,S$15,$Q$16,$O$1,Opening!$I$13,Opening!$D$13,$P$1,$A93,$B93,$M$1)</f>
        <v>0</v>
      </c>
      <c r="T93" s="36">
        <f>_xll.DBRW($C$1,T$15,$Q$16,$O$1,Opening!$I$13,Opening!$D$13,$P$1,$A93,$B93,$M$1)</f>
        <v>0</v>
      </c>
      <c r="U93" s="36">
        <f>_xll.DBRW($C$1,U$15,$Q$16,$O$1,Opening!$I$13,Opening!$D$13,$P$1,$A93,$B93,$M$1)</f>
        <v>0</v>
      </c>
      <c r="V93"/>
      <c r="W93"/>
      <c r="X93"/>
      <c r="Y93"/>
      <c r="Z93"/>
    </row>
    <row r="94" spans="1:26" ht="15.75" customHeight="1">
      <c r="A94" s="68" t="s">
        <v>350</v>
      </c>
      <c r="B94" s="29" t="s">
        <v>354</v>
      </c>
      <c r="C94" s="37" t="s">
        <v>210</v>
      </c>
      <c r="D94" s="56" t="s">
        <v>294</v>
      </c>
      <c r="E94" s="36">
        <f>_xll.DBRW($C$1,Opening!$G$13,Opening!E$11,$O$1,Opening!$I$13,Opening!$D$13,$P$1,$A94,$B94,$M$1)</f>
        <v>0</v>
      </c>
      <c r="F94" s="36">
        <f>_xll.DBRW($C$1,Opening!$G$13,Opening!F$11,$O$1,Opening!$I$13,Opening!$D$13,$P$1,$A94,$B94,$M$1)</f>
        <v>0</v>
      </c>
      <c r="G94" s="36">
        <f>_xll.DBRW($C$1,Opening!$G$13,Opening!G$11,$O$1,Opening!$I$13,Opening!$D$13,$P$1,$A94,$B94,$M$1)</f>
        <v>0</v>
      </c>
      <c r="H94" s="36">
        <f>_xll.DBRW($C$1,Opening!$G$13,Opening!H$11,$O$1,Opening!$I$13,Opening!$D$13,$P$1,$A94,$B94,$M$1)</f>
        <v>0</v>
      </c>
      <c r="I94" s="36">
        <f>_xll.DBRW($C$1,Opening!$G$13,Opening!I$11,$O$1,Opening!$I$13,Opening!$D$13,$P$1,$A94,$B94,$M$1)</f>
        <v>0</v>
      </c>
      <c r="J94" s="36">
        <f>_xll.DBRW($C$1,Opening!$G$13,Opening!J$11,$O$1,Opening!$I$13,Opening!$D$13,$P$1,$A94,$B94,$M$1)</f>
        <v>0</v>
      </c>
      <c r="K94" s="36">
        <f>_xll.DBRW($C$1,Opening!$G$13,Opening!K$11,$O$1,Opening!$I$13,Opening!$D$13,$P$1,$A94,$B94,$M$1)</f>
        <v>0</v>
      </c>
      <c r="L94" s="36">
        <f>_xll.DBRW($C$1,Opening!$G$13,Opening!L$11,$O$1,Opening!$I$13,Opening!$D$13,$P$1,$A94,$B94,$M$1)</f>
        <v>0</v>
      </c>
      <c r="M94" s="36">
        <f>_xll.DBRW($C$1,Opening!$G$13,Opening!M$11,$O$1,Opening!$I$13,Opening!$D$13,$P$1,$A94,$B94,$M$1)</f>
        <v>0</v>
      </c>
      <c r="N94" s="36">
        <f>_xll.DBRW($C$1,Opening!$G$13,Opening!N$11,$O$1,Opening!$I$13,Opening!$D$13,$P$1,$A94,$B94,$M$1)</f>
        <v>0</v>
      </c>
      <c r="O94" s="36">
        <f>_xll.DBRW($C$1,Opening!$G$13,Opening!O$11,$O$1,Opening!$I$13,Opening!$D$13,$P$1,$A94,$B94,$M$1)</f>
        <v>0</v>
      </c>
      <c r="P94" s="36">
        <f>_xll.DBRW($C$1,Opening!$G$13,Opening!P$11,$O$1,Opening!$I$13,Opening!$D$13,$P$1,$A94,$B94,$M$1)</f>
        <v>0</v>
      </c>
      <c r="Q94" s="36">
        <f>_xll.DBRW($C$1,Q$15,$Q$16,$O$1,Opening!$I$13,Opening!$D$13,$P$1,$A94,$B94,$M$1)</f>
        <v>0</v>
      </c>
      <c r="R94" s="36">
        <f>_xll.DBRW($C$1,R$15,$Q$16,$O$1,Opening!$I$13,Opening!$D$13,$P$1,$A94,$B94,$M$1)</f>
        <v>0</v>
      </c>
      <c r="S94" s="36">
        <f>_xll.DBRW($C$1,S$15,$Q$16,$O$1,Opening!$I$13,Opening!$D$13,$P$1,$A94,$B94,$M$1)</f>
        <v>0</v>
      </c>
      <c r="T94" s="36">
        <f>_xll.DBRW($C$1,T$15,$Q$16,$O$1,Opening!$I$13,Opening!$D$13,$P$1,$A94,$B94,$M$1)</f>
        <v>0</v>
      </c>
      <c r="U94" s="36">
        <f>_xll.DBRW($C$1,U$15,$Q$16,$O$1,Opening!$I$13,Opening!$D$13,$P$1,$A94,$B94,$M$1)</f>
        <v>0</v>
      </c>
      <c r="V94"/>
      <c r="W94"/>
      <c r="X94"/>
      <c r="Y94"/>
      <c r="Z94"/>
    </row>
    <row r="95" spans="1:26" ht="15.75" customHeight="1">
      <c r="A95" s="68" t="s">
        <v>350</v>
      </c>
      <c r="B95" s="29" t="s">
        <v>354</v>
      </c>
      <c r="C95" s="37" t="s">
        <v>210</v>
      </c>
      <c r="D95" s="56" t="s">
        <v>292</v>
      </c>
      <c r="E95" s="36">
        <f>_xll.DBRW($C$1,Opening!$G$13,Opening!E$11,$O$1,Opening!$I$13,Opening!$D$13,$P$1,$A95,$B95,$M$1)</f>
        <v>0</v>
      </c>
      <c r="F95" s="36">
        <f>_xll.DBRW($C$1,Opening!$G$13,Opening!F$11,$O$1,Opening!$I$13,Opening!$D$13,$P$1,$A95,$B95,$M$1)</f>
        <v>0</v>
      </c>
      <c r="G95" s="36">
        <f>_xll.DBRW($C$1,Opening!$G$13,Opening!G$11,$O$1,Opening!$I$13,Opening!$D$13,$P$1,$A95,$B95,$M$1)</f>
        <v>0</v>
      </c>
      <c r="H95" s="36">
        <f>_xll.DBRW($C$1,Opening!$G$13,Opening!H$11,$O$1,Opening!$I$13,Opening!$D$13,$P$1,$A95,$B95,$M$1)</f>
        <v>0</v>
      </c>
      <c r="I95" s="36">
        <f>_xll.DBRW($C$1,Opening!$G$13,Opening!I$11,$O$1,Opening!$I$13,Opening!$D$13,$P$1,$A95,$B95,$M$1)</f>
        <v>0</v>
      </c>
      <c r="J95" s="36">
        <f>_xll.DBRW($C$1,Opening!$G$13,Opening!J$11,$O$1,Opening!$I$13,Opening!$D$13,$P$1,$A95,$B95,$M$1)</f>
        <v>0</v>
      </c>
      <c r="K95" s="36">
        <f>_xll.DBRW($C$1,Opening!$G$13,Opening!K$11,$O$1,Opening!$I$13,Opening!$D$13,$P$1,$A95,$B95,$M$1)</f>
        <v>0</v>
      </c>
      <c r="L95" s="36">
        <f>_xll.DBRW($C$1,Opening!$G$13,Opening!L$11,$O$1,Opening!$I$13,Opening!$D$13,$P$1,$A95,$B95,$M$1)</f>
        <v>0</v>
      </c>
      <c r="M95" s="36">
        <f>_xll.DBRW($C$1,Opening!$G$13,Opening!M$11,$O$1,Opening!$I$13,Opening!$D$13,$P$1,$A95,$B95,$M$1)</f>
        <v>0</v>
      </c>
      <c r="N95" s="36">
        <f>_xll.DBRW($C$1,Opening!$G$13,Opening!N$11,$O$1,Opening!$I$13,Opening!$D$13,$P$1,$A95,$B95,$M$1)</f>
        <v>0</v>
      </c>
      <c r="O95" s="36">
        <f>_xll.DBRW($C$1,Opening!$G$13,Opening!O$11,$O$1,Opening!$I$13,Opening!$D$13,$P$1,$A95,$B95,$M$1)</f>
        <v>0</v>
      </c>
      <c r="P95" s="36">
        <f>_xll.DBRW($C$1,Opening!$G$13,Opening!P$11,$O$1,Opening!$I$13,Opening!$D$13,$P$1,$A95,$B95,$M$1)</f>
        <v>0</v>
      </c>
      <c r="Q95" s="36">
        <f>_xll.DBRW($C$1,Q$15,$Q$16,$O$1,Opening!$I$13,Opening!$D$13,$P$1,$A95,$B95,$M$1)</f>
        <v>0</v>
      </c>
      <c r="R95" s="36">
        <f>_xll.DBRW($C$1,R$15,$Q$16,$O$1,Opening!$I$13,Opening!$D$13,$P$1,$A95,$B95,$M$1)</f>
        <v>0</v>
      </c>
      <c r="S95" s="36">
        <f>_xll.DBRW($C$1,S$15,$Q$16,$O$1,Opening!$I$13,Opening!$D$13,$P$1,$A95,$B95,$M$1)</f>
        <v>0</v>
      </c>
      <c r="T95" s="36">
        <f>_xll.DBRW($C$1,T$15,$Q$16,$O$1,Opening!$I$13,Opening!$D$13,$P$1,$A95,$B95,$M$1)</f>
        <v>0</v>
      </c>
      <c r="U95" s="36">
        <f>_xll.DBRW($C$1,U$15,$Q$16,$O$1,Opening!$I$13,Opening!$D$13,$P$1,$A95,$B95,$M$1)</f>
        <v>0</v>
      </c>
      <c r="V95"/>
      <c r="W95"/>
      <c r="X95"/>
      <c r="Y95"/>
      <c r="Z95"/>
    </row>
    <row r="96" spans="1:26" ht="15.75" customHeight="1">
      <c r="A96" s="68" t="s">
        <v>350</v>
      </c>
      <c r="B96" s="29" t="s">
        <v>354</v>
      </c>
      <c r="C96" s="37" t="s">
        <v>210</v>
      </c>
      <c r="D96" s="56" t="s">
        <v>293</v>
      </c>
      <c r="E96" s="36">
        <f>_xll.DBRW($C$1,Opening!$G$13,Opening!E$11,$O$1,Opening!$I$13,Opening!$D$13,$P$1,$A96,$B96,$M$1)</f>
        <v>0</v>
      </c>
      <c r="F96" s="36">
        <f>_xll.DBRW($C$1,Opening!$G$13,Opening!F$11,$O$1,Opening!$I$13,Opening!$D$13,$P$1,$A96,$B96,$M$1)</f>
        <v>0</v>
      </c>
      <c r="G96" s="36">
        <f>_xll.DBRW($C$1,Opening!$G$13,Opening!G$11,$O$1,Opening!$I$13,Opening!$D$13,$P$1,$A96,$B96,$M$1)</f>
        <v>0</v>
      </c>
      <c r="H96" s="36">
        <f>_xll.DBRW($C$1,Opening!$G$13,Opening!H$11,$O$1,Opening!$I$13,Opening!$D$13,$P$1,$A96,$B96,$M$1)</f>
        <v>0</v>
      </c>
      <c r="I96" s="36">
        <f>_xll.DBRW($C$1,Opening!$G$13,Opening!I$11,$O$1,Opening!$I$13,Opening!$D$13,$P$1,$A96,$B96,$M$1)</f>
        <v>0</v>
      </c>
      <c r="J96" s="36">
        <f>_xll.DBRW($C$1,Opening!$G$13,Opening!J$11,$O$1,Opening!$I$13,Opening!$D$13,$P$1,$A96,$B96,$M$1)</f>
        <v>0</v>
      </c>
      <c r="K96" s="36">
        <f>_xll.DBRW($C$1,Opening!$G$13,Opening!K$11,$O$1,Opening!$I$13,Opening!$D$13,$P$1,$A96,$B96,$M$1)</f>
        <v>0</v>
      </c>
      <c r="L96" s="36">
        <f>_xll.DBRW($C$1,Opening!$G$13,Opening!L$11,$O$1,Opening!$I$13,Opening!$D$13,$P$1,$A96,$B96,$M$1)</f>
        <v>0</v>
      </c>
      <c r="M96" s="36">
        <f>_xll.DBRW($C$1,Opening!$G$13,Opening!M$11,$O$1,Opening!$I$13,Opening!$D$13,$P$1,$A96,$B96,$M$1)</f>
        <v>0</v>
      </c>
      <c r="N96" s="36">
        <f>_xll.DBRW($C$1,Opening!$G$13,Opening!N$11,$O$1,Opening!$I$13,Opening!$D$13,$P$1,$A96,$B96,$M$1)</f>
        <v>0</v>
      </c>
      <c r="O96" s="36">
        <f>_xll.DBRW($C$1,Opening!$G$13,Opening!O$11,$O$1,Opening!$I$13,Opening!$D$13,$P$1,$A96,$B96,$M$1)</f>
        <v>0</v>
      </c>
      <c r="P96" s="36">
        <f>_xll.DBRW($C$1,Opening!$G$13,Opening!P$11,$O$1,Opening!$I$13,Opening!$D$13,$P$1,$A96,$B96,$M$1)</f>
        <v>0</v>
      </c>
      <c r="Q96" s="36">
        <f>_xll.DBRW($C$1,Q$15,$Q$16,$O$1,Opening!$I$13,Opening!$D$13,$P$1,$A96,$B96,$M$1)</f>
        <v>0</v>
      </c>
      <c r="R96" s="36">
        <f>_xll.DBRW($C$1,R$15,$Q$16,$O$1,Opening!$I$13,Opening!$D$13,$P$1,$A96,$B96,$M$1)</f>
        <v>0</v>
      </c>
      <c r="S96" s="36">
        <f>_xll.DBRW($C$1,S$15,$Q$16,$O$1,Opening!$I$13,Opening!$D$13,$P$1,$A96,$B96,$M$1)</f>
        <v>0</v>
      </c>
      <c r="T96" s="36">
        <f>_xll.DBRW($C$1,T$15,$Q$16,$O$1,Opening!$I$13,Opening!$D$13,$P$1,$A96,$B96,$M$1)</f>
        <v>0</v>
      </c>
      <c r="U96" s="36">
        <f>_xll.DBRW($C$1,U$15,$Q$16,$O$1,Opening!$I$13,Opening!$D$13,$P$1,$A96,$B96,$M$1)</f>
        <v>0</v>
      </c>
      <c r="V96"/>
      <c r="W96"/>
      <c r="X96"/>
      <c r="Y96"/>
      <c r="Z96"/>
    </row>
    <row r="97" spans="1:27" ht="15.75" customHeight="1">
      <c r="A97" s="68" t="s">
        <v>350</v>
      </c>
      <c r="B97" s="29" t="s">
        <v>354</v>
      </c>
      <c r="C97" s="37" t="s">
        <v>210</v>
      </c>
      <c r="D97" s="56" t="s">
        <v>295</v>
      </c>
      <c r="E97" s="36">
        <f>_xll.DBRW($C$1,Opening!$G$13,Opening!E$11,$O$1,Opening!$I$13,Opening!$D$13,$P$1,$A97,$B97,$M$1)</f>
        <v>0</v>
      </c>
      <c r="F97" s="36">
        <f>_xll.DBRW($C$1,Opening!$G$13,Opening!F$11,$O$1,Opening!$I$13,Opening!$D$13,$P$1,$A97,$B97,$M$1)</f>
        <v>0</v>
      </c>
      <c r="G97" s="36">
        <f>_xll.DBRW($C$1,Opening!$G$13,Opening!G$11,$O$1,Opening!$I$13,Opening!$D$13,$P$1,$A97,$B97,$M$1)</f>
        <v>0</v>
      </c>
      <c r="H97" s="36">
        <f>_xll.DBRW($C$1,Opening!$G$13,Opening!H$11,$O$1,Opening!$I$13,Opening!$D$13,$P$1,$A97,$B97,$M$1)</f>
        <v>0</v>
      </c>
      <c r="I97" s="36">
        <f>_xll.DBRW($C$1,Opening!$G$13,Opening!I$11,$O$1,Opening!$I$13,Opening!$D$13,$P$1,$A97,$B97,$M$1)</f>
        <v>0</v>
      </c>
      <c r="J97" s="36">
        <f>_xll.DBRW($C$1,Opening!$G$13,Opening!J$11,$O$1,Opening!$I$13,Opening!$D$13,$P$1,$A97,$B97,$M$1)</f>
        <v>0</v>
      </c>
      <c r="K97" s="36">
        <f>_xll.DBRW($C$1,Opening!$G$13,Opening!K$11,$O$1,Opening!$I$13,Opening!$D$13,$P$1,$A97,$B97,$M$1)</f>
        <v>0</v>
      </c>
      <c r="L97" s="36">
        <f>_xll.DBRW($C$1,Opening!$G$13,Opening!L$11,$O$1,Opening!$I$13,Opening!$D$13,$P$1,$A97,$B97,$M$1)</f>
        <v>0</v>
      </c>
      <c r="M97" s="36">
        <f>_xll.DBRW($C$1,Opening!$G$13,Opening!M$11,$O$1,Opening!$I$13,Opening!$D$13,$P$1,$A97,$B97,$M$1)</f>
        <v>0</v>
      </c>
      <c r="N97" s="36">
        <f>_xll.DBRW($C$1,Opening!$G$13,Opening!N$11,$O$1,Opening!$I$13,Opening!$D$13,$P$1,$A97,$B97,$M$1)</f>
        <v>0</v>
      </c>
      <c r="O97" s="36">
        <f>_xll.DBRW($C$1,Opening!$G$13,Opening!O$11,$O$1,Opening!$I$13,Opening!$D$13,$P$1,$A97,$B97,$M$1)</f>
        <v>0</v>
      </c>
      <c r="P97" s="36">
        <f>_xll.DBRW($C$1,Opening!$G$13,Opening!P$11,$O$1,Opening!$I$13,Opening!$D$13,$P$1,$A97,$B97,$M$1)</f>
        <v>0</v>
      </c>
      <c r="Q97" s="36">
        <f>_xll.DBRW($C$1,Q$15,$Q$16,$O$1,Opening!$I$13,Opening!$D$13,$P$1,$A97,$B97,$M$1)</f>
        <v>0</v>
      </c>
      <c r="R97" s="36">
        <f>_xll.DBRW($C$1,R$15,$Q$16,$O$1,Opening!$I$13,Opening!$D$13,$P$1,$A97,$B97,$M$1)</f>
        <v>0</v>
      </c>
      <c r="S97" s="36">
        <f>_xll.DBRW($C$1,S$15,$Q$16,$O$1,Opening!$I$13,Opening!$D$13,$P$1,$A97,$B97,$M$1)</f>
        <v>0</v>
      </c>
      <c r="T97" s="36">
        <f>_xll.DBRW($C$1,T$15,$Q$16,$O$1,Opening!$I$13,Opening!$D$13,$P$1,$A97,$B97,$M$1)</f>
        <v>0</v>
      </c>
      <c r="U97" s="36">
        <f>_xll.DBRW($C$1,U$15,$Q$16,$O$1,Opening!$I$13,Opening!$D$13,$P$1,$A97,$B97,$M$1)</f>
        <v>0</v>
      </c>
      <c r="V97"/>
      <c r="W97"/>
      <c r="X97"/>
      <c r="Y97"/>
      <c r="Z97"/>
    </row>
    <row r="98" spans="1:27" ht="15.75" customHeight="1">
      <c r="A98" s="68" t="s">
        <v>350</v>
      </c>
      <c r="B98" s="29" t="s">
        <v>354</v>
      </c>
      <c r="C98" s="37" t="s">
        <v>210</v>
      </c>
      <c r="D98" s="56" t="s">
        <v>296</v>
      </c>
      <c r="E98" s="36">
        <f>_xll.DBRW($C$1,Opening!$G$13,Opening!E$11,$O$1,Opening!$I$13,Opening!$D$13,$P$1,$A98,$B98,$M$1)</f>
        <v>0</v>
      </c>
      <c r="F98" s="36">
        <f>_xll.DBRW($C$1,Opening!$G$13,Opening!F$11,$O$1,Opening!$I$13,Opening!$D$13,$P$1,$A98,$B98,$M$1)</f>
        <v>0</v>
      </c>
      <c r="G98" s="36">
        <f>_xll.DBRW($C$1,Opening!$G$13,Opening!G$11,$O$1,Opening!$I$13,Opening!$D$13,$P$1,$A98,$B98,$M$1)</f>
        <v>0</v>
      </c>
      <c r="H98" s="36">
        <f>_xll.DBRW($C$1,Opening!$G$13,Opening!H$11,$O$1,Opening!$I$13,Opening!$D$13,$P$1,$A98,$B98,$M$1)</f>
        <v>0</v>
      </c>
      <c r="I98" s="36">
        <f>_xll.DBRW($C$1,Opening!$G$13,Opening!I$11,$O$1,Opening!$I$13,Opening!$D$13,$P$1,$A98,$B98,$M$1)</f>
        <v>0</v>
      </c>
      <c r="J98" s="36">
        <f>_xll.DBRW($C$1,Opening!$G$13,Opening!J$11,$O$1,Opening!$I$13,Opening!$D$13,$P$1,$A98,$B98,$M$1)</f>
        <v>0</v>
      </c>
      <c r="K98" s="36">
        <f>_xll.DBRW($C$1,Opening!$G$13,Opening!K$11,$O$1,Opening!$I$13,Opening!$D$13,$P$1,$A98,$B98,$M$1)</f>
        <v>0</v>
      </c>
      <c r="L98" s="36">
        <f>_xll.DBRW($C$1,Opening!$G$13,Opening!L$11,$O$1,Opening!$I$13,Opening!$D$13,$P$1,$A98,$B98,$M$1)</f>
        <v>0</v>
      </c>
      <c r="M98" s="36">
        <f>_xll.DBRW($C$1,Opening!$G$13,Opening!M$11,$O$1,Opening!$I$13,Opening!$D$13,$P$1,$A98,$B98,$M$1)</f>
        <v>0</v>
      </c>
      <c r="N98" s="36">
        <f>_xll.DBRW($C$1,Opening!$G$13,Opening!N$11,$O$1,Opening!$I$13,Opening!$D$13,$P$1,$A98,$B98,$M$1)</f>
        <v>0</v>
      </c>
      <c r="O98" s="36">
        <f>_xll.DBRW($C$1,Opening!$G$13,Opening!O$11,$O$1,Opening!$I$13,Opening!$D$13,$P$1,$A98,$B98,$M$1)</f>
        <v>0</v>
      </c>
      <c r="P98" s="36">
        <f>_xll.DBRW($C$1,Opening!$G$13,Opening!P$11,$O$1,Opening!$I$13,Opening!$D$13,$P$1,$A98,$B98,$M$1)</f>
        <v>0</v>
      </c>
      <c r="Q98" s="36">
        <f>_xll.DBRW($C$1,Q$15,$Q$16,$O$1,Opening!$I$13,Opening!$D$13,$P$1,$A98,$B98,$M$1)</f>
        <v>0</v>
      </c>
      <c r="R98" s="36">
        <f>_xll.DBRW($C$1,R$15,$Q$16,$O$1,Opening!$I$13,Opening!$D$13,$P$1,$A98,$B98,$M$1)</f>
        <v>0</v>
      </c>
      <c r="S98" s="36">
        <f>_xll.DBRW($C$1,S$15,$Q$16,$O$1,Opening!$I$13,Opening!$D$13,$P$1,$A98,$B98,$M$1)</f>
        <v>0</v>
      </c>
      <c r="T98" s="36">
        <f>_xll.DBRW($C$1,T$15,$Q$16,$O$1,Opening!$I$13,Opening!$D$13,$P$1,$A98,$B98,$M$1)</f>
        <v>0</v>
      </c>
      <c r="U98" s="36">
        <f>_xll.DBRW($C$1,U$15,$Q$16,$O$1,Opening!$I$13,Opening!$D$13,$P$1,$A98,$B98,$M$1)</f>
        <v>0</v>
      </c>
      <c r="V98"/>
      <c r="W98"/>
      <c r="X98"/>
      <c r="Y98"/>
      <c r="Z98"/>
    </row>
    <row r="99" spans="1:27" ht="15.75" customHeight="1">
      <c r="A99" s="68" t="s">
        <v>350</v>
      </c>
      <c r="B99" s="29" t="s">
        <v>354</v>
      </c>
      <c r="C99" s="37" t="s">
        <v>210</v>
      </c>
      <c r="D99" s="56" t="s">
        <v>297</v>
      </c>
      <c r="E99" s="36">
        <f>_xll.DBRW($C$1,Opening!$G$13,Opening!E$11,$O$1,Opening!$I$13,Opening!$D$13,$P$1,$A99,$B99,$M$1)</f>
        <v>0</v>
      </c>
      <c r="F99" s="36">
        <f>_xll.DBRW($C$1,Opening!$G$13,Opening!F$11,$O$1,Opening!$I$13,Opening!$D$13,$P$1,$A99,$B99,$M$1)</f>
        <v>0</v>
      </c>
      <c r="G99" s="36">
        <f>_xll.DBRW($C$1,Opening!$G$13,Opening!G$11,$O$1,Opening!$I$13,Opening!$D$13,$P$1,$A99,$B99,$M$1)</f>
        <v>0</v>
      </c>
      <c r="H99" s="36">
        <f>_xll.DBRW($C$1,Opening!$G$13,Opening!H$11,$O$1,Opening!$I$13,Opening!$D$13,$P$1,$A99,$B99,$M$1)</f>
        <v>0</v>
      </c>
      <c r="I99" s="36">
        <f>_xll.DBRW($C$1,Opening!$G$13,Opening!I$11,$O$1,Opening!$I$13,Opening!$D$13,$P$1,$A99,$B99,$M$1)</f>
        <v>0</v>
      </c>
      <c r="J99" s="36">
        <f>_xll.DBRW($C$1,Opening!$G$13,Opening!J$11,$O$1,Opening!$I$13,Opening!$D$13,$P$1,$A99,$B99,$M$1)</f>
        <v>0</v>
      </c>
      <c r="K99" s="36">
        <f>_xll.DBRW($C$1,Opening!$G$13,Opening!K$11,$O$1,Opening!$I$13,Opening!$D$13,$P$1,$A99,$B99,$M$1)</f>
        <v>0</v>
      </c>
      <c r="L99" s="36">
        <f>_xll.DBRW($C$1,Opening!$G$13,Opening!L$11,$O$1,Opening!$I$13,Opening!$D$13,$P$1,$A99,$B99,$M$1)</f>
        <v>0</v>
      </c>
      <c r="M99" s="36">
        <f>_xll.DBRW($C$1,Opening!$G$13,Opening!M$11,$O$1,Opening!$I$13,Opening!$D$13,$P$1,$A99,$B99,$M$1)</f>
        <v>0</v>
      </c>
      <c r="N99" s="36">
        <f>_xll.DBRW($C$1,Opening!$G$13,Opening!N$11,$O$1,Opening!$I$13,Opening!$D$13,$P$1,$A99,$B99,$M$1)</f>
        <v>0</v>
      </c>
      <c r="O99" s="36">
        <f>_xll.DBRW($C$1,Opening!$G$13,Opening!O$11,$O$1,Opening!$I$13,Opening!$D$13,$P$1,$A99,$B99,$M$1)</f>
        <v>0</v>
      </c>
      <c r="P99" s="36">
        <f>_xll.DBRW($C$1,Opening!$G$13,Opening!P$11,$O$1,Opening!$I$13,Opening!$D$13,$P$1,$A99,$B99,$M$1)</f>
        <v>0</v>
      </c>
      <c r="Q99" s="36">
        <f>_xll.DBRW($C$1,Q$15,$Q$16,$O$1,Opening!$I$13,Opening!$D$13,$P$1,$A99,$B99,$M$1)</f>
        <v>0</v>
      </c>
      <c r="R99" s="36">
        <f>_xll.DBRW($C$1,R$15,$Q$16,$O$1,Opening!$I$13,Opening!$D$13,$P$1,$A99,$B99,$M$1)</f>
        <v>0</v>
      </c>
      <c r="S99" s="36">
        <f>_xll.DBRW($C$1,S$15,$Q$16,$O$1,Opening!$I$13,Opening!$D$13,$P$1,$A99,$B99,$M$1)</f>
        <v>0</v>
      </c>
      <c r="T99" s="36">
        <f>_xll.DBRW($C$1,T$15,$Q$16,$O$1,Opening!$I$13,Opening!$D$13,$P$1,$A99,$B99,$M$1)</f>
        <v>0</v>
      </c>
      <c r="U99" s="36">
        <f>_xll.DBRW($C$1,U$15,$Q$16,$O$1,Opening!$I$13,Opening!$D$13,$P$1,$A99,$B99,$M$1)</f>
        <v>0</v>
      </c>
      <c r="V99"/>
      <c r="W99"/>
      <c r="X99"/>
      <c r="Y99"/>
      <c r="Z99"/>
    </row>
    <row r="100" spans="1:27" ht="15.75" customHeight="1">
      <c r="A100" s="68" t="s">
        <v>350</v>
      </c>
      <c r="B100" s="29" t="s">
        <v>354</v>
      </c>
      <c r="C100" s="37" t="s">
        <v>210</v>
      </c>
      <c r="D100" s="56" t="s">
        <v>298</v>
      </c>
      <c r="E100" s="36">
        <f>_xll.DBRW($C$1,Opening!$G$13,Opening!E$11,$O$1,Opening!$I$13,Opening!$D$13,$P$1,$A100,$B100,$M$1)</f>
        <v>0</v>
      </c>
      <c r="F100" s="36">
        <f>_xll.DBRW($C$1,Opening!$G$13,Opening!F$11,$O$1,Opening!$I$13,Opening!$D$13,$P$1,$A100,$B100,$M$1)</f>
        <v>0</v>
      </c>
      <c r="G100" s="36">
        <f>_xll.DBRW($C$1,Opening!$G$13,Opening!G$11,$O$1,Opening!$I$13,Opening!$D$13,$P$1,$A100,$B100,$M$1)</f>
        <v>0</v>
      </c>
      <c r="H100" s="36">
        <f>_xll.DBRW($C$1,Opening!$G$13,Opening!H$11,$O$1,Opening!$I$13,Opening!$D$13,$P$1,$A100,$B100,$M$1)</f>
        <v>0</v>
      </c>
      <c r="I100" s="36">
        <f>_xll.DBRW($C$1,Opening!$G$13,Opening!I$11,$O$1,Opening!$I$13,Opening!$D$13,$P$1,$A100,$B100,$M$1)</f>
        <v>0</v>
      </c>
      <c r="J100" s="36">
        <f>_xll.DBRW($C$1,Opening!$G$13,Opening!J$11,$O$1,Opening!$I$13,Opening!$D$13,$P$1,$A100,$B100,$M$1)</f>
        <v>0</v>
      </c>
      <c r="K100" s="36">
        <f>_xll.DBRW($C$1,Opening!$G$13,Opening!K$11,$O$1,Opening!$I$13,Opening!$D$13,$P$1,$A100,$B100,$M$1)</f>
        <v>0</v>
      </c>
      <c r="L100" s="36">
        <f>_xll.DBRW($C$1,Opening!$G$13,Opening!L$11,$O$1,Opening!$I$13,Opening!$D$13,$P$1,$A100,$B100,$M$1)</f>
        <v>0</v>
      </c>
      <c r="M100" s="36">
        <f>_xll.DBRW($C$1,Opening!$G$13,Opening!M$11,$O$1,Opening!$I$13,Opening!$D$13,$P$1,$A100,$B100,$M$1)</f>
        <v>0</v>
      </c>
      <c r="N100" s="36">
        <f>_xll.DBRW($C$1,Opening!$G$13,Opening!N$11,$O$1,Opening!$I$13,Opening!$D$13,$P$1,$A100,$B100,$M$1)</f>
        <v>0</v>
      </c>
      <c r="O100" s="36">
        <f>_xll.DBRW($C$1,Opening!$G$13,Opening!O$11,$O$1,Opening!$I$13,Opening!$D$13,$P$1,$A100,$B100,$M$1)</f>
        <v>0</v>
      </c>
      <c r="P100" s="36">
        <f>_xll.DBRW($C$1,Opening!$G$13,Opening!P$11,$O$1,Opening!$I$13,Opening!$D$13,$P$1,$A100,$B100,$M$1)</f>
        <v>0</v>
      </c>
      <c r="Q100" s="36">
        <f>_xll.DBRW($C$1,Q$15,$Q$16,$O$1,Opening!$I$13,Opening!$D$13,$P$1,$A100,$B100,$M$1)</f>
        <v>0</v>
      </c>
      <c r="R100" s="36">
        <f>_xll.DBRW($C$1,R$15,$Q$16,$O$1,Opening!$I$13,Opening!$D$13,$P$1,$A100,$B100,$M$1)</f>
        <v>0</v>
      </c>
      <c r="S100" s="36">
        <f>_xll.DBRW($C$1,S$15,$Q$16,$O$1,Opening!$I$13,Opening!$D$13,$P$1,$A100,$B100,$M$1)</f>
        <v>0</v>
      </c>
      <c r="T100" s="36">
        <f>_xll.DBRW($C$1,T$15,$Q$16,$O$1,Opening!$I$13,Opening!$D$13,$P$1,$A100,$B100,$M$1)</f>
        <v>0</v>
      </c>
      <c r="U100" s="36">
        <f>_xll.DBRW($C$1,U$15,$Q$16,$O$1,Opening!$I$13,Opening!$D$13,$P$1,$A100,$B100,$M$1)</f>
        <v>0</v>
      </c>
      <c r="V100"/>
      <c r="W100"/>
      <c r="X100"/>
      <c r="Y100"/>
      <c r="Z100"/>
    </row>
    <row r="101" spans="1:27" ht="15.75" customHeight="1">
      <c r="A101" s="68" t="s">
        <v>350</v>
      </c>
      <c r="B101" s="29" t="s">
        <v>354</v>
      </c>
      <c r="C101" s="37" t="s">
        <v>210</v>
      </c>
      <c r="D101" s="56" t="s">
        <v>299</v>
      </c>
      <c r="E101" s="36">
        <f>_xll.DBRW($C$1,Opening!$G$13,Opening!E$11,$O$1,Opening!$I$13,Opening!$D$13,$P$1,$A101,$B101,$M$1)</f>
        <v>0</v>
      </c>
      <c r="F101" s="36">
        <f>_xll.DBRW($C$1,Opening!$G$13,Opening!F$11,$O$1,Opening!$I$13,Opening!$D$13,$P$1,$A101,$B101,$M$1)</f>
        <v>0</v>
      </c>
      <c r="G101" s="36">
        <f>_xll.DBRW($C$1,Opening!$G$13,Opening!G$11,$O$1,Opening!$I$13,Opening!$D$13,$P$1,$A101,$B101,$M$1)</f>
        <v>0</v>
      </c>
      <c r="H101" s="36">
        <f>_xll.DBRW($C$1,Opening!$G$13,Opening!H$11,$O$1,Opening!$I$13,Opening!$D$13,$P$1,$A101,$B101,$M$1)</f>
        <v>0</v>
      </c>
      <c r="I101" s="36">
        <f>_xll.DBRW($C$1,Opening!$G$13,Opening!I$11,$O$1,Opening!$I$13,Opening!$D$13,$P$1,$A101,$B101,$M$1)</f>
        <v>0</v>
      </c>
      <c r="J101" s="36">
        <f>_xll.DBRW($C$1,Opening!$G$13,Opening!J$11,$O$1,Opening!$I$13,Opening!$D$13,$P$1,$A101,$B101,$M$1)</f>
        <v>0</v>
      </c>
      <c r="K101" s="36">
        <f>_xll.DBRW($C$1,Opening!$G$13,Opening!K$11,$O$1,Opening!$I$13,Opening!$D$13,$P$1,$A101,$B101,$M$1)</f>
        <v>0</v>
      </c>
      <c r="L101" s="36">
        <f>_xll.DBRW($C$1,Opening!$G$13,Opening!L$11,$O$1,Opening!$I$13,Opening!$D$13,$P$1,$A101,$B101,$M$1)</f>
        <v>0</v>
      </c>
      <c r="M101" s="36">
        <f>_xll.DBRW($C$1,Opening!$G$13,Opening!M$11,$O$1,Opening!$I$13,Opening!$D$13,$P$1,$A101,$B101,$M$1)</f>
        <v>0</v>
      </c>
      <c r="N101" s="36">
        <f>_xll.DBRW($C$1,Opening!$G$13,Opening!N$11,$O$1,Opening!$I$13,Opening!$D$13,$P$1,$A101,$B101,$M$1)</f>
        <v>0</v>
      </c>
      <c r="O101" s="36">
        <f>_xll.DBRW($C$1,Opening!$G$13,Opening!O$11,$O$1,Opening!$I$13,Opening!$D$13,$P$1,$A101,$B101,$M$1)</f>
        <v>0</v>
      </c>
      <c r="P101" s="36">
        <f>_xll.DBRW($C$1,Opening!$G$13,Opening!P$11,$O$1,Opening!$I$13,Opening!$D$13,$P$1,$A101,$B101,$M$1)</f>
        <v>0</v>
      </c>
      <c r="Q101" s="36">
        <f>_xll.DBRW($C$1,Q$15,$Q$16,$O$1,Opening!$I$13,Opening!$D$13,$P$1,$A101,$B101,$M$1)</f>
        <v>0</v>
      </c>
      <c r="R101" s="36">
        <f>_xll.DBRW($C$1,R$15,$Q$16,$O$1,Opening!$I$13,Opening!$D$13,$P$1,$A101,$B101,$M$1)</f>
        <v>0</v>
      </c>
      <c r="S101" s="36">
        <f>_xll.DBRW($C$1,S$15,$Q$16,$O$1,Opening!$I$13,Opening!$D$13,$P$1,$A101,$B101,$M$1)</f>
        <v>0</v>
      </c>
      <c r="T101" s="36">
        <f>_xll.DBRW($C$1,T$15,$Q$16,$O$1,Opening!$I$13,Opening!$D$13,$P$1,$A101,$B101,$M$1)</f>
        <v>0</v>
      </c>
      <c r="U101" s="36">
        <f>_xll.DBRW($C$1,U$15,$Q$16,$O$1,Opening!$I$13,Opening!$D$13,$P$1,$A101,$B101,$M$1)</f>
        <v>0</v>
      </c>
      <c r="V101"/>
      <c r="W101"/>
      <c r="X101"/>
      <c r="Y101"/>
      <c r="Z101"/>
    </row>
    <row r="102" spans="1:27" ht="15.75" customHeight="1">
      <c r="A102" s="68" t="s">
        <v>350</v>
      </c>
      <c r="B102" s="29" t="s">
        <v>354</v>
      </c>
      <c r="C102" s="37" t="s">
        <v>210</v>
      </c>
      <c r="D102" s="56" t="s">
        <v>300</v>
      </c>
      <c r="E102" s="36">
        <f>_xll.DBRW($C$1,Opening!$G$13,Opening!E$11,$O$1,Opening!$I$13,Opening!$D$13,$P$1,$A102,$B102,$M$1)</f>
        <v>0</v>
      </c>
      <c r="F102" s="36">
        <f>_xll.DBRW($C$1,Opening!$G$13,Opening!F$11,$O$1,Opening!$I$13,Opening!$D$13,$P$1,$A102,$B102,$M$1)</f>
        <v>0</v>
      </c>
      <c r="G102" s="36">
        <f>_xll.DBRW($C$1,Opening!$G$13,Opening!G$11,$O$1,Opening!$I$13,Opening!$D$13,$P$1,$A102,$B102,$M$1)</f>
        <v>0</v>
      </c>
      <c r="H102" s="36">
        <f>_xll.DBRW($C$1,Opening!$G$13,Opening!H$11,$O$1,Opening!$I$13,Opening!$D$13,$P$1,$A102,$B102,$M$1)</f>
        <v>0</v>
      </c>
      <c r="I102" s="36">
        <f>_xll.DBRW($C$1,Opening!$G$13,Opening!I$11,$O$1,Opening!$I$13,Opening!$D$13,$P$1,$A102,$B102,$M$1)</f>
        <v>0</v>
      </c>
      <c r="J102" s="36">
        <f>_xll.DBRW($C$1,Opening!$G$13,Opening!J$11,$O$1,Opening!$I$13,Opening!$D$13,$P$1,$A102,$B102,$M$1)</f>
        <v>0</v>
      </c>
      <c r="K102" s="36">
        <f>_xll.DBRW($C$1,Opening!$G$13,Opening!K$11,$O$1,Opening!$I$13,Opening!$D$13,$P$1,$A102,$B102,$M$1)</f>
        <v>0</v>
      </c>
      <c r="L102" s="36">
        <f>_xll.DBRW($C$1,Opening!$G$13,Opening!L$11,$O$1,Opening!$I$13,Opening!$D$13,$P$1,$A102,$B102,$M$1)</f>
        <v>0</v>
      </c>
      <c r="M102" s="36">
        <f>_xll.DBRW($C$1,Opening!$G$13,Opening!M$11,$O$1,Opening!$I$13,Opening!$D$13,$P$1,$A102,$B102,$M$1)</f>
        <v>0</v>
      </c>
      <c r="N102" s="36">
        <f>_xll.DBRW($C$1,Opening!$G$13,Opening!N$11,$O$1,Opening!$I$13,Opening!$D$13,$P$1,$A102,$B102,$M$1)</f>
        <v>0</v>
      </c>
      <c r="O102" s="36">
        <f>_xll.DBRW($C$1,Opening!$G$13,Opening!O$11,$O$1,Opening!$I$13,Opening!$D$13,$P$1,$A102,$B102,$M$1)</f>
        <v>0</v>
      </c>
      <c r="P102" s="36">
        <f>_xll.DBRW($C$1,Opening!$G$13,Opening!P$11,$O$1,Opening!$I$13,Opening!$D$13,$P$1,$A102,$B102,$M$1)</f>
        <v>0</v>
      </c>
      <c r="Q102" s="36">
        <f>_xll.DBRW($C$1,Q$15,$Q$16,$O$1,Opening!$I$13,Opening!$D$13,$P$1,$A102,$B102,$M$1)</f>
        <v>0</v>
      </c>
      <c r="R102" s="36">
        <f>_xll.DBRW($C$1,R$15,$Q$16,$O$1,Opening!$I$13,Opening!$D$13,$P$1,$A102,$B102,$M$1)</f>
        <v>0</v>
      </c>
      <c r="S102" s="36">
        <f>_xll.DBRW($C$1,S$15,$Q$16,$O$1,Opening!$I$13,Opening!$D$13,$P$1,$A102,$B102,$M$1)</f>
        <v>0</v>
      </c>
      <c r="T102" s="36">
        <f>_xll.DBRW($C$1,T$15,$Q$16,$O$1,Opening!$I$13,Opening!$D$13,$P$1,$A102,$B102,$M$1)</f>
        <v>0</v>
      </c>
      <c r="U102" s="36">
        <f>_xll.DBRW($C$1,U$15,$Q$16,$O$1,Opening!$I$13,Opening!$D$13,$P$1,$A102,$B102,$M$1)</f>
        <v>0</v>
      </c>
      <c r="V102"/>
      <c r="W102"/>
      <c r="X102"/>
      <c r="Y102"/>
      <c r="Z102"/>
    </row>
    <row r="103" spans="1:27" ht="15.75" customHeight="1">
      <c r="A103" s="68" t="s">
        <v>350</v>
      </c>
      <c r="B103" s="29" t="s">
        <v>355</v>
      </c>
      <c r="C103" s="37" t="s">
        <v>211</v>
      </c>
      <c r="D103" s="56" t="s">
        <v>294</v>
      </c>
      <c r="E103" s="36">
        <f>_xll.DBRW($C$1,Opening!$G$13,Opening!E$11,$O$1,Opening!$I$13,Opening!$D$13,$P$1,$A103,$B103,$M$1)</f>
        <v>0</v>
      </c>
      <c r="F103" s="36">
        <f>_xll.DBRW($C$1,Opening!$G$13,Opening!F$11,$O$1,Opening!$I$13,Opening!$D$13,$P$1,$A103,$B103,$M$1)</f>
        <v>0</v>
      </c>
      <c r="G103" s="36">
        <f>_xll.DBRW($C$1,Opening!$G$13,Opening!G$11,$O$1,Opening!$I$13,Opening!$D$13,$P$1,$A103,$B103,$M$1)</f>
        <v>0</v>
      </c>
      <c r="H103" s="36">
        <f>_xll.DBRW($C$1,Opening!$G$13,Opening!H$11,$O$1,Opening!$I$13,Opening!$D$13,$P$1,$A103,$B103,$M$1)</f>
        <v>0</v>
      </c>
      <c r="I103" s="36">
        <f>_xll.DBRW($C$1,Opening!$G$13,Opening!I$11,$O$1,Opening!$I$13,Opening!$D$13,$P$1,$A103,$B103,$M$1)</f>
        <v>0</v>
      </c>
      <c r="J103" s="36">
        <f>_xll.DBRW($C$1,Opening!$G$13,Opening!J$11,$O$1,Opening!$I$13,Opening!$D$13,$P$1,$A103,$B103,$M$1)</f>
        <v>0</v>
      </c>
      <c r="K103" s="36">
        <f>_xll.DBRW($C$1,Opening!$G$13,Opening!K$11,$O$1,Opening!$I$13,Opening!$D$13,$P$1,$A103,$B103,$M$1)</f>
        <v>0</v>
      </c>
      <c r="L103" s="36">
        <f>_xll.DBRW($C$1,Opening!$G$13,Opening!L$11,$O$1,Opening!$I$13,Opening!$D$13,$P$1,$A103,$B103,$M$1)</f>
        <v>0</v>
      </c>
      <c r="M103" s="36">
        <f>_xll.DBRW($C$1,Opening!$G$13,Opening!M$11,$O$1,Opening!$I$13,Opening!$D$13,$P$1,$A103,$B103,$M$1)</f>
        <v>0</v>
      </c>
      <c r="N103" s="36">
        <f>_xll.DBRW($C$1,Opening!$G$13,Opening!N$11,$O$1,Opening!$I$13,Opening!$D$13,$P$1,$A103,$B103,$M$1)</f>
        <v>0</v>
      </c>
      <c r="O103" s="36">
        <f>_xll.DBRW($C$1,Opening!$G$13,Opening!O$11,$O$1,Opening!$I$13,Opening!$D$13,$P$1,$A103,$B103,$M$1)</f>
        <v>0</v>
      </c>
      <c r="P103" s="36">
        <f>_xll.DBRW($C$1,Opening!$G$13,Opening!P$11,$O$1,Opening!$I$13,Opening!$D$13,$P$1,$A103,$B103,$M$1)</f>
        <v>0</v>
      </c>
      <c r="Q103" s="36">
        <f>_xll.DBRW($C$1,Q$15,$Q$16,$O$1,Opening!$I$13,Opening!$D$13,$P$1,$A103,$B103,$M$1)</f>
        <v>0</v>
      </c>
      <c r="R103" s="36">
        <f>_xll.DBRW($C$1,R$15,$Q$16,$O$1,Opening!$I$13,Opening!$D$13,$P$1,$A103,$B103,$M$1)</f>
        <v>0</v>
      </c>
      <c r="S103" s="36">
        <f>_xll.DBRW($C$1,S$15,$Q$16,$O$1,Opening!$I$13,Opening!$D$13,$P$1,$A103,$B103,$M$1)</f>
        <v>0</v>
      </c>
      <c r="T103" s="36">
        <f>_xll.DBRW($C$1,T$15,$Q$16,$O$1,Opening!$I$13,Opening!$D$13,$P$1,$A103,$B103,$M$1)</f>
        <v>0</v>
      </c>
      <c r="U103" s="36">
        <f>_xll.DBRW($C$1,U$15,$Q$16,$O$1,Opening!$I$13,Opening!$D$13,$P$1,$A103,$B103,$M$1)</f>
        <v>0</v>
      </c>
      <c r="V103"/>
      <c r="W103"/>
      <c r="X103"/>
      <c r="Y103"/>
      <c r="Z103"/>
    </row>
    <row r="104" spans="1:27" ht="15.75" customHeight="1">
      <c r="A104" s="68" t="s">
        <v>350</v>
      </c>
      <c r="B104" s="29" t="s">
        <v>355</v>
      </c>
      <c r="C104" s="37" t="s">
        <v>211</v>
      </c>
      <c r="D104" s="56" t="s">
        <v>292</v>
      </c>
      <c r="E104" s="36">
        <f>_xll.DBRW($C$1,Opening!$G$13,Opening!E$11,$O$1,Opening!$I$13,Opening!$D$13,$P$1,$A104,$B104,$M$1)</f>
        <v>0</v>
      </c>
      <c r="F104" s="36">
        <f>_xll.DBRW($C$1,Opening!$G$13,Opening!F$11,$O$1,Opening!$I$13,Opening!$D$13,$P$1,$A104,$B104,$M$1)</f>
        <v>0</v>
      </c>
      <c r="G104" s="36">
        <f>_xll.DBRW($C$1,Opening!$G$13,Opening!G$11,$O$1,Opening!$I$13,Opening!$D$13,$P$1,$A104,$B104,$M$1)</f>
        <v>0</v>
      </c>
      <c r="H104" s="36">
        <f>_xll.DBRW($C$1,Opening!$G$13,Opening!H$11,$O$1,Opening!$I$13,Opening!$D$13,$P$1,$A104,$B104,$M$1)</f>
        <v>0</v>
      </c>
      <c r="I104" s="36">
        <f>_xll.DBRW($C$1,Opening!$G$13,Opening!I$11,$O$1,Opening!$I$13,Opening!$D$13,$P$1,$A104,$B104,$M$1)</f>
        <v>0</v>
      </c>
      <c r="J104" s="36">
        <f>_xll.DBRW($C$1,Opening!$G$13,Opening!J$11,$O$1,Opening!$I$13,Opening!$D$13,$P$1,$A104,$B104,$M$1)</f>
        <v>0</v>
      </c>
      <c r="K104" s="36">
        <f>_xll.DBRW($C$1,Opening!$G$13,Opening!K$11,$O$1,Opening!$I$13,Opening!$D$13,$P$1,$A104,$B104,$M$1)</f>
        <v>0</v>
      </c>
      <c r="L104" s="36">
        <f>_xll.DBRW($C$1,Opening!$G$13,Opening!L$11,$O$1,Opening!$I$13,Opening!$D$13,$P$1,$A104,$B104,$M$1)</f>
        <v>0</v>
      </c>
      <c r="M104" s="36">
        <f>_xll.DBRW($C$1,Opening!$G$13,Opening!M$11,$O$1,Opening!$I$13,Opening!$D$13,$P$1,$A104,$B104,$M$1)</f>
        <v>0</v>
      </c>
      <c r="N104" s="36">
        <f>_xll.DBRW($C$1,Opening!$G$13,Opening!N$11,$O$1,Opening!$I$13,Opening!$D$13,$P$1,$A104,$B104,$M$1)</f>
        <v>0</v>
      </c>
      <c r="O104" s="36">
        <f>_xll.DBRW($C$1,Opening!$G$13,Opening!O$11,$O$1,Opening!$I$13,Opening!$D$13,$P$1,$A104,$B104,$M$1)</f>
        <v>0</v>
      </c>
      <c r="P104" s="36">
        <f>_xll.DBRW($C$1,Opening!$G$13,Opening!P$11,$O$1,Opening!$I$13,Opening!$D$13,$P$1,$A104,$B104,$M$1)</f>
        <v>0</v>
      </c>
      <c r="Q104" s="36">
        <f>_xll.DBRW($C$1,Q$15,$Q$16,$O$1,Opening!$I$13,Opening!$D$13,$P$1,$A104,$B104,$M$1)</f>
        <v>0</v>
      </c>
      <c r="R104" s="36">
        <f>_xll.DBRW($C$1,R$15,$Q$16,$O$1,Opening!$I$13,Opening!$D$13,$P$1,$A104,$B104,$M$1)</f>
        <v>0</v>
      </c>
      <c r="S104" s="36">
        <f>_xll.DBRW($C$1,S$15,$Q$16,$O$1,Opening!$I$13,Opening!$D$13,$P$1,$A104,$B104,$M$1)</f>
        <v>0</v>
      </c>
      <c r="T104" s="36">
        <f>_xll.DBRW($C$1,T$15,$Q$16,$O$1,Opening!$I$13,Opening!$D$13,$P$1,$A104,$B104,$M$1)</f>
        <v>0</v>
      </c>
      <c r="U104" s="36">
        <f>_xll.DBRW($C$1,U$15,$Q$16,$O$1,Opening!$I$13,Opening!$D$13,$P$1,$A104,$B104,$M$1)</f>
        <v>0</v>
      </c>
      <c r="V104"/>
      <c r="W104"/>
      <c r="X104"/>
      <c r="Y104"/>
      <c r="Z104"/>
    </row>
    <row r="105" spans="1:27" ht="15.75" customHeight="1">
      <c r="A105" s="68" t="s">
        <v>350</v>
      </c>
      <c r="B105" s="29" t="s">
        <v>355</v>
      </c>
      <c r="C105" s="37" t="s">
        <v>211</v>
      </c>
      <c r="D105" s="56" t="s">
        <v>293</v>
      </c>
      <c r="E105" s="36">
        <f>_xll.DBRW($C$1,Opening!$G$13,Opening!E$11,$O$1,Opening!$I$13,Opening!$D$13,$P$1,$A105,$B105,$M$1)</f>
        <v>0</v>
      </c>
      <c r="F105" s="36">
        <f>_xll.DBRW($C$1,Opening!$G$13,Opening!F$11,$O$1,Opening!$I$13,Opening!$D$13,$P$1,$A105,$B105,$M$1)</f>
        <v>0</v>
      </c>
      <c r="G105" s="36">
        <f>_xll.DBRW($C$1,Opening!$G$13,Opening!G$11,$O$1,Opening!$I$13,Opening!$D$13,$P$1,$A105,$B105,$M$1)</f>
        <v>0</v>
      </c>
      <c r="H105" s="36">
        <f>_xll.DBRW($C$1,Opening!$G$13,Opening!H$11,$O$1,Opening!$I$13,Opening!$D$13,$P$1,$A105,$B105,$M$1)</f>
        <v>0</v>
      </c>
      <c r="I105" s="36">
        <f>_xll.DBRW($C$1,Opening!$G$13,Opening!I$11,$O$1,Opening!$I$13,Opening!$D$13,$P$1,$A105,$B105,$M$1)</f>
        <v>0</v>
      </c>
      <c r="J105" s="36">
        <f>_xll.DBRW($C$1,Opening!$G$13,Opening!J$11,$O$1,Opening!$I$13,Opening!$D$13,$P$1,$A105,$B105,$M$1)</f>
        <v>0</v>
      </c>
      <c r="K105" s="36">
        <f>_xll.DBRW($C$1,Opening!$G$13,Opening!K$11,$O$1,Opening!$I$13,Opening!$D$13,$P$1,$A105,$B105,$M$1)</f>
        <v>0</v>
      </c>
      <c r="L105" s="36">
        <f>_xll.DBRW($C$1,Opening!$G$13,Opening!L$11,$O$1,Opening!$I$13,Opening!$D$13,$P$1,$A105,$B105,$M$1)</f>
        <v>0</v>
      </c>
      <c r="M105" s="36">
        <f>_xll.DBRW($C$1,Opening!$G$13,Opening!M$11,$O$1,Opening!$I$13,Opening!$D$13,$P$1,$A105,$B105,$M$1)</f>
        <v>0</v>
      </c>
      <c r="N105" s="36">
        <f>_xll.DBRW($C$1,Opening!$G$13,Opening!N$11,$O$1,Opening!$I$13,Opening!$D$13,$P$1,$A105,$B105,$M$1)</f>
        <v>0</v>
      </c>
      <c r="O105" s="36">
        <f>_xll.DBRW($C$1,Opening!$G$13,Opening!O$11,$O$1,Opening!$I$13,Opening!$D$13,$P$1,$A105,$B105,$M$1)</f>
        <v>0</v>
      </c>
      <c r="P105" s="36">
        <f>_xll.DBRW($C$1,Opening!$G$13,Opening!P$11,$O$1,Opening!$I$13,Opening!$D$13,$P$1,$A105,$B105,$M$1)</f>
        <v>0</v>
      </c>
      <c r="Q105" s="36">
        <f>_xll.DBRW($C$1,Q$15,$Q$16,$O$1,Opening!$I$13,Opening!$D$13,$P$1,$A105,$B105,$M$1)</f>
        <v>0</v>
      </c>
      <c r="R105" s="36">
        <f>_xll.DBRW($C$1,R$15,$Q$16,$O$1,Opening!$I$13,Opening!$D$13,$P$1,$A105,$B105,$M$1)</f>
        <v>0</v>
      </c>
      <c r="S105" s="36">
        <f>_xll.DBRW($C$1,S$15,$Q$16,$O$1,Opening!$I$13,Opening!$D$13,$P$1,$A105,$B105,$M$1)</f>
        <v>0</v>
      </c>
      <c r="T105" s="36">
        <f>_xll.DBRW($C$1,T$15,$Q$16,$O$1,Opening!$I$13,Opening!$D$13,$P$1,$A105,$B105,$M$1)</f>
        <v>0</v>
      </c>
      <c r="U105" s="36">
        <f>_xll.DBRW($C$1,U$15,$Q$16,$O$1,Opening!$I$13,Opening!$D$13,$P$1,$A105,$B105,$M$1)</f>
        <v>0</v>
      </c>
      <c r="V105"/>
      <c r="W105"/>
      <c r="X105"/>
      <c r="Y105"/>
      <c r="Z105"/>
    </row>
    <row r="106" spans="1:27" ht="15.75" customHeight="1">
      <c r="A106" s="68" t="s">
        <v>350</v>
      </c>
      <c r="B106" s="29" t="s">
        <v>355</v>
      </c>
      <c r="C106" s="37" t="s">
        <v>211</v>
      </c>
      <c r="D106" s="56" t="s">
        <v>295</v>
      </c>
      <c r="E106" s="36">
        <f>_xll.DBRW($C$1,Opening!$G$13,Opening!E$11,$O$1,Opening!$I$13,Opening!$D$13,$P$1,$A106,$B106,$M$1)</f>
        <v>0</v>
      </c>
      <c r="F106" s="36">
        <f>_xll.DBRW($C$1,Opening!$G$13,Opening!F$11,$O$1,Opening!$I$13,Opening!$D$13,$P$1,$A106,$B106,$M$1)</f>
        <v>0</v>
      </c>
      <c r="G106" s="36">
        <f>_xll.DBRW($C$1,Opening!$G$13,Opening!G$11,$O$1,Opening!$I$13,Opening!$D$13,$P$1,$A106,$B106,$M$1)</f>
        <v>0</v>
      </c>
      <c r="H106" s="36">
        <f>_xll.DBRW($C$1,Opening!$G$13,Opening!H$11,$O$1,Opening!$I$13,Opening!$D$13,$P$1,$A106,$B106,$M$1)</f>
        <v>0</v>
      </c>
      <c r="I106" s="36">
        <f>_xll.DBRW($C$1,Opening!$G$13,Opening!I$11,$O$1,Opening!$I$13,Opening!$D$13,$P$1,$A106,$B106,$M$1)</f>
        <v>0</v>
      </c>
      <c r="J106" s="36">
        <f>_xll.DBRW($C$1,Opening!$G$13,Opening!J$11,$O$1,Opening!$I$13,Opening!$D$13,$P$1,$A106,$B106,$M$1)</f>
        <v>0</v>
      </c>
      <c r="K106" s="36">
        <f>_xll.DBRW($C$1,Opening!$G$13,Opening!K$11,$O$1,Opening!$I$13,Opening!$D$13,$P$1,$A106,$B106,$M$1)</f>
        <v>0</v>
      </c>
      <c r="L106" s="36">
        <f>_xll.DBRW($C$1,Opening!$G$13,Opening!L$11,$O$1,Opening!$I$13,Opening!$D$13,$P$1,$A106,$B106,$M$1)</f>
        <v>0</v>
      </c>
      <c r="M106" s="36">
        <f>_xll.DBRW($C$1,Opening!$G$13,Opening!M$11,$O$1,Opening!$I$13,Opening!$D$13,$P$1,$A106,$B106,$M$1)</f>
        <v>0</v>
      </c>
      <c r="N106" s="36">
        <f>_xll.DBRW($C$1,Opening!$G$13,Opening!N$11,$O$1,Opening!$I$13,Opening!$D$13,$P$1,$A106,$B106,$M$1)</f>
        <v>0</v>
      </c>
      <c r="O106" s="36">
        <f>_xll.DBRW($C$1,Opening!$G$13,Opening!O$11,$O$1,Opening!$I$13,Opening!$D$13,$P$1,$A106,$B106,$M$1)</f>
        <v>0</v>
      </c>
      <c r="P106" s="36">
        <f>_xll.DBRW($C$1,Opening!$G$13,Opening!P$11,$O$1,Opening!$I$13,Opening!$D$13,$P$1,$A106,$B106,$M$1)</f>
        <v>0</v>
      </c>
      <c r="Q106" s="36">
        <f>_xll.DBRW($C$1,Q$15,$Q$16,$O$1,Opening!$I$13,Opening!$D$13,$P$1,$A106,$B106,$M$1)</f>
        <v>0</v>
      </c>
      <c r="R106" s="36">
        <f>_xll.DBRW($C$1,R$15,$Q$16,$O$1,Opening!$I$13,Opening!$D$13,$P$1,$A106,$B106,$M$1)</f>
        <v>0</v>
      </c>
      <c r="S106" s="36">
        <f>_xll.DBRW($C$1,S$15,$Q$16,$O$1,Opening!$I$13,Opening!$D$13,$P$1,$A106,$B106,$M$1)</f>
        <v>0</v>
      </c>
      <c r="T106" s="36">
        <f>_xll.DBRW($C$1,T$15,$Q$16,$O$1,Opening!$I$13,Opening!$D$13,$P$1,$A106,$B106,$M$1)</f>
        <v>0</v>
      </c>
      <c r="U106" s="36">
        <f>_xll.DBRW($C$1,U$15,$Q$16,$O$1,Opening!$I$13,Opening!$D$13,$P$1,$A106,$B106,$M$1)</f>
        <v>0</v>
      </c>
      <c r="V106"/>
      <c r="W106"/>
      <c r="X106"/>
      <c r="Y106"/>
      <c r="Z106"/>
    </row>
    <row r="107" spans="1:27" ht="15.75" customHeight="1">
      <c r="A107" s="68" t="s">
        <v>350</v>
      </c>
      <c r="B107" s="29" t="s">
        <v>355</v>
      </c>
      <c r="C107" s="37" t="s">
        <v>211</v>
      </c>
      <c r="D107" s="56" t="s">
        <v>296</v>
      </c>
      <c r="E107" s="36">
        <f>_xll.DBRW($C$1,Opening!$G$13,Opening!E$11,$O$1,Opening!$I$13,Opening!$D$13,$P$1,$A107,$B107,$M$1)</f>
        <v>0</v>
      </c>
      <c r="F107" s="36">
        <f>_xll.DBRW($C$1,Opening!$G$13,Opening!F$11,$O$1,Opening!$I$13,Opening!$D$13,$P$1,$A107,$B107,$M$1)</f>
        <v>0</v>
      </c>
      <c r="G107" s="36">
        <f>_xll.DBRW($C$1,Opening!$G$13,Opening!G$11,$O$1,Opening!$I$13,Opening!$D$13,$P$1,$A107,$B107,$M$1)</f>
        <v>0</v>
      </c>
      <c r="H107" s="36">
        <f>_xll.DBRW($C$1,Opening!$G$13,Opening!H$11,$O$1,Opening!$I$13,Opening!$D$13,$P$1,$A107,$B107,$M$1)</f>
        <v>0</v>
      </c>
      <c r="I107" s="36">
        <f>_xll.DBRW($C$1,Opening!$G$13,Opening!I$11,$O$1,Opening!$I$13,Opening!$D$13,$P$1,$A107,$B107,$M$1)</f>
        <v>0</v>
      </c>
      <c r="J107" s="36">
        <f>_xll.DBRW($C$1,Opening!$G$13,Opening!J$11,$O$1,Opening!$I$13,Opening!$D$13,$P$1,$A107,$B107,$M$1)</f>
        <v>0</v>
      </c>
      <c r="K107" s="36">
        <f>_xll.DBRW($C$1,Opening!$G$13,Opening!K$11,$O$1,Opening!$I$13,Opening!$D$13,$P$1,$A107,$B107,$M$1)</f>
        <v>0</v>
      </c>
      <c r="L107" s="36">
        <f>_xll.DBRW($C$1,Opening!$G$13,Opening!L$11,$O$1,Opening!$I$13,Opening!$D$13,$P$1,$A107,$B107,$M$1)</f>
        <v>0</v>
      </c>
      <c r="M107" s="36">
        <f>_xll.DBRW($C$1,Opening!$G$13,Opening!M$11,$O$1,Opening!$I$13,Opening!$D$13,$P$1,$A107,$B107,$M$1)</f>
        <v>0</v>
      </c>
      <c r="N107" s="36">
        <f>_xll.DBRW($C$1,Opening!$G$13,Opening!N$11,$O$1,Opening!$I$13,Opening!$D$13,$P$1,$A107,$B107,$M$1)</f>
        <v>0</v>
      </c>
      <c r="O107" s="36">
        <f>_xll.DBRW($C$1,Opening!$G$13,Opening!O$11,$O$1,Opening!$I$13,Opening!$D$13,$P$1,$A107,$B107,$M$1)</f>
        <v>0</v>
      </c>
      <c r="P107" s="36">
        <f>_xll.DBRW($C$1,Opening!$G$13,Opening!P$11,$O$1,Opening!$I$13,Opening!$D$13,$P$1,$A107,$B107,$M$1)</f>
        <v>0</v>
      </c>
      <c r="Q107" s="36">
        <f>_xll.DBRW($C$1,Q$15,$Q$16,$O$1,Opening!$I$13,Opening!$D$13,$P$1,$A107,$B107,$M$1)</f>
        <v>0</v>
      </c>
      <c r="R107" s="36">
        <f>_xll.DBRW($C$1,R$15,$Q$16,$O$1,Opening!$I$13,Opening!$D$13,$P$1,$A107,$B107,$M$1)</f>
        <v>0</v>
      </c>
      <c r="S107" s="36">
        <f>_xll.DBRW($C$1,S$15,$Q$16,$O$1,Opening!$I$13,Opening!$D$13,$P$1,$A107,$B107,$M$1)</f>
        <v>0</v>
      </c>
      <c r="T107" s="36">
        <f>_xll.DBRW($C$1,T$15,$Q$16,$O$1,Opening!$I$13,Opening!$D$13,$P$1,$A107,$B107,$M$1)</f>
        <v>0</v>
      </c>
      <c r="U107" s="36">
        <f>_xll.DBRW($C$1,U$15,$Q$16,$O$1,Opening!$I$13,Opening!$D$13,$P$1,$A107,$B107,$M$1)</f>
        <v>0</v>
      </c>
      <c r="V107"/>
      <c r="W107"/>
      <c r="X107"/>
      <c r="Y107"/>
      <c r="Z107"/>
    </row>
    <row r="108" spans="1:27" ht="15.75" customHeight="1">
      <c r="A108" s="68" t="s">
        <v>350</v>
      </c>
      <c r="B108" s="29" t="s">
        <v>355</v>
      </c>
      <c r="C108" s="37" t="s">
        <v>211</v>
      </c>
      <c r="D108" s="56" t="s">
        <v>297</v>
      </c>
      <c r="E108" s="36">
        <f>_xll.DBRW($C$1,Opening!$G$13,Opening!E$11,$O$1,Opening!$I$13,Opening!$D$13,$P$1,$A108,$B108,$M$1)</f>
        <v>0</v>
      </c>
      <c r="F108" s="36">
        <f>_xll.DBRW($C$1,Opening!$G$13,Opening!F$11,$O$1,Opening!$I$13,Opening!$D$13,$P$1,$A108,$B108,$M$1)</f>
        <v>0</v>
      </c>
      <c r="G108" s="36">
        <f>_xll.DBRW($C$1,Opening!$G$13,Opening!G$11,$O$1,Opening!$I$13,Opening!$D$13,$P$1,$A108,$B108,$M$1)</f>
        <v>0</v>
      </c>
      <c r="H108" s="36">
        <f>_xll.DBRW($C$1,Opening!$G$13,Opening!H$11,$O$1,Opening!$I$13,Opening!$D$13,$P$1,$A108,$B108,$M$1)</f>
        <v>0</v>
      </c>
      <c r="I108" s="36">
        <f>_xll.DBRW($C$1,Opening!$G$13,Opening!I$11,$O$1,Opening!$I$13,Opening!$D$13,$P$1,$A108,$B108,$M$1)</f>
        <v>0</v>
      </c>
      <c r="J108" s="36">
        <f>_xll.DBRW($C$1,Opening!$G$13,Opening!J$11,$O$1,Opening!$I$13,Opening!$D$13,$P$1,$A108,$B108,$M$1)</f>
        <v>0</v>
      </c>
      <c r="K108" s="36">
        <f>_xll.DBRW($C$1,Opening!$G$13,Opening!K$11,$O$1,Opening!$I$13,Opening!$D$13,$P$1,$A108,$B108,$M$1)</f>
        <v>0</v>
      </c>
      <c r="L108" s="36">
        <f>_xll.DBRW($C$1,Opening!$G$13,Opening!L$11,$O$1,Opening!$I$13,Opening!$D$13,$P$1,$A108,$B108,$M$1)</f>
        <v>0</v>
      </c>
      <c r="M108" s="36">
        <f>_xll.DBRW($C$1,Opening!$G$13,Opening!M$11,$O$1,Opening!$I$13,Opening!$D$13,$P$1,$A108,$B108,$M$1)</f>
        <v>0</v>
      </c>
      <c r="N108" s="36">
        <f>_xll.DBRW($C$1,Opening!$G$13,Opening!N$11,$O$1,Opening!$I$13,Opening!$D$13,$P$1,$A108,$B108,$M$1)</f>
        <v>0</v>
      </c>
      <c r="O108" s="36">
        <f>_xll.DBRW($C$1,Opening!$G$13,Opening!O$11,$O$1,Opening!$I$13,Opening!$D$13,$P$1,$A108,$B108,$M$1)</f>
        <v>0</v>
      </c>
      <c r="P108" s="36">
        <f>_xll.DBRW($C$1,Opening!$G$13,Opening!P$11,$O$1,Opening!$I$13,Opening!$D$13,$P$1,$A108,$B108,$M$1)</f>
        <v>0</v>
      </c>
      <c r="Q108" s="36">
        <f>_xll.DBRW($C$1,Q$15,$Q$16,$O$1,Opening!$I$13,Opening!$D$13,$P$1,$A108,$B108,$M$1)</f>
        <v>0</v>
      </c>
      <c r="R108" s="36">
        <f>_xll.DBRW($C$1,R$15,$Q$16,$O$1,Opening!$I$13,Opening!$D$13,$P$1,$A108,$B108,$M$1)</f>
        <v>0</v>
      </c>
      <c r="S108" s="36">
        <f>_xll.DBRW($C$1,S$15,$Q$16,$O$1,Opening!$I$13,Opening!$D$13,$P$1,$A108,$B108,$M$1)</f>
        <v>0</v>
      </c>
      <c r="T108" s="36">
        <f>_xll.DBRW($C$1,T$15,$Q$16,$O$1,Opening!$I$13,Opening!$D$13,$P$1,$A108,$B108,$M$1)</f>
        <v>0</v>
      </c>
      <c r="U108" s="36">
        <f>_xll.DBRW($C$1,U$15,$Q$16,$O$1,Opening!$I$13,Opening!$D$13,$P$1,$A108,$B108,$M$1)</f>
        <v>0</v>
      </c>
      <c r="V108"/>
      <c r="W108"/>
      <c r="X108"/>
      <c r="Y108"/>
      <c r="Z108"/>
    </row>
    <row r="109" spans="1:27" ht="15.75" customHeight="1">
      <c r="A109" s="68" t="s">
        <v>350</v>
      </c>
      <c r="B109" s="29" t="s">
        <v>355</v>
      </c>
      <c r="C109" s="37" t="s">
        <v>211</v>
      </c>
      <c r="D109" s="56" t="s">
        <v>298</v>
      </c>
      <c r="E109" s="36">
        <f>_xll.DBRW($C$1,Opening!$G$13,Opening!E$11,$O$1,Opening!$I$13,Opening!$D$13,$P$1,$A109,$B109,$M$1)</f>
        <v>0</v>
      </c>
      <c r="F109" s="36">
        <f>_xll.DBRW($C$1,Opening!$G$13,Opening!F$11,$O$1,Opening!$I$13,Opening!$D$13,$P$1,$A109,$B109,$M$1)</f>
        <v>0</v>
      </c>
      <c r="G109" s="36">
        <f>_xll.DBRW($C$1,Opening!$G$13,Opening!G$11,$O$1,Opening!$I$13,Opening!$D$13,$P$1,$A109,$B109,$M$1)</f>
        <v>0</v>
      </c>
      <c r="H109" s="36">
        <f>_xll.DBRW($C$1,Opening!$G$13,Opening!H$11,$O$1,Opening!$I$13,Opening!$D$13,$P$1,$A109,$B109,$M$1)</f>
        <v>0</v>
      </c>
      <c r="I109" s="36">
        <f>_xll.DBRW($C$1,Opening!$G$13,Opening!I$11,$O$1,Opening!$I$13,Opening!$D$13,$P$1,$A109,$B109,$M$1)</f>
        <v>0</v>
      </c>
      <c r="J109" s="36">
        <f>_xll.DBRW($C$1,Opening!$G$13,Opening!J$11,$O$1,Opening!$I$13,Opening!$D$13,$P$1,$A109,$B109,$M$1)</f>
        <v>0</v>
      </c>
      <c r="K109" s="36">
        <f>_xll.DBRW($C$1,Opening!$G$13,Opening!K$11,$O$1,Opening!$I$13,Opening!$D$13,$P$1,$A109,$B109,$M$1)</f>
        <v>0</v>
      </c>
      <c r="L109" s="36">
        <f>_xll.DBRW($C$1,Opening!$G$13,Opening!L$11,$O$1,Opening!$I$13,Opening!$D$13,$P$1,$A109,$B109,$M$1)</f>
        <v>0</v>
      </c>
      <c r="M109" s="36">
        <f>_xll.DBRW($C$1,Opening!$G$13,Opening!M$11,$O$1,Opening!$I$13,Opening!$D$13,$P$1,$A109,$B109,$M$1)</f>
        <v>0</v>
      </c>
      <c r="N109" s="36">
        <f>_xll.DBRW($C$1,Opening!$G$13,Opening!N$11,$O$1,Opening!$I$13,Opening!$D$13,$P$1,$A109,$B109,$M$1)</f>
        <v>0</v>
      </c>
      <c r="O109" s="36">
        <f>_xll.DBRW($C$1,Opening!$G$13,Opening!O$11,$O$1,Opening!$I$13,Opening!$D$13,$P$1,$A109,$B109,$M$1)</f>
        <v>0</v>
      </c>
      <c r="P109" s="36">
        <f>_xll.DBRW($C$1,Opening!$G$13,Opening!P$11,$O$1,Opening!$I$13,Opening!$D$13,$P$1,$A109,$B109,$M$1)</f>
        <v>0</v>
      </c>
      <c r="Q109" s="36">
        <f>_xll.DBRW($C$1,Q$15,$Q$16,$O$1,Opening!$I$13,Opening!$D$13,$P$1,$A109,$B109,$M$1)</f>
        <v>0</v>
      </c>
      <c r="R109" s="36">
        <f>_xll.DBRW($C$1,R$15,$Q$16,$O$1,Opening!$I$13,Opening!$D$13,$P$1,$A109,$B109,$M$1)</f>
        <v>0</v>
      </c>
      <c r="S109" s="36">
        <f>_xll.DBRW($C$1,S$15,$Q$16,$O$1,Opening!$I$13,Opening!$D$13,$P$1,$A109,$B109,$M$1)</f>
        <v>0</v>
      </c>
      <c r="T109" s="36">
        <f>_xll.DBRW($C$1,T$15,$Q$16,$O$1,Opening!$I$13,Opening!$D$13,$P$1,$A109,$B109,$M$1)</f>
        <v>0</v>
      </c>
      <c r="U109" s="36">
        <f>_xll.DBRW($C$1,U$15,$Q$16,$O$1,Opening!$I$13,Opening!$D$13,$P$1,$A109,$B109,$M$1)</f>
        <v>0</v>
      </c>
      <c r="V109"/>
      <c r="W109"/>
      <c r="X109"/>
      <c r="Y109"/>
      <c r="Z109"/>
    </row>
    <row r="110" spans="1:27" ht="15.75" customHeight="1">
      <c r="A110" s="68" t="s">
        <v>350</v>
      </c>
      <c r="B110" s="29" t="s">
        <v>355</v>
      </c>
      <c r="C110" s="37" t="s">
        <v>211</v>
      </c>
      <c r="D110" s="61" t="s">
        <v>299</v>
      </c>
      <c r="E110" s="36">
        <f>_xll.DBRW($C$1,Opening!$G$13,Opening!E$11,$O$1,Opening!$I$13,Opening!$D$13,$P$1,$A110,$B110,$M$1)</f>
        <v>0</v>
      </c>
      <c r="F110" s="36">
        <f>_xll.DBRW($C$1,Opening!$G$13,Opening!F$11,$O$1,Opening!$I$13,Opening!$D$13,$P$1,$A110,$B110,$M$1)</f>
        <v>0</v>
      </c>
      <c r="G110" s="36">
        <f>_xll.DBRW($C$1,Opening!$G$13,Opening!G$11,$O$1,Opening!$I$13,Opening!$D$13,$P$1,$A110,$B110,$M$1)</f>
        <v>0</v>
      </c>
      <c r="H110" s="36">
        <f>_xll.DBRW($C$1,Opening!$G$13,Opening!H$11,$O$1,Opening!$I$13,Opening!$D$13,$P$1,$A110,$B110,$M$1)</f>
        <v>0</v>
      </c>
      <c r="I110" s="36">
        <f>_xll.DBRW($C$1,Opening!$G$13,Opening!I$11,$O$1,Opening!$I$13,Opening!$D$13,$P$1,$A110,$B110,$M$1)</f>
        <v>0</v>
      </c>
      <c r="J110" s="36">
        <f>_xll.DBRW($C$1,Opening!$G$13,Opening!J$11,$O$1,Opening!$I$13,Opening!$D$13,$P$1,$A110,$B110,$M$1)</f>
        <v>0</v>
      </c>
      <c r="K110" s="36">
        <f>_xll.DBRW($C$1,Opening!$G$13,Opening!K$11,$O$1,Opening!$I$13,Opening!$D$13,$P$1,$A110,$B110,$M$1)</f>
        <v>0</v>
      </c>
      <c r="L110" s="36">
        <f>_xll.DBRW($C$1,Opening!$G$13,Opening!L$11,$O$1,Opening!$I$13,Opening!$D$13,$P$1,$A110,$B110,$M$1)</f>
        <v>0</v>
      </c>
      <c r="M110" s="36">
        <f>_xll.DBRW($C$1,Opening!$G$13,Opening!M$11,$O$1,Opening!$I$13,Opening!$D$13,$P$1,$A110,$B110,$M$1)</f>
        <v>0</v>
      </c>
      <c r="N110" s="36">
        <f>_xll.DBRW($C$1,Opening!$G$13,Opening!N$11,$O$1,Opening!$I$13,Opening!$D$13,$P$1,$A110,$B110,$M$1)</f>
        <v>0</v>
      </c>
      <c r="O110" s="36">
        <f>_xll.DBRW($C$1,Opening!$G$13,Opening!O$11,$O$1,Opening!$I$13,Opening!$D$13,$P$1,$A110,$B110,$M$1)</f>
        <v>0</v>
      </c>
      <c r="P110" s="36">
        <f>_xll.DBRW($C$1,Opening!$G$13,Opening!P$11,$O$1,Opening!$I$13,Opening!$D$13,$P$1,$A110,$B110,$M$1)</f>
        <v>0</v>
      </c>
      <c r="Q110" s="36">
        <f>_xll.DBRW($C$1,Q$15,$Q$16,$O$1,Opening!$I$13,Opening!$D$13,$P$1,$A110,$B110,$M$1)</f>
        <v>0</v>
      </c>
      <c r="R110" s="36">
        <f>_xll.DBRW($C$1,R$15,$Q$16,$O$1,Opening!$I$13,Opening!$D$13,$P$1,$A110,$B110,$M$1)</f>
        <v>0</v>
      </c>
      <c r="S110" s="36">
        <f>_xll.DBRW($C$1,S$15,$Q$16,$O$1,Opening!$I$13,Opening!$D$13,$P$1,$A110,$B110,$M$1)</f>
        <v>0</v>
      </c>
      <c r="T110" s="36">
        <f>_xll.DBRW($C$1,T$15,$Q$16,$O$1,Opening!$I$13,Opening!$D$13,$P$1,$A110,$B110,$M$1)</f>
        <v>0</v>
      </c>
      <c r="U110" s="36">
        <f>_xll.DBRW($C$1,U$15,$Q$16,$O$1,Opening!$I$13,Opening!$D$13,$P$1,$A110,$B110,$M$1)</f>
        <v>0</v>
      </c>
      <c r="V110"/>
      <c r="W110"/>
      <c r="X110"/>
      <c r="Y110"/>
      <c r="Z110"/>
    </row>
    <row r="111" spans="1:27" ht="15.75" customHeight="1">
      <c r="A111" s="68" t="s">
        <v>350</v>
      </c>
      <c r="B111" s="29" t="s">
        <v>355</v>
      </c>
      <c r="C111" s="37" t="s">
        <v>211</v>
      </c>
      <c r="D111" s="61" t="s">
        <v>300</v>
      </c>
      <c r="E111" s="36">
        <f>_xll.DBRW($C$1,Opening!$G$13,Opening!E$11,$O$1,Opening!$I$13,Opening!$D$13,$P$1,$A111,$B111,$M$1)</f>
        <v>0</v>
      </c>
      <c r="F111" s="36">
        <f>_xll.DBRW($C$1,Opening!$G$13,Opening!F$11,$O$1,Opening!$I$13,Opening!$D$13,$P$1,$A111,$B111,$M$1)</f>
        <v>0</v>
      </c>
      <c r="G111" s="36">
        <f>_xll.DBRW($C$1,Opening!$G$13,Opening!G$11,$O$1,Opening!$I$13,Opening!$D$13,$P$1,$A111,$B111,$M$1)</f>
        <v>0</v>
      </c>
      <c r="H111" s="36">
        <f>_xll.DBRW($C$1,Opening!$G$13,Opening!H$11,$O$1,Opening!$I$13,Opening!$D$13,$P$1,$A111,$B111,$M$1)</f>
        <v>0</v>
      </c>
      <c r="I111" s="36">
        <f>_xll.DBRW($C$1,Opening!$G$13,Opening!I$11,$O$1,Opening!$I$13,Opening!$D$13,$P$1,$A111,$B111,$M$1)</f>
        <v>0</v>
      </c>
      <c r="J111" s="36">
        <f>_xll.DBRW($C$1,Opening!$G$13,Opening!J$11,$O$1,Opening!$I$13,Opening!$D$13,$P$1,$A111,$B111,$M$1)</f>
        <v>0</v>
      </c>
      <c r="K111" s="36">
        <f>_xll.DBRW($C$1,Opening!$G$13,Opening!K$11,$O$1,Opening!$I$13,Opening!$D$13,$P$1,$A111,$B111,$M$1)</f>
        <v>0</v>
      </c>
      <c r="L111" s="36">
        <f>_xll.DBRW($C$1,Opening!$G$13,Opening!L$11,$O$1,Opening!$I$13,Opening!$D$13,$P$1,$A111,$B111,$M$1)</f>
        <v>0</v>
      </c>
      <c r="M111" s="36">
        <f>_xll.DBRW($C$1,Opening!$G$13,Opening!M$11,$O$1,Opening!$I$13,Opening!$D$13,$P$1,$A111,$B111,$M$1)</f>
        <v>0</v>
      </c>
      <c r="N111" s="36">
        <f>_xll.DBRW($C$1,Opening!$G$13,Opening!N$11,$O$1,Opening!$I$13,Opening!$D$13,$P$1,$A111,$B111,$M$1)</f>
        <v>0</v>
      </c>
      <c r="O111" s="36">
        <f>_xll.DBRW($C$1,Opening!$G$13,Opening!O$11,$O$1,Opening!$I$13,Opening!$D$13,$P$1,$A111,$B111,$M$1)</f>
        <v>0</v>
      </c>
      <c r="P111" s="36">
        <f>_xll.DBRW($C$1,Opening!$G$13,Opening!P$11,$O$1,Opening!$I$13,Opening!$D$13,$P$1,$A111,$B111,$M$1)</f>
        <v>0</v>
      </c>
      <c r="Q111" s="36">
        <f>_xll.DBRW($C$1,Q$15,$Q$16,$O$1,Opening!$I$13,Opening!$D$13,$P$1,$A111,$B111,$M$1)</f>
        <v>0</v>
      </c>
      <c r="R111" s="36">
        <f>_xll.DBRW($C$1,R$15,$Q$16,$O$1,Opening!$I$13,Opening!$D$13,$P$1,$A111,$B111,$M$1)</f>
        <v>0</v>
      </c>
      <c r="S111" s="36">
        <f>_xll.DBRW($C$1,S$15,$Q$16,$O$1,Opening!$I$13,Opening!$D$13,$P$1,$A111,$B111,$M$1)</f>
        <v>0</v>
      </c>
      <c r="T111" s="36">
        <f>_xll.DBRW($C$1,T$15,$Q$16,$O$1,Opening!$I$13,Opening!$D$13,$P$1,$A111,$B111,$M$1)</f>
        <v>0</v>
      </c>
      <c r="U111" s="36">
        <f>_xll.DBRW($C$1,U$15,$Q$16,$O$1,Opening!$I$13,Opening!$D$13,$P$1,$A111,$B111,$M$1)</f>
        <v>0</v>
      </c>
      <c r="V111"/>
      <c r="W111"/>
      <c r="X111"/>
      <c r="Y111"/>
      <c r="Z111"/>
    </row>
    <row r="112" spans="1:27" ht="15.75" customHeight="1" thickBot="1">
      <c r="C112" s="33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 ht="15.75" customHeight="1" thickTop="1">
      <c r="C113" s="32" t="s">
        <v>142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 ht="15.75" customHeight="1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8">
        <f>$G$13+1</f>
        <v>2027</v>
      </c>
      <c r="R114" s="38">
        <f>$G$13+2</f>
        <v>2028</v>
      </c>
      <c r="S114" s="38">
        <f>$G$13+3</f>
        <v>2029</v>
      </c>
      <c r="T114" s="38">
        <f>$G$13+4</f>
        <v>2030</v>
      </c>
      <c r="U114" s="38">
        <f>$G$13+5</f>
        <v>2031</v>
      </c>
      <c r="V114" s="43"/>
      <c r="W114" s="43"/>
      <c r="X114" s="43"/>
      <c r="Y114" s="43"/>
      <c r="Z114" s="43"/>
      <c r="AA114" s="43"/>
    </row>
    <row r="115" spans="1:27" ht="15.75" customHeight="1">
      <c r="C115" s="31"/>
      <c r="D115" s="31"/>
      <c r="E115" s="38" t="str">
        <f t="shared" ref="E115:P115" si="4">$G$13&amp;"."&amp;E$11</f>
        <v>2026.01</v>
      </c>
      <c r="F115" s="38" t="str">
        <f t="shared" si="4"/>
        <v>2026.02</v>
      </c>
      <c r="G115" s="38" t="str">
        <f t="shared" si="4"/>
        <v>2026.03</v>
      </c>
      <c r="H115" s="38" t="str">
        <f t="shared" si="4"/>
        <v>2026.04</v>
      </c>
      <c r="I115" s="38" t="str">
        <f t="shared" si="4"/>
        <v>2026.05</v>
      </c>
      <c r="J115" s="38" t="str">
        <f t="shared" si="4"/>
        <v>2026.06</v>
      </c>
      <c r="K115" s="38" t="str">
        <f t="shared" si="4"/>
        <v>2026.07</v>
      </c>
      <c r="L115" s="38" t="str">
        <f t="shared" si="4"/>
        <v>2026.08</v>
      </c>
      <c r="M115" s="38" t="str">
        <f t="shared" si="4"/>
        <v>2026.09</v>
      </c>
      <c r="N115" s="38" t="str">
        <f t="shared" si="4"/>
        <v>2026.10</v>
      </c>
      <c r="O115" s="38" t="str">
        <f t="shared" si="4"/>
        <v>2026.11</v>
      </c>
      <c r="P115" s="38" t="str">
        <f t="shared" si="4"/>
        <v>2026.12</v>
      </c>
      <c r="Q115" s="38" t="s">
        <v>304</v>
      </c>
      <c r="R115" s="38" t="s">
        <v>304</v>
      </c>
      <c r="S115" s="38" t="s">
        <v>304</v>
      </c>
      <c r="T115" s="38" t="s">
        <v>304</v>
      </c>
      <c r="U115" s="38" t="s">
        <v>304</v>
      </c>
      <c r="V115"/>
      <c r="W115"/>
      <c r="X115"/>
      <c r="Y115"/>
      <c r="Z115"/>
    </row>
    <row r="116" spans="1:27" ht="22.8">
      <c r="A116" s="68" t="s">
        <v>363</v>
      </c>
      <c r="C116" s="42" t="s">
        <v>143</v>
      </c>
      <c r="D116" s="42" t="s">
        <v>257</v>
      </c>
      <c r="E116" s="40">
        <f>_xll.DBRW($C$1,Opening!$G$13,Opening!E$11,$O$1,Opening!$I$13,Opening!$D$13,$P$2,$A116,$D116,$M$1)</f>
        <v>0</v>
      </c>
      <c r="F116" s="40">
        <f>_xll.DBRW($C$1,Opening!$G$13,Opening!F$11,$O$1,Opening!$I$13,Opening!$D$13,$P$2,$A116,$D116,$M$1)</f>
        <v>0</v>
      </c>
      <c r="G116" s="40">
        <f>_xll.DBRW($C$1,Opening!$G$13,Opening!G$11,$O$1,Opening!$I$13,Opening!$D$13,$P$2,$A116,$D116,$M$1)</f>
        <v>0</v>
      </c>
      <c r="H116" s="40">
        <f>_xll.DBRW($C$1,Opening!$G$13,Opening!H$11,$O$1,Opening!$I$13,Opening!$D$13,$P$2,$A116,$D116,$M$1)</f>
        <v>0</v>
      </c>
      <c r="I116" s="40">
        <f>_xll.DBRW($C$1,Opening!$G$13,Opening!I$11,$O$1,Opening!$I$13,Opening!$D$13,$P$2,$A116,$D116,$M$1)</f>
        <v>0</v>
      </c>
      <c r="J116" s="40">
        <f>_xll.DBRW($C$1,Opening!$G$13,Opening!J$11,$O$1,Opening!$I$13,Opening!$D$13,$P$2,$A116,$D116,$M$1)</f>
        <v>0</v>
      </c>
      <c r="K116" s="40">
        <f>_xll.DBRW($C$1,Opening!$G$13,Opening!K$11,$O$1,Opening!$I$13,Opening!$D$13,$P$2,$A116,$D116,$M$1)</f>
        <v>0</v>
      </c>
      <c r="L116" s="40">
        <f>_xll.DBRW($C$1,Opening!$G$13,Opening!L$11,$O$1,Opening!$I$13,Opening!$D$13,$P$2,$A116,$D116,$M$1)</f>
        <v>0</v>
      </c>
      <c r="M116" s="40">
        <f>_xll.DBRW($C$1,Opening!$G$13,Opening!M$11,$O$1,Opening!$I$13,Opening!$D$13,$P$2,$A116,$D116,$M$1)</f>
        <v>0</v>
      </c>
      <c r="N116" s="40">
        <f>_xll.DBRW($C$1,Opening!$G$13,Opening!N$11,$O$1,Opening!$I$13,Opening!$D$13,$P$2,$A116,$D116,$M$1)</f>
        <v>0</v>
      </c>
      <c r="O116" s="40">
        <f>_xll.DBRW($C$1,Opening!$G$13,Opening!O$11,$O$1,Opening!$I$13,Opening!$D$13,$P$2,$A116,$D116,$M$1)</f>
        <v>0</v>
      </c>
      <c r="P116" s="40">
        <f>_xll.DBRW($C$1,Opening!$G$13,Opening!P$11,$O$1,Opening!$I$13,Opening!$D$13,$P$2,$A116,$D116,$M$1)</f>
        <v>0</v>
      </c>
      <c r="Q116" s="40">
        <f>_xll.DBRW($C$1,Q$37,$Q$16,$O$1,Opening!$I$13,Opening!$D$13,$P$1,$A116,$D116,$M$1)</f>
        <v>0</v>
      </c>
      <c r="R116" s="40">
        <f>_xll.DBRW($C$1,R$37,$Q$16,$O$1,Opening!$I$13,Opening!$D$13,$P$1,$A116,$D116,$M$1)</f>
        <v>0</v>
      </c>
      <c r="S116" s="40">
        <f>_xll.DBRW($C$1,S$37,$Q$16,$O$1,Opening!$I$13,Opening!$D$13,$P$1,$A116,$D116,$M$1)</f>
        <v>0</v>
      </c>
      <c r="T116" s="40">
        <f>_xll.DBRW($C$1,T$37,$Q$16,$O$1,Opening!$I$13,Opening!$D$13,$P$1,$A116,$D116,$M$1)</f>
        <v>0</v>
      </c>
      <c r="U116" s="40">
        <f>_xll.DBRW($C$1,U$37,$Q$16,$O$1,Opening!$I$13,Opening!$D$13,$P$1,$A116,$D116,$M$1)</f>
        <v>0</v>
      </c>
      <c r="V116"/>
      <c r="W116"/>
      <c r="X116"/>
      <c r="Y116"/>
      <c r="Z116"/>
    </row>
    <row r="117" spans="1:27" ht="22.8">
      <c r="A117" s="68" t="s">
        <v>363</v>
      </c>
      <c r="B117" s="29" t="s">
        <v>356</v>
      </c>
      <c r="C117" s="37" t="s">
        <v>143</v>
      </c>
      <c r="D117" s="37" t="s">
        <v>212</v>
      </c>
      <c r="E117" s="36">
        <f>_xll.DBRW($C$1,Opening!$G$13,Opening!E$11,$O$1,Opening!$I$13,Opening!$D$13,$P$1,$A117,$B117,$M$1)</f>
        <v>0</v>
      </c>
      <c r="F117" s="36">
        <f>_xll.DBRW($C$1,Opening!$G$13,Opening!F$11,$O$1,Opening!$I$13,Opening!$D$13,$P$1,$A117,$B117,$M$1)</f>
        <v>0</v>
      </c>
      <c r="G117" s="36">
        <f>_xll.DBRW($C$1,Opening!$G$13,Opening!G$11,$O$1,Opening!$I$13,Opening!$D$13,$P$1,$A117,$B117,$M$1)</f>
        <v>0</v>
      </c>
      <c r="H117" s="36">
        <f>_xll.DBRW($C$1,Opening!$G$13,Opening!H$11,$O$1,Opening!$I$13,Opening!$D$13,$P$1,$A117,$B117,$M$1)</f>
        <v>0</v>
      </c>
      <c r="I117" s="36">
        <f>_xll.DBRW($C$1,Opening!$G$13,Opening!I$11,$O$1,Opening!$I$13,Opening!$D$13,$P$1,$A117,$B117,$M$1)</f>
        <v>0</v>
      </c>
      <c r="J117" s="36">
        <f>_xll.DBRW($C$1,Opening!$G$13,Opening!J$11,$O$1,Opening!$I$13,Opening!$D$13,$P$1,$A117,$B117,$M$1)</f>
        <v>0</v>
      </c>
      <c r="K117" s="36">
        <f>_xll.DBRW($C$1,Opening!$G$13,Opening!K$11,$O$1,Opening!$I$13,Opening!$D$13,$P$1,$A117,$B117,$M$1)</f>
        <v>0</v>
      </c>
      <c r="L117" s="36">
        <f>_xll.DBRW($C$1,Opening!$G$13,Opening!L$11,$O$1,Opening!$I$13,Opening!$D$13,$P$1,$A117,$B117,$M$1)</f>
        <v>0</v>
      </c>
      <c r="M117" s="36">
        <f>_xll.DBRW($C$1,Opening!$G$13,Opening!M$11,$O$1,Opening!$I$13,Opening!$D$13,$P$1,$A117,$B117,$M$1)</f>
        <v>0</v>
      </c>
      <c r="N117" s="36">
        <f>_xll.DBRW($C$1,Opening!$G$13,Opening!N$11,$O$1,Opening!$I$13,Opening!$D$13,$P$1,$A117,$B117,$M$1)</f>
        <v>0</v>
      </c>
      <c r="O117" s="36">
        <f>_xll.DBRW($C$1,Opening!$G$13,Opening!O$11,$O$1,Opening!$I$13,Opening!$D$13,$P$1,$A117,$B117,$M$1)</f>
        <v>0</v>
      </c>
      <c r="P117" s="36">
        <f>_xll.DBRW($C$1,Opening!$G$13,Opening!P$11,$O$1,Opening!$I$13,Opening!$D$13,$P$1,$A117,$B117,$M$1)</f>
        <v>0</v>
      </c>
      <c r="Q117" s="36">
        <f>_xll.DBRW($C$1,Q$15,$Q$16,$O$1,Opening!$I$13,Opening!$D$13,$P$1,$A117,$B117,$M$1)</f>
        <v>0</v>
      </c>
      <c r="R117" s="36">
        <f>_xll.DBRW($C$1,R$15,$Q$16,$O$1,Opening!$I$13,Opening!$D$13,$P$1,$A117,$B117,$M$1)</f>
        <v>0</v>
      </c>
      <c r="S117" s="36">
        <f>_xll.DBRW($C$1,S$15,$Q$16,$O$1,Opening!$I$13,Opening!$D$13,$P$1,$A117,$B117,$M$1)</f>
        <v>0</v>
      </c>
      <c r="T117" s="36">
        <f>_xll.DBRW($C$1,T$15,$Q$16,$O$1,Opening!$I$13,Opening!$D$13,$P$1,$A117,$B117,$M$1)</f>
        <v>0</v>
      </c>
      <c r="U117" s="36">
        <f>_xll.DBRW($C$1,U$15,$Q$16,$O$1,Opening!$I$13,Opening!$D$13,$P$1,$A117,$B117,$M$1)</f>
        <v>0</v>
      </c>
      <c r="V117"/>
      <c r="W117"/>
      <c r="X117"/>
      <c r="Y117"/>
      <c r="Z117"/>
    </row>
    <row r="118" spans="1:27" ht="22.8">
      <c r="A118" s="68" t="s">
        <v>363</v>
      </c>
      <c r="B118" s="29" t="s">
        <v>357</v>
      </c>
      <c r="C118" s="37" t="s">
        <v>143</v>
      </c>
      <c r="D118" s="37" t="s">
        <v>213</v>
      </c>
      <c r="E118" s="36">
        <f>_xll.DBRW($C$1,Opening!$G$13,Opening!E$11,$O$1,Opening!$I$13,Opening!$D$13,$P$1,$A118,$B118,$M$1)</f>
        <v>0</v>
      </c>
      <c r="F118" s="36">
        <f>_xll.DBRW($C$1,Opening!$G$13,Opening!F$11,$O$1,Opening!$I$13,Opening!$D$13,$P$1,$A118,$B118,$M$1)</f>
        <v>0</v>
      </c>
      <c r="G118" s="36">
        <f>_xll.DBRW($C$1,Opening!$G$13,Opening!G$11,$O$1,Opening!$I$13,Opening!$D$13,$P$1,$A118,$B118,$M$1)</f>
        <v>0</v>
      </c>
      <c r="H118" s="36">
        <f>_xll.DBRW($C$1,Opening!$G$13,Opening!H$11,$O$1,Opening!$I$13,Opening!$D$13,$P$1,$A118,$B118,$M$1)</f>
        <v>0</v>
      </c>
      <c r="I118" s="36">
        <f>_xll.DBRW($C$1,Opening!$G$13,Opening!I$11,$O$1,Opening!$I$13,Opening!$D$13,$P$1,$A118,$B118,$M$1)</f>
        <v>0</v>
      </c>
      <c r="J118" s="36">
        <f>_xll.DBRW($C$1,Opening!$G$13,Opening!J$11,$O$1,Opening!$I$13,Opening!$D$13,$P$1,$A118,$B118,$M$1)</f>
        <v>0</v>
      </c>
      <c r="K118" s="36">
        <f>_xll.DBRW($C$1,Opening!$G$13,Opening!K$11,$O$1,Opening!$I$13,Opening!$D$13,$P$1,$A118,$B118,$M$1)</f>
        <v>0</v>
      </c>
      <c r="L118" s="36">
        <f>_xll.DBRW($C$1,Opening!$G$13,Opening!L$11,$O$1,Opening!$I$13,Opening!$D$13,$P$1,$A118,$B118,$M$1)</f>
        <v>0</v>
      </c>
      <c r="M118" s="36">
        <f>_xll.DBRW($C$1,Opening!$G$13,Opening!M$11,$O$1,Opening!$I$13,Opening!$D$13,$P$1,$A118,$B118,$M$1)</f>
        <v>0</v>
      </c>
      <c r="N118" s="36">
        <f>_xll.DBRW($C$1,Opening!$G$13,Opening!N$11,$O$1,Opening!$I$13,Opening!$D$13,$P$1,$A118,$B118,$M$1)</f>
        <v>0</v>
      </c>
      <c r="O118" s="36">
        <f>_xll.DBRW($C$1,Opening!$G$13,Opening!O$11,$O$1,Opening!$I$13,Opening!$D$13,$P$1,$A118,$B118,$M$1)</f>
        <v>0</v>
      </c>
      <c r="P118" s="36">
        <f>_xll.DBRW($C$1,Opening!$G$13,Opening!P$11,$O$1,Opening!$I$13,Opening!$D$13,$P$1,$A118,$B118,$M$1)</f>
        <v>0</v>
      </c>
      <c r="Q118" s="36">
        <f>_xll.DBRW($C$1,Q$15,$Q$16,$O$1,Opening!$I$13,Opening!$D$13,$P$1,$A118,$B118,$M$1)</f>
        <v>0</v>
      </c>
      <c r="R118" s="36">
        <f>_xll.DBRW($C$1,R$15,$Q$16,$O$1,Opening!$I$13,Opening!$D$13,$P$1,$A118,$B118,$M$1)</f>
        <v>0</v>
      </c>
      <c r="S118" s="36">
        <f>_xll.DBRW($C$1,S$15,$Q$16,$O$1,Opening!$I$13,Opening!$D$13,$P$1,$A118,$B118,$M$1)</f>
        <v>0</v>
      </c>
      <c r="T118" s="36">
        <f>_xll.DBRW($C$1,T$15,$Q$16,$O$1,Opening!$I$13,Opening!$D$13,$P$1,$A118,$B118,$M$1)</f>
        <v>0</v>
      </c>
      <c r="U118" s="36">
        <f>_xll.DBRW($C$1,U$15,$Q$16,$O$1,Opening!$I$13,Opening!$D$13,$P$1,$A118,$B118,$M$1)</f>
        <v>0</v>
      </c>
      <c r="V118"/>
      <c r="W118"/>
      <c r="X118"/>
      <c r="Y118"/>
      <c r="Z118"/>
    </row>
    <row r="119" spans="1:27" ht="22.8">
      <c r="A119" s="68" t="s">
        <v>363</v>
      </c>
      <c r="B119" s="29" t="s">
        <v>358</v>
      </c>
      <c r="C119" s="37" t="s">
        <v>143</v>
      </c>
      <c r="D119" s="37" t="s">
        <v>214</v>
      </c>
      <c r="E119" s="36">
        <f>_xll.DBRW($C$1,Opening!$G$13,Opening!E$11,$O$1,Opening!$I$13,Opening!$D$13,$P$1,$A119,$B119,$M$1)</f>
        <v>0</v>
      </c>
      <c r="F119" s="36">
        <f>_xll.DBRW($C$1,Opening!$G$13,Opening!F$11,$O$1,Opening!$I$13,Opening!$D$13,$P$1,$A119,$B119,$M$1)</f>
        <v>0</v>
      </c>
      <c r="G119" s="36">
        <f>_xll.DBRW($C$1,Opening!$G$13,Opening!G$11,$O$1,Opening!$I$13,Opening!$D$13,$P$1,$A119,$B119,$M$1)</f>
        <v>0</v>
      </c>
      <c r="H119" s="36">
        <f>_xll.DBRW($C$1,Opening!$G$13,Opening!H$11,$O$1,Opening!$I$13,Opening!$D$13,$P$1,$A119,$B119,$M$1)</f>
        <v>0</v>
      </c>
      <c r="I119" s="36">
        <f>_xll.DBRW($C$1,Opening!$G$13,Opening!I$11,$O$1,Opening!$I$13,Opening!$D$13,$P$1,$A119,$B119,$M$1)</f>
        <v>0</v>
      </c>
      <c r="J119" s="36">
        <f>_xll.DBRW($C$1,Opening!$G$13,Opening!J$11,$O$1,Opening!$I$13,Opening!$D$13,$P$1,$A119,$B119,$M$1)</f>
        <v>0</v>
      </c>
      <c r="K119" s="36">
        <f>_xll.DBRW($C$1,Opening!$G$13,Opening!K$11,$O$1,Opening!$I$13,Opening!$D$13,$P$1,$A119,$B119,$M$1)</f>
        <v>0</v>
      </c>
      <c r="L119" s="36">
        <f>_xll.DBRW($C$1,Opening!$G$13,Opening!L$11,$O$1,Opening!$I$13,Opening!$D$13,$P$1,$A119,$B119,$M$1)</f>
        <v>0</v>
      </c>
      <c r="M119" s="36">
        <f>_xll.DBRW($C$1,Opening!$G$13,Opening!M$11,$O$1,Opening!$I$13,Opening!$D$13,$P$1,$A119,$B119,$M$1)</f>
        <v>0</v>
      </c>
      <c r="N119" s="36">
        <f>_xll.DBRW($C$1,Opening!$G$13,Opening!N$11,$O$1,Opening!$I$13,Opening!$D$13,$P$1,$A119,$B119,$M$1)</f>
        <v>0</v>
      </c>
      <c r="O119" s="36">
        <f>_xll.DBRW($C$1,Opening!$G$13,Opening!O$11,$O$1,Opening!$I$13,Opening!$D$13,$P$1,$A119,$B119,$M$1)</f>
        <v>0</v>
      </c>
      <c r="P119" s="36">
        <f>_xll.DBRW($C$1,Opening!$G$13,Opening!P$11,$O$1,Opening!$I$13,Opening!$D$13,$P$1,$A119,$B119,$M$1)</f>
        <v>0</v>
      </c>
      <c r="Q119" s="36">
        <f>_xll.DBRW($C$1,Q$15,$Q$16,$O$1,Opening!$I$13,Opening!$D$13,$P$1,$A119,$B119,$M$1)</f>
        <v>0</v>
      </c>
      <c r="R119" s="36">
        <f>_xll.DBRW($C$1,R$15,$Q$16,$O$1,Opening!$I$13,Opening!$D$13,$P$1,$A119,$B119,$M$1)</f>
        <v>0</v>
      </c>
      <c r="S119" s="36">
        <f>_xll.DBRW($C$1,S$15,$Q$16,$O$1,Opening!$I$13,Opening!$D$13,$P$1,$A119,$B119,$M$1)</f>
        <v>0</v>
      </c>
      <c r="T119" s="36">
        <f>_xll.DBRW($C$1,T$15,$Q$16,$O$1,Opening!$I$13,Opening!$D$13,$P$1,$A119,$B119,$M$1)</f>
        <v>0</v>
      </c>
      <c r="U119" s="36">
        <f>_xll.DBRW($C$1,U$15,$Q$16,$O$1,Opening!$I$13,Opening!$D$13,$P$1,$A119,$B119,$M$1)</f>
        <v>0</v>
      </c>
      <c r="V119"/>
      <c r="W119"/>
      <c r="X119"/>
      <c r="Y119"/>
      <c r="Z119"/>
    </row>
    <row r="120" spans="1:27" ht="22.8">
      <c r="A120" s="68" t="s">
        <v>363</v>
      </c>
      <c r="B120" s="29" t="s">
        <v>359</v>
      </c>
      <c r="C120" s="37" t="s">
        <v>143</v>
      </c>
      <c r="D120" s="37" t="s">
        <v>215</v>
      </c>
      <c r="E120" s="36">
        <f>_xll.DBRW($C$1,Opening!$G$13,Opening!E$11,$O$1,Opening!$I$13,Opening!$D$13,$P$1,$A120,$B120,$M$1)</f>
        <v>0</v>
      </c>
      <c r="F120" s="36">
        <f>_xll.DBRW($C$1,Opening!$G$13,Opening!F$11,$O$1,Opening!$I$13,Opening!$D$13,$P$1,$A120,$B120,$M$1)</f>
        <v>0</v>
      </c>
      <c r="G120" s="36">
        <f>_xll.DBRW($C$1,Opening!$G$13,Opening!G$11,$O$1,Opening!$I$13,Opening!$D$13,$P$1,$A120,$B120,$M$1)</f>
        <v>0</v>
      </c>
      <c r="H120" s="36">
        <f>_xll.DBRW($C$1,Opening!$G$13,Opening!H$11,$O$1,Opening!$I$13,Opening!$D$13,$P$1,$A120,$B120,$M$1)</f>
        <v>0</v>
      </c>
      <c r="I120" s="36">
        <f>_xll.DBRW($C$1,Opening!$G$13,Opening!I$11,$O$1,Opening!$I$13,Opening!$D$13,$P$1,$A120,$B120,$M$1)</f>
        <v>0</v>
      </c>
      <c r="J120" s="36">
        <f>_xll.DBRW($C$1,Opening!$G$13,Opening!J$11,$O$1,Opening!$I$13,Opening!$D$13,$P$1,$A120,$B120,$M$1)</f>
        <v>0</v>
      </c>
      <c r="K120" s="36">
        <f>_xll.DBRW($C$1,Opening!$G$13,Opening!K$11,$O$1,Opening!$I$13,Opening!$D$13,$P$1,$A120,$B120,$M$1)</f>
        <v>0</v>
      </c>
      <c r="L120" s="36">
        <f>_xll.DBRW($C$1,Opening!$G$13,Opening!L$11,$O$1,Opening!$I$13,Opening!$D$13,$P$1,$A120,$B120,$M$1)</f>
        <v>0</v>
      </c>
      <c r="M120" s="36">
        <f>_xll.DBRW($C$1,Opening!$G$13,Opening!M$11,$O$1,Opening!$I$13,Opening!$D$13,$P$1,$A120,$B120,$M$1)</f>
        <v>0</v>
      </c>
      <c r="N120" s="36">
        <f>_xll.DBRW($C$1,Opening!$G$13,Opening!N$11,$O$1,Opening!$I$13,Opening!$D$13,$P$1,$A120,$B120,$M$1)</f>
        <v>0</v>
      </c>
      <c r="O120" s="36">
        <f>_xll.DBRW($C$1,Opening!$G$13,Opening!O$11,$O$1,Opening!$I$13,Opening!$D$13,$P$1,$A120,$B120,$M$1)</f>
        <v>0</v>
      </c>
      <c r="P120" s="36">
        <f>_xll.DBRW($C$1,Opening!$G$13,Opening!P$11,$O$1,Opening!$I$13,Opening!$D$13,$P$1,$A120,$B120,$M$1)</f>
        <v>0</v>
      </c>
      <c r="Q120" s="36">
        <f>_xll.DBRW($C$1,Q$15,$Q$16,$O$1,Opening!$I$13,Opening!$D$13,$P$1,$A120,$B120,$M$1)</f>
        <v>0</v>
      </c>
      <c r="R120" s="36">
        <f>_xll.DBRW($C$1,R$15,$Q$16,$O$1,Opening!$I$13,Opening!$D$13,$P$1,$A120,$B120,$M$1)</f>
        <v>0</v>
      </c>
      <c r="S120" s="36">
        <f>_xll.DBRW($C$1,S$15,$Q$16,$O$1,Opening!$I$13,Opening!$D$13,$P$1,$A120,$B120,$M$1)</f>
        <v>0</v>
      </c>
      <c r="T120" s="36">
        <f>_xll.DBRW($C$1,T$15,$Q$16,$O$1,Opening!$I$13,Opening!$D$13,$P$1,$A120,$B120,$M$1)</f>
        <v>0</v>
      </c>
      <c r="U120" s="36">
        <f>_xll.DBRW($C$1,U$15,$Q$16,$O$1,Opening!$I$13,Opening!$D$13,$P$1,$A120,$B120,$M$1)</f>
        <v>0</v>
      </c>
      <c r="V120"/>
      <c r="W120"/>
      <c r="X120"/>
      <c r="Y120"/>
      <c r="Z120"/>
    </row>
    <row r="121" spans="1:27" ht="22.8">
      <c r="A121" s="68" t="s">
        <v>363</v>
      </c>
      <c r="B121" s="29" t="s">
        <v>360</v>
      </c>
      <c r="C121" s="37" t="s">
        <v>143</v>
      </c>
      <c r="D121" s="37" t="s">
        <v>216</v>
      </c>
      <c r="E121" s="36">
        <f>_xll.DBRW($C$1,Opening!$G$13,Opening!E$11,$O$1,Opening!$I$13,Opening!$D$13,$P$1,$A121,$B121,$M$1)</f>
        <v>0</v>
      </c>
      <c r="F121" s="36">
        <f>_xll.DBRW($C$1,Opening!$G$13,Opening!F$11,$O$1,Opening!$I$13,Opening!$D$13,$P$1,$A121,$B121,$M$1)</f>
        <v>0</v>
      </c>
      <c r="G121" s="36">
        <f>_xll.DBRW($C$1,Opening!$G$13,Opening!G$11,$O$1,Opening!$I$13,Opening!$D$13,$P$1,$A121,$B121,$M$1)</f>
        <v>0</v>
      </c>
      <c r="H121" s="36">
        <f>_xll.DBRW($C$1,Opening!$G$13,Opening!H$11,$O$1,Opening!$I$13,Opening!$D$13,$P$1,$A121,$B121,$M$1)</f>
        <v>0</v>
      </c>
      <c r="I121" s="36">
        <f>_xll.DBRW($C$1,Opening!$G$13,Opening!I$11,$O$1,Opening!$I$13,Opening!$D$13,$P$1,$A121,$B121,$M$1)</f>
        <v>0</v>
      </c>
      <c r="J121" s="36">
        <f>_xll.DBRW($C$1,Opening!$G$13,Opening!J$11,$O$1,Opening!$I$13,Opening!$D$13,$P$1,$A121,$B121,$M$1)</f>
        <v>0</v>
      </c>
      <c r="K121" s="36">
        <f>_xll.DBRW($C$1,Opening!$G$13,Opening!K$11,$O$1,Opening!$I$13,Opening!$D$13,$P$1,$A121,$B121,$M$1)</f>
        <v>0</v>
      </c>
      <c r="L121" s="36">
        <f>_xll.DBRW($C$1,Opening!$G$13,Opening!L$11,$O$1,Opening!$I$13,Opening!$D$13,$P$1,$A121,$B121,$M$1)</f>
        <v>0</v>
      </c>
      <c r="M121" s="36">
        <f>_xll.DBRW($C$1,Opening!$G$13,Opening!M$11,$O$1,Opening!$I$13,Opening!$D$13,$P$1,$A121,$B121,$M$1)</f>
        <v>0</v>
      </c>
      <c r="N121" s="36">
        <f>_xll.DBRW($C$1,Opening!$G$13,Opening!N$11,$O$1,Opening!$I$13,Opening!$D$13,$P$1,$A121,$B121,$M$1)</f>
        <v>0</v>
      </c>
      <c r="O121" s="36">
        <f>_xll.DBRW($C$1,Opening!$G$13,Opening!O$11,$O$1,Opening!$I$13,Opening!$D$13,$P$1,$A121,$B121,$M$1)</f>
        <v>0</v>
      </c>
      <c r="P121" s="36">
        <f>_xll.DBRW($C$1,Opening!$G$13,Opening!P$11,$O$1,Opening!$I$13,Opening!$D$13,$P$1,$A121,$B121,$M$1)</f>
        <v>0</v>
      </c>
      <c r="Q121" s="36">
        <f>_xll.DBRW($C$1,Q$15,$Q$16,$O$1,Opening!$I$13,Opening!$D$13,$P$1,$A121,$B121,$M$1)</f>
        <v>0</v>
      </c>
      <c r="R121" s="36">
        <f>_xll.DBRW($C$1,R$15,$Q$16,$O$1,Opening!$I$13,Opening!$D$13,$P$1,$A121,$B121,$M$1)</f>
        <v>0</v>
      </c>
      <c r="S121" s="36">
        <f>_xll.DBRW($C$1,S$15,$Q$16,$O$1,Opening!$I$13,Opening!$D$13,$P$1,$A121,$B121,$M$1)</f>
        <v>0</v>
      </c>
      <c r="T121" s="36">
        <f>_xll.DBRW($C$1,T$15,$Q$16,$O$1,Opening!$I$13,Opening!$D$13,$P$1,$A121,$B121,$M$1)</f>
        <v>0</v>
      </c>
      <c r="U121" s="36">
        <f>_xll.DBRW($C$1,U$15,$Q$16,$O$1,Opening!$I$13,Opening!$D$13,$P$1,$A121,$B121,$M$1)</f>
        <v>0</v>
      </c>
      <c r="V121"/>
      <c r="W121"/>
      <c r="X121"/>
      <c r="Y121"/>
      <c r="Z121"/>
    </row>
    <row r="122" spans="1:27" ht="22.8">
      <c r="A122" s="68" t="s">
        <v>363</v>
      </c>
      <c r="B122" s="29" t="s">
        <v>361</v>
      </c>
      <c r="C122" s="37" t="s">
        <v>143</v>
      </c>
      <c r="D122" s="37" t="s">
        <v>217</v>
      </c>
      <c r="E122" s="36">
        <f>_xll.DBRW($C$1,Opening!$G$13,Opening!E$11,$O$1,Opening!$I$13,Opening!$D$13,$P$1,$A122,$B122,$M$1)</f>
        <v>0</v>
      </c>
      <c r="F122" s="36">
        <f>_xll.DBRW($C$1,Opening!$G$13,Opening!F$11,$O$1,Opening!$I$13,Opening!$D$13,$P$1,$A122,$B122,$M$1)</f>
        <v>0</v>
      </c>
      <c r="G122" s="36">
        <f>_xll.DBRW($C$1,Opening!$G$13,Opening!G$11,$O$1,Opening!$I$13,Opening!$D$13,$P$1,$A122,$B122,$M$1)</f>
        <v>0</v>
      </c>
      <c r="H122" s="36">
        <f>_xll.DBRW($C$1,Opening!$G$13,Opening!H$11,$O$1,Opening!$I$13,Opening!$D$13,$P$1,$A122,$B122,$M$1)</f>
        <v>0</v>
      </c>
      <c r="I122" s="36">
        <f>_xll.DBRW($C$1,Opening!$G$13,Opening!I$11,$O$1,Opening!$I$13,Opening!$D$13,$P$1,$A122,$B122,$M$1)</f>
        <v>0</v>
      </c>
      <c r="J122" s="36">
        <f>_xll.DBRW($C$1,Opening!$G$13,Opening!J$11,$O$1,Opening!$I$13,Opening!$D$13,$P$1,$A122,$B122,$M$1)</f>
        <v>0</v>
      </c>
      <c r="K122" s="36">
        <f>_xll.DBRW($C$1,Opening!$G$13,Opening!K$11,$O$1,Opening!$I$13,Opening!$D$13,$P$1,$A122,$B122,$M$1)</f>
        <v>0</v>
      </c>
      <c r="L122" s="36">
        <f>_xll.DBRW($C$1,Opening!$G$13,Opening!L$11,$O$1,Opening!$I$13,Opening!$D$13,$P$1,$A122,$B122,$M$1)</f>
        <v>0</v>
      </c>
      <c r="M122" s="36">
        <f>_xll.DBRW($C$1,Opening!$G$13,Opening!M$11,$O$1,Opening!$I$13,Opening!$D$13,$P$1,$A122,$B122,$M$1)</f>
        <v>0</v>
      </c>
      <c r="N122" s="36">
        <f>_xll.DBRW($C$1,Opening!$G$13,Opening!N$11,$O$1,Opening!$I$13,Opening!$D$13,$P$1,$A122,$B122,$M$1)</f>
        <v>0</v>
      </c>
      <c r="O122" s="36">
        <f>_xll.DBRW($C$1,Opening!$G$13,Opening!O$11,$O$1,Opening!$I$13,Opening!$D$13,$P$1,$A122,$B122,$M$1)</f>
        <v>0</v>
      </c>
      <c r="P122" s="36">
        <f>_xll.DBRW($C$1,Opening!$G$13,Opening!P$11,$O$1,Opening!$I$13,Opening!$D$13,$P$1,$A122,$B122,$M$1)</f>
        <v>0</v>
      </c>
      <c r="Q122" s="36">
        <f>_xll.DBRW($C$1,Q$15,$Q$16,$O$1,Opening!$I$13,Opening!$D$13,$P$1,$A122,$B122,$M$1)</f>
        <v>0</v>
      </c>
      <c r="R122" s="36">
        <f>_xll.DBRW($C$1,R$15,$Q$16,$O$1,Opening!$I$13,Opening!$D$13,$P$1,$A122,$B122,$M$1)</f>
        <v>0</v>
      </c>
      <c r="S122" s="36">
        <f>_xll.DBRW($C$1,S$15,$Q$16,$O$1,Opening!$I$13,Opening!$D$13,$P$1,$A122,$B122,$M$1)</f>
        <v>0</v>
      </c>
      <c r="T122" s="36">
        <f>_xll.DBRW($C$1,T$15,$Q$16,$O$1,Opening!$I$13,Opening!$D$13,$P$1,$A122,$B122,$M$1)</f>
        <v>0</v>
      </c>
      <c r="U122" s="36">
        <f>_xll.DBRW($C$1,U$15,$Q$16,$O$1,Opening!$I$13,Opening!$D$13,$P$1,$A122,$B122,$M$1)</f>
        <v>0</v>
      </c>
      <c r="V122"/>
      <c r="W122"/>
      <c r="X122"/>
      <c r="Y122"/>
      <c r="Z122"/>
    </row>
    <row r="123" spans="1:27" ht="22.8">
      <c r="A123" s="68" t="s">
        <v>363</v>
      </c>
      <c r="B123" s="29" t="s">
        <v>362</v>
      </c>
      <c r="C123" s="37" t="s">
        <v>143</v>
      </c>
      <c r="D123" s="37" t="s">
        <v>218</v>
      </c>
      <c r="E123" s="36">
        <f>_xll.DBRW($C$1,Opening!$G$13,Opening!E$11,$O$1,Opening!$I$13,Opening!$D$13,$P$1,$A123,$B123,$M$1)</f>
        <v>0</v>
      </c>
      <c r="F123" s="36">
        <f>_xll.DBRW($C$1,Opening!$G$13,Opening!F$11,$O$1,Opening!$I$13,Opening!$D$13,$P$1,$A123,$B123,$M$1)</f>
        <v>0</v>
      </c>
      <c r="G123" s="36">
        <f>_xll.DBRW($C$1,Opening!$G$13,Opening!G$11,$O$1,Opening!$I$13,Opening!$D$13,$P$1,$A123,$B123,$M$1)</f>
        <v>0</v>
      </c>
      <c r="H123" s="36">
        <f>_xll.DBRW($C$1,Opening!$G$13,Opening!H$11,$O$1,Opening!$I$13,Opening!$D$13,$P$1,$A123,$B123,$M$1)</f>
        <v>0</v>
      </c>
      <c r="I123" s="36">
        <f>_xll.DBRW($C$1,Opening!$G$13,Opening!I$11,$O$1,Opening!$I$13,Opening!$D$13,$P$1,$A123,$B123,$M$1)</f>
        <v>0</v>
      </c>
      <c r="J123" s="36">
        <f>_xll.DBRW($C$1,Opening!$G$13,Opening!J$11,$O$1,Opening!$I$13,Opening!$D$13,$P$1,$A123,$B123,$M$1)</f>
        <v>0</v>
      </c>
      <c r="K123" s="36">
        <f>_xll.DBRW($C$1,Opening!$G$13,Opening!K$11,$O$1,Opening!$I$13,Opening!$D$13,$P$1,$A123,$B123,$M$1)</f>
        <v>0</v>
      </c>
      <c r="L123" s="36">
        <f>_xll.DBRW($C$1,Opening!$G$13,Opening!L$11,$O$1,Opening!$I$13,Opening!$D$13,$P$1,$A123,$B123,$M$1)</f>
        <v>0</v>
      </c>
      <c r="M123" s="36">
        <f>_xll.DBRW($C$1,Opening!$G$13,Opening!M$11,$O$1,Opening!$I$13,Opening!$D$13,$P$1,$A123,$B123,$M$1)</f>
        <v>0</v>
      </c>
      <c r="N123" s="36">
        <f>_xll.DBRW($C$1,Opening!$G$13,Opening!N$11,$O$1,Opening!$I$13,Opening!$D$13,$P$1,$A123,$B123,$M$1)</f>
        <v>0</v>
      </c>
      <c r="O123" s="36">
        <f>_xll.DBRW($C$1,Opening!$G$13,Opening!O$11,$O$1,Opening!$I$13,Opening!$D$13,$P$1,$A123,$B123,$M$1)</f>
        <v>0</v>
      </c>
      <c r="P123" s="36">
        <f>_xll.DBRW($C$1,Opening!$G$13,Opening!P$11,$O$1,Opening!$I$13,Opening!$D$13,$P$1,$A123,$B123,$M$1)</f>
        <v>0</v>
      </c>
      <c r="Q123" s="36">
        <f>_xll.DBRW($C$1,Q$15,$Q$16,$O$1,Opening!$I$13,Opening!$D$13,$P$1,$A123,$B123,$M$1)</f>
        <v>0</v>
      </c>
      <c r="R123" s="36">
        <f>_xll.DBRW($C$1,R$15,$Q$16,$O$1,Opening!$I$13,Opening!$D$13,$P$1,$A123,$B123,$M$1)</f>
        <v>0</v>
      </c>
      <c r="S123" s="36">
        <f>_xll.DBRW($C$1,S$15,$Q$16,$O$1,Opening!$I$13,Opening!$D$13,$P$1,$A123,$B123,$M$1)</f>
        <v>0</v>
      </c>
      <c r="T123" s="36">
        <f>_xll.DBRW($C$1,T$15,$Q$16,$O$1,Opening!$I$13,Opening!$D$13,$P$1,$A123,$B123,$M$1)</f>
        <v>0</v>
      </c>
      <c r="U123" s="36">
        <f>_xll.DBRW($C$1,U$15,$Q$16,$O$1,Opening!$I$13,Opening!$D$13,$P$1,$A123,$B123,$M$1)</f>
        <v>0</v>
      </c>
      <c r="V123"/>
      <c r="W123"/>
      <c r="X123"/>
      <c r="Y123"/>
      <c r="Z123"/>
    </row>
    <row r="124" spans="1:27" ht="22.8">
      <c r="A124" s="68" t="s">
        <v>363</v>
      </c>
      <c r="B124" s="29" t="s">
        <v>49</v>
      </c>
      <c r="C124" s="37" t="s">
        <v>143</v>
      </c>
      <c r="D124" s="37" t="s">
        <v>49</v>
      </c>
      <c r="E124" s="36">
        <f>_xll.DBRW($C$1,Opening!$G$13,Opening!E$11,$O$1,Opening!$I$13,Opening!$D$13,$P$1,$A124,$B124,$M$1)</f>
        <v>0</v>
      </c>
      <c r="F124" s="36">
        <f>_xll.DBRW($C$1,Opening!$G$13,Opening!F$11,$O$1,Opening!$I$13,Opening!$D$13,$P$1,$A124,$B124,$M$1)</f>
        <v>0</v>
      </c>
      <c r="G124" s="36">
        <f>_xll.DBRW($C$1,Opening!$G$13,Opening!G$11,$O$1,Opening!$I$13,Opening!$D$13,$P$1,$A124,$B124,$M$1)</f>
        <v>0</v>
      </c>
      <c r="H124" s="36">
        <f>_xll.DBRW($C$1,Opening!$G$13,Opening!H$11,$O$1,Opening!$I$13,Opening!$D$13,$P$1,$A124,$B124,$M$1)</f>
        <v>0</v>
      </c>
      <c r="I124" s="36">
        <f>_xll.DBRW($C$1,Opening!$G$13,Opening!I$11,$O$1,Opening!$I$13,Opening!$D$13,$P$1,$A124,$B124,$M$1)</f>
        <v>0</v>
      </c>
      <c r="J124" s="36">
        <f>_xll.DBRW($C$1,Opening!$G$13,Opening!J$11,$O$1,Opening!$I$13,Opening!$D$13,$P$1,$A124,$B124,$M$1)</f>
        <v>0</v>
      </c>
      <c r="K124" s="36">
        <f>_xll.DBRW($C$1,Opening!$G$13,Opening!K$11,$O$1,Opening!$I$13,Opening!$D$13,$P$1,$A124,$B124,$M$1)</f>
        <v>0</v>
      </c>
      <c r="L124" s="36">
        <f>_xll.DBRW($C$1,Opening!$G$13,Opening!L$11,$O$1,Opening!$I$13,Opening!$D$13,$P$1,$A124,$B124,$M$1)</f>
        <v>0</v>
      </c>
      <c r="M124" s="36">
        <f>_xll.DBRW($C$1,Opening!$G$13,Opening!M$11,$O$1,Opening!$I$13,Opening!$D$13,$P$1,$A124,$B124,$M$1)</f>
        <v>0</v>
      </c>
      <c r="N124" s="36">
        <f>_xll.DBRW($C$1,Opening!$G$13,Opening!N$11,$O$1,Opening!$I$13,Opening!$D$13,$P$1,$A124,$B124,$M$1)</f>
        <v>0</v>
      </c>
      <c r="O124" s="36">
        <f>_xll.DBRW($C$1,Opening!$G$13,Opening!O$11,$O$1,Opening!$I$13,Opening!$D$13,$P$1,$A124,$B124,$M$1)</f>
        <v>0</v>
      </c>
      <c r="P124" s="36">
        <f>_xll.DBRW($C$1,Opening!$G$13,Opening!P$11,$O$1,Opening!$I$13,Opening!$D$13,$P$1,$A124,$B124,$M$1)</f>
        <v>0</v>
      </c>
      <c r="Q124" s="36">
        <f>_xll.DBRW($C$1,Q$15,$Q$16,$O$1,Opening!$I$13,Opening!$D$13,$P$1,$A124,$B124,$M$1)</f>
        <v>0</v>
      </c>
      <c r="R124" s="36">
        <f>_xll.DBRW($C$1,R$15,$Q$16,$O$1,Opening!$I$13,Opening!$D$13,$P$1,$A124,$B124,$M$1)</f>
        <v>0</v>
      </c>
      <c r="S124" s="36">
        <f>_xll.DBRW($C$1,S$15,$Q$16,$O$1,Opening!$I$13,Opening!$D$13,$P$1,$A124,$B124,$M$1)</f>
        <v>0</v>
      </c>
      <c r="T124" s="36">
        <f>_xll.DBRW($C$1,T$15,$Q$16,$O$1,Opening!$I$13,Opening!$D$13,$P$1,$A124,$B124,$M$1)</f>
        <v>0</v>
      </c>
      <c r="U124" s="36">
        <f>_xll.DBRW($C$1,U$15,$Q$16,$O$1,Opening!$I$13,Opening!$D$13,$P$1,$A124,$B124,$M$1)</f>
        <v>0</v>
      </c>
      <c r="V124"/>
      <c r="W124"/>
      <c r="X124"/>
      <c r="Y124"/>
      <c r="Z124"/>
    </row>
    <row r="125" spans="1:27" ht="15.75" customHeight="1"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 ht="15.75" customHeight="1" thickBot="1">
      <c r="C126" s="33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 ht="15.75" customHeight="1" thickTop="1">
      <c r="C127" s="32" t="s">
        <v>219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 ht="15.75" customHeight="1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8">
        <f>$G$13+1</f>
        <v>2027</v>
      </c>
      <c r="R128" s="38">
        <f>$G$13+2</f>
        <v>2028</v>
      </c>
      <c r="S128" s="38">
        <f>$G$13+3</f>
        <v>2029</v>
      </c>
      <c r="T128" s="38">
        <f>$G$13+4</f>
        <v>2030</v>
      </c>
      <c r="U128" s="38">
        <f>$G$13+5</f>
        <v>2031</v>
      </c>
      <c r="V128" s="43"/>
      <c r="W128" s="43"/>
      <c r="X128" s="43"/>
      <c r="Y128" s="43"/>
      <c r="Z128" s="43"/>
      <c r="AA128" s="43"/>
    </row>
    <row r="129" spans="1:26" ht="15.75" customHeight="1">
      <c r="C129" s="31"/>
      <c r="D129" s="31"/>
      <c r="E129" s="38" t="str">
        <f t="shared" ref="E129:P129" si="5">$G$13&amp;"."&amp;E$11</f>
        <v>2026.01</v>
      </c>
      <c r="F129" s="38" t="str">
        <f t="shared" si="5"/>
        <v>2026.02</v>
      </c>
      <c r="G129" s="38" t="str">
        <f t="shared" si="5"/>
        <v>2026.03</v>
      </c>
      <c r="H129" s="38" t="str">
        <f t="shared" si="5"/>
        <v>2026.04</v>
      </c>
      <c r="I129" s="38" t="str">
        <f t="shared" si="5"/>
        <v>2026.05</v>
      </c>
      <c r="J129" s="38" t="str">
        <f t="shared" si="5"/>
        <v>2026.06</v>
      </c>
      <c r="K129" s="38" t="str">
        <f t="shared" si="5"/>
        <v>2026.07</v>
      </c>
      <c r="L129" s="38" t="str">
        <f t="shared" si="5"/>
        <v>2026.08</v>
      </c>
      <c r="M129" s="38" t="str">
        <f t="shared" si="5"/>
        <v>2026.09</v>
      </c>
      <c r="N129" s="38" t="str">
        <f t="shared" si="5"/>
        <v>2026.10</v>
      </c>
      <c r="O129" s="38" t="str">
        <f t="shared" si="5"/>
        <v>2026.11</v>
      </c>
      <c r="P129" s="38" t="str">
        <f t="shared" si="5"/>
        <v>2026.12</v>
      </c>
      <c r="Q129" s="38" t="s">
        <v>304</v>
      </c>
      <c r="R129" s="38" t="s">
        <v>304</v>
      </c>
      <c r="S129" s="38" t="s">
        <v>304</v>
      </c>
      <c r="T129" s="38" t="s">
        <v>304</v>
      </c>
      <c r="U129" s="38" t="s">
        <v>304</v>
      </c>
      <c r="V129"/>
      <c r="W129"/>
      <c r="X129"/>
      <c r="Y129"/>
      <c r="Z129"/>
    </row>
    <row r="130" spans="1:26" ht="22.8">
      <c r="A130" s="68" t="s">
        <v>364</v>
      </c>
      <c r="C130" s="42" t="s">
        <v>152</v>
      </c>
      <c r="D130" s="42" t="s">
        <v>257</v>
      </c>
      <c r="E130" s="40">
        <f>_xll.DBRW($C$1,Opening!$G$13,Opening!E$11,$O$1,Opening!$I$13,Opening!$D$13,$P$2,$A130,$D130,$M$1)</f>
        <v>0</v>
      </c>
      <c r="F130" s="40">
        <f>_xll.DBRW($C$1,Opening!$G$13,Opening!F$11,$O$1,Opening!$I$13,Opening!$D$13,$P$2,$A130,$D130,$M$1)</f>
        <v>0</v>
      </c>
      <c r="G130" s="40">
        <f>_xll.DBRW($C$1,Opening!$G$13,Opening!G$11,$O$1,Opening!$I$13,Opening!$D$13,$P$2,$A130,$D130,$M$1)</f>
        <v>0</v>
      </c>
      <c r="H130" s="40">
        <f>_xll.DBRW($C$1,Opening!$G$13,Opening!H$11,$O$1,Opening!$I$13,Opening!$D$13,$P$2,$A130,$D130,$M$1)</f>
        <v>0</v>
      </c>
      <c r="I130" s="40">
        <f>_xll.DBRW($C$1,Opening!$G$13,Opening!I$11,$O$1,Opening!$I$13,Opening!$D$13,$P$2,$A130,$D130,$M$1)</f>
        <v>0</v>
      </c>
      <c r="J130" s="40">
        <f>_xll.DBRW($C$1,Opening!$G$13,Opening!J$11,$O$1,Opening!$I$13,Opening!$D$13,$P$2,$A130,$D130,$M$1)</f>
        <v>0</v>
      </c>
      <c r="K130" s="40">
        <f>_xll.DBRW($C$1,Opening!$G$13,Opening!K$11,$O$1,Opening!$I$13,Opening!$D$13,$P$2,$A130,$D130,$M$1)</f>
        <v>0</v>
      </c>
      <c r="L130" s="40">
        <f>_xll.DBRW($C$1,Opening!$G$13,Opening!L$11,$O$1,Opening!$I$13,Opening!$D$13,$P$2,$A130,$D130,$M$1)</f>
        <v>0</v>
      </c>
      <c r="M130" s="40">
        <f>_xll.DBRW($C$1,Opening!$G$13,Opening!M$11,$O$1,Opening!$I$13,Opening!$D$13,$P$2,$A130,$D130,$M$1)</f>
        <v>0</v>
      </c>
      <c r="N130" s="40">
        <f>_xll.DBRW($C$1,Opening!$G$13,Opening!N$11,$O$1,Opening!$I$13,Opening!$D$13,$P$2,$A130,$D130,$M$1)</f>
        <v>0</v>
      </c>
      <c r="O130" s="40">
        <f>_xll.DBRW($C$1,Opening!$G$13,Opening!O$11,$O$1,Opening!$I$13,Opening!$D$13,$P$2,$A130,$D130,$M$1)</f>
        <v>0</v>
      </c>
      <c r="P130" s="40">
        <f>_xll.DBRW($C$1,Opening!$G$13,Opening!P$11,$O$1,Opening!$I$13,Opening!$D$13,$P$2,$A130,$D130,$M$1)</f>
        <v>0</v>
      </c>
      <c r="Q130" s="40">
        <f>_xll.DBRW($C$1,Q$37,$Q$16,$O$1,Opening!$I$13,Opening!$D$13,$P$1,$A130,$D130,$M$1)</f>
        <v>0</v>
      </c>
      <c r="R130" s="40">
        <f>_xll.DBRW($C$1,R$37,$Q$16,$O$1,Opening!$I$13,Opening!$D$13,$P$1,$A130,$D130,$M$1)</f>
        <v>0</v>
      </c>
      <c r="S130" s="40">
        <f>_xll.DBRW($C$1,S$37,$Q$16,$O$1,Opening!$I$13,Opening!$D$13,$P$1,$A130,$D130,$M$1)</f>
        <v>0</v>
      </c>
      <c r="T130" s="40">
        <f>_xll.DBRW($C$1,T$37,$Q$16,$O$1,Opening!$I$13,Opening!$D$13,$P$1,$A130,$D130,$M$1)</f>
        <v>0</v>
      </c>
      <c r="U130" s="40">
        <f>_xll.DBRW($C$1,U$37,$Q$16,$O$1,Opening!$I$13,Opening!$D$13,$P$1,$A130,$D130,$M$1)</f>
        <v>0</v>
      </c>
      <c r="V130"/>
      <c r="W130"/>
      <c r="X130"/>
      <c r="Y130"/>
      <c r="Z130"/>
    </row>
    <row r="131" spans="1:26" ht="22.8">
      <c r="A131" s="68" t="s">
        <v>364</v>
      </c>
      <c r="B131" s="29" t="s">
        <v>366</v>
      </c>
      <c r="C131" s="37" t="s">
        <v>152</v>
      </c>
      <c r="D131" s="37" t="s">
        <v>220</v>
      </c>
      <c r="E131" s="36">
        <f>_xll.DBRW($C$1,Opening!$G$13,Opening!E$11,$O$1,Opening!$I$13,Opening!$D$13,$P$1,$A131,$B131,$M$1)</f>
        <v>0</v>
      </c>
      <c r="F131" s="36">
        <f>_xll.DBRW($C$1,Opening!$G$13,Opening!F$11,$O$1,Opening!$I$13,Opening!$D$13,$P$1,$A131,$B131,$M$1)</f>
        <v>0</v>
      </c>
      <c r="G131" s="36">
        <f>_xll.DBRW($C$1,Opening!$G$13,Opening!G$11,$O$1,Opening!$I$13,Opening!$D$13,$P$1,$A131,$B131,$M$1)</f>
        <v>0</v>
      </c>
      <c r="H131" s="36">
        <f>_xll.DBRW($C$1,Opening!$G$13,Opening!H$11,$O$1,Opening!$I$13,Opening!$D$13,$P$1,$A131,$B131,$M$1)</f>
        <v>0</v>
      </c>
      <c r="I131" s="36">
        <f>_xll.DBRW($C$1,Opening!$G$13,Opening!I$11,$O$1,Opening!$I$13,Opening!$D$13,$P$1,$A131,$B131,$M$1)</f>
        <v>0</v>
      </c>
      <c r="J131" s="36">
        <f>_xll.DBRW($C$1,Opening!$G$13,Opening!J$11,$O$1,Opening!$I$13,Opening!$D$13,$P$1,$A131,$B131,$M$1)</f>
        <v>0</v>
      </c>
      <c r="K131" s="36">
        <f>_xll.DBRW($C$1,Opening!$G$13,Opening!K$11,$O$1,Opening!$I$13,Opening!$D$13,$P$1,$A131,$B131,$M$1)</f>
        <v>0</v>
      </c>
      <c r="L131" s="36">
        <f>_xll.DBRW($C$1,Opening!$G$13,Opening!L$11,$O$1,Opening!$I$13,Opening!$D$13,$P$1,$A131,$B131,$M$1)</f>
        <v>0</v>
      </c>
      <c r="M131" s="36">
        <f>_xll.DBRW($C$1,Opening!$G$13,Opening!M$11,$O$1,Opening!$I$13,Opening!$D$13,$P$1,$A131,$B131,$M$1)</f>
        <v>0</v>
      </c>
      <c r="N131" s="36">
        <f>_xll.DBRW($C$1,Opening!$G$13,Opening!N$11,$O$1,Opening!$I$13,Opening!$D$13,$P$1,$A131,$B131,$M$1)</f>
        <v>0</v>
      </c>
      <c r="O131" s="36">
        <f>_xll.DBRW($C$1,Opening!$G$13,Opening!O$11,$O$1,Opening!$I$13,Opening!$D$13,$P$1,$A131,$B131,$M$1)</f>
        <v>0</v>
      </c>
      <c r="P131" s="36">
        <f>_xll.DBRW($C$1,Opening!$G$13,Opening!P$11,$O$1,Opening!$I$13,Opening!$D$13,$P$1,$A131,$B131,$M$1)</f>
        <v>0</v>
      </c>
      <c r="Q131" s="36">
        <f>_xll.DBRW($C$1,Q$15,$Q$16,$O$1,Opening!$I$13,Opening!$D$13,$P$1,$A131,$B131,$M$1)</f>
        <v>0</v>
      </c>
      <c r="R131" s="36">
        <f>_xll.DBRW($C$1,R$15,$Q$16,$O$1,Opening!$I$13,Opening!$D$13,$P$1,$A131,$B131,$M$1)</f>
        <v>0</v>
      </c>
      <c r="S131" s="36">
        <f>_xll.DBRW($C$1,S$15,$Q$16,$O$1,Opening!$I$13,Opening!$D$13,$P$1,$A131,$B131,$M$1)</f>
        <v>0</v>
      </c>
      <c r="T131" s="36">
        <f>_xll.DBRW($C$1,T$15,$Q$16,$O$1,Opening!$I$13,Opening!$D$13,$P$1,$A131,$B131,$M$1)</f>
        <v>0</v>
      </c>
      <c r="U131" s="36">
        <f>_xll.DBRW($C$1,U$15,$Q$16,$O$1,Opening!$I$13,Opening!$D$13,$P$1,$A131,$B131,$M$1)</f>
        <v>0</v>
      </c>
      <c r="V131"/>
      <c r="W131"/>
      <c r="X131"/>
      <c r="Y131"/>
      <c r="Z131"/>
    </row>
    <row r="132" spans="1:26" ht="22.8">
      <c r="A132" s="68" t="s">
        <v>364</v>
      </c>
      <c r="B132" s="29" t="s">
        <v>367</v>
      </c>
      <c r="C132" s="37" t="s">
        <v>152</v>
      </c>
      <c r="D132" s="37" t="s">
        <v>221</v>
      </c>
      <c r="E132" s="36">
        <f>_xll.DBRW($C$1,Opening!$G$13,Opening!E$11,$O$1,Opening!$I$13,Opening!$D$13,$P$1,$A132,$B132,$M$1)</f>
        <v>0</v>
      </c>
      <c r="F132" s="36">
        <f>_xll.DBRW($C$1,Opening!$G$13,Opening!F$11,$O$1,Opening!$I$13,Opening!$D$13,$P$1,$A132,$B132,$M$1)</f>
        <v>0</v>
      </c>
      <c r="G132" s="36">
        <f>_xll.DBRW($C$1,Opening!$G$13,Opening!G$11,$O$1,Opening!$I$13,Opening!$D$13,$P$1,$A132,$B132,$M$1)</f>
        <v>0</v>
      </c>
      <c r="H132" s="36">
        <f>_xll.DBRW($C$1,Opening!$G$13,Opening!H$11,$O$1,Opening!$I$13,Opening!$D$13,$P$1,$A132,$B132,$M$1)</f>
        <v>0</v>
      </c>
      <c r="I132" s="36">
        <f>_xll.DBRW($C$1,Opening!$G$13,Opening!I$11,$O$1,Opening!$I$13,Opening!$D$13,$P$1,$A132,$B132,$M$1)</f>
        <v>0</v>
      </c>
      <c r="J132" s="36">
        <f>_xll.DBRW($C$1,Opening!$G$13,Opening!J$11,$O$1,Opening!$I$13,Opening!$D$13,$P$1,$A132,$B132,$M$1)</f>
        <v>0</v>
      </c>
      <c r="K132" s="36">
        <f>_xll.DBRW($C$1,Opening!$G$13,Opening!K$11,$O$1,Opening!$I$13,Opening!$D$13,$P$1,$A132,$B132,$M$1)</f>
        <v>0</v>
      </c>
      <c r="L132" s="36">
        <f>_xll.DBRW($C$1,Opening!$G$13,Opening!L$11,$O$1,Opening!$I$13,Opening!$D$13,$P$1,$A132,$B132,$M$1)</f>
        <v>0</v>
      </c>
      <c r="M132" s="36">
        <f>_xll.DBRW($C$1,Opening!$G$13,Opening!M$11,$O$1,Opening!$I$13,Opening!$D$13,$P$1,$A132,$B132,$M$1)</f>
        <v>0</v>
      </c>
      <c r="N132" s="36">
        <f>_xll.DBRW($C$1,Opening!$G$13,Opening!N$11,$O$1,Opening!$I$13,Opening!$D$13,$P$1,$A132,$B132,$M$1)</f>
        <v>0</v>
      </c>
      <c r="O132" s="36">
        <f>_xll.DBRW($C$1,Opening!$G$13,Opening!O$11,$O$1,Opening!$I$13,Opening!$D$13,$P$1,$A132,$B132,$M$1)</f>
        <v>0</v>
      </c>
      <c r="P132" s="36">
        <f>_xll.DBRW($C$1,Opening!$G$13,Opening!P$11,$O$1,Opening!$I$13,Opening!$D$13,$P$1,$A132,$B132,$M$1)</f>
        <v>0</v>
      </c>
      <c r="Q132" s="36">
        <f>_xll.DBRW($C$1,Q$15,$Q$16,$O$1,Opening!$I$13,Opening!$D$13,$P$1,$A132,$B132,$M$1)</f>
        <v>0</v>
      </c>
      <c r="R132" s="36">
        <f>_xll.DBRW($C$1,R$15,$Q$16,$O$1,Opening!$I$13,Opening!$D$13,$P$1,$A132,$B132,$M$1)</f>
        <v>0</v>
      </c>
      <c r="S132" s="36">
        <f>_xll.DBRW($C$1,S$15,$Q$16,$O$1,Opening!$I$13,Opening!$D$13,$P$1,$A132,$B132,$M$1)</f>
        <v>0</v>
      </c>
      <c r="T132" s="36">
        <f>_xll.DBRW($C$1,T$15,$Q$16,$O$1,Opening!$I$13,Opening!$D$13,$P$1,$A132,$B132,$M$1)</f>
        <v>0</v>
      </c>
      <c r="U132" s="36">
        <f>_xll.DBRW($C$1,U$15,$Q$16,$O$1,Opening!$I$13,Opening!$D$13,$P$1,$A132,$B132,$M$1)</f>
        <v>0</v>
      </c>
      <c r="V132"/>
      <c r="W132"/>
      <c r="X132"/>
      <c r="Y132"/>
      <c r="Z132"/>
    </row>
    <row r="133" spans="1:26" ht="22.8">
      <c r="A133" s="68" t="s">
        <v>364</v>
      </c>
      <c r="B133" s="29" t="s">
        <v>368</v>
      </c>
      <c r="C133" s="37" t="s">
        <v>152</v>
      </c>
      <c r="D133" s="37" t="s">
        <v>222</v>
      </c>
      <c r="E133" s="36">
        <f>_xll.DBRW($C$1,Opening!$G$13,Opening!E$11,$O$1,Opening!$I$13,Opening!$D$13,$P$1,$A133,$B133,$M$1)</f>
        <v>0</v>
      </c>
      <c r="F133" s="36">
        <f>_xll.DBRW($C$1,Opening!$G$13,Opening!F$11,$O$1,Opening!$I$13,Opening!$D$13,$P$1,$A133,$B133,$M$1)</f>
        <v>0</v>
      </c>
      <c r="G133" s="36">
        <f>_xll.DBRW($C$1,Opening!$G$13,Opening!G$11,$O$1,Opening!$I$13,Opening!$D$13,$P$1,$A133,$B133,$M$1)</f>
        <v>0</v>
      </c>
      <c r="H133" s="36">
        <f>_xll.DBRW($C$1,Opening!$G$13,Opening!H$11,$O$1,Opening!$I$13,Opening!$D$13,$P$1,$A133,$B133,$M$1)</f>
        <v>0</v>
      </c>
      <c r="I133" s="36">
        <f>_xll.DBRW($C$1,Opening!$G$13,Opening!I$11,$O$1,Opening!$I$13,Opening!$D$13,$P$1,$A133,$B133,$M$1)</f>
        <v>0</v>
      </c>
      <c r="J133" s="36">
        <f>_xll.DBRW($C$1,Opening!$G$13,Opening!J$11,$O$1,Opening!$I$13,Opening!$D$13,$P$1,$A133,$B133,$M$1)</f>
        <v>0</v>
      </c>
      <c r="K133" s="36">
        <f>_xll.DBRW($C$1,Opening!$G$13,Opening!K$11,$O$1,Opening!$I$13,Opening!$D$13,$P$1,$A133,$B133,$M$1)</f>
        <v>0</v>
      </c>
      <c r="L133" s="36">
        <f>_xll.DBRW($C$1,Opening!$G$13,Opening!L$11,$O$1,Opening!$I$13,Opening!$D$13,$P$1,$A133,$B133,$M$1)</f>
        <v>0</v>
      </c>
      <c r="M133" s="36">
        <f>_xll.DBRW($C$1,Opening!$G$13,Opening!M$11,$O$1,Opening!$I$13,Opening!$D$13,$P$1,$A133,$B133,$M$1)</f>
        <v>0</v>
      </c>
      <c r="N133" s="36">
        <f>_xll.DBRW($C$1,Opening!$G$13,Opening!N$11,$O$1,Opening!$I$13,Opening!$D$13,$P$1,$A133,$B133,$M$1)</f>
        <v>0</v>
      </c>
      <c r="O133" s="36">
        <f>_xll.DBRW($C$1,Opening!$G$13,Opening!O$11,$O$1,Opening!$I$13,Opening!$D$13,$P$1,$A133,$B133,$M$1)</f>
        <v>0</v>
      </c>
      <c r="P133" s="36">
        <f>_xll.DBRW($C$1,Opening!$G$13,Opening!P$11,$O$1,Opening!$I$13,Opening!$D$13,$P$1,$A133,$B133,$M$1)</f>
        <v>0</v>
      </c>
      <c r="Q133" s="36">
        <f>_xll.DBRW($C$1,Q$15,$Q$16,$O$1,Opening!$I$13,Opening!$D$13,$P$1,$A133,$B133,$M$1)</f>
        <v>0</v>
      </c>
      <c r="R133" s="36">
        <f>_xll.DBRW($C$1,R$15,$Q$16,$O$1,Opening!$I$13,Opening!$D$13,$P$1,$A133,$B133,$M$1)</f>
        <v>0</v>
      </c>
      <c r="S133" s="36">
        <f>_xll.DBRW($C$1,S$15,$Q$16,$O$1,Opening!$I$13,Opening!$D$13,$P$1,$A133,$B133,$M$1)</f>
        <v>0</v>
      </c>
      <c r="T133" s="36">
        <f>_xll.DBRW($C$1,T$15,$Q$16,$O$1,Opening!$I$13,Opening!$D$13,$P$1,$A133,$B133,$M$1)</f>
        <v>0</v>
      </c>
      <c r="U133" s="36">
        <f>_xll.DBRW($C$1,U$15,$Q$16,$O$1,Opening!$I$13,Opening!$D$13,$P$1,$A133,$B133,$M$1)</f>
        <v>0</v>
      </c>
      <c r="V133"/>
      <c r="W133"/>
      <c r="X133"/>
      <c r="Y133"/>
      <c r="Z133"/>
    </row>
    <row r="134" spans="1:26" ht="22.8">
      <c r="A134" s="68" t="s">
        <v>364</v>
      </c>
      <c r="B134" s="29" t="s">
        <v>369</v>
      </c>
      <c r="C134" s="37" t="s">
        <v>152</v>
      </c>
      <c r="D134" s="37" t="s">
        <v>223</v>
      </c>
      <c r="E134" s="36">
        <f>_xll.DBRW($C$1,Opening!$G$13,Opening!E$11,$O$1,Opening!$I$13,Opening!$D$13,$P$1,$A134,$B134,$M$1)</f>
        <v>0</v>
      </c>
      <c r="F134" s="36">
        <f>_xll.DBRW($C$1,Opening!$G$13,Opening!F$11,$O$1,Opening!$I$13,Opening!$D$13,$P$1,$A134,$B134,$M$1)</f>
        <v>0</v>
      </c>
      <c r="G134" s="36">
        <f>_xll.DBRW($C$1,Opening!$G$13,Opening!G$11,$O$1,Opening!$I$13,Opening!$D$13,$P$1,$A134,$B134,$M$1)</f>
        <v>0</v>
      </c>
      <c r="H134" s="36">
        <f>_xll.DBRW($C$1,Opening!$G$13,Opening!H$11,$O$1,Opening!$I$13,Opening!$D$13,$P$1,$A134,$B134,$M$1)</f>
        <v>0</v>
      </c>
      <c r="I134" s="36">
        <f>_xll.DBRW($C$1,Opening!$G$13,Opening!I$11,$O$1,Opening!$I$13,Opening!$D$13,$P$1,$A134,$B134,$M$1)</f>
        <v>0</v>
      </c>
      <c r="J134" s="36">
        <f>_xll.DBRW($C$1,Opening!$G$13,Opening!J$11,$O$1,Opening!$I$13,Opening!$D$13,$P$1,$A134,$B134,$M$1)</f>
        <v>0</v>
      </c>
      <c r="K134" s="36">
        <f>_xll.DBRW($C$1,Opening!$G$13,Opening!K$11,$O$1,Opening!$I$13,Opening!$D$13,$P$1,$A134,$B134,$M$1)</f>
        <v>0</v>
      </c>
      <c r="L134" s="36">
        <f>_xll.DBRW($C$1,Opening!$G$13,Opening!L$11,$O$1,Opening!$I$13,Opening!$D$13,$P$1,$A134,$B134,$M$1)</f>
        <v>0</v>
      </c>
      <c r="M134" s="36">
        <f>_xll.DBRW($C$1,Opening!$G$13,Opening!M$11,$O$1,Opening!$I$13,Opening!$D$13,$P$1,$A134,$B134,$M$1)</f>
        <v>0</v>
      </c>
      <c r="N134" s="36">
        <f>_xll.DBRW($C$1,Opening!$G$13,Opening!N$11,$O$1,Opening!$I$13,Opening!$D$13,$P$1,$A134,$B134,$M$1)</f>
        <v>0</v>
      </c>
      <c r="O134" s="36">
        <f>_xll.DBRW($C$1,Opening!$G$13,Opening!O$11,$O$1,Opening!$I$13,Opening!$D$13,$P$1,$A134,$B134,$M$1)</f>
        <v>0</v>
      </c>
      <c r="P134" s="36">
        <f>_xll.DBRW($C$1,Opening!$G$13,Opening!P$11,$O$1,Opening!$I$13,Opening!$D$13,$P$1,$A134,$B134,$M$1)</f>
        <v>0</v>
      </c>
      <c r="Q134" s="36">
        <f>_xll.DBRW($C$1,Q$15,$Q$16,$O$1,Opening!$I$13,Opening!$D$13,$P$1,$A134,$B134,$M$1)</f>
        <v>0</v>
      </c>
      <c r="R134" s="36">
        <f>_xll.DBRW($C$1,R$15,$Q$16,$O$1,Opening!$I$13,Opening!$D$13,$P$1,$A134,$B134,$M$1)</f>
        <v>0</v>
      </c>
      <c r="S134" s="36">
        <f>_xll.DBRW($C$1,S$15,$Q$16,$O$1,Opening!$I$13,Opening!$D$13,$P$1,$A134,$B134,$M$1)</f>
        <v>0</v>
      </c>
      <c r="T134" s="36">
        <f>_xll.DBRW($C$1,T$15,$Q$16,$O$1,Opening!$I$13,Opening!$D$13,$P$1,$A134,$B134,$M$1)</f>
        <v>0</v>
      </c>
      <c r="U134" s="36">
        <f>_xll.DBRW($C$1,U$15,$Q$16,$O$1,Opening!$I$13,Opening!$D$13,$P$1,$A134,$B134,$M$1)</f>
        <v>0</v>
      </c>
      <c r="V134"/>
      <c r="W134"/>
      <c r="X134"/>
      <c r="Y134"/>
      <c r="Z134"/>
    </row>
    <row r="135" spans="1:26" ht="22.8">
      <c r="A135" s="68" t="s">
        <v>364</v>
      </c>
      <c r="B135" s="29" t="s">
        <v>370</v>
      </c>
      <c r="C135" s="37" t="s">
        <v>152</v>
      </c>
      <c r="D135" s="37" t="s">
        <v>224</v>
      </c>
      <c r="E135" s="36">
        <f>_xll.DBRW($C$1,Opening!$G$13,Opening!E$11,$O$1,Opening!$I$13,Opening!$D$13,$P$1,$A135,$B135,$M$1)</f>
        <v>0</v>
      </c>
      <c r="F135" s="36">
        <f>_xll.DBRW($C$1,Opening!$G$13,Opening!F$11,$O$1,Opening!$I$13,Opening!$D$13,$P$1,$A135,$B135,$M$1)</f>
        <v>0</v>
      </c>
      <c r="G135" s="36">
        <f>_xll.DBRW($C$1,Opening!$G$13,Opening!G$11,$O$1,Opening!$I$13,Opening!$D$13,$P$1,$A135,$B135,$M$1)</f>
        <v>0</v>
      </c>
      <c r="H135" s="36">
        <f>_xll.DBRW($C$1,Opening!$G$13,Opening!H$11,$O$1,Opening!$I$13,Opening!$D$13,$P$1,$A135,$B135,$M$1)</f>
        <v>0</v>
      </c>
      <c r="I135" s="36">
        <f>_xll.DBRW($C$1,Opening!$G$13,Opening!I$11,$O$1,Opening!$I$13,Opening!$D$13,$P$1,$A135,$B135,$M$1)</f>
        <v>0</v>
      </c>
      <c r="J135" s="36">
        <f>_xll.DBRW($C$1,Opening!$G$13,Opening!J$11,$O$1,Opening!$I$13,Opening!$D$13,$P$1,$A135,$B135,$M$1)</f>
        <v>0</v>
      </c>
      <c r="K135" s="36">
        <f>_xll.DBRW($C$1,Opening!$G$13,Opening!K$11,$O$1,Opening!$I$13,Opening!$D$13,$P$1,$A135,$B135,$M$1)</f>
        <v>0</v>
      </c>
      <c r="L135" s="36">
        <f>_xll.DBRW($C$1,Opening!$G$13,Opening!L$11,$O$1,Opening!$I$13,Opening!$D$13,$P$1,$A135,$B135,$M$1)</f>
        <v>0</v>
      </c>
      <c r="M135" s="36">
        <f>_xll.DBRW($C$1,Opening!$G$13,Opening!M$11,$O$1,Opening!$I$13,Opening!$D$13,$P$1,$A135,$B135,$M$1)</f>
        <v>0</v>
      </c>
      <c r="N135" s="36">
        <f>_xll.DBRW($C$1,Opening!$G$13,Opening!N$11,$O$1,Opening!$I$13,Opening!$D$13,$P$1,$A135,$B135,$M$1)</f>
        <v>0</v>
      </c>
      <c r="O135" s="36">
        <f>_xll.DBRW($C$1,Opening!$G$13,Opening!O$11,$O$1,Opening!$I$13,Opening!$D$13,$P$1,$A135,$B135,$M$1)</f>
        <v>0</v>
      </c>
      <c r="P135" s="36">
        <f>_xll.DBRW($C$1,Opening!$G$13,Opening!P$11,$O$1,Opening!$I$13,Opening!$D$13,$P$1,$A135,$B135,$M$1)</f>
        <v>0</v>
      </c>
      <c r="Q135" s="36">
        <f>_xll.DBRW($C$1,Q$15,$Q$16,$O$1,Opening!$I$13,Opening!$D$13,$P$1,$A135,$B135,$M$1)</f>
        <v>0</v>
      </c>
      <c r="R135" s="36">
        <f>_xll.DBRW($C$1,R$15,$Q$16,$O$1,Opening!$I$13,Opening!$D$13,$P$1,$A135,$B135,$M$1)</f>
        <v>0</v>
      </c>
      <c r="S135" s="36">
        <f>_xll.DBRW($C$1,S$15,$Q$16,$O$1,Opening!$I$13,Opening!$D$13,$P$1,$A135,$B135,$M$1)</f>
        <v>0</v>
      </c>
      <c r="T135" s="36">
        <f>_xll.DBRW($C$1,T$15,$Q$16,$O$1,Opening!$I$13,Opening!$D$13,$P$1,$A135,$B135,$M$1)</f>
        <v>0</v>
      </c>
      <c r="U135" s="36">
        <f>_xll.DBRW($C$1,U$15,$Q$16,$O$1,Opening!$I$13,Opening!$D$13,$P$1,$A135,$B135,$M$1)</f>
        <v>0</v>
      </c>
      <c r="V135"/>
      <c r="W135"/>
      <c r="X135"/>
      <c r="Y135"/>
      <c r="Z135"/>
    </row>
    <row r="136" spans="1:26" ht="22.8">
      <c r="A136" s="68" t="s">
        <v>364</v>
      </c>
      <c r="B136" s="29" t="s">
        <v>371</v>
      </c>
      <c r="C136" s="37" t="s">
        <v>152</v>
      </c>
      <c r="D136" s="37" t="s">
        <v>225</v>
      </c>
      <c r="E136" s="36">
        <f>_xll.DBRW($C$1,Opening!$G$13,Opening!E$11,$O$1,Opening!$I$13,Opening!$D$13,$P$1,$A136,$B136,$M$1)</f>
        <v>0</v>
      </c>
      <c r="F136" s="36">
        <f>_xll.DBRW($C$1,Opening!$G$13,Opening!F$11,$O$1,Opening!$I$13,Opening!$D$13,$P$1,$A136,$B136,$M$1)</f>
        <v>0</v>
      </c>
      <c r="G136" s="36">
        <f>_xll.DBRW($C$1,Opening!$G$13,Opening!G$11,$O$1,Opening!$I$13,Opening!$D$13,$P$1,$A136,$B136,$M$1)</f>
        <v>0</v>
      </c>
      <c r="H136" s="36">
        <f>_xll.DBRW($C$1,Opening!$G$13,Opening!H$11,$O$1,Opening!$I$13,Opening!$D$13,$P$1,$A136,$B136,$M$1)</f>
        <v>0</v>
      </c>
      <c r="I136" s="36">
        <f>_xll.DBRW($C$1,Opening!$G$13,Opening!I$11,$O$1,Opening!$I$13,Opening!$D$13,$P$1,$A136,$B136,$M$1)</f>
        <v>0</v>
      </c>
      <c r="J136" s="36">
        <f>_xll.DBRW($C$1,Opening!$G$13,Opening!J$11,$O$1,Opening!$I$13,Opening!$D$13,$P$1,$A136,$B136,$M$1)</f>
        <v>0</v>
      </c>
      <c r="K136" s="36">
        <f>_xll.DBRW($C$1,Opening!$G$13,Opening!K$11,$O$1,Opening!$I$13,Opening!$D$13,$P$1,$A136,$B136,$M$1)</f>
        <v>0</v>
      </c>
      <c r="L136" s="36">
        <f>_xll.DBRW($C$1,Opening!$G$13,Opening!L$11,$O$1,Opening!$I$13,Opening!$D$13,$P$1,$A136,$B136,$M$1)</f>
        <v>0</v>
      </c>
      <c r="M136" s="36">
        <f>_xll.DBRW($C$1,Opening!$G$13,Opening!M$11,$O$1,Opening!$I$13,Opening!$D$13,$P$1,$A136,$B136,$M$1)</f>
        <v>0</v>
      </c>
      <c r="N136" s="36">
        <f>_xll.DBRW($C$1,Opening!$G$13,Opening!N$11,$O$1,Opening!$I$13,Opening!$D$13,$P$1,$A136,$B136,$M$1)</f>
        <v>0</v>
      </c>
      <c r="O136" s="36">
        <f>_xll.DBRW($C$1,Opening!$G$13,Opening!O$11,$O$1,Opening!$I$13,Opening!$D$13,$P$1,$A136,$B136,$M$1)</f>
        <v>0</v>
      </c>
      <c r="P136" s="36">
        <f>_xll.DBRW($C$1,Opening!$G$13,Opening!P$11,$O$1,Opening!$I$13,Opening!$D$13,$P$1,$A136,$B136,$M$1)</f>
        <v>0</v>
      </c>
      <c r="Q136" s="36">
        <f>_xll.DBRW($C$1,Q$15,$Q$16,$O$1,Opening!$I$13,Opening!$D$13,$P$1,$A136,$B136,$M$1)</f>
        <v>0</v>
      </c>
      <c r="R136" s="36">
        <f>_xll.DBRW($C$1,R$15,$Q$16,$O$1,Opening!$I$13,Opening!$D$13,$P$1,$A136,$B136,$M$1)</f>
        <v>0</v>
      </c>
      <c r="S136" s="36">
        <f>_xll.DBRW($C$1,S$15,$Q$16,$O$1,Opening!$I$13,Opening!$D$13,$P$1,$A136,$B136,$M$1)</f>
        <v>0</v>
      </c>
      <c r="T136" s="36">
        <f>_xll.DBRW($C$1,T$15,$Q$16,$O$1,Opening!$I$13,Opening!$D$13,$P$1,$A136,$B136,$M$1)</f>
        <v>0</v>
      </c>
      <c r="U136" s="36">
        <f>_xll.DBRW($C$1,U$15,$Q$16,$O$1,Opening!$I$13,Opening!$D$13,$P$1,$A136,$B136,$M$1)</f>
        <v>0</v>
      </c>
      <c r="V136"/>
      <c r="W136"/>
      <c r="X136"/>
      <c r="Y136"/>
      <c r="Z136"/>
    </row>
    <row r="137" spans="1:26" ht="22.8">
      <c r="A137" s="68" t="s">
        <v>364</v>
      </c>
      <c r="B137" s="29" t="s">
        <v>372</v>
      </c>
      <c r="C137" s="37" t="s">
        <v>152</v>
      </c>
      <c r="D137" s="37" t="s">
        <v>226</v>
      </c>
      <c r="E137" s="36">
        <f>_xll.DBRW($C$1,Opening!$G$13,Opening!E$11,$O$1,Opening!$I$13,Opening!$D$13,$P$1,$A137,$B137,$M$1)</f>
        <v>0</v>
      </c>
      <c r="F137" s="36">
        <f>_xll.DBRW($C$1,Opening!$G$13,Opening!F$11,$O$1,Opening!$I$13,Opening!$D$13,$P$1,$A137,$B137,$M$1)</f>
        <v>0</v>
      </c>
      <c r="G137" s="36">
        <f>_xll.DBRW($C$1,Opening!$G$13,Opening!G$11,$O$1,Opening!$I$13,Opening!$D$13,$P$1,$A137,$B137,$M$1)</f>
        <v>0</v>
      </c>
      <c r="H137" s="36">
        <f>_xll.DBRW($C$1,Opening!$G$13,Opening!H$11,$O$1,Opening!$I$13,Opening!$D$13,$P$1,$A137,$B137,$M$1)</f>
        <v>0</v>
      </c>
      <c r="I137" s="36">
        <f>_xll.DBRW($C$1,Opening!$G$13,Opening!I$11,$O$1,Opening!$I$13,Opening!$D$13,$P$1,$A137,$B137,$M$1)</f>
        <v>0</v>
      </c>
      <c r="J137" s="36">
        <f>_xll.DBRW($C$1,Opening!$G$13,Opening!J$11,$O$1,Opening!$I$13,Opening!$D$13,$P$1,$A137,$B137,$M$1)</f>
        <v>0</v>
      </c>
      <c r="K137" s="36">
        <f>_xll.DBRW($C$1,Opening!$G$13,Opening!K$11,$O$1,Opening!$I$13,Opening!$D$13,$P$1,$A137,$B137,$M$1)</f>
        <v>0</v>
      </c>
      <c r="L137" s="36">
        <f>_xll.DBRW($C$1,Opening!$G$13,Opening!L$11,$O$1,Opening!$I$13,Opening!$D$13,$P$1,$A137,$B137,$M$1)</f>
        <v>0</v>
      </c>
      <c r="M137" s="36">
        <f>_xll.DBRW($C$1,Opening!$G$13,Opening!M$11,$O$1,Opening!$I$13,Opening!$D$13,$P$1,$A137,$B137,$M$1)</f>
        <v>0</v>
      </c>
      <c r="N137" s="36">
        <f>_xll.DBRW($C$1,Opening!$G$13,Opening!N$11,$O$1,Opening!$I$13,Opening!$D$13,$P$1,$A137,$B137,$M$1)</f>
        <v>0</v>
      </c>
      <c r="O137" s="36">
        <f>_xll.DBRW($C$1,Opening!$G$13,Opening!O$11,$O$1,Opening!$I$13,Opening!$D$13,$P$1,$A137,$B137,$M$1)</f>
        <v>0</v>
      </c>
      <c r="P137" s="36">
        <f>_xll.DBRW($C$1,Opening!$G$13,Opening!P$11,$O$1,Opening!$I$13,Opening!$D$13,$P$1,$A137,$B137,$M$1)</f>
        <v>0</v>
      </c>
      <c r="Q137" s="36">
        <f>_xll.DBRW($C$1,Q$15,$Q$16,$O$1,Opening!$I$13,Opening!$D$13,$P$1,$A137,$B137,$M$1)</f>
        <v>0</v>
      </c>
      <c r="R137" s="36">
        <f>_xll.DBRW($C$1,R$15,$Q$16,$O$1,Opening!$I$13,Opening!$D$13,$P$1,$A137,$B137,$M$1)</f>
        <v>0</v>
      </c>
      <c r="S137" s="36">
        <f>_xll.DBRW($C$1,S$15,$Q$16,$O$1,Opening!$I$13,Opening!$D$13,$P$1,$A137,$B137,$M$1)</f>
        <v>0</v>
      </c>
      <c r="T137" s="36">
        <f>_xll.DBRW($C$1,T$15,$Q$16,$O$1,Opening!$I$13,Opening!$D$13,$P$1,$A137,$B137,$M$1)</f>
        <v>0</v>
      </c>
      <c r="U137" s="36">
        <f>_xll.DBRW($C$1,U$15,$Q$16,$O$1,Opening!$I$13,Opening!$D$13,$P$1,$A137,$B137,$M$1)</f>
        <v>0</v>
      </c>
      <c r="V137"/>
      <c r="W137"/>
      <c r="X137"/>
      <c r="Y137"/>
      <c r="Z137"/>
    </row>
    <row r="138" spans="1:26" ht="22.8">
      <c r="A138" s="68" t="s">
        <v>364</v>
      </c>
      <c r="B138" s="29" t="s">
        <v>373</v>
      </c>
      <c r="C138" s="37" t="s">
        <v>152</v>
      </c>
      <c r="D138" s="37" t="s">
        <v>227</v>
      </c>
      <c r="E138" s="36">
        <f>_xll.DBRW($C$1,Opening!$G$13,Opening!E$11,$O$1,Opening!$I$13,Opening!$D$13,$P$1,$A138,$B138,$M$1)</f>
        <v>0</v>
      </c>
      <c r="F138" s="36">
        <f>_xll.DBRW($C$1,Opening!$G$13,Opening!F$11,$O$1,Opening!$I$13,Opening!$D$13,$P$1,$A138,$B138,$M$1)</f>
        <v>0</v>
      </c>
      <c r="G138" s="36">
        <f>_xll.DBRW($C$1,Opening!$G$13,Opening!G$11,$O$1,Opening!$I$13,Opening!$D$13,$P$1,$A138,$B138,$M$1)</f>
        <v>0</v>
      </c>
      <c r="H138" s="36">
        <f>_xll.DBRW($C$1,Opening!$G$13,Opening!H$11,$O$1,Opening!$I$13,Opening!$D$13,$P$1,$A138,$B138,$M$1)</f>
        <v>0</v>
      </c>
      <c r="I138" s="36">
        <f>_xll.DBRW($C$1,Opening!$G$13,Opening!I$11,$O$1,Opening!$I$13,Opening!$D$13,$P$1,$A138,$B138,$M$1)</f>
        <v>0</v>
      </c>
      <c r="J138" s="36">
        <f>_xll.DBRW($C$1,Opening!$G$13,Opening!J$11,$O$1,Opening!$I$13,Opening!$D$13,$P$1,$A138,$B138,$M$1)</f>
        <v>0</v>
      </c>
      <c r="K138" s="36">
        <f>_xll.DBRW($C$1,Opening!$G$13,Opening!K$11,$O$1,Opening!$I$13,Opening!$D$13,$P$1,$A138,$B138,$M$1)</f>
        <v>0</v>
      </c>
      <c r="L138" s="36">
        <f>_xll.DBRW($C$1,Opening!$G$13,Opening!L$11,$O$1,Opening!$I$13,Opening!$D$13,$P$1,$A138,$B138,$M$1)</f>
        <v>0</v>
      </c>
      <c r="M138" s="36">
        <f>_xll.DBRW($C$1,Opening!$G$13,Opening!M$11,$O$1,Opening!$I$13,Opening!$D$13,$P$1,$A138,$B138,$M$1)</f>
        <v>0</v>
      </c>
      <c r="N138" s="36">
        <f>_xll.DBRW($C$1,Opening!$G$13,Opening!N$11,$O$1,Opening!$I$13,Opening!$D$13,$P$1,$A138,$B138,$M$1)</f>
        <v>0</v>
      </c>
      <c r="O138" s="36">
        <f>_xll.DBRW($C$1,Opening!$G$13,Opening!O$11,$O$1,Opening!$I$13,Opening!$D$13,$P$1,$A138,$B138,$M$1)</f>
        <v>0</v>
      </c>
      <c r="P138" s="36">
        <f>_xll.DBRW($C$1,Opening!$G$13,Opening!P$11,$O$1,Opening!$I$13,Opening!$D$13,$P$1,$A138,$B138,$M$1)</f>
        <v>0</v>
      </c>
      <c r="Q138" s="36">
        <f>_xll.DBRW($C$1,Q$15,$Q$16,$O$1,Opening!$I$13,Opening!$D$13,$P$1,$A138,$B138,$M$1)</f>
        <v>0</v>
      </c>
      <c r="R138" s="36">
        <f>_xll.DBRW($C$1,R$15,$Q$16,$O$1,Opening!$I$13,Opening!$D$13,$P$1,$A138,$B138,$M$1)</f>
        <v>0</v>
      </c>
      <c r="S138" s="36">
        <f>_xll.DBRW($C$1,S$15,$Q$16,$O$1,Opening!$I$13,Opening!$D$13,$P$1,$A138,$B138,$M$1)</f>
        <v>0</v>
      </c>
      <c r="T138" s="36">
        <f>_xll.DBRW($C$1,T$15,$Q$16,$O$1,Opening!$I$13,Opening!$D$13,$P$1,$A138,$B138,$M$1)</f>
        <v>0</v>
      </c>
      <c r="U138" s="36">
        <f>_xll.DBRW($C$1,U$15,$Q$16,$O$1,Opening!$I$13,Opening!$D$13,$P$1,$A138,$B138,$M$1)</f>
        <v>0</v>
      </c>
      <c r="V138"/>
      <c r="W138"/>
      <c r="X138"/>
      <c r="Y138"/>
      <c r="Z138"/>
    </row>
    <row r="139" spans="1:26" ht="22.8">
      <c r="A139" s="68" t="s">
        <v>364</v>
      </c>
      <c r="B139" s="29" t="s">
        <v>374</v>
      </c>
      <c r="C139" s="37" t="s">
        <v>152</v>
      </c>
      <c r="D139" s="37" t="s">
        <v>228</v>
      </c>
      <c r="E139" s="36">
        <f>_xll.DBRW($C$1,Opening!$G$13,Opening!E$11,$O$1,Opening!$I$13,Opening!$D$13,$P$1,$A139,$B139,$M$1)</f>
        <v>0</v>
      </c>
      <c r="F139" s="36">
        <f>_xll.DBRW($C$1,Opening!$G$13,Opening!F$11,$O$1,Opening!$I$13,Opening!$D$13,$P$1,$A139,$B139,$M$1)</f>
        <v>0</v>
      </c>
      <c r="G139" s="36">
        <f>_xll.DBRW($C$1,Opening!$G$13,Opening!G$11,$O$1,Opening!$I$13,Opening!$D$13,$P$1,$A139,$B139,$M$1)</f>
        <v>0</v>
      </c>
      <c r="H139" s="36">
        <f>_xll.DBRW($C$1,Opening!$G$13,Opening!H$11,$O$1,Opening!$I$13,Opening!$D$13,$P$1,$A139,$B139,$M$1)</f>
        <v>0</v>
      </c>
      <c r="I139" s="36">
        <f>_xll.DBRW($C$1,Opening!$G$13,Opening!I$11,$O$1,Opening!$I$13,Opening!$D$13,$P$1,$A139,$B139,$M$1)</f>
        <v>0</v>
      </c>
      <c r="J139" s="36">
        <f>_xll.DBRW($C$1,Opening!$G$13,Opening!J$11,$O$1,Opening!$I$13,Opening!$D$13,$P$1,$A139,$B139,$M$1)</f>
        <v>0</v>
      </c>
      <c r="K139" s="36">
        <f>_xll.DBRW($C$1,Opening!$G$13,Opening!K$11,$O$1,Opening!$I$13,Opening!$D$13,$P$1,$A139,$B139,$M$1)</f>
        <v>0</v>
      </c>
      <c r="L139" s="36">
        <f>_xll.DBRW($C$1,Opening!$G$13,Opening!L$11,$O$1,Opening!$I$13,Opening!$D$13,$P$1,$A139,$B139,$M$1)</f>
        <v>0</v>
      </c>
      <c r="M139" s="36">
        <f>_xll.DBRW($C$1,Opening!$G$13,Opening!M$11,$O$1,Opening!$I$13,Opening!$D$13,$P$1,$A139,$B139,$M$1)</f>
        <v>0</v>
      </c>
      <c r="N139" s="36">
        <f>_xll.DBRW($C$1,Opening!$G$13,Opening!N$11,$O$1,Opening!$I$13,Opening!$D$13,$P$1,$A139,$B139,$M$1)</f>
        <v>0</v>
      </c>
      <c r="O139" s="36">
        <f>_xll.DBRW($C$1,Opening!$G$13,Opening!O$11,$O$1,Opening!$I$13,Opening!$D$13,$P$1,$A139,$B139,$M$1)</f>
        <v>0</v>
      </c>
      <c r="P139" s="36">
        <f>_xll.DBRW($C$1,Opening!$G$13,Opening!P$11,$O$1,Opening!$I$13,Opening!$D$13,$P$1,$A139,$B139,$M$1)</f>
        <v>0</v>
      </c>
      <c r="Q139" s="36">
        <f>_xll.DBRW($C$1,Q$15,$Q$16,$O$1,Opening!$I$13,Opening!$D$13,$P$1,$A139,$B139,$M$1)</f>
        <v>0</v>
      </c>
      <c r="R139" s="36">
        <f>_xll.DBRW($C$1,R$15,$Q$16,$O$1,Opening!$I$13,Opening!$D$13,$P$1,$A139,$B139,$M$1)</f>
        <v>0</v>
      </c>
      <c r="S139" s="36">
        <f>_xll.DBRW($C$1,S$15,$Q$16,$O$1,Opening!$I$13,Opening!$D$13,$P$1,$A139,$B139,$M$1)</f>
        <v>0</v>
      </c>
      <c r="T139" s="36">
        <f>_xll.DBRW($C$1,T$15,$Q$16,$O$1,Opening!$I$13,Opening!$D$13,$P$1,$A139,$B139,$M$1)</f>
        <v>0</v>
      </c>
      <c r="U139" s="36">
        <f>_xll.DBRW($C$1,U$15,$Q$16,$O$1,Opening!$I$13,Opening!$D$13,$P$1,$A139,$B139,$M$1)</f>
        <v>0</v>
      </c>
      <c r="V139"/>
      <c r="W139"/>
      <c r="X139"/>
      <c r="Y139"/>
      <c r="Z139"/>
    </row>
    <row r="140" spans="1:26" ht="22.8">
      <c r="A140" s="68" t="s">
        <v>364</v>
      </c>
      <c r="B140" s="29" t="s">
        <v>375</v>
      </c>
      <c r="C140" s="37" t="s">
        <v>152</v>
      </c>
      <c r="D140" s="37" t="s">
        <v>229</v>
      </c>
      <c r="E140" s="36">
        <f>_xll.DBRW($C$1,Opening!$G$13,Opening!E$11,$O$1,Opening!$I$13,Opening!$D$13,$P$1,$A140,$B140,$M$1)</f>
        <v>0</v>
      </c>
      <c r="F140" s="36">
        <f>_xll.DBRW($C$1,Opening!$G$13,Opening!F$11,$O$1,Opening!$I$13,Opening!$D$13,$P$1,$A140,$B140,$M$1)</f>
        <v>0</v>
      </c>
      <c r="G140" s="36">
        <f>_xll.DBRW($C$1,Opening!$G$13,Opening!G$11,$O$1,Opening!$I$13,Opening!$D$13,$P$1,$A140,$B140,$M$1)</f>
        <v>0</v>
      </c>
      <c r="H140" s="36">
        <f>_xll.DBRW($C$1,Opening!$G$13,Opening!H$11,$O$1,Opening!$I$13,Opening!$D$13,$P$1,$A140,$B140,$M$1)</f>
        <v>0</v>
      </c>
      <c r="I140" s="36">
        <f>_xll.DBRW($C$1,Opening!$G$13,Opening!I$11,$O$1,Opening!$I$13,Opening!$D$13,$P$1,$A140,$B140,$M$1)</f>
        <v>0</v>
      </c>
      <c r="J140" s="36">
        <f>_xll.DBRW($C$1,Opening!$G$13,Opening!J$11,$O$1,Opening!$I$13,Opening!$D$13,$P$1,$A140,$B140,$M$1)</f>
        <v>0</v>
      </c>
      <c r="K140" s="36">
        <f>_xll.DBRW($C$1,Opening!$G$13,Opening!K$11,$O$1,Opening!$I$13,Opening!$D$13,$P$1,$A140,$B140,$M$1)</f>
        <v>0</v>
      </c>
      <c r="L140" s="36">
        <f>_xll.DBRW($C$1,Opening!$G$13,Opening!L$11,$O$1,Opening!$I$13,Opening!$D$13,$P$1,$A140,$B140,$M$1)</f>
        <v>0</v>
      </c>
      <c r="M140" s="36">
        <f>_xll.DBRW($C$1,Opening!$G$13,Opening!M$11,$O$1,Opening!$I$13,Opening!$D$13,$P$1,$A140,$B140,$M$1)</f>
        <v>0</v>
      </c>
      <c r="N140" s="36">
        <f>_xll.DBRW($C$1,Opening!$G$13,Opening!N$11,$O$1,Opening!$I$13,Opening!$D$13,$P$1,$A140,$B140,$M$1)</f>
        <v>0</v>
      </c>
      <c r="O140" s="36">
        <f>_xll.DBRW($C$1,Opening!$G$13,Opening!O$11,$O$1,Opening!$I$13,Opening!$D$13,$P$1,$A140,$B140,$M$1)</f>
        <v>0</v>
      </c>
      <c r="P140" s="36">
        <f>_xll.DBRW($C$1,Opening!$G$13,Opening!P$11,$O$1,Opening!$I$13,Opening!$D$13,$P$1,$A140,$B140,$M$1)</f>
        <v>0</v>
      </c>
      <c r="Q140" s="36">
        <f>_xll.DBRW($C$1,Q$15,$Q$16,$O$1,Opening!$I$13,Opening!$D$13,$P$1,$A140,$B140,$M$1)</f>
        <v>0</v>
      </c>
      <c r="R140" s="36">
        <f>_xll.DBRW($C$1,R$15,$Q$16,$O$1,Opening!$I$13,Opening!$D$13,$P$1,$A140,$B140,$M$1)</f>
        <v>0</v>
      </c>
      <c r="S140" s="36">
        <f>_xll.DBRW($C$1,S$15,$Q$16,$O$1,Opening!$I$13,Opening!$D$13,$P$1,$A140,$B140,$M$1)</f>
        <v>0</v>
      </c>
      <c r="T140" s="36">
        <f>_xll.DBRW($C$1,T$15,$Q$16,$O$1,Opening!$I$13,Opening!$D$13,$P$1,$A140,$B140,$M$1)</f>
        <v>0</v>
      </c>
      <c r="U140" s="36">
        <f>_xll.DBRW($C$1,U$15,$Q$16,$O$1,Opening!$I$13,Opening!$D$13,$P$1,$A140,$B140,$M$1)</f>
        <v>0</v>
      </c>
      <c r="V140"/>
      <c r="W140"/>
      <c r="X140"/>
      <c r="Y140"/>
      <c r="Z140"/>
    </row>
    <row r="141" spans="1:26" ht="22.8">
      <c r="A141" s="68" t="s">
        <v>364</v>
      </c>
      <c r="B141" s="29" t="s">
        <v>376</v>
      </c>
      <c r="C141" s="37" t="s">
        <v>152</v>
      </c>
      <c r="D141" s="37" t="s">
        <v>230</v>
      </c>
      <c r="E141" s="36">
        <f>_xll.DBRW($C$1,Opening!$G$13,Opening!E$11,$O$1,Opening!$I$13,Opening!$D$13,$P$1,$A141,$B141,$M$1)</f>
        <v>0</v>
      </c>
      <c r="F141" s="36">
        <f>_xll.DBRW($C$1,Opening!$G$13,Opening!F$11,$O$1,Opening!$I$13,Opening!$D$13,$P$1,$A141,$B141,$M$1)</f>
        <v>0</v>
      </c>
      <c r="G141" s="36">
        <f>_xll.DBRW($C$1,Opening!$G$13,Opening!G$11,$O$1,Opening!$I$13,Opening!$D$13,$P$1,$A141,$B141,$M$1)</f>
        <v>0</v>
      </c>
      <c r="H141" s="36">
        <f>_xll.DBRW($C$1,Opening!$G$13,Opening!H$11,$O$1,Opening!$I$13,Opening!$D$13,$P$1,$A141,$B141,$M$1)</f>
        <v>0</v>
      </c>
      <c r="I141" s="36">
        <f>_xll.DBRW($C$1,Opening!$G$13,Opening!I$11,$O$1,Opening!$I$13,Opening!$D$13,$P$1,$A141,$B141,$M$1)</f>
        <v>0</v>
      </c>
      <c r="J141" s="36">
        <f>_xll.DBRW($C$1,Opening!$G$13,Opening!J$11,$O$1,Opening!$I$13,Opening!$D$13,$P$1,$A141,$B141,$M$1)</f>
        <v>0</v>
      </c>
      <c r="K141" s="36">
        <f>_xll.DBRW($C$1,Opening!$G$13,Opening!K$11,$O$1,Opening!$I$13,Opening!$D$13,$P$1,$A141,$B141,$M$1)</f>
        <v>0</v>
      </c>
      <c r="L141" s="36">
        <f>_xll.DBRW($C$1,Opening!$G$13,Opening!L$11,$O$1,Opening!$I$13,Opening!$D$13,$P$1,$A141,$B141,$M$1)</f>
        <v>0</v>
      </c>
      <c r="M141" s="36">
        <f>_xll.DBRW($C$1,Opening!$G$13,Opening!M$11,$O$1,Opening!$I$13,Opening!$D$13,$P$1,$A141,$B141,$M$1)</f>
        <v>0</v>
      </c>
      <c r="N141" s="36">
        <f>_xll.DBRW($C$1,Opening!$G$13,Opening!N$11,$O$1,Opening!$I$13,Opening!$D$13,$P$1,$A141,$B141,$M$1)</f>
        <v>0</v>
      </c>
      <c r="O141" s="36">
        <f>_xll.DBRW($C$1,Opening!$G$13,Opening!O$11,$O$1,Opening!$I$13,Opening!$D$13,$P$1,$A141,$B141,$M$1)</f>
        <v>0</v>
      </c>
      <c r="P141" s="36">
        <f>_xll.DBRW($C$1,Opening!$G$13,Opening!P$11,$O$1,Opening!$I$13,Opening!$D$13,$P$1,$A141,$B141,$M$1)</f>
        <v>0</v>
      </c>
      <c r="Q141" s="36">
        <f>_xll.DBRW($C$1,Q$15,$Q$16,$O$1,Opening!$I$13,Opening!$D$13,$P$1,$A141,$B141,$M$1)</f>
        <v>0</v>
      </c>
      <c r="R141" s="36">
        <f>_xll.DBRW($C$1,R$15,$Q$16,$O$1,Opening!$I$13,Opening!$D$13,$P$1,$A141,$B141,$M$1)</f>
        <v>0</v>
      </c>
      <c r="S141" s="36">
        <f>_xll.DBRW($C$1,S$15,$Q$16,$O$1,Opening!$I$13,Opening!$D$13,$P$1,$A141,$B141,$M$1)</f>
        <v>0</v>
      </c>
      <c r="T141" s="36">
        <f>_xll.DBRW($C$1,T$15,$Q$16,$O$1,Opening!$I$13,Opening!$D$13,$P$1,$A141,$B141,$M$1)</f>
        <v>0</v>
      </c>
      <c r="U141" s="36">
        <f>_xll.DBRW($C$1,U$15,$Q$16,$O$1,Opening!$I$13,Opening!$D$13,$P$1,$A141,$B141,$M$1)</f>
        <v>0</v>
      </c>
      <c r="V141"/>
      <c r="W141"/>
      <c r="X141"/>
      <c r="Y141"/>
      <c r="Z141"/>
    </row>
    <row r="142" spans="1:26" ht="22.8">
      <c r="A142" s="68" t="s">
        <v>364</v>
      </c>
      <c r="B142" s="29" t="s">
        <v>49</v>
      </c>
      <c r="C142" s="37" t="s">
        <v>152</v>
      </c>
      <c r="D142" s="37" t="s">
        <v>49</v>
      </c>
      <c r="E142" s="36">
        <f>_xll.DBRW($C$1,Opening!$G$13,Opening!E$11,$O$1,Opening!$I$13,Opening!$D$13,$P$1,$A142,$B142,$M$1)</f>
        <v>0</v>
      </c>
      <c r="F142" s="36">
        <f>_xll.DBRW($C$1,Opening!$G$13,Opening!F$11,$O$1,Opening!$I$13,Opening!$D$13,$P$1,$A142,$B142,$M$1)</f>
        <v>0</v>
      </c>
      <c r="G142" s="36">
        <f>_xll.DBRW($C$1,Opening!$G$13,Opening!G$11,$O$1,Opening!$I$13,Opening!$D$13,$P$1,$A142,$B142,$M$1)</f>
        <v>0</v>
      </c>
      <c r="H142" s="36">
        <f>_xll.DBRW($C$1,Opening!$G$13,Opening!H$11,$O$1,Opening!$I$13,Opening!$D$13,$P$1,$A142,$B142,$M$1)</f>
        <v>0</v>
      </c>
      <c r="I142" s="36">
        <f>_xll.DBRW($C$1,Opening!$G$13,Opening!I$11,$O$1,Opening!$I$13,Opening!$D$13,$P$1,$A142,$B142,$M$1)</f>
        <v>0</v>
      </c>
      <c r="J142" s="36">
        <f>_xll.DBRW($C$1,Opening!$G$13,Opening!J$11,$O$1,Opening!$I$13,Opening!$D$13,$P$1,$A142,$B142,$M$1)</f>
        <v>0</v>
      </c>
      <c r="K142" s="36">
        <f>_xll.DBRW($C$1,Opening!$G$13,Opening!K$11,$O$1,Opening!$I$13,Opening!$D$13,$P$1,$A142,$B142,$M$1)</f>
        <v>0</v>
      </c>
      <c r="L142" s="36">
        <f>_xll.DBRW($C$1,Opening!$G$13,Opening!L$11,$O$1,Opening!$I$13,Opening!$D$13,$P$1,$A142,$B142,$M$1)</f>
        <v>0</v>
      </c>
      <c r="M142" s="36">
        <f>_xll.DBRW($C$1,Opening!$G$13,Opening!M$11,$O$1,Opening!$I$13,Opening!$D$13,$P$1,$A142,$B142,$M$1)</f>
        <v>0</v>
      </c>
      <c r="N142" s="36">
        <f>_xll.DBRW($C$1,Opening!$G$13,Opening!N$11,$O$1,Opening!$I$13,Opening!$D$13,$P$1,$A142,$B142,$M$1)</f>
        <v>0</v>
      </c>
      <c r="O142" s="36">
        <f>_xll.DBRW($C$1,Opening!$G$13,Opening!O$11,$O$1,Opening!$I$13,Opening!$D$13,$P$1,$A142,$B142,$M$1)</f>
        <v>0</v>
      </c>
      <c r="P142" s="36">
        <f>_xll.DBRW($C$1,Opening!$G$13,Opening!P$11,$O$1,Opening!$I$13,Opening!$D$13,$P$1,$A142,$B142,$M$1)</f>
        <v>0</v>
      </c>
      <c r="Q142" s="36">
        <f>_xll.DBRW($C$1,Q$15,$Q$16,$O$1,Opening!$I$13,Opening!$D$13,$P$1,$A142,$B142,$M$1)</f>
        <v>0</v>
      </c>
      <c r="R142" s="36">
        <f>_xll.DBRW($C$1,R$15,$Q$16,$O$1,Opening!$I$13,Opening!$D$13,$P$1,$A142,$B142,$M$1)</f>
        <v>0</v>
      </c>
      <c r="S142" s="36">
        <f>_xll.DBRW($C$1,S$15,$Q$16,$O$1,Opening!$I$13,Opening!$D$13,$P$1,$A142,$B142,$M$1)</f>
        <v>0</v>
      </c>
      <c r="T142" s="36">
        <f>_xll.DBRW($C$1,T$15,$Q$16,$O$1,Opening!$I$13,Opening!$D$13,$P$1,$A142,$B142,$M$1)</f>
        <v>0</v>
      </c>
      <c r="U142" s="36">
        <f>_xll.DBRW($C$1,U$15,$Q$16,$O$1,Opening!$I$13,Opening!$D$13,$P$1,$A142,$B142,$M$1)</f>
        <v>0</v>
      </c>
      <c r="V142"/>
      <c r="W142"/>
      <c r="X142"/>
      <c r="Y142"/>
      <c r="Z142"/>
    </row>
    <row r="143" spans="1:26" ht="22.8">
      <c r="A143" s="68" t="s">
        <v>365</v>
      </c>
      <c r="C143" s="42" t="s">
        <v>153</v>
      </c>
      <c r="D143" s="42" t="s">
        <v>257</v>
      </c>
      <c r="E143" s="40">
        <f>_xll.DBRW($C$1,Opening!$G$13,Opening!E$11,$O$1,Opening!$I$13,Opening!$D$13,$P$2,$A143,$D143,$M$1)</f>
        <v>0</v>
      </c>
      <c r="F143" s="40">
        <f>_xll.DBRW($C$1,Opening!$G$13,Opening!F$11,$O$1,Opening!$I$13,Opening!$D$13,$P$2,$A143,$D143,$M$1)</f>
        <v>0</v>
      </c>
      <c r="G143" s="40">
        <f>_xll.DBRW($C$1,Opening!$G$13,Opening!G$11,$O$1,Opening!$I$13,Opening!$D$13,$P$2,$A143,$D143,$M$1)</f>
        <v>0</v>
      </c>
      <c r="H143" s="40">
        <f>_xll.DBRW($C$1,Opening!$G$13,Opening!H$11,$O$1,Opening!$I$13,Opening!$D$13,$P$2,$A143,$D143,$M$1)</f>
        <v>0</v>
      </c>
      <c r="I143" s="40">
        <f>_xll.DBRW($C$1,Opening!$G$13,Opening!I$11,$O$1,Opening!$I$13,Opening!$D$13,$P$2,$A143,$D143,$M$1)</f>
        <v>0</v>
      </c>
      <c r="J143" s="40">
        <f>_xll.DBRW($C$1,Opening!$G$13,Opening!J$11,$O$1,Opening!$I$13,Opening!$D$13,$P$2,$A143,$D143,$M$1)</f>
        <v>0</v>
      </c>
      <c r="K143" s="40">
        <f>_xll.DBRW($C$1,Opening!$G$13,Opening!K$11,$O$1,Opening!$I$13,Opening!$D$13,$P$2,$A143,$D143,$M$1)</f>
        <v>0</v>
      </c>
      <c r="L143" s="40">
        <f>_xll.DBRW($C$1,Opening!$G$13,Opening!L$11,$O$1,Opening!$I$13,Opening!$D$13,$P$2,$A143,$D143,$M$1)</f>
        <v>0</v>
      </c>
      <c r="M143" s="40">
        <f>_xll.DBRW($C$1,Opening!$G$13,Opening!M$11,$O$1,Opening!$I$13,Opening!$D$13,$P$2,$A143,$D143,$M$1)</f>
        <v>0</v>
      </c>
      <c r="N143" s="40">
        <f>_xll.DBRW($C$1,Opening!$G$13,Opening!N$11,$O$1,Opening!$I$13,Opening!$D$13,$P$2,$A143,$D143,$M$1)</f>
        <v>0</v>
      </c>
      <c r="O143" s="40">
        <f>_xll.DBRW($C$1,Opening!$G$13,Opening!O$11,$O$1,Opening!$I$13,Opening!$D$13,$P$2,$A143,$D143,$M$1)</f>
        <v>0</v>
      </c>
      <c r="P143" s="40">
        <f>_xll.DBRW($C$1,Opening!$G$13,Opening!P$11,$O$1,Opening!$I$13,Opening!$D$13,$P$2,$A143,$D143,$M$1)</f>
        <v>0</v>
      </c>
      <c r="Q143" s="40">
        <f>_xll.DBRW($C$1,Q$37,$Q$16,$O$1,Opening!$I$13,Opening!$D$13,$P$1,$A143,$D143,$M$1)</f>
        <v>0</v>
      </c>
      <c r="R143" s="40">
        <f>_xll.DBRW($C$1,R$37,$Q$16,$O$1,Opening!$I$13,Opening!$D$13,$P$1,$A143,$D143,$M$1)</f>
        <v>0</v>
      </c>
      <c r="S143" s="40">
        <f>_xll.DBRW($C$1,S$37,$Q$16,$O$1,Opening!$I$13,Opening!$D$13,$P$1,$A143,$D143,$M$1)</f>
        <v>0</v>
      </c>
      <c r="T143" s="40">
        <f>_xll.DBRW($C$1,T$37,$Q$16,$O$1,Opening!$I$13,Opening!$D$13,$P$1,$A143,$D143,$M$1)</f>
        <v>0</v>
      </c>
      <c r="U143" s="40">
        <f>_xll.DBRW($C$1,U$37,$Q$16,$O$1,Opening!$I$13,Opening!$D$13,$P$1,$A143,$D143,$M$1)</f>
        <v>0</v>
      </c>
      <c r="V143"/>
      <c r="W143"/>
      <c r="X143"/>
      <c r="Y143"/>
      <c r="Z143"/>
    </row>
    <row r="144" spans="1:26" ht="22.8">
      <c r="A144" s="68" t="s">
        <v>365</v>
      </c>
      <c r="B144" s="29" t="s">
        <v>366</v>
      </c>
      <c r="C144" s="37" t="s">
        <v>153</v>
      </c>
      <c r="D144" s="37" t="s">
        <v>220</v>
      </c>
      <c r="E144" s="36">
        <f>_xll.DBRW($C$1,Opening!$G$13,Opening!E$11,$O$1,Opening!$I$13,Opening!$D$13,$P$1,$A144,$B144,$M$1)</f>
        <v>0</v>
      </c>
      <c r="F144" s="36">
        <f>_xll.DBRW($C$1,Opening!$G$13,Opening!F$11,$O$1,Opening!$I$13,Opening!$D$13,$P$1,$A144,$B144,$M$1)</f>
        <v>0</v>
      </c>
      <c r="G144" s="36">
        <f>_xll.DBRW($C$1,Opening!$G$13,Opening!G$11,$O$1,Opening!$I$13,Opening!$D$13,$P$1,$A144,$B144,$M$1)</f>
        <v>0</v>
      </c>
      <c r="H144" s="36">
        <f>_xll.DBRW($C$1,Opening!$G$13,Opening!H$11,$O$1,Opening!$I$13,Opening!$D$13,$P$1,$A144,$B144,$M$1)</f>
        <v>0</v>
      </c>
      <c r="I144" s="36">
        <f>_xll.DBRW($C$1,Opening!$G$13,Opening!I$11,$O$1,Opening!$I$13,Opening!$D$13,$P$1,$A144,$B144,$M$1)</f>
        <v>0</v>
      </c>
      <c r="J144" s="36">
        <f>_xll.DBRW($C$1,Opening!$G$13,Opening!J$11,$O$1,Opening!$I$13,Opening!$D$13,$P$1,$A144,$B144,$M$1)</f>
        <v>0</v>
      </c>
      <c r="K144" s="36">
        <f>_xll.DBRW($C$1,Opening!$G$13,Opening!K$11,$O$1,Opening!$I$13,Opening!$D$13,$P$1,$A144,$B144,$M$1)</f>
        <v>0</v>
      </c>
      <c r="L144" s="36">
        <f>_xll.DBRW($C$1,Opening!$G$13,Opening!L$11,$O$1,Opening!$I$13,Opening!$D$13,$P$1,$A144,$B144,$M$1)</f>
        <v>0</v>
      </c>
      <c r="M144" s="36">
        <f>_xll.DBRW($C$1,Opening!$G$13,Opening!M$11,$O$1,Opening!$I$13,Opening!$D$13,$P$1,$A144,$B144,$M$1)</f>
        <v>0</v>
      </c>
      <c r="N144" s="36">
        <f>_xll.DBRW($C$1,Opening!$G$13,Opening!N$11,$O$1,Opening!$I$13,Opening!$D$13,$P$1,$A144,$B144,$M$1)</f>
        <v>0</v>
      </c>
      <c r="O144" s="36">
        <f>_xll.DBRW($C$1,Opening!$G$13,Opening!O$11,$O$1,Opening!$I$13,Opening!$D$13,$P$1,$A144,$B144,$M$1)</f>
        <v>0</v>
      </c>
      <c r="P144" s="36">
        <f>_xll.DBRW($C$1,Opening!$G$13,Opening!P$11,$O$1,Opening!$I$13,Opening!$D$13,$P$1,$A144,$B144,$M$1)</f>
        <v>0</v>
      </c>
      <c r="Q144" s="36">
        <f>_xll.DBRW($C$1,Q$15,$Q$16,$O$1,Opening!$I$13,Opening!$D$13,$P$1,$A144,$B144,$M$1)</f>
        <v>0</v>
      </c>
      <c r="R144" s="36">
        <f>_xll.DBRW($C$1,R$15,$Q$16,$O$1,Opening!$I$13,Opening!$D$13,$P$1,$A144,$B144,$M$1)</f>
        <v>0</v>
      </c>
      <c r="S144" s="36">
        <f>_xll.DBRW($C$1,S$15,$Q$16,$O$1,Opening!$I$13,Opening!$D$13,$P$1,$A144,$B144,$M$1)</f>
        <v>0</v>
      </c>
      <c r="T144" s="36">
        <f>_xll.DBRW($C$1,T$15,$Q$16,$O$1,Opening!$I$13,Opening!$D$13,$P$1,$A144,$B144,$M$1)</f>
        <v>0</v>
      </c>
      <c r="U144" s="36">
        <f>_xll.DBRW($C$1,U$15,$Q$16,$O$1,Opening!$I$13,Opening!$D$13,$P$1,$A144,$B144,$M$1)</f>
        <v>0</v>
      </c>
      <c r="V144"/>
      <c r="W144"/>
      <c r="X144"/>
      <c r="Y144"/>
      <c r="Z144"/>
    </row>
    <row r="145" spans="1:27" ht="22.8">
      <c r="A145" s="68" t="s">
        <v>365</v>
      </c>
      <c r="B145" s="29" t="s">
        <v>367</v>
      </c>
      <c r="C145" s="37" t="s">
        <v>153</v>
      </c>
      <c r="D145" s="37" t="s">
        <v>221</v>
      </c>
      <c r="E145" s="36">
        <f>_xll.DBRW($C$1,Opening!$G$13,Opening!E$11,$O$1,Opening!$I$13,Opening!$D$13,$P$1,Opening!$C145,$D145,$M$1)</f>
        <v>0</v>
      </c>
      <c r="F145" s="36">
        <f>_xll.DBRW($C$1,Opening!$G$13,Opening!F$11,$O$1,Opening!$I$13,Opening!$D$13,$P$1,Opening!$C145,$D145,$M$1)</f>
        <v>0</v>
      </c>
      <c r="G145" s="36">
        <f>_xll.DBRW($C$1,Opening!$G$13,Opening!G$11,$O$1,Opening!$I$13,Opening!$D$13,$P$1,Opening!$C145,$D145,$M$1)</f>
        <v>0</v>
      </c>
      <c r="H145" s="36">
        <f>_xll.DBRW($C$1,Opening!$G$13,Opening!H$11,$O$1,Opening!$I$13,Opening!$D$13,$P$1,Opening!$C145,$D145,$M$1)</f>
        <v>0</v>
      </c>
      <c r="I145" s="36">
        <f>_xll.DBRW($C$1,Opening!$G$13,Opening!I$11,$O$1,Opening!$I$13,Opening!$D$13,$P$1,Opening!$C145,$D145,$M$1)</f>
        <v>0</v>
      </c>
      <c r="J145" s="36">
        <f>_xll.DBRW($C$1,Opening!$G$13,Opening!J$11,$O$1,Opening!$I$13,Opening!$D$13,$P$1,Opening!$C145,$D145,$M$1)</f>
        <v>0</v>
      </c>
      <c r="K145" s="36">
        <f>_xll.DBRW($C$1,Opening!$G$13,Opening!K$11,$O$1,Opening!$I$13,Opening!$D$13,$P$1,Opening!$C145,$D145,$M$1)</f>
        <v>0</v>
      </c>
      <c r="L145" s="36">
        <f>_xll.DBRW($C$1,Opening!$G$13,Opening!L$11,$O$1,Opening!$I$13,Opening!$D$13,$P$1,Opening!$C145,$D145,$M$1)</f>
        <v>0</v>
      </c>
      <c r="M145" s="36">
        <f>_xll.DBRW($C$1,Opening!$G$13,Opening!M$11,$O$1,Opening!$I$13,Opening!$D$13,$P$1,Opening!$C145,$D145,$M$1)</f>
        <v>0</v>
      </c>
      <c r="N145" s="36">
        <f>_xll.DBRW($C$1,Opening!$G$13,Opening!N$11,$O$1,Opening!$I$13,Opening!$D$13,$P$1,Opening!$C145,$D145,$M$1)</f>
        <v>0</v>
      </c>
      <c r="O145" s="36">
        <f>_xll.DBRW($C$1,Opening!$G$13,Opening!O$11,$O$1,Opening!$I$13,Opening!$D$13,$P$1,Opening!$C145,$D145,$M$1)</f>
        <v>0</v>
      </c>
      <c r="P145" s="36">
        <f>_xll.DBRW($C$1,Opening!$G$13,Opening!P$11,$O$1,Opening!$I$13,Opening!$D$13,$P$1,Opening!$C145,$D145,$M$1)</f>
        <v>0</v>
      </c>
      <c r="Q145" s="36">
        <f>_xll.DBRW($C$1,Q$15,$Q$16,$O$1,Opening!$I$13,Opening!$D$13,$P$1,$A145,$B145,$M$1)</f>
        <v>0</v>
      </c>
      <c r="R145" s="36">
        <f>_xll.DBRW($C$1,R$15,$Q$16,$O$1,Opening!$I$13,Opening!$D$13,$P$1,$A145,$B145,$M$1)</f>
        <v>0</v>
      </c>
      <c r="S145" s="36">
        <f>_xll.DBRW($C$1,S$15,$Q$16,$O$1,Opening!$I$13,Opening!$D$13,$P$1,$A145,$B145,$M$1)</f>
        <v>0</v>
      </c>
      <c r="T145" s="36">
        <f>_xll.DBRW($C$1,T$15,$Q$16,$O$1,Opening!$I$13,Opening!$D$13,$P$1,$A145,$B145,$M$1)</f>
        <v>0</v>
      </c>
      <c r="U145" s="36">
        <f>_xll.DBRW($C$1,U$15,$Q$16,$O$1,Opening!$I$13,Opening!$D$13,$P$1,$A145,$B145,$M$1)</f>
        <v>0</v>
      </c>
      <c r="V145"/>
      <c r="W145"/>
      <c r="X145"/>
      <c r="Y145"/>
      <c r="Z145"/>
    </row>
    <row r="146" spans="1:27" ht="22.8">
      <c r="A146" s="68" t="s">
        <v>365</v>
      </c>
      <c r="B146" s="29" t="s">
        <v>368</v>
      </c>
      <c r="C146" s="37" t="s">
        <v>153</v>
      </c>
      <c r="D146" s="37" t="s">
        <v>222</v>
      </c>
      <c r="E146" s="36">
        <f>_xll.DBRW($C$1,Opening!$G$13,Opening!E$11,$O$1,Opening!$I$13,Opening!$D$13,$P$1,$A146,$B146,$M$1)</f>
        <v>0</v>
      </c>
      <c r="F146" s="36">
        <f>_xll.DBRW($C$1,Opening!$G$13,Opening!F$11,$O$1,Opening!$I$13,Opening!$D$13,$P$1,$A146,$B146,$M$1)</f>
        <v>0</v>
      </c>
      <c r="G146" s="36">
        <f>_xll.DBRW($C$1,Opening!$G$13,Opening!G$11,$O$1,Opening!$I$13,Opening!$D$13,$P$1,$A146,$B146,$M$1)</f>
        <v>0</v>
      </c>
      <c r="H146" s="36">
        <f>_xll.DBRW($C$1,Opening!$G$13,Opening!H$11,$O$1,Opening!$I$13,Opening!$D$13,$P$1,$A146,$B146,$M$1)</f>
        <v>0</v>
      </c>
      <c r="I146" s="36">
        <f>_xll.DBRW($C$1,Opening!$G$13,Opening!I$11,$O$1,Opening!$I$13,Opening!$D$13,$P$1,$A146,$B146,$M$1)</f>
        <v>0</v>
      </c>
      <c r="J146" s="36">
        <f>_xll.DBRW($C$1,Opening!$G$13,Opening!J$11,$O$1,Opening!$I$13,Opening!$D$13,$P$1,$A146,$B146,$M$1)</f>
        <v>0</v>
      </c>
      <c r="K146" s="36">
        <f>_xll.DBRW($C$1,Opening!$G$13,Opening!K$11,$O$1,Opening!$I$13,Opening!$D$13,$P$1,$A146,$B146,$M$1)</f>
        <v>0</v>
      </c>
      <c r="L146" s="36">
        <f>_xll.DBRW($C$1,Opening!$G$13,Opening!L$11,$O$1,Opening!$I$13,Opening!$D$13,$P$1,$A146,$B146,$M$1)</f>
        <v>0</v>
      </c>
      <c r="M146" s="36">
        <f>_xll.DBRW($C$1,Opening!$G$13,Opening!M$11,$O$1,Opening!$I$13,Opening!$D$13,$P$1,$A146,$B146,$M$1)</f>
        <v>0</v>
      </c>
      <c r="N146" s="36">
        <f>_xll.DBRW($C$1,Opening!$G$13,Opening!N$11,$O$1,Opening!$I$13,Opening!$D$13,$P$1,$A146,$B146,$M$1)</f>
        <v>0</v>
      </c>
      <c r="O146" s="36">
        <f>_xll.DBRW($C$1,Opening!$G$13,Opening!O$11,$O$1,Opening!$I$13,Opening!$D$13,$P$1,$A146,$B146,$M$1)</f>
        <v>0</v>
      </c>
      <c r="P146" s="36">
        <f>_xll.DBRW($C$1,Opening!$G$13,Opening!P$11,$O$1,Opening!$I$13,Opening!$D$13,$P$1,$A146,$B146,$M$1)</f>
        <v>0</v>
      </c>
      <c r="Q146" s="36">
        <f>_xll.DBRW($C$1,Q$15,$Q$16,$O$1,Opening!$I$13,Opening!$D$13,$P$1,$A146,$B146,$M$1)</f>
        <v>0</v>
      </c>
      <c r="R146" s="36">
        <f>_xll.DBRW($C$1,R$15,$Q$16,$O$1,Opening!$I$13,Opening!$D$13,$P$1,$A146,$B146,$M$1)</f>
        <v>0</v>
      </c>
      <c r="S146" s="36">
        <f>_xll.DBRW($C$1,S$15,$Q$16,$O$1,Opening!$I$13,Opening!$D$13,$P$1,$A146,$B146,$M$1)</f>
        <v>0</v>
      </c>
      <c r="T146" s="36">
        <f>_xll.DBRW($C$1,T$15,$Q$16,$O$1,Opening!$I$13,Opening!$D$13,$P$1,$A146,$B146,$M$1)</f>
        <v>0</v>
      </c>
      <c r="U146" s="36">
        <f>_xll.DBRW($C$1,U$15,$Q$16,$O$1,Opening!$I$13,Opening!$D$13,$P$1,$A146,$B146,$M$1)</f>
        <v>0</v>
      </c>
      <c r="V146"/>
      <c r="W146"/>
      <c r="X146"/>
      <c r="Y146"/>
      <c r="Z146"/>
    </row>
    <row r="147" spans="1:27" ht="22.8">
      <c r="A147" s="68" t="s">
        <v>365</v>
      </c>
      <c r="B147" s="29" t="s">
        <v>369</v>
      </c>
      <c r="C147" s="37" t="s">
        <v>153</v>
      </c>
      <c r="D147" s="37" t="s">
        <v>223</v>
      </c>
      <c r="E147" s="36">
        <f>_xll.DBRW($C$1,Opening!$G$13,Opening!E$11,$O$1,Opening!$I$13,Opening!$D$13,$P$1,$A147,$B147,$M$1)</f>
        <v>0</v>
      </c>
      <c r="F147" s="36">
        <f>_xll.DBRW($C$1,Opening!$G$13,Opening!F$11,$O$1,Opening!$I$13,Opening!$D$13,$P$1,$A147,$B147,$M$1)</f>
        <v>0</v>
      </c>
      <c r="G147" s="36">
        <f>_xll.DBRW($C$1,Opening!$G$13,Opening!G$11,$O$1,Opening!$I$13,Opening!$D$13,$P$1,$A147,$B147,$M$1)</f>
        <v>0</v>
      </c>
      <c r="H147" s="36">
        <f>_xll.DBRW($C$1,Opening!$G$13,Opening!H$11,$O$1,Opening!$I$13,Opening!$D$13,$P$1,$A147,$B147,$M$1)</f>
        <v>0</v>
      </c>
      <c r="I147" s="36">
        <f>_xll.DBRW($C$1,Opening!$G$13,Opening!I$11,$O$1,Opening!$I$13,Opening!$D$13,$P$1,$A147,$B147,$M$1)</f>
        <v>0</v>
      </c>
      <c r="J147" s="36">
        <f>_xll.DBRW($C$1,Opening!$G$13,Opening!J$11,$O$1,Opening!$I$13,Opening!$D$13,$P$1,$A147,$B147,$M$1)</f>
        <v>0</v>
      </c>
      <c r="K147" s="36">
        <f>_xll.DBRW($C$1,Opening!$G$13,Opening!K$11,$O$1,Opening!$I$13,Opening!$D$13,$P$1,$A147,$B147,$M$1)</f>
        <v>0</v>
      </c>
      <c r="L147" s="36">
        <f>_xll.DBRW($C$1,Opening!$G$13,Opening!L$11,$O$1,Opening!$I$13,Opening!$D$13,$P$1,$A147,$B147,$M$1)</f>
        <v>0</v>
      </c>
      <c r="M147" s="36">
        <f>_xll.DBRW($C$1,Opening!$G$13,Opening!M$11,$O$1,Opening!$I$13,Opening!$D$13,$P$1,$A147,$B147,$M$1)</f>
        <v>0</v>
      </c>
      <c r="N147" s="36">
        <f>_xll.DBRW($C$1,Opening!$G$13,Opening!N$11,$O$1,Opening!$I$13,Opening!$D$13,$P$1,$A147,$B147,$M$1)</f>
        <v>0</v>
      </c>
      <c r="O147" s="36">
        <f>_xll.DBRW($C$1,Opening!$G$13,Opening!O$11,$O$1,Opening!$I$13,Opening!$D$13,$P$1,$A147,$B147,$M$1)</f>
        <v>0</v>
      </c>
      <c r="P147" s="36">
        <f>_xll.DBRW($C$1,Opening!$G$13,Opening!P$11,$O$1,Opening!$I$13,Opening!$D$13,$P$1,$A147,$B147,$M$1)</f>
        <v>0</v>
      </c>
      <c r="Q147" s="36">
        <f>_xll.DBRW($C$1,Q$15,$Q$16,$O$1,Opening!$I$13,Opening!$D$13,$P$1,$A147,$B147,$M$1)</f>
        <v>0</v>
      </c>
      <c r="R147" s="36">
        <f>_xll.DBRW($C$1,R$15,$Q$16,$O$1,Opening!$I$13,Opening!$D$13,$P$1,$A147,$B147,$M$1)</f>
        <v>0</v>
      </c>
      <c r="S147" s="36">
        <f>_xll.DBRW($C$1,S$15,$Q$16,$O$1,Opening!$I$13,Opening!$D$13,$P$1,$A147,$B147,$M$1)</f>
        <v>0</v>
      </c>
      <c r="T147" s="36">
        <f>_xll.DBRW($C$1,T$15,$Q$16,$O$1,Opening!$I$13,Opening!$D$13,$P$1,$A147,$B147,$M$1)</f>
        <v>0</v>
      </c>
      <c r="U147" s="36">
        <f>_xll.DBRW($C$1,U$15,$Q$16,$O$1,Opening!$I$13,Opening!$D$13,$P$1,$A147,$B147,$M$1)</f>
        <v>0</v>
      </c>
      <c r="V147"/>
      <c r="W147"/>
      <c r="X147"/>
      <c r="Y147"/>
      <c r="Z147"/>
    </row>
    <row r="148" spans="1:27" ht="22.8">
      <c r="A148" s="68" t="s">
        <v>365</v>
      </c>
      <c r="B148" s="29" t="s">
        <v>370</v>
      </c>
      <c r="C148" s="37" t="s">
        <v>153</v>
      </c>
      <c r="D148" s="37" t="s">
        <v>224</v>
      </c>
      <c r="E148" s="36">
        <f>_xll.DBRW($C$1,Opening!$G$13,Opening!E$11,$O$1,Opening!$I$13,Opening!$D$13,$P$1,$A148,$B148,$M$1)</f>
        <v>0</v>
      </c>
      <c r="F148" s="36">
        <f>_xll.DBRW($C$1,Opening!$G$13,Opening!F$11,$O$1,Opening!$I$13,Opening!$D$13,$P$1,$A148,$B148,$M$1)</f>
        <v>0</v>
      </c>
      <c r="G148" s="36">
        <f>_xll.DBRW($C$1,Opening!$G$13,Opening!G$11,$O$1,Opening!$I$13,Opening!$D$13,$P$1,$A148,$B148,$M$1)</f>
        <v>0</v>
      </c>
      <c r="H148" s="36">
        <f>_xll.DBRW($C$1,Opening!$G$13,Opening!H$11,$O$1,Opening!$I$13,Opening!$D$13,$P$1,$A148,$B148,$M$1)</f>
        <v>0</v>
      </c>
      <c r="I148" s="36">
        <f>_xll.DBRW($C$1,Opening!$G$13,Opening!I$11,$O$1,Opening!$I$13,Opening!$D$13,$P$1,$A148,$B148,$M$1)</f>
        <v>0</v>
      </c>
      <c r="J148" s="36">
        <f>_xll.DBRW($C$1,Opening!$G$13,Opening!J$11,$O$1,Opening!$I$13,Opening!$D$13,$P$1,$A148,$B148,$M$1)</f>
        <v>0</v>
      </c>
      <c r="K148" s="36">
        <f>_xll.DBRW($C$1,Opening!$G$13,Opening!K$11,$O$1,Opening!$I$13,Opening!$D$13,$P$1,$A148,$B148,$M$1)</f>
        <v>0</v>
      </c>
      <c r="L148" s="36">
        <f>_xll.DBRW($C$1,Opening!$G$13,Opening!L$11,$O$1,Opening!$I$13,Opening!$D$13,$P$1,$A148,$B148,$M$1)</f>
        <v>0</v>
      </c>
      <c r="M148" s="36">
        <f>_xll.DBRW($C$1,Opening!$G$13,Opening!M$11,$O$1,Opening!$I$13,Opening!$D$13,$P$1,$A148,$B148,$M$1)</f>
        <v>0</v>
      </c>
      <c r="N148" s="36">
        <f>_xll.DBRW($C$1,Opening!$G$13,Opening!N$11,$O$1,Opening!$I$13,Opening!$D$13,$P$1,$A148,$B148,$M$1)</f>
        <v>0</v>
      </c>
      <c r="O148" s="36">
        <f>_xll.DBRW($C$1,Opening!$G$13,Opening!O$11,$O$1,Opening!$I$13,Opening!$D$13,$P$1,$A148,$B148,$M$1)</f>
        <v>0</v>
      </c>
      <c r="P148" s="36">
        <f>_xll.DBRW($C$1,Opening!$G$13,Opening!P$11,$O$1,Opening!$I$13,Opening!$D$13,$P$1,$A148,$B148,$M$1)</f>
        <v>0</v>
      </c>
      <c r="Q148" s="36">
        <f>_xll.DBRW($C$1,Q$15,$Q$16,$O$1,Opening!$I$13,Opening!$D$13,$P$1,$A148,$B148,$M$1)</f>
        <v>0</v>
      </c>
      <c r="R148" s="36">
        <f>_xll.DBRW($C$1,R$15,$Q$16,$O$1,Opening!$I$13,Opening!$D$13,$P$1,$A148,$B148,$M$1)</f>
        <v>0</v>
      </c>
      <c r="S148" s="36">
        <f>_xll.DBRW($C$1,S$15,$Q$16,$O$1,Opening!$I$13,Opening!$D$13,$P$1,$A148,$B148,$M$1)</f>
        <v>0</v>
      </c>
      <c r="T148" s="36">
        <f>_xll.DBRW($C$1,T$15,$Q$16,$O$1,Opening!$I$13,Opening!$D$13,$P$1,$A148,$B148,$M$1)</f>
        <v>0</v>
      </c>
      <c r="U148" s="36">
        <f>_xll.DBRW($C$1,U$15,$Q$16,$O$1,Opening!$I$13,Opening!$D$13,$P$1,$A148,$B148,$M$1)</f>
        <v>0</v>
      </c>
      <c r="V148"/>
      <c r="W148"/>
      <c r="X148"/>
      <c r="Y148"/>
      <c r="Z148"/>
    </row>
    <row r="149" spans="1:27" ht="22.8">
      <c r="A149" s="68" t="s">
        <v>365</v>
      </c>
      <c r="B149" s="29" t="s">
        <v>371</v>
      </c>
      <c r="C149" s="37" t="s">
        <v>153</v>
      </c>
      <c r="D149" s="37" t="s">
        <v>225</v>
      </c>
      <c r="E149" s="36">
        <f>_xll.DBRW($C$1,Opening!$G$13,Opening!E$11,$O$1,Opening!$I$13,Opening!$D$13,$P$1,$A149,$B149,$M$1)</f>
        <v>0</v>
      </c>
      <c r="F149" s="36">
        <f>_xll.DBRW($C$1,Opening!$G$13,Opening!F$11,$O$1,Opening!$I$13,Opening!$D$13,$P$1,$A149,$B149,$M$1)</f>
        <v>0</v>
      </c>
      <c r="G149" s="36">
        <f>_xll.DBRW($C$1,Opening!$G$13,Opening!G$11,$O$1,Opening!$I$13,Opening!$D$13,$P$1,$A149,$B149,$M$1)</f>
        <v>0</v>
      </c>
      <c r="H149" s="36">
        <f>_xll.DBRW($C$1,Opening!$G$13,Opening!H$11,$O$1,Opening!$I$13,Opening!$D$13,$P$1,$A149,$B149,$M$1)</f>
        <v>0</v>
      </c>
      <c r="I149" s="36">
        <f>_xll.DBRW($C$1,Opening!$G$13,Opening!I$11,$O$1,Opening!$I$13,Opening!$D$13,$P$1,$A149,$B149,$M$1)</f>
        <v>0</v>
      </c>
      <c r="J149" s="36">
        <f>_xll.DBRW($C$1,Opening!$G$13,Opening!J$11,$O$1,Opening!$I$13,Opening!$D$13,$P$1,$A149,$B149,$M$1)</f>
        <v>0</v>
      </c>
      <c r="K149" s="36">
        <f>_xll.DBRW($C$1,Opening!$G$13,Opening!K$11,$O$1,Opening!$I$13,Opening!$D$13,$P$1,$A149,$B149,$M$1)</f>
        <v>0</v>
      </c>
      <c r="L149" s="36">
        <f>_xll.DBRW($C$1,Opening!$G$13,Opening!L$11,$O$1,Opening!$I$13,Opening!$D$13,$P$1,$A149,$B149,$M$1)</f>
        <v>0</v>
      </c>
      <c r="M149" s="36">
        <f>_xll.DBRW($C$1,Opening!$G$13,Opening!M$11,$O$1,Opening!$I$13,Opening!$D$13,$P$1,$A149,$B149,$M$1)</f>
        <v>0</v>
      </c>
      <c r="N149" s="36">
        <f>_xll.DBRW($C$1,Opening!$G$13,Opening!N$11,$O$1,Opening!$I$13,Opening!$D$13,$P$1,$A149,$B149,$M$1)</f>
        <v>0</v>
      </c>
      <c r="O149" s="36">
        <f>_xll.DBRW($C$1,Opening!$G$13,Opening!O$11,$O$1,Opening!$I$13,Opening!$D$13,$P$1,$A149,$B149,$M$1)</f>
        <v>0</v>
      </c>
      <c r="P149" s="36">
        <f>_xll.DBRW($C$1,Opening!$G$13,Opening!P$11,$O$1,Opening!$I$13,Opening!$D$13,$P$1,$A149,$B149,$M$1)</f>
        <v>0</v>
      </c>
      <c r="Q149" s="36">
        <f>_xll.DBRW($C$1,Q$15,$Q$16,$O$1,Opening!$I$13,Opening!$D$13,$P$1,$A149,$B149,$M$1)</f>
        <v>0</v>
      </c>
      <c r="R149" s="36">
        <f>_xll.DBRW($C$1,R$15,$Q$16,$O$1,Opening!$I$13,Opening!$D$13,$P$1,$A149,$B149,$M$1)</f>
        <v>0</v>
      </c>
      <c r="S149" s="36">
        <f>_xll.DBRW($C$1,S$15,$Q$16,$O$1,Opening!$I$13,Opening!$D$13,$P$1,$A149,$B149,$M$1)</f>
        <v>0</v>
      </c>
      <c r="T149" s="36">
        <f>_xll.DBRW($C$1,T$15,$Q$16,$O$1,Opening!$I$13,Opening!$D$13,$P$1,$A149,$B149,$M$1)</f>
        <v>0</v>
      </c>
      <c r="U149" s="36">
        <f>_xll.DBRW($C$1,U$15,$Q$16,$O$1,Opening!$I$13,Opening!$D$13,$P$1,$A149,$B149,$M$1)</f>
        <v>0</v>
      </c>
      <c r="V149"/>
      <c r="W149"/>
      <c r="X149"/>
      <c r="Y149"/>
      <c r="Z149"/>
    </row>
    <row r="150" spans="1:27" ht="22.8">
      <c r="A150" s="68" t="s">
        <v>365</v>
      </c>
      <c r="B150" s="29" t="s">
        <v>372</v>
      </c>
      <c r="C150" s="37" t="s">
        <v>153</v>
      </c>
      <c r="D150" s="37" t="s">
        <v>226</v>
      </c>
      <c r="E150" s="36">
        <f>_xll.DBRW($C$1,Opening!$G$13,Opening!E$11,$O$1,Opening!$I$13,Opening!$D$13,$P$1,$A150,$B150,$M$1)</f>
        <v>0</v>
      </c>
      <c r="F150" s="36">
        <f>_xll.DBRW($C$1,Opening!$G$13,Opening!F$11,$O$1,Opening!$I$13,Opening!$D$13,$P$1,$A150,$B150,$M$1)</f>
        <v>0</v>
      </c>
      <c r="G150" s="36">
        <f>_xll.DBRW($C$1,Opening!$G$13,Opening!G$11,$O$1,Opening!$I$13,Opening!$D$13,$P$1,$A150,$B150,$M$1)</f>
        <v>0</v>
      </c>
      <c r="H150" s="36">
        <f>_xll.DBRW($C$1,Opening!$G$13,Opening!H$11,$O$1,Opening!$I$13,Opening!$D$13,$P$1,$A150,$B150,$M$1)</f>
        <v>0</v>
      </c>
      <c r="I150" s="36">
        <f>_xll.DBRW($C$1,Opening!$G$13,Opening!I$11,$O$1,Opening!$I$13,Opening!$D$13,$P$1,$A150,$B150,$M$1)</f>
        <v>0</v>
      </c>
      <c r="J150" s="36">
        <f>_xll.DBRW($C$1,Opening!$G$13,Opening!J$11,$O$1,Opening!$I$13,Opening!$D$13,$P$1,$A150,$B150,$M$1)</f>
        <v>0</v>
      </c>
      <c r="K150" s="36">
        <f>_xll.DBRW($C$1,Opening!$G$13,Opening!K$11,$O$1,Opening!$I$13,Opening!$D$13,$P$1,$A150,$B150,$M$1)</f>
        <v>0</v>
      </c>
      <c r="L150" s="36">
        <f>_xll.DBRW($C$1,Opening!$G$13,Opening!L$11,$O$1,Opening!$I$13,Opening!$D$13,$P$1,$A150,$B150,$M$1)</f>
        <v>0</v>
      </c>
      <c r="M150" s="36">
        <f>_xll.DBRW($C$1,Opening!$G$13,Opening!M$11,$O$1,Opening!$I$13,Opening!$D$13,$P$1,$A150,$B150,$M$1)</f>
        <v>0</v>
      </c>
      <c r="N150" s="36">
        <f>_xll.DBRW($C$1,Opening!$G$13,Opening!N$11,$O$1,Opening!$I$13,Opening!$D$13,$P$1,$A150,$B150,$M$1)</f>
        <v>0</v>
      </c>
      <c r="O150" s="36">
        <f>_xll.DBRW($C$1,Opening!$G$13,Opening!O$11,$O$1,Opening!$I$13,Opening!$D$13,$P$1,$A150,$B150,$M$1)</f>
        <v>0</v>
      </c>
      <c r="P150" s="36">
        <f>_xll.DBRW($C$1,Opening!$G$13,Opening!P$11,$O$1,Opening!$I$13,Opening!$D$13,$P$1,$A150,$B150,$M$1)</f>
        <v>0</v>
      </c>
      <c r="Q150" s="36">
        <f>_xll.DBRW($C$1,Q$15,$Q$16,$O$1,Opening!$I$13,Opening!$D$13,$P$1,$A150,$B150,$M$1)</f>
        <v>0</v>
      </c>
      <c r="R150" s="36">
        <f>_xll.DBRW($C$1,R$15,$Q$16,$O$1,Opening!$I$13,Opening!$D$13,$P$1,$A150,$B150,$M$1)</f>
        <v>0</v>
      </c>
      <c r="S150" s="36">
        <f>_xll.DBRW($C$1,S$15,$Q$16,$O$1,Opening!$I$13,Opening!$D$13,$P$1,$A150,$B150,$M$1)</f>
        <v>0</v>
      </c>
      <c r="T150" s="36">
        <f>_xll.DBRW($C$1,T$15,$Q$16,$O$1,Opening!$I$13,Opening!$D$13,$P$1,$A150,$B150,$M$1)</f>
        <v>0</v>
      </c>
      <c r="U150" s="36">
        <f>_xll.DBRW($C$1,U$15,$Q$16,$O$1,Opening!$I$13,Opening!$D$13,$P$1,$A150,$B150,$M$1)</f>
        <v>0</v>
      </c>
      <c r="V150"/>
      <c r="W150"/>
      <c r="X150"/>
      <c r="Y150"/>
      <c r="Z150"/>
    </row>
    <row r="151" spans="1:27" ht="22.8">
      <c r="A151" s="68" t="s">
        <v>365</v>
      </c>
      <c r="B151" s="29" t="s">
        <v>373</v>
      </c>
      <c r="C151" s="37" t="s">
        <v>153</v>
      </c>
      <c r="D151" s="37" t="s">
        <v>227</v>
      </c>
      <c r="E151" s="36">
        <f>_xll.DBRW($C$1,Opening!$G$13,Opening!E$11,$O$1,Opening!$I$13,Opening!$D$13,$P$1,$A151,$B151,$M$1)</f>
        <v>0</v>
      </c>
      <c r="F151" s="36">
        <f>_xll.DBRW($C$1,Opening!$G$13,Opening!F$11,$O$1,Opening!$I$13,Opening!$D$13,$P$1,$A151,$B151,$M$1)</f>
        <v>0</v>
      </c>
      <c r="G151" s="36">
        <f>_xll.DBRW($C$1,Opening!$G$13,Opening!G$11,$O$1,Opening!$I$13,Opening!$D$13,$P$1,$A151,$B151,$M$1)</f>
        <v>0</v>
      </c>
      <c r="H151" s="36">
        <f>_xll.DBRW($C$1,Opening!$G$13,Opening!H$11,$O$1,Opening!$I$13,Opening!$D$13,$P$1,$A151,$B151,$M$1)</f>
        <v>0</v>
      </c>
      <c r="I151" s="36">
        <f>_xll.DBRW($C$1,Opening!$G$13,Opening!I$11,$O$1,Opening!$I$13,Opening!$D$13,$P$1,$A151,$B151,$M$1)</f>
        <v>0</v>
      </c>
      <c r="J151" s="36">
        <f>_xll.DBRW($C$1,Opening!$G$13,Opening!J$11,$O$1,Opening!$I$13,Opening!$D$13,$P$1,$A151,$B151,$M$1)</f>
        <v>0</v>
      </c>
      <c r="K151" s="36">
        <f>_xll.DBRW($C$1,Opening!$G$13,Opening!K$11,$O$1,Opening!$I$13,Opening!$D$13,$P$1,$A151,$B151,$M$1)</f>
        <v>0</v>
      </c>
      <c r="L151" s="36">
        <f>_xll.DBRW($C$1,Opening!$G$13,Opening!L$11,$O$1,Opening!$I$13,Opening!$D$13,$P$1,$A151,$B151,$M$1)</f>
        <v>0</v>
      </c>
      <c r="M151" s="36">
        <f>_xll.DBRW($C$1,Opening!$G$13,Opening!M$11,$O$1,Opening!$I$13,Opening!$D$13,$P$1,$A151,$B151,$M$1)</f>
        <v>0</v>
      </c>
      <c r="N151" s="36">
        <f>_xll.DBRW($C$1,Opening!$G$13,Opening!N$11,$O$1,Opening!$I$13,Opening!$D$13,$P$1,$A151,$B151,$M$1)</f>
        <v>0</v>
      </c>
      <c r="O151" s="36">
        <f>_xll.DBRW($C$1,Opening!$G$13,Opening!O$11,$O$1,Opening!$I$13,Opening!$D$13,$P$1,$A151,$B151,$M$1)</f>
        <v>0</v>
      </c>
      <c r="P151" s="36">
        <f>_xll.DBRW($C$1,Opening!$G$13,Opening!P$11,$O$1,Opening!$I$13,Opening!$D$13,$P$1,$A151,$B151,$M$1)</f>
        <v>0</v>
      </c>
      <c r="Q151" s="36">
        <f>_xll.DBRW($C$1,Q$15,$Q$16,$O$1,Opening!$I$13,Opening!$D$13,$P$1,$A151,$B151,$M$1)</f>
        <v>0</v>
      </c>
      <c r="R151" s="36">
        <f>_xll.DBRW($C$1,R$15,$Q$16,$O$1,Opening!$I$13,Opening!$D$13,$P$1,$A151,$B151,$M$1)</f>
        <v>0</v>
      </c>
      <c r="S151" s="36">
        <f>_xll.DBRW($C$1,S$15,$Q$16,$O$1,Opening!$I$13,Opening!$D$13,$P$1,$A151,$B151,$M$1)</f>
        <v>0</v>
      </c>
      <c r="T151" s="36">
        <f>_xll.DBRW($C$1,T$15,$Q$16,$O$1,Opening!$I$13,Opening!$D$13,$P$1,$A151,$B151,$M$1)</f>
        <v>0</v>
      </c>
      <c r="U151" s="36">
        <f>_xll.DBRW($C$1,U$15,$Q$16,$O$1,Opening!$I$13,Opening!$D$13,$P$1,$A151,$B151,$M$1)</f>
        <v>0</v>
      </c>
      <c r="V151"/>
      <c r="W151"/>
      <c r="X151"/>
      <c r="Y151"/>
      <c r="Z151"/>
    </row>
    <row r="152" spans="1:27" ht="22.8">
      <c r="A152" s="68" t="s">
        <v>365</v>
      </c>
      <c r="B152" s="29" t="s">
        <v>374</v>
      </c>
      <c r="C152" s="37" t="s">
        <v>153</v>
      </c>
      <c r="D152" s="37" t="s">
        <v>228</v>
      </c>
      <c r="E152" s="36">
        <f>_xll.DBRW($C$1,Opening!$G$13,Opening!E$11,$O$1,Opening!$I$13,Opening!$D$13,$P$1,$A152,$B152,$M$1)</f>
        <v>0</v>
      </c>
      <c r="F152" s="36">
        <f>_xll.DBRW($C$1,Opening!$G$13,Opening!F$11,$O$1,Opening!$I$13,Opening!$D$13,$P$1,$A152,$B152,$M$1)</f>
        <v>0</v>
      </c>
      <c r="G152" s="36">
        <f>_xll.DBRW($C$1,Opening!$G$13,Opening!G$11,$O$1,Opening!$I$13,Opening!$D$13,$P$1,$A152,$B152,$M$1)</f>
        <v>0</v>
      </c>
      <c r="H152" s="36">
        <f>_xll.DBRW($C$1,Opening!$G$13,Opening!H$11,$O$1,Opening!$I$13,Opening!$D$13,$P$1,$A152,$B152,$M$1)</f>
        <v>0</v>
      </c>
      <c r="I152" s="36">
        <f>_xll.DBRW($C$1,Opening!$G$13,Opening!I$11,$O$1,Opening!$I$13,Opening!$D$13,$P$1,$A152,$B152,$M$1)</f>
        <v>0</v>
      </c>
      <c r="J152" s="36">
        <f>_xll.DBRW($C$1,Opening!$G$13,Opening!J$11,$O$1,Opening!$I$13,Opening!$D$13,$P$1,$A152,$B152,$M$1)</f>
        <v>0</v>
      </c>
      <c r="K152" s="36">
        <f>_xll.DBRW($C$1,Opening!$G$13,Opening!K$11,$O$1,Opening!$I$13,Opening!$D$13,$P$1,$A152,$B152,$M$1)</f>
        <v>0</v>
      </c>
      <c r="L152" s="36">
        <f>_xll.DBRW($C$1,Opening!$G$13,Opening!L$11,$O$1,Opening!$I$13,Opening!$D$13,$P$1,$A152,$B152,$M$1)</f>
        <v>0</v>
      </c>
      <c r="M152" s="36">
        <f>_xll.DBRW($C$1,Opening!$G$13,Opening!M$11,$O$1,Opening!$I$13,Opening!$D$13,$P$1,$A152,$B152,$M$1)</f>
        <v>0</v>
      </c>
      <c r="N152" s="36">
        <f>_xll.DBRW($C$1,Opening!$G$13,Opening!N$11,$O$1,Opening!$I$13,Opening!$D$13,$P$1,$A152,$B152,$M$1)</f>
        <v>0</v>
      </c>
      <c r="O152" s="36">
        <f>_xll.DBRW($C$1,Opening!$G$13,Opening!O$11,$O$1,Opening!$I$13,Opening!$D$13,$P$1,$A152,$B152,$M$1)</f>
        <v>0</v>
      </c>
      <c r="P152" s="36">
        <f>_xll.DBRW($C$1,Opening!$G$13,Opening!P$11,$O$1,Opening!$I$13,Opening!$D$13,$P$1,$A152,$B152,$M$1)</f>
        <v>0</v>
      </c>
      <c r="Q152" s="36">
        <f>_xll.DBRW($C$1,Q$15,$Q$16,$O$1,Opening!$I$13,Opening!$D$13,$P$1,$A152,$B152,$M$1)</f>
        <v>0</v>
      </c>
      <c r="R152" s="36">
        <f>_xll.DBRW($C$1,R$15,$Q$16,$O$1,Opening!$I$13,Opening!$D$13,$P$1,$A152,$B152,$M$1)</f>
        <v>0</v>
      </c>
      <c r="S152" s="36">
        <f>_xll.DBRW($C$1,S$15,$Q$16,$O$1,Opening!$I$13,Opening!$D$13,$P$1,$A152,$B152,$M$1)</f>
        <v>0</v>
      </c>
      <c r="T152" s="36">
        <f>_xll.DBRW($C$1,T$15,$Q$16,$O$1,Opening!$I$13,Opening!$D$13,$P$1,$A152,$B152,$M$1)</f>
        <v>0</v>
      </c>
      <c r="U152" s="36">
        <f>_xll.DBRW($C$1,U$15,$Q$16,$O$1,Opening!$I$13,Opening!$D$13,$P$1,$A152,$B152,$M$1)</f>
        <v>0</v>
      </c>
      <c r="V152"/>
      <c r="W152"/>
      <c r="X152"/>
      <c r="Y152"/>
      <c r="Z152"/>
    </row>
    <row r="153" spans="1:27" ht="22.8">
      <c r="A153" s="68" t="s">
        <v>365</v>
      </c>
      <c r="B153" s="29" t="s">
        <v>375</v>
      </c>
      <c r="C153" s="37" t="s">
        <v>153</v>
      </c>
      <c r="D153" s="37" t="s">
        <v>229</v>
      </c>
      <c r="E153" s="36">
        <f>_xll.DBRW($C$1,Opening!$G$13,Opening!E$11,$O$1,Opening!$I$13,Opening!$D$13,$P$1,$A153,$B153,$M$1)</f>
        <v>0</v>
      </c>
      <c r="F153" s="36">
        <f>_xll.DBRW($C$1,Opening!$G$13,Opening!F$11,$O$1,Opening!$I$13,Opening!$D$13,$P$1,$A153,$B153,$M$1)</f>
        <v>0</v>
      </c>
      <c r="G153" s="36">
        <f>_xll.DBRW($C$1,Opening!$G$13,Opening!G$11,$O$1,Opening!$I$13,Opening!$D$13,$P$1,$A153,$B153,$M$1)</f>
        <v>0</v>
      </c>
      <c r="H153" s="36">
        <f>_xll.DBRW($C$1,Opening!$G$13,Opening!H$11,$O$1,Opening!$I$13,Opening!$D$13,$P$1,$A153,$B153,$M$1)</f>
        <v>0</v>
      </c>
      <c r="I153" s="36">
        <f>_xll.DBRW($C$1,Opening!$G$13,Opening!I$11,$O$1,Opening!$I$13,Opening!$D$13,$P$1,$A153,$B153,$M$1)</f>
        <v>0</v>
      </c>
      <c r="J153" s="36">
        <f>_xll.DBRW($C$1,Opening!$G$13,Opening!J$11,$O$1,Opening!$I$13,Opening!$D$13,$P$1,$A153,$B153,$M$1)</f>
        <v>0</v>
      </c>
      <c r="K153" s="36">
        <f>_xll.DBRW($C$1,Opening!$G$13,Opening!K$11,$O$1,Opening!$I$13,Opening!$D$13,$P$1,$A153,$B153,$M$1)</f>
        <v>0</v>
      </c>
      <c r="L153" s="36">
        <f>_xll.DBRW($C$1,Opening!$G$13,Opening!L$11,$O$1,Opening!$I$13,Opening!$D$13,$P$1,$A153,$B153,$M$1)</f>
        <v>0</v>
      </c>
      <c r="M153" s="36">
        <f>_xll.DBRW($C$1,Opening!$G$13,Opening!M$11,$O$1,Opening!$I$13,Opening!$D$13,$P$1,$A153,$B153,$M$1)</f>
        <v>0</v>
      </c>
      <c r="N153" s="36">
        <f>_xll.DBRW($C$1,Opening!$G$13,Opening!N$11,$O$1,Opening!$I$13,Opening!$D$13,$P$1,$A153,$B153,$M$1)</f>
        <v>0</v>
      </c>
      <c r="O153" s="36">
        <f>_xll.DBRW($C$1,Opening!$G$13,Opening!O$11,$O$1,Opening!$I$13,Opening!$D$13,$P$1,$A153,$B153,$M$1)</f>
        <v>0</v>
      </c>
      <c r="P153" s="36">
        <f>_xll.DBRW($C$1,Opening!$G$13,Opening!P$11,$O$1,Opening!$I$13,Opening!$D$13,$P$1,$A153,$B153,$M$1)</f>
        <v>0</v>
      </c>
      <c r="Q153" s="36">
        <f>_xll.DBRW($C$1,Q$15,$Q$16,$O$1,Opening!$I$13,Opening!$D$13,$P$1,$A153,$B153,$M$1)</f>
        <v>0</v>
      </c>
      <c r="R153" s="36">
        <f>_xll.DBRW($C$1,R$15,$Q$16,$O$1,Opening!$I$13,Opening!$D$13,$P$1,$A153,$B153,$M$1)</f>
        <v>0</v>
      </c>
      <c r="S153" s="36">
        <f>_xll.DBRW($C$1,S$15,$Q$16,$O$1,Opening!$I$13,Opening!$D$13,$P$1,$A153,$B153,$M$1)</f>
        <v>0</v>
      </c>
      <c r="T153" s="36">
        <f>_xll.DBRW($C$1,T$15,$Q$16,$O$1,Opening!$I$13,Opening!$D$13,$P$1,$A153,$B153,$M$1)</f>
        <v>0</v>
      </c>
      <c r="U153" s="36">
        <f>_xll.DBRW($C$1,U$15,$Q$16,$O$1,Opening!$I$13,Opening!$D$13,$P$1,$A153,$B153,$M$1)</f>
        <v>0</v>
      </c>
      <c r="V153"/>
      <c r="W153"/>
      <c r="X153"/>
      <c r="Y153"/>
      <c r="Z153"/>
    </row>
    <row r="154" spans="1:27" ht="22.8">
      <c r="A154" s="68" t="s">
        <v>365</v>
      </c>
      <c r="B154" s="29" t="s">
        <v>376</v>
      </c>
      <c r="C154" s="37" t="s">
        <v>153</v>
      </c>
      <c r="D154" s="37" t="s">
        <v>230</v>
      </c>
      <c r="E154" s="36">
        <f>_xll.DBRW($C$1,Opening!$G$13,Opening!E$11,$O$1,Opening!$I$13,Opening!$D$13,$P$1,$A154,$B154,$M$1)</f>
        <v>0</v>
      </c>
      <c r="F154" s="36">
        <f>_xll.DBRW($C$1,Opening!$G$13,Opening!F$11,$O$1,Opening!$I$13,Opening!$D$13,$P$1,$A154,$B154,$M$1)</f>
        <v>0</v>
      </c>
      <c r="G154" s="36">
        <f>_xll.DBRW($C$1,Opening!$G$13,Opening!G$11,$O$1,Opening!$I$13,Opening!$D$13,$P$1,$A154,$B154,$M$1)</f>
        <v>0</v>
      </c>
      <c r="H154" s="36">
        <f>_xll.DBRW($C$1,Opening!$G$13,Opening!H$11,$O$1,Opening!$I$13,Opening!$D$13,$P$1,$A154,$B154,$M$1)</f>
        <v>0</v>
      </c>
      <c r="I154" s="36">
        <f>_xll.DBRW($C$1,Opening!$G$13,Opening!I$11,$O$1,Opening!$I$13,Opening!$D$13,$P$1,$A154,$B154,$M$1)</f>
        <v>0</v>
      </c>
      <c r="J154" s="36">
        <f>_xll.DBRW($C$1,Opening!$G$13,Opening!J$11,$O$1,Opening!$I$13,Opening!$D$13,$P$1,$A154,$B154,$M$1)</f>
        <v>0</v>
      </c>
      <c r="K154" s="36">
        <f>_xll.DBRW($C$1,Opening!$G$13,Opening!K$11,$O$1,Opening!$I$13,Opening!$D$13,$P$1,$A154,$B154,$M$1)</f>
        <v>0</v>
      </c>
      <c r="L154" s="36">
        <f>_xll.DBRW($C$1,Opening!$G$13,Opening!L$11,$O$1,Opening!$I$13,Opening!$D$13,$P$1,$A154,$B154,$M$1)</f>
        <v>0</v>
      </c>
      <c r="M154" s="36">
        <f>_xll.DBRW($C$1,Opening!$G$13,Opening!M$11,$O$1,Opening!$I$13,Opening!$D$13,$P$1,$A154,$B154,$M$1)</f>
        <v>0</v>
      </c>
      <c r="N154" s="36">
        <f>_xll.DBRW($C$1,Opening!$G$13,Opening!N$11,$O$1,Opening!$I$13,Opening!$D$13,$P$1,$A154,$B154,$M$1)</f>
        <v>0</v>
      </c>
      <c r="O154" s="36">
        <f>_xll.DBRW($C$1,Opening!$G$13,Opening!O$11,$O$1,Opening!$I$13,Opening!$D$13,$P$1,$A154,$B154,$M$1)</f>
        <v>0</v>
      </c>
      <c r="P154" s="36">
        <f>_xll.DBRW($C$1,Opening!$G$13,Opening!P$11,$O$1,Opening!$I$13,Opening!$D$13,$P$1,$A154,$B154,$M$1)</f>
        <v>0</v>
      </c>
      <c r="Q154" s="36">
        <f>_xll.DBRW($C$1,Q$15,$Q$16,$O$1,Opening!$I$13,Opening!$D$13,$P$1,$A154,$B154,$M$1)</f>
        <v>0</v>
      </c>
      <c r="R154" s="36">
        <f>_xll.DBRW($C$1,R$15,$Q$16,$O$1,Opening!$I$13,Opening!$D$13,$P$1,$A154,$B154,$M$1)</f>
        <v>0</v>
      </c>
      <c r="S154" s="36">
        <f>_xll.DBRW($C$1,S$15,$Q$16,$O$1,Opening!$I$13,Opening!$D$13,$P$1,$A154,$B154,$M$1)</f>
        <v>0</v>
      </c>
      <c r="T154" s="36">
        <f>_xll.DBRW($C$1,T$15,$Q$16,$O$1,Opening!$I$13,Opening!$D$13,$P$1,$A154,$B154,$M$1)</f>
        <v>0</v>
      </c>
      <c r="U154" s="36">
        <f>_xll.DBRW($C$1,U$15,$Q$16,$O$1,Opening!$I$13,Opening!$D$13,$P$1,$A154,$B154,$M$1)</f>
        <v>0</v>
      </c>
      <c r="V154"/>
      <c r="W154"/>
      <c r="X154"/>
      <c r="Y154"/>
      <c r="Z154"/>
    </row>
    <row r="155" spans="1:27" ht="22.8">
      <c r="A155" s="68" t="s">
        <v>365</v>
      </c>
      <c r="B155" s="29" t="s">
        <v>49</v>
      </c>
      <c r="C155" s="37" t="s">
        <v>153</v>
      </c>
      <c r="D155" s="37" t="s">
        <v>49</v>
      </c>
      <c r="E155" s="36">
        <f>_xll.DBRW($C$1,Opening!$G$13,Opening!E$11,$O$1,Opening!$I$13,Opening!$D$13,$P$1,$A155,$B155,$M$1)</f>
        <v>0</v>
      </c>
      <c r="F155" s="36">
        <f>_xll.DBRW($C$1,Opening!$G$13,Opening!F$11,$O$1,Opening!$I$13,Opening!$D$13,$P$1,$A155,$B155,$M$1)</f>
        <v>0</v>
      </c>
      <c r="G155" s="36">
        <f>_xll.DBRW($C$1,Opening!$G$13,Opening!G$11,$O$1,Opening!$I$13,Opening!$D$13,$P$1,$A155,$B155,$M$1)</f>
        <v>0</v>
      </c>
      <c r="H155" s="36">
        <f>_xll.DBRW($C$1,Opening!$G$13,Opening!H$11,$O$1,Opening!$I$13,Opening!$D$13,$P$1,$A155,$B155,$M$1)</f>
        <v>0</v>
      </c>
      <c r="I155" s="36">
        <f>_xll.DBRW($C$1,Opening!$G$13,Opening!I$11,$O$1,Opening!$I$13,Opening!$D$13,$P$1,$A155,$B155,$M$1)</f>
        <v>0</v>
      </c>
      <c r="J155" s="36">
        <f>_xll.DBRW($C$1,Opening!$G$13,Opening!J$11,$O$1,Opening!$I$13,Opening!$D$13,$P$1,$A155,$B155,$M$1)</f>
        <v>0</v>
      </c>
      <c r="K155" s="36">
        <f>_xll.DBRW($C$1,Opening!$G$13,Opening!K$11,$O$1,Opening!$I$13,Opening!$D$13,$P$1,$A155,$B155,$M$1)</f>
        <v>0</v>
      </c>
      <c r="L155" s="36">
        <f>_xll.DBRW($C$1,Opening!$G$13,Opening!L$11,$O$1,Opening!$I$13,Opening!$D$13,$P$1,$A155,$B155,$M$1)</f>
        <v>0</v>
      </c>
      <c r="M155" s="36">
        <f>_xll.DBRW($C$1,Opening!$G$13,Opening!M$11,$O$1,Opening!$I$13,Opening!$D$13,$P$1,$A155,$B155,$M$1)</f>
        <v>0</v>
      </c>
      <c r="N155" s="36">
        <f>_xll.DBRW($C$1,Opening!$G$13,Opening!N$11,$O$1,Opening!$I$13,Opening!$D$13,$P$1,$A155,$B155,$M$1)</f>
        <v>0</v>
      </c>
      <c r="O155" s="36">
        <f>_xll.DBRW($C$1,Opening!$G$13,Opening!O$11,$O$1,Opening!$I$13,Opening!$D$13,$P$1,$A155,$B155,$M$1)</f>
        <v>0</v>
      </c>
      <c r="P155" s="36">
        <f>_xll.DBRW($C$1,Opening!$G$13,Opening!P$11,$O$1,Opening!$I$13,Opening!$D$13,$P$1,$A155,$B155,$M$1)</f>
        <v>0</v>
      </c>
      <c r="Q155" s="36">
        <f>_xll.DBRW($C$1,Q$15,$Q$16,$O$1,Opening!$I$13,Opening!$D$13,$P$1,$A155,$B155,$M$1)</f>
        <v>0</v>
      </c>
      <c r="R155" s="36">
        <f>_xll.DBRW($C$1,R$15,$Q$16,$O$1,Opening!$I$13,Opening!$D$13,$P$1,$A155,$B155,$M$1)</f>
        <v>0</v>
      </c>
      <c r="S155" s="36">
        <f>_xll.DBRW($C$1,S$15,$Q$16,$O$1,Opening!$I$13,Opening!$D$13,$P$1,$A155,$B155,$M$1)</f>
        <v>0</v>
      </c>
      <c r="T155" s="36">
        <f>_xll.DBRW($C$1,T$15,$Q$16,$O$1,Opening!$I$13,Opening!$D$13,$P$1,$A155,$B155,$M$1)</f>
        <v>0</v>
      </c>
      <c r="U155" s="36">
        <f>_xll.DBRW($C$1,U$15,$Q$16,$O$1,Opening!$I$13,Opening!$D$13,$P$1,$A155,$B155,$M$1)</f>
        <v>0</v>
      </c>
      <c r="V155"/>
      <c r="W155"/>
      <c r="X155"/>
      <c r="Y155"/>
      <c r="Z155"/>
    </row>
    <row r="156" spans="1:27" ht="15.75" customHeight="1"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 ht="15" customHeight="1" thickBot="1">
      <c r="C157" s="33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 ht="15.75" customHeight="1" thickTop="1">
      <c r="C158" s="32" t="s">
        <v>231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 ht="15.75" customHeight="1"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8">
        <f>$G$13+1</f>
        <v>2027</v>
      </c>
      <c r="R159" s="38">
        <f>$G$13+2</f>
        <v>2028</v>
      </c>
      <c r="S159" s="38">
        <f>$G$13+3</f>
        <v>2029</v>
      </c>
      <c r="T159" s="38">
        <f>$G$13+4</f>
        <v>2030</v>
      </c>
      <c r="U159" s="38">
        <f>$G$13+5</f>
        <v>2031</v>
      </c>
      <c r="V159" s="43"/>
      <c r="W159" s="43"/>
      <c r="X159" s="43"/>
      <c r="Y159" s="43"/>
      <c r="Z159" s="43"/>
      <c r="AA159" s="43"/>
    </row>
    <row r="160" spans="1:27" ht="15.75" customHeight="1">
      <c r="C160" s="31"/>
      <c r="D160" s="31"/>
      <c r="E160" s="38" t="str">
        <f t="shared" ref="E160:P160" si="6">$G$13&amp;"."&amp;E$11</f>
        <v>2026.01</v>
      </c>
      <c r="F160" s="38" t="str">
        <f t="shared" si="6"/>
        <v>2026.02</v>
      </c>
      <c r="G160" s="38" t="str">
        <f t="shared" si="6"/>
        <v>2026.03</v>
      </c>
      <c r="H160" s="38" t="str">
        <f t="shared" si="6"/>
        <v>2026.04</v>
      </c>
      <c r="I160" s="38" t="str">
        <f t="shared" si="6"/>
        <v>2026.05</v>
      </c>
      <c r="J160" s="38" t="str">
        <f t="shared" si="6"/>
        <v>2026.06</v>
      </c>
      <c r="K160" s="38" t="str">
        <f t="shared" si="6"/>
        <v>2026.07</v>
      </c>
      <c r="L160" s="38" t="str">
        <f t="shared" si="6"/>
        <v>2026.08</v>
      </c>
      <c r="M160" s="38" t="str">
        <f t="shared" si="6"/>
        <v>2026.09</v>
      </c>
      <c r="N160" s="38" t="str">
        <f t="shared" si="6"/>
        <v>2026.10</v>
      </c>
      <c r="O160" s="38" t="str">
        <f t="shared" si="6"/>
        <v>2026.11</v>
      </c>
      <c r="P160" s="38" t="str">
        <f t="shared" si="6"/>
        <v>2026.12</v>
      </c>
      <c r="Q160" s="38" t="s">
        <v>304</v>
      </c>
      <c r="R160" s="38" t="s">
        <v>304</v>
      </c>
      <c r="S160" s="38" t="s">
        <v>304</v>
      </c>
      <c r="T160" s="38" t="s">
        <v>304</v>
      </c>
      <c r="U160" s="38" t="s">
        <v>304</v>
      </c>
      <c r="V160"/>
      <c r="W160"/>
      <c r="X160"/>
      <c r="Y160"/>
      <c r="Z160"/>
    </row>
    <row r="161" spans="1:27" ht="22.8">
      <c r="A161" s="68" t="s">
        <v>377</v>
      </c>
      <c r="C161" s="42" t="s">
        <v>147</v>
      </c>
      <c r="D161" s="42" t="s">
        <v>257</v>
      </c>
      <c r="E161" s="40">
        <f>_xll.DBRW($C$1,Opening!$G$13,Opening!E$11,$O$1,Opening!$I$13,Opening!$D$13,$P$2,$A161,$D161,$M$1)</f>
        <v>0</v>
      </c>
      <c r="F161" s="40">
        <f>_xll.DBRW($C$1,Opening!$G$13,Opening!F$11,$O$1,Opening!$I$13,Opening!$D$13,$P$2,$A161,$D161,$M$1)</f>
        <v>0</v>
      </c>
      <c r="G161" s="40">
        <f>_xll.DBRW($C$1,Opening!$G$13,Opening!G$11,$O$1,Opening!$I$13,Opening!$D$13,$P$2,$A161,$D161,$M$1)</f>
        <v>0</v>
      </c>
      <c r="H161" s="40">
        <f>_xll.DBRW($C$1,Opening!$G$13,Opening!H$11,$O$1,Opening!$I$13,Opening!$D$13,$P$2,$A161,$D161,$M$1)</f>
        <v>0</v>
      </c>
      <c r="I161" s="40">
        <f>_xll.DBRW($C$1,Opening!$G$13,Opening!I$11,$O$1,Opening!$I$13,Opening!$D$13,$P$2,$A161,$D161,$M$1)</f>
        <v>0</v>
      </c>
      <c r="J161" s="40">
        <f>_xll.DBRW($C$1,Opening!$G$13,Opening!J$11,$O$1,Opening!$I$13,Opening!$D$13,$P$2,$A161,$D161,$M$1)</f>
        <v>0</v>
      </c>
      <c r="K161" s="40">
        <f>_xll.DBRW($C$1,Opening!$G$13,Opening!K$11,$O$1,Opening!$I$13,Opening!$D$13,$P$2,$A161,$D161,$M$1)</f>
        <v>0</v>
      </c>
      <c r="L161" s="40">
        <f>_xll.DBRW($C$1,Opening!$G$13,Opening!L$11,$O$1,Opening!$I$13,Opening!$D$13,$P$2,$A161,$D161,$M$1)</f>
        <v>0</v>
      </c>
      <c r="M161" s="40">
        <f>_xll.DBRW($C$1,Opening!$G$13,Opening!M$11,$O$1,Opening!$I$13,Opening!$D$13,$P$2,$A161,$D161,$M$1)</f>
        <v>0</v>
      </c>
      <c r="N161" s="40">
        <f>_xll.DBRW($C$1,Opening!$G$13,Opening!N$11,$O$1,Opening!$I$13,Opening!$D$13,$P$2,$A161,$D161,$M$1)</f>
        <v>0</v>
      </c>
      <c r="O161" s="40">
        <f>_xll.DBRW($C$1,Opening!$G$13,Opening!O$11,$O$1,Opening!$I$13,Opening!$D$13,$P$2,$A161,$D161,$M$1)</f>
        <v>0</v>
      </c>
      <c r="P161" s="40">
        <f>_xll.DBRW($C$1,Opening!$G$13,Opening!P$11,$O$1,Opening!$I$13,Opening!$D$13,$P$2,$A161,$D161,$M$1)</f>
        <v>0</v>
      </c>
      <c r="Q161" s="40">
        <f>_xll.DBRW($C$1,Q$37,$Q$16,$O$1,Opening!$I$13,Opening!$D$13,$P$1,$A161,$D161,$M$1)</f>
        <v>0</v>
      </c>
      <c r="R161" s="40">
        <f>_xll.DBRW($C$1,R$37,$Q$16,$O$1,Opening!$I$13,Opening!$D$13,$P$1,$A161,$D161,$M$1)</f>
        <v>0</v>
      </c>
      <c r="S161" s="40">
        <f>_xll.DBRW($C$1,S$37,$Q$16,$O$1,Opening!$I$13,Opening!$D$13,$P$1,$A161,$D161,$M$1)</f>
        <v>0</v>
      </c>
      <c r="T161" s="40">
        <f>_xll.DBRW($C$1,T$37,$Q$16,$O$1,Opening!$I$13,Opening!$D$13,$P$1,$A161,$D161,$M$1)</f>
        <v>0</v>
      </c>
      <c r="U161" s="40">
        <f>_xll.DBRW($C$1,U$37,$Q$16,$O$1,Opening!$I$13,Opening!$D$13,$P$1,$A161,$D161,$M$1)</f>
        <v>0</v>
      </c>
      <c r="V161"/>
      <c r="W161"/>
      <c r="X161"/>
      <c r="Y161"/>
      <c r="Z161"/>
    </row>
    <row r="162" spans="1:27" ht="22.8">
      <c r="A162" s="68" t="s">
        <v>377</v>
      </c>
      <c r="B162" s="29" t="s">
        <v>378</v>
      </c>
      <c r="C162" s="37" t="s">
        <v>147</v>
      </c>
      <c r="D162" s="37" t="s">
        <v>232</v>
      </c>
      <c r="E162" s="36">
        <f>_xll.DBRW($C$1,Opening!$G$13,Opening!E$11,$O$1,Opening!$I$13,Opening!$D$13,$P$1,$A162,$B162,$M$1)</f>
        <v>0</v>
      </c>
      <c r="F162" s="36">
        <f>_xll.DBRW($C$1,Opening!$G$13,Opening!F$11,$O$1,Opening!$I$13,Opening!$D$13,$P$1,$A162,$B162,$M$1)</f>
        <v>0</v>
      </c>
      <c r="G162" s="36">
        <f>_xll.DBRW($C$1,Opening!$G$13,Opening!G$11,$O$1,Opening!$I$13,Opening!$D$13,$P$1,$A162,$B162,$M$1)</f>
        <v>0</v>
      </c>
      <c r="H162" s="36">
        <f>_xll.DBRW($C$1,Opening!$G$13,Opening!H$11,$O$1,Opening!$I$13,Opening!$D$13,$P$1,$A162,$B162,$M$1)</f>
        <v>0</v>
      </c>
      <c r="I162" s="36">
        <f>_xll.DBRW($C$1,Opening!$G$13,Opening!I$11,$O$1,Opening!$I$13,Opening!$D$13,$P$1,$A162,$B162,$M$1)</f>
        <v>0</v>
      </c>
      <c r="J162" s="36">
        <f>_xll.DBRW($C$1,Opening!$G$13,Opening!J$11,$O$1,Opening!$I$13,Opening!$D$13,$P$1,$A162,$B162,$M$1)</f>
        <v>0</v>
      </c>
      <c r="K162" s="36">
        <f>_xll.DBRW($C$1,Opening!$G$13,Opening!K$11,$O$1,Opening!$I$13,Opening!$D$13,$P$1,$A162,$B162,$M$1)</f>
        <v>0</v>
      </c>
      <c r="L162" s="36">
        <f>_xll.DBRW($C$1,Opening!$G$13,Opening!L$11,$O$1,Opening!$I$13,Opening!$D$13,$P$1,$A162,$B162,$M$1)</f>
        <v>0</v>
      </c>
      <c r="M162" s="36">
        <f>_xll.DBRW($C$1,Opening!$G$13,Opening!M$11,$O$1,Opening!$I$13,Opening!$D$13,$P$1,$A162,$B162,$M$1)</f>
        <v>0</v>
      </c>
      <c r="N162" s="36">
        <f>_xll.DBRW($C$1,Opening!$G$13,Opening!N$11,$O$1,Opening!$I$13,Opening!$D$13,$P$1,$A162,$B162,$M$1)</f>
        <v>0</v>
      </c>
      <c r="O162" s="36">
        <f>_xll.DBRW($C$1,Opening!$G$13,Opening!O$11,$O$1,Opening!$I$13,Opening!$D$13,$P$1,$A162,$B162,$M$1)</f>
        <v>0</v>
      </c>
      <c r="P162" s="36">
        <f>_xll.DBRW($C$1,Opening!$G$13,Opening!P$11,$O$1,Opening!$I$13,Opening!$D$13,$P$1,$A162,$B162,$M$1)</f>
        <v>0</v>
      </c>
      <c r="Q162" s="36">
        <f>_xll.DBRW($C$1,Q$15,$Q$16,$O$1,Opening!$I$13,Opening!$D$13,$P$1,$A162,$B162,$M$1)</f>
        <v>0</v>
      </c>
      <c r="R162" s="36">
        <f>_xll.DBRW($C$1,R$15,$Q$16,$O$1,Opening!$I$13,Opening!$D$13,$P$1,$A162,$B162,$M$1)</f>
        <v>0</v>
      </c>
      <c r="S162" s="36">
        <f>_xll.DBRW($C$1,S$15,$Q$16,$O$1,Opening!$I$13,Opening!$D$13,$P$1,$A162,$B162,$M$1)</f>
        <v>0</v>
      </c>
      <c r="T162" s="36">
        <f>_xll.DBRW($C$1,T$15,$Q$16,$O$1,Opening!$I$13,Opening!$D$13,$P$1,$A162,$B162,$M$1)</f>
        <v>0</v>
      </c>
      <c r="U162" s="36">
        <f>_xll.DBRW($C$1,U$15,$Q$16,$O$1,Opening!$I$13,Opening!$D$13,$P$1,$A162,$B162,$M$1)</f>
        <v>0</v>
      </c>
      <c r="V162"/>
      <c r="W162"/>
      <c r="X162"/>
      <c r="Y162"/>
      <c r="Z162"/>
    </row>
    <row r="163" spans="1:27" ht="21.75" customHeight="1">
      <c r="A163" s="68" t="s">
        <v>377</v>
      </c>
      <c r="B163" s="29" t="s">
        <v>379</v>
      </c>
      <c r="C163" s="37" t="s">
        <v>147</v>
      </c>
      <c r="D163" s="37" t="s">
        <v>233</v>
      </c>
      <c r="E163" s="36">
        <f>_xll.DBRW($C$1,Opening!$G$13,Opening!E$11,$O$1,Opening!$I$13,Opening!$D$13,$P$1,$A163,$B163,$M$1)</f>
        <v>0</v>
      </c>
      <c r="F163" s="36">
        <f>_xll.DBRW($C$1,Opening!$G$13,Opening!F$11,$O$1,Opening!$I$13,Opening!$D$13,$P$1,$A163,$B163,$M$1)</f>
        <v>0</v>
      </c>
      <c r="G163" s="36">
        <f>_xll.DBRW($C$1,Opening!$G$13,Opening!G$11,$O$1,Opening!$I$13,Opening!$D$13,$P$1,$A163,$B163,$M$1)</f>
        <v>0</v>
      </c>
      <c r="H163" s="36">
        <f>_xll.DBRW($C$1,Opening!$G$13,Opening!H$11,$O$1,Opening!$I$13,Opening!$D$13,$P$1,$A163,$B163,$M$1)</f>
        <v>0</v>
      </c>
      <c r="I163" s="36">
        <f>_xll.DBRW($C$1,Opening!$G$13,Opening!I$11,$O$1,Opening!$I$13,Opening!$D$13,$P$1,$A163,$B163,$M$1)</f>
        <v>0</v>
      </c>
      <c r="J163" s="36">
        <f>_xll.DBRW($C$1,Opening!$G$13,Opening!J$11,$O$1,Opening!$I$13,Opening!$D$13,$P$1,$A163,$B163,$M$1)</f>
        <v>0</v>
      </c>
      <c r="K163" s="36">
        <f>_xll.DBRW($C$1,Opening!$G$13,Opening!K$11,$O$1,Opening!$I$13,Opening!$D$13,$P$1,$A163,$B163,$M$1)</f>
        <v>0</v>
      </c>
      <c r="L163" s="36">
        <f>_xll.DBRW($C$1,Opening!$G$13,Opening!L$11,$O$1,Opening!$I$13,Opening!$D$13,$P$1,$A163,$B163,$M$1)</f>
        <v>0</v>
      </c>
      <c r="M163" s="36">
        <f>_xll.DBRW($C$1,Opening!$G$13,Opening!M$11,$O$1,Opening!$I$13,Opening!$D$13,$P$1,$A163,$B163,$M$1)</f>
        <v>0</v>
      </c>
      <c r="N163" s="36">
        <f>_xll.DBRW($C$1,Opening!$G$13,Opening!N$11,$O$1,Opening!$I$13,Opening!$D$13,$P$1,$A163,$B163,$M$1)</f>
        <v>0</v>
      </c>
      <c r="O163" s="36">
        <f>_xll.DBRW($C$1,Opening!$G$13,Opening!O$11,$O$1,Opening!$I$13,Opening!$D$13,$P$1,$A163,$B163,$M$1)</f>
        <v>0</v>
      </c>
      <c r="P163" s="36">
        <f>_xll.DBRW($C$1,Opening!$G$13,Opening!P$11,$O$1,Opening!$I$13,Opening!$D$13,$P$1,$A163,$B163,$M$1)</f>
        <v>0</v>
      </c>
      <c r="Q163" s="36">
        <f>_xll.DBRW($C$1,Q$15,$Q$16,$O$1,Opening!$I$13,Opening!$D$13,$P$1,$A163,$B163,$M$1)</f>
        <v>0</v>
      </c>
      <c r="R163" s="36">
        <f>_xll.DBRW($C$1,R$15,$Q$16,$O$1,Opening!$I$13,Opening!$D$13,$P$1,$A163,$B163,$M$1)</f>
        <v>0</v>
      </c>
      <c r="S163" s="36">
        <f>_xll.DBRW($C$1,S$15,$Q$16,$O$1,Opening!$I$13,Opening!$D$13,$P$1,$A163,$B163,$M$1)</f>
        <v>0</v>
      </c>
      <c r="T163" s="36">
        <f>_xll.DBRW($C$1,T$15,$Q$16,$O$1,Opening!$I$13,Opening!$D$13,$P$1,$A163,$B163,$M$1)</f>
        <v>0</v>
      </c>
      <c r="U163" s="36">
        <f>_xll.DBRW($C$1,U$15,$Q$16,$O$1,Opening!$I$13,Opening!$D$13,$P$1,$A163,$B163,$M$1)</f>
        <v>0</v>
      </c>
      <c r="V163"/>
      <c r="W163"/>
      <c r="X163"/>
      <c r="Y163"/>
      <c r="Z163"/>
    </row>
    <row r="164" spans="1:27" ht="22.8">
      <c r="A164" s="68" t="s">
        <v>377</v>
      </c>
      <c r="B164" s="29" t="s">
        <v>49</v>
      </c>
      <c r="C164" s="37" t="s">
        <v>147</v>
      </c>
      <c r="D164" s="37" t="s">
        <v>49</v>
      </c>
      <c r="E164" s="36">
        <f>_xll.DBRW($C$1,Opening!$G$13,Opening!E$11,$O$1,Opening!$I$13,Opening!$D$13,$P$1,$A164,$B164,$M$1)</f>
        <v>0</v>
      </c>
      <c r="F164" s="36">
        <f>_xll.DBRW($C$1,Opening!$G$13,Opening!F$11,$O$1,Opening!$I$13,Opening!$D$13,$P$1,$A164,$B164,$M$1)</f>
        <v>0</v>
      </c>
      <c r="G164" s="36">
        <f>_xll.DBRW($C$1,Opening!$G$13,Opening!G$11,$O$1,Opening!$I$13,Opening!$D$13,$P$1,$A164,$B164,$M$1)</f>
        <v>0</v>
      </c>
      <c r="H164" s="36">
        <f>_xll.DBRW($C$1,Opening!$G$13,Opening!H$11,$O$1,Opening!$I$13,Opening!$D$13,$P$1,$A164,$B164,$M$1)</f>
        <v>0</v>
      </c>
      <c r="I164" s="36">
        <f>_xll.DBRW($C$1,Opening!$G$13,Opening!I$11,$O$1,Opening!$I$13,Opening!$D$13,$P$1,$A164,$B164,$M$1)</f>
        <v>0</v>
      </c>
      <c r="J164" s="36">
        <f>_xll.DBRW($C$1,Opening!$G$13,Opening!J$11,$O$1,Opening!$I$13,Opening!$D$13,$P$1,$A164,$B164,$M$1)</f>
        <v>0</v>
      </c>
      <c r="K164" s="36">
        <f>_xll.DBRW($C$1,Opening!$G$13,Opening!K$11,$O$1,Opening!$I$13,Opening!$D$13,$P$1,$A164,$B164,$M$1)</f>
        <v>0</v>
      </c>
      <c r="L164" s="36">
        <f>_xll.DBRW($C$1,Opening!$G$13,Opening!L$11,$O$1,Opening!$I$13,Opening!$D$13,$P$1,$A164,$B164,$M$1)</f>
        <v>0</v>
      </c>
      <c r="M164" s="36">
        <f>_xll.DBRW($C$1,Opening!$G$13,Opening!M$11,$O$1,Opening!$I$13,Opening!$D$13,$P$1,$A164,$B164,$M$1)</f>
        <v>0</v>
      </c>
      <c r="N164" s="36">
        <f>_xll.DBRW($C$1,Opening!$G$13,Opening!N$11,$O$1,Opening!$I$13,Opening!$D$13,$P$1,$A164,$B164,$M$1)</f>
        <v>0</v>
      </c>
      <c r="O164" s="36">
        <f>_xll.DBRW($C$1,Opening!$G$13,Opening!O$11,$O$1,Opening!$I$13,Opening!$D$13,$P$1,$A164,$B164,$M$1)</f>
        <v>0</v>
      </c>
      <c r="P164" s="36">
        <f>_xll.DBRW($C$1,Opening!$G$13,Opening!P$11,$O$1,Opening!$I$13,Opening!$D$13,$P$1,$A164,$B164,$M$1)</f>
        <v>0</v>
      </c>
      <c r="Q164" s="36">
        <f>_xll.DBRW($C$1,Q$15,$Q$16,$O$1,Opening!$I$13,Opening!$D$13,$P$1,$A164,$B164,$M$1)</f>
        <v>0</v>
      </c>
      <c r="R164" s="36">
        <f>_xll.DBRW($C$1,R$15,$Q$16,$O$1,Opening!$I$13,Opening!$D$13,$P$1,$A164,$B164,$M$1)</f>
        <v>0</v>
      </c>
      <c r="S164" s="36">
        <f>_xll.DBRW($C$1,S$15,$Q$16,$O$1,Opening!$I$13,Opening!$D$13,$P$1,$A164,$B164,$M$1)</f>
        <v>0</v>
      </c>
      <c r="T164" s="36">
        <f>_xll.DBRW($C$1,T$15,$Q$16,$O$1,Opening!$I$13,Opening!$D$13,$P$1,$A164,$B164,$M$1)</f>
        <v>0</v>
      </c>
      <c r="U164" s="36">
        <f>_xll.DBRW($C$1,U$15,$Q$16,$O$1,Opening!$I$13,Opening!$D$13,$P$1,$A164,$B164,$M$1)</f>
        <v>0</v>
      </c>
      <c r="V164"/>
      <c r="W164"/>
      <c r="X164"/>
      <c r="Y164"/>
      <c r="Z164"/>
    </row>
    <row r="165" spans="1:27" ht="15.75" customHeight="1"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 ht="15.75" customHeight="1" thickBot="1">
      <c r="C166" s="33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5.75" customHeight="1" thickTop="1">
      <c r="C167" s="32" t="s">
        <v>302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 ht="15.75" customHeight="1"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8">
        <f>$G$13+1</f>
        <v>2027</v>
      </c>
      <c r="R168" s="38">
        <f>$G$13+2</f>
        <v>2028</v>
      </c>
      <c r="S168" s="38">
        <f>$G$13+3</f>
        <v>2029</v>
      </c>
      <c r="T168" s="38">
        <f>$G$13+4</f>
        <v>2030</v>
      </c>
      <c r="U168" s="38">
        <f>$G$13+5</f>
        <v>2031</v>
      </c>
      <c r="V168" s="43"/>
      <c r="W168" s="43"/>
      <c r="X168" s="43"/>
      <c r="Y168" s="43"/>
      <c r="Z168" s="43"/>
      <c r="AA168" s="43"/>
    </row>
    <row r="169" spans="1:27" ht="15.75" customHeight="1">
      <c r="C169" s="31"/>
      <c r="D169" s="31"/>
      <c r="E169" s="38" t="str">
        <f t="shared" ref="E169:P169" si="7">$G$13&amp;"."&amp;E$11</f>
        <v>2026.01</v>
      </c>
      <c r="F169" s="38" t="str">
        <f t="shared" si="7"/>
        <v>2026.02</v>
      </c>
      <c r="G169" s="38" t="str">
        <f t="shared" si="7"/>
        <v>2026.03</v>
      </c>
      <c r="H169" s="38" t="str">
        <f t="shared" si="7"/>
        <v>2026.04</v>
      </c>
      <c r="I169" s="38" t="str">
        <f t="shared" si="7"/>
        <v>2026.05</v>
      </c>
      <c r="J169" s="38" t="str">
        <f t="shared" si="7"/>
        <v>2026.06</v>
      </c>
      <c r="K169" s="38" t="str">
        <f t="shared" si="7"/>
        <v>2026.07</v>
      </c>
      <c r="L169" s="38" t="str">
        <f t="shared" si="7"/>
        <v>2026.08</v>
      </c>
      <c r="M169" s="38" t="str">
        <f t="shared" si="7"/>
        <v>2026.09</v>
      </c>
      <c r="N169" s="38" t="str">
        <f t="shared" si="7"/>
        <v>2026.10</v>
      </c>
      <c r="O169" s="38" t="str">
        <f t="shared" si="7"/>
        <v>2026.11</v>
      </c>
      <c r="P169" s="38" t="str">
        <f t="shared" si="7"/>
        <v>2026.12</v>
      </c>
      <c r="Q169" s="38" t="s">
        <v>304</v>
      </c>
      <c r="R169" s="38" t="s">
        <v>304</v>
      </c>
      <c r="S169" s="38" t="s">
        <v>304</v>
      </c>
      <c r="T169" s="38" t="s">
        <v>304</v>
      </c>
      <c r="U169" s="38" t="s">
        <v>304</v>
      </c>
      <c r="V169"/>
      <c r="W169"/>
      <c r="X169"/>
      <c r="Y169"/>
      <c r="Z169"/>
    </row>
    <row r="170" spans="1:27" ht="20.399999999999999">
      <c r="A170" s="68" t="s">
        <v>383</v>
      </c>
      <c r="C170" s="42" t="s">
        <v>148</v>
      </c>
      <c r="D170" s="42" t="s">
        <v>257</v>
      </c>
      <c r="E170" s="40">
        <f>_xll.DBRW($C$1,Opening!$G$13,Opening!E$11,$O$1,Opening!$I$13,Opening!$D$13,$P$2,$A170,$D170,$M$1)</f>
        <v>0</v>
      </c>
      <c r="F170" s="40">
        <f>_xll.DBRW($C$1,Opening!$G$13,Opening!F$11,$O$1,Opening!$I$13,Opening!$D$13,$P$2,$A170,$D170,$M$1)</f>
        <v>0</v>
      </c>
      <c r="G170" s="40">
        <f>_xll.DBRW($C$1,Opening!$G$13,Opening!G$11,$O$1,Opening!$I$13,Opening!$D$13,$P$2,$A170,$D170,$M$1)</f>
        <v>0</v>
      </c>
      <c r="H170" s="40">
        <f>_xll.DBRW($C$1,Opening!$G$13,Opening!H$11,$O$1,Opening!$I$13,Opening!$D$13,$P$2,$A170,$D170,$M$1)</f>
        <v>0</v>
      </c>
      <c r="I170" s="40">
        <f>_xll.DBRW($C$1,Opening!$G$13,Opening!I$11,$O$1,Opening!$I$13,Opening!$D$13,$P$2,$A170,$D170,$M$1)</f>
        <v>0</v>
      </c>
      <c r="J170" s="40">
        <f>_xll.DBRW($C$1,Opening!$G$13,Opening!J$11,$O$1,Opening!$I$13,Opening!$D$13,$P$2,$A170,$D170,$M$1)</f>
        <v>0</v>
      </c>
      <c r="K170" s="40">
        <f>_xll.DBRW($C$1,Opening!$G$13,Opening!K$11,$O$1,Opening!$I$13,Opening!$D$13,$P$2,$A170,$D170,$M$1)</f>
        <v>0</v>
      </c>
      <c r="L170" s="40">
        <f>_xll.DBRW($C$1,Opening!$G$13,Opening!L$11,$O$1,Opening!$I$13,Opening!$D$13,$P$2,$A170,$D170,$M$1)</f>
        <v>0</v>
      </c>
      <c r="M170" s="40">
        <f>_xll.DBRW($C$1,Opening!$G$13,Opening!M$11,$O$1,Opening!$I$13,Opening!$D$13,$P$2,$A170,$D170,$M$1)</f>
        <v>0</v>
      </c>
      <c r="N170" s="40">
        <f>_xll.DBRW($C$1,Opening!$G$13,Opening!N$11,$O$1,Opening!$I$13,Opening!$D$13,$P$2,$A170,$D170,$M$1)</f>
        <v>0</v>
      </c>
      <c r="O170" s="40">
        <f>_xll.DBRW($C$1,Opening!$G$13,Opening!O$11,$O$1,Opening!$I$13,Opening!$D$13,$P$2,$A170,$D170,$M$1)</f>
        <v>0</v>
      </c>
      <c r="P170" s="40">
        <f>_xll.DBRW($C$1,Opening!$G$13,Opening!P$11,$O$1,Opening!$I$13,Opening!$D$13,$P$2,$A170,$D170,$M$1)</f>
        <v>0</v>
      </c>
      <c r="Q170" s="40">
        <f>_xll.DBRW($C$1,Q$37,$Q$16,$O$1,Opening!$I$13,Opening!$D$13,$P$1,$A170,$D170,$M$1)</f>
        <v>0</v>
      </c>
      <c r="R170" s="40">
        <f>_xll.DBRW($C$1,R$37,$Q$16,$O$1,Opening!$I$13,Opening!$D$13,$P$1,$A170,$D170,$M$1)</f>
        <v>0</v>
      </c>
      <c r="S170" s="40">
        <f>_xll.DBRW($C$1,S$37,$Q$16,$O$1,Opening!$I$13,Opening!$D$13,$P$1,$A170,$D170,$M$1)</f>
        <v>0</v>
      </c>
      <c r="T170" s="40">
        <f>_xll.DBRW($C$1,T$37,$Q$16,$O$1,Opening!$I$13,Opening!$D$13,$P$1,$A170,$D170,$M$1)</f>
        <v>0</v>
      </c>
      <c r="U170" s="40">
        <f>_xll.DBRW($C$1,U$37,$Q$16,$O$1,Opening!$I$13,Opening!$D$13,$P$1,$A170,$D170,$M$1)</f>
        <v>0</v>
      </c>
      <c r="V170"/>
      <c r="W170"/>
      <c r="X170"/>
      <c r="Y170"/>
      <c r="Z170"/>
    </row>
    <row r="171" spans="1:27" ht="31.5" customHeight="1">
      <c r="A171" s="68" t="s">
        <v>383</v>
      </c>
      <c r="B171" s="29" t="s">
        <v>380</v>
      </c>
      <c r="C171" s="37" t="s">
        <v>148</v>
      </c>
      <c r="D171" s="37" t="s">
        <v>234</v>
      </c>
      <c r="E171" s="36">
        <f>_xll.DBRW($C$1,Opening!$G$13,Opening!E$11,$O$1,Opening!$I$13,Opening!$D$13,$P$1,$A171,$B171,$M$1)</f>
        <v>0</v>
      </c>
      <c r="F171" s="36">
        <f>_xll.DBRW($C$1,Opening!$G$13,Opening!F$11,$O$1,Opening!$I$13,Opening!$D$13,$P$1,$A171,$B171,$M$1)</f>
        <v>0</v>
      </c>
      <c r="G171" s="36">
        <f>_xll.DBRW($C$1,Opening!$G$13,Opening!G$11,$O$1,Opening!$I$13,Opening!$D$13,$P$1,$A171,$B171,$M$1)</f>
        <v>0</v>
      </c>
      <c r="H171" s="36">
        <f>_xll.DBRW($C$1,Opening!$G$13,Opening!H$11,$O$1,Opening!$I$13,Opening!$D$13,$P$1,$A171,$B171,$M$1)</f>
        <v>0</v>
      </c>
      <c r="I171" s="36">
        <f>_xll.DBRW($C$1,Opening!$G$13,Opening!I$11,$O$1,Opening!$I$13,Opening!$D$13,$P$1,$A171,$B171,$M$1)</f>
        <v>0</v>
      </c>
      <c r="J171" s="36">
        <f>_xll.DBRW($C$1,Opening!$G$13,Opening!J$11,$O$1,Opening!$I$13,Opening!$D$13,$P$1,$A171,$B171,$M$1)</f>
        <v>0</v>
      </c>
      <c r="K171" s="36">
        <f>_xll.DBRW($C$1,Opening!$G$13,Opening!K$11,$O$1,Opening!$I$13,Opening!$D$13,$P$1,$A171,$B171,$M$1)</f>
        <v>0</v>
      </c>
      <c r="L171" s="36">
        <f>_xll.DBRW($C$1,Opening!$G$13,Opening!L$11,$O$1,Opening!$I$13,Opening!$D$13,$P$1,$A171,$B171,$M$1)</f>
        <v>0</v>
      </c>
      <c r="M171" s="36">
        <f>_xll.DBRW($C$1,Opening!$G$13,Opening!M$11,$O$1,Opening!$I$13,Opening!$D$13,$P$1,$A171,$B171,$M$1)</f>
        <v>0</v>
      </c>
      <c r="N171" s="36">
        <f>_xll.DBRW($C$1,Opening!$G$13,Opening!N$11,$O$1,Opening!$I$13,Opening!$D$13,$P$1,$A171,$B171,$M$1)</f>
        <v>0</v>
      </c>
      <c r="O171" s="36">
        <f>_xll.DBRW($C$1,Opening!$G$13,Opening!O$11,$O$1,Opening!$I$13,Opening!$D$13,$P$1,$A171,$B171,$M$1)</f>
        <v>0</v>
      </c>
      <c r="P171" s="36">
        <f>_xll.DBRW($C$1,Opening!$G$13,Opening!P$11,$O$1,Opening!$I$13,Opening!$D$13,$P$1,$A171,$B171,$M$1)</f>
        <v>0</v>
      </c>
      <c r="Q171" s="36">
        <f>_xll.DBRW($C$1,Q$15,$Q$16,$O$1,Opening!$I$13,Opening!$D$13,$P$1,$A171,$B171,$M$1)</f>
        <v>0</v>
      </c>
      <c r="R171" s="36">
        <f>_xll.DBRW($C$1,R$15,$Q$16,$O$1,Opening!$I$13,Opening!$D$13,$P$1,$A171,$B171,$M$1)</f>
        <v>0</v>
      </c>
      <c r="S171" s="36">
        <f>_xll.DBRW($C$1,S$15,$Q$16,$O$1,Opening!$I$13,Opening!$D$13,$P$1,$A171,$B171,$M$1)</f>
        <v>0</v>
      </c>
      <c r="T171" s="36">
        <f>_xll.DBRW($C$1,T$15,$Q$16,$O$1,Opening!$I$13,Opening!$D$13,$P$1,$A171,$B171,$M$1)</f>
        <v>0</v>
      </c>
      <c r="U171" s="36">
        <f>_xll.DBRW($C$1,U$15,$Q$16,$O$1,Opening!$I$13,Opening!$D$13,$P$1,$A171,$B171,$M$1)</f>
        <v>0</v>
      </c>
      <c r="V171"/>
      <c r="W171"/>
      <c r="X171"/>
      <c r="Y171"/>
      <c r="Z171"/>
    </row>
    <row r="172" spans="1:27" ht="22.8">
      <c r="A172" s="68" t="s">
        <v>383</v>
      </c>
      <c r="B172" s="29" t="s">
        <v>381</v>
      </c>
      <c r="C172" s="37" t="s">
        <v>148</v>
      </c>
      <c r="D172" s="37" t="s">
        <v>235</v>
      </c>
      <c r="E172" s="36">
        <f>_xll.DBRW($C$1,Opening!$G$13,Opening!E$11,$O$1,Opening!$I$13,Opening!$D$13,$P$1,$A172,$B172,$M$1)</f>
        <v>0</v>
      </c>
      <c r="F172" s="36">
        <f>_xll.DBRW($C$1,Opening!$G$13,Opening!F$11,$O$1,Opening!$I$13,Opening!$D$13,$P$1,$A172,$B172,$M$1)</f>
        <v>0</v>
      </c>
      <c r="G172" s="36">
        <f>_xll.DBRW($C$1,Opening!$G$13,Opening!G$11,$O$1,Opening!$I$13,Opening!$D$13,$P$1,$A172,$B172,$M$1)</f>
        <v>0</v>
      </c>
      <c r="H172" s="36">
        <f>_xll.DBRW($C$1,Opening!$G$13,Opening!H$11,$O$1,Opening!$I$13,Opening!$D$13,$P$1,$A172,$B172,$M$1)</f>
        <v>0</v>
      </c>
      <c r="I172" s="36">
        <f>_xll.DBRW($C$1,Opening!$G$13,Opening!I$11,$O$1,Opening!$I$13,Opening!$D$13,$P$1,$A172,$B172,$M$1)</f>
        <v>0</v>
      </c>
      <c r="J172" s="36">
        <f>_xll.DBRW($C$1,Opening!$G$13,Opening!J$11,$O$1,Opening!$I$13,Opening!$D$13,$P$1,$A172,$B172,$M$1)</f>
        <v>0</v>
      </c>
      <c r="K172" s="36">
        <f>_xll.DBRW($C$1,Opening!$G$13,Opening!K$11,$O$1,Opening!$I$13,Opening!$D$13,$P$1,$A172,$B172,$M$1)</f>
        <v>0</v>
      </c>
      <c r="L172" s="36">
        <f>_xll.DBRW($C$1,Opening!$G$13,Opening!L$11,$O$1,Opening!$I$13,Opening!$D$13,$P$1,$A172,$B172,$M$1)</f>
        <v>0</v>
      </c>
      <c r="M172" s="36">
        <f>_xll.DBRW($C$1,Opening!$G$13,Opening!M$11,$O$1,Opening!$I$13,Opening!$D$13,$P$1,$A172,$B172,$M$1)</f>
        <v>0</v>
      </c>
      <c r="N172" s="36">
        <f>_xll.DBRW($C$1,Opening!$G$13,Opening!N$11,$O$1,Opening!$I$13,Opening!$D$13,$P$1,$A172,$B172,$M$1)</f>
        <v>0</v>
      </c>
      <c r="O172" s="36">
        <f>_xll.DBRW($C$1,Opening!$G$13,Opening!O$11,$O$1,Opening!$I$13,Opening!$D$13,$P$1,$A172,$B172,$M$1)</f>
        <v>0</v>
      </c>
      <c r="P172" s="36">
        <f>_xll.DBRW($C$1,Opening!$G$13,Opening!P$11,$O$1,Opening!$I$13,Opening!$D$13,$P$1,$A172,$B172,$M$1)</f>
        <v>0</v>
      </c>
      <c r="Q172" s="36">
        <f>_xll.DBRW($C$1,Q$15,$Q$16,$O$1,Opening!$I$13,Opening!$D$13,$P$1,$A172,$B172,$M$1)</f>
        <v>0</v>
      </c>
      <c r="R172" s="36">
        <f>_xll.DBRW($C$1,R$15,$Q$16,$O$1,Opening!$I$13,Opening!$D$13,$P$1,$A172,$B172,$M$1)</f>
        <v>0</v>
      </c>
      <c r="S172" s="36">
        <f>_xll.DBRW($C$1,S$15,$Q$16,$O$1,Opening!$I$13,Opening!$D$13,$P$1,$A172,$B172,$M$1)</f>
        <v>0</v>
      </c>
      <c r="T172" s="36">
        <f>_xll.DBRW($C$1,T$15,$Q$16,$O$1,Opening!$I$13,Opening!$D$13,$P$1,$A172,$B172,$M$1)</f>
        <v>0</v>
      </c>
      <c r="U172" s="36">
        <f>_xll.DBRW($C$1,U$15,$Q$16,$O$1,Opening!$I$13,Opening!$D$13,$P$1,$A172,$B172,$M$1)</f>
        <v>0</v>
      </c>
      <c r="V172"/>
      <c r="W172"/>
      <c r="X172"/>
      <c r="Y172"/>
      <c r="Z172"/>
    </row>
    <row r="173" spans="1:27" ht="22.8">
      <c r="A173" s="68" t="s">
        <v>383</v>
      </c>
      <c r="B173" s="29" t="s">
        <v>382</v>
      </c>
      <c r="C173" s="44" t="s">
        <v>148</v>
      </c>
      <c r="D173" s="37" t="s">
        <v>236</v>
      </c>
      <c r="E173" s="36">
        <f>_xll.DBRW($C$1,Opening!$G$13,Opening!E$11,$O$1,Opening!$I$13,Opening!$D$13,$P$1,$A173,$B173,$M$1)</f>
        <v>0</v>
      </c>
      <c r="F173" s="36">
        <f>_xll.DBRW($C$1,Opening!$G$13,Opening!F$11,$O$1,Opening!$I$13,Opening!$D$13,$P$1,$A173,$B173,$M$1)</f>
        <v>0</v>
      </c>
      <c r="G173" s="36">
        <f>_xll.DBRW($C$1,Opening!$G$13,Opening!G$11,$O$1,Opening!$I$13,Opening!$D$13,$P$1,$A173,$B173,$M$1)</f>
        <v>0</v>
      </c>
      <c r="H173" s="36">
        <f>_xll.DBRW($C$1,Opening!$G$13,Opening!H$11,$O$1,Opening!$I$13,Opening!$D$13,$P$1,$A173,$B173,$M$1)</f>
        <v>0</v>
      </c>
      <c r="I173" s="36">
        <f>_xll.DBRW($C$1,Opening!$G$13,Opening!I$11,$O$1,Opening!$I$13,Opening!$D$13,$P$1,$A173,$B173,$M$1)</f>
        <v>0</v>
      </c>
      <c r="J173" s="36">
        <f>_xll.DBRW($C$1,Opening!$G$13,Opening!J$11,$O$1,Opening!$I$13,Opening!$D$13,$P$1,$A173,$B173,$M$1)</f>
        <v>0</v>
      </c>
      <c r="K173" s="36">
        <f>_xll.DBRW($C$1,Opening!$G$13,Opening!K$11,$O$1,Opening!$I$13,Opening!$D$13,$P$1,$A173,$B173,$M$1)</f>
        <v>0</v>
      </c>
      <c r="L173" s="36">
        <f>_xll.DBRW($C$1,Opening!$G$13,Opening!L$11,$O$1,Opening!$I$13,Opening!$D$13,$P$1,$A173,$B173,$M$1)</f>
        <v>0</v>
      </c>
      <c r="M173" s="36">
        <f>_xll.DBRW($C$1,Opening!$G$13,Opening!M$11,$O$1,Opening!$I$13,Opening!$D$13,$P$1,$A173,$B173,$M$1)</f>
        <v>0</v>
      </c>
      <c r="N173" s="36">
        <f>_xll.DBRW($C$1,Opening!$G$13,Opening!N$11,$O$1,Opening!$I$13,Opening!$D$13,$P$1,$A173,$B173,$M$1)</f>
        <v>0</v>
      </c>
      <c r="O173" s="36">
        <f>_xll.DBRW($C$1,Opening!$G$13,Opening!O$11,$O$1,Opening!$I$13,Opening!$D$13,$P$1,$A173,$B173,$M$1)</f>
        <v>0</v>
      </c>
      <c r="P173" s="36">
        <f>_xll.DBRW($C$1,Opening!$G$13,Opening!P$11,$O$1,Opening!$I$13,Opening!$D$13,$P$1,$A173,$B173,$M$1)</f>
        <v>0</v>
      </c>
      <c r="Q173" s="36">
        <f>_xll.DBRW($C$1,Q$15,$Q$16,$O$1,Opening!$I$13,Opening!$D$13,$P$1,$A173,$B173,$M$1)</f>
        <v>0</v>
      </c>
      <c r="R173" s="36">
        <f>_xll.DBRW($C$1,R$15,$Q$16,$O$1,Opening!$I$13,Opening!$D$13,$P$1,$A173,$B173,$M$1)</f>
        <v>0</v>
      </c>
      <c r="S173" s="36">
        <f>_xll.DBRW($C$1,S$15,$Q$16,$O$1,Opening!$I$13,Opening!$D$13,$P$1,$A173,$B173,$M$1)</f>
        <v>0</v>
      </c>
      <c r="T173" s="36">
        <f>_xll.DBRW($C$1,T$15,$Q$16,$O$1,Opening!$I$13,Opening!$D$13,$P$1,$A173,$B173,$M$1)</f>
        <v>0</v>
      </c>
      <c r="U173" s="36">
        <f>_xll.DBRW($C$1,U$15,$Q$16,$O$1,Opening!$I$13,Opening!$D$13,$P$1,$A173,$B173,$M$1)</f>
        <v>0</v>
      </c>
      <c r="V173"/>
      <c r="W173"/>
      <c r="X173"/>
      <c r="Y173"/>
      <c r="Z173"/>
    </row>
    <row r="174" spans="1:27" ht="20.399999999999999">
      <c r="A174" s="68" t="s">
        <v>383</v>
      </c>
      <c r="B174" s="29" t="s">
        <v>49</v>
      </c>
      <c r="C174" s="44" t="s">
        <v>148</v>
      </c>
      <c r="D174" s="37" t="s">
        <v>49</v>
      </c>
      <c r="E174" s="36">
        <f>_xll.DBRW($C$1,Opening!$G$13,Opening!E$11,$O$1,Opening!$I$13,Opening!$D$13,$P$1,$A174,$B174,$M$1)</f>
        <v>0</v>
      </c>
      <c r="F174" s="36">
        <f>_xll.DBRW($C$1,Opening!$G$13,Opening!F$11,$O$1,Opening!$I$13,Opening!$D$13,$P$1,$A174,$B174,$M$1)</f>
        <v>0</v>
      </c>
      <c r="G174" s="36">
        <f>_xll.DBRW($C$1,Opening!$G$13,Opening!G$11,$O$1,Opening!$I$13,Opening!$D$13,$P$1,$A174,$B174,$M$1)</f>
        <v>0</v>
      </c>
      <c r="H174" s="36">
        <f>_xll.DBRW($C$1,Opening!$G$13,Opening!H$11,$O$1,Opening!$I$13,Opening!$D$13,$P$1,$A174,$B174,$M$1)</f>
        <v>0</v>
      </c>
      <c r="I174" s="36">
        <f>_xll.DBRW($C$1,Opening!$G$13,Opening!I$11,$O$1,Opening!$I$13,Opening!$D$13,$P$1,$A174,$B174,$M$1)</f>
        <v>0</v>
      </c>
      <c r="J174" s="36">
        <f>_xll.DBRW($C$1,Opening!$G$13,Opening!J$11,$O$1,Opening!$I$13,Opening!$D$13,$P$1,$A174,$B174,$M$1)</f>
        <v>0</v>
      </c>
      <c r="K174" s="36">
        <f>_xll.DBRW($C$1,Opening!$G$13,Opening!K$11,$O$1,Opening!$I$13,Opening!$D$13,$P$1,$A174,$B174,$M$1)</f>
        <v>0</v>
      </c>
      <c r="L174" s="36">
        <f>_xll.DBRW($C$1,Opening!$G$13,Opening!L$11,$O$1,Opening!$I$13,Opening!$D$13,$P$1,$A174,$B174,$M$1)</f>
        <v>0</v>
      </c>
      <c r="M174" s="36">
        <f>_xll.DBRW($C$1,Opening!$G$13,Opening!M$11,$O$1,Opening!$I$13,Opening!$D$13,$P$1,$A174,$B174,$M$1)</f>
        <v>0</v>
      </c>
      <c r="N174" s="36">
        <f>_xll.DBRW($C$1,Opening!$G$13,Opening!N$11,$O$1,Opening!$I$13,Opening!$D$13,$P$1,$A174,$B174,$M$1)</f>
        <v>0</v>
      </c>
      <c r="O174" s="36">
        <f>_xll.DBRW($C$1,Opening!$G$13,Opening!O$11,$O$1,Opening!$I$13,Opening!$D$13,$P$1,$A174,$B174,$M$1)</f>
        <v>0</v>
      </c>
      <c r="P174" s="36">
        <f>_xll.DBRW($C$1,Opening!$G$13,Opening!P$11,$O$1,Opening!$I$13,Opening!$D$13,$P$1,$A174,$B174,$M$1)</f>
        <v>0</v>
      </c>
      <c r="Q174" s="36">
        <f>_xll.DBRW($C$1,Q$15,$Q$16,$O$1,Opening!$I$13,Opening!$D$13,$P$1,$A174,$B174,$M$1)</f>
        <v>0</v>
      </c>
      <c r="R174" s="36">
        <f>_xll.DBRW($C$1,R$15,$Q$16,$O$1,Opening!$I$13,Opening!$D$13,$P$1,$A174,$B174,$M$1)</f>
        <v>0</v>
      </c>
      <c r="S174" s="36">
        <f>_xll.DBRW($C$1,S$15,$Q$16,$O$1,Opening!$I$13,Opening!$D$13,$P$1,$A174,$B174,$M$1)</f>
        <v>0</v>
      </c>
      <c r="T174" s="36">
        <f>_xll.DBRW($C$1,T$15,$Q$16,$O$1,Opening!$I$13,Opening!$D$13,$P$1,$A174,$B174,$M$1)</f>
        <v>0</v>
      </c>
      <c r="U174" s="36">
        <f>_xll.DBRW($C$1,U$15,$Q$16,$O$1,Opening!$I$13,Opening!$D$13,$P$1,$A174,$B174,$M$1)</f>
        <v>0</v>
      </c>
      <c r="V174"/>
      <c r="W174"/>
      <c r="X174"/>
      <c r="Y174"/>
      <c r="Z174"/>
    </row>
    <row r="175" spans="1:27" ht="15.75" customHeight="1"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 ht="15.75" customHeight="1" thickBot="1">
      <c r="C176" s="33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 ht="15.75" customHeight="1" thickTop="1">
      <c r="C177" s="32" t="s">
        <v>237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 ht="15.75" customHeight="1"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8">
        <f>$G$13+1</f>
        <v>2027</v>
      </c>
      <c r="R178" s="38">
        <f>$G$13+2</f>
        <v>2028</v>
      </c>
      <c r="S178" s="38">
        <f>$G$13+3</f>
        <v>2029</v>
      </c>
      <c r="T178" s="38">
        <f>$G$13+4</f>
        <v>2030</v>
      </c>
      <c r="U178" s="38">
        <f>$G$13+5</f>
        <v>2031</v>
      </c>
      <c r="V178" s="43"/>
      <c r="W178" s="43"/>
      <c r="X178" s="43"/>
      <c r="Y178" s="43"/>
      <c r="Z178" s="43"/>
      <c r="AA178" s="43"/>
    </row>
    <row r="179" spans="1:27" ht="15.75" customHeight="1">
      <c r="C179" s="31"/>
      <c r="D179" s="31"/>
      <c r="E179" s="38" t="str">
        <f t="shared" ref="E179:P179" si="8">$G$13&amp;"."&amp;E$11</f>
        <v>2026.01</v>
      </c>
      <c r="F179" s="38" t="str">
        <f t="shared" si="8"/>
        <v>2026.02</v>
      </c>
      <c r="G179" s="38" t="str">
        <f t="shared" si="8"/>
        <v>2026.03</v>
      </c>
      <c r="H179" s="38" t="str">
        <f t="shared" si="8"/>
        <v>2026.04</v>
      </c>
      <c r="I179" s="38" t="str">
        <f t="shared" si="8"/>
        <v>2026.05</v>
      </c>
      <c r="J179" s="38" t="str">
        <f t="shared" si="8"/>
        <v>2026.06</v>
      </c>
      <c r="K179" s="38" t="str">
        <f t="shared" si="8"/>
        <v>2026.07</v>
      </c>
      <c r="L179" s="38" t="str">
        <f t="shared" si="8"/>
        <v>2026.08</v>
      </c>
      <c r="M179" s="38" t="str">
        <f t="shared" si="8"/>
        <v>2026.09</v>
      </c>
      <c r="N179" s="38" t="str">
        <f t="shared" si="8"/>
        <v>2026.10</v>
      </c>
      <c r="O179" s="38" t="str">
        <f t="shared" si="8"/>
        <v>2026.11</v>
      </c>
      <c r="P179" s="38" t="str">
        <f t="shared" si="8"/>
        <v>2026.12</v>
      </c>
      <c r="Q179" s="38" t="s">
        <v>304</v>
      </c>
      <c r="R179" s="38" t="s">
        <v>304</v>
      </c>
      <c r="S179" s="38" t="s">
        <v>304</v>
      </c>
      <c r="T179" s="38" t="s">
        <v>304</v>
      </c>
      <c r="U179" s="38" t="s">
        <v>304</v>
      </c>
      <c r="V179"/>
      <c r="W179"/>
      <c r="X179"/>
      <c r="Y179"/>
      <c r="Z179"/>
    </row>
    <row r="180" spans="1:27" ht="15.75" customHeight="1">
      <c r="A180" s="68" t="s">
        <v>384</v>
      </c>
      <c r="B180" s="29" t="s">
        <v>385</v>
      </c>
      <c r="C180" s="42" t="s">
        <v>151</v>
      </c>
      <c r="D180" s="42" t="s">
        <v>238</v>
      </c>
      <c r="E180" s="40">
        <f>_xll.DBRW($C$1,Opening!$G$13,Opening!E$11,$O$1,Opening!$I$13,Opening!$D$13,$P$2,$A180,$B180,$M$1)</f>
        <v>0</v>
      </c>
      <c r="F180" s="40">
        <f>_xll.DBRW($C$1,Opening!$G$13,Opening!F$11,$O$1,Opening!$I$13,Opening!$D$13,$P$2,$A180,$B180,$M$1)</f>
        <v>0</v>
      </c>
      <c r="G180" s="40">
        <f>_xll.DBRW($C$1,Opening!$G$13,Opening!G$11,$O$1,Opening!$I$13,Opening!$D$13,$P$2,$A180,$B180,$M$1)</f>
        <v>0</v>
      </c>
      <c r="H180" s="40">
        <f>_xll.DBRW($C$1,Opening!$G$13,Opening!H$11,$O$1,Opening!$I$13,Opening!$D$13,$P$2,$A180,$B180,$M$1)</f>
        <v>0</v>
      </c>
      <c r="I180" s="40">
        <f>_xll.DBRW($C$1,Opening!$G$13,Opening!I$11,$O$1,Opening!$I$13,Opening!$D$13,$P$2,$A180,$B180,$M$1)</f>
        <v>0</v>
      </c>
      <c r="J180" s="40">
        <f>_xll.DBRW($C$1,Opening!$G$13,Opening!J$11,$O$1,Opening!$I$13,Opening!$D$13,$P$2,$A180,$B180,$M$1)</f>
        <v>0</v>
      </c>
      <c r="K180" s="40">
        <f>_xll.DBRW($C$1,Opening!$G$13,Opening!K$11,$O$1,Opening!$I$13,Opening!$D$13,$P$2,$A180,$B180,$M$1)</f>
        <v>0</v>
      </c>
      <c r="L180" s="40">
        <f>_xll.DBRW($C$1,Opening!$G$13,Opening!L$11,$O$1,Opening!$I$13,Opening!$D$13,$P$2,$A180,$B180,$M$1)</f>
        <v>0</v>
      </c>
      <c r="M180" s="40">
        <f>_xll.DBRW($C$1,Opening!$G$13,Opening!M$11,$O$1,Opening!$I$13,Opening!$D$13,$P$2,$A180,$B180,$M$1)</f>
        <v>0</v>
      </c>
      <c r="N180" s="40">
        <f>_xll.DBRW($C$1,Opening!$G$13,Opening!N$11,$O$1,Opening!$I$13,Opening!$D$13,$P$2,$A180,$B180,$M$1)</f>
        <v>0</v>
      </c>
      <c r="O180" s="40">
        <f>_xll.DBRW($C$1,Opening!$G$13,Opening!O$11,$O$1,Opening!$I$13,Opening!$D$13,$P$2,$A180,$B180,$M$1)</f>
        <v>0</v>
      </c>
      <c r="P180" s="40">
        <f>_xll.DBRW($C$1,Opening!$G$13,Opening!P$11,$O$1,Opening!$I$13,Opening!$D$13,$P$2,$A180,$B180,$M$1)</f>
        <v>0</v>
      </c>
      <c r="Q180" s="40">
        <f>_xll.DBRW($C$1,Q$37,$Q$16,$O$1,Opening!$I$13,Opening!$D$13,$P$1,$A180,$D180,$M$1)</f>
        <v>0</v>
      </c>
      <c r="R180" s="40">
        <f>_xll.DBRW($C$1,R$37,$Q$16,$O$1,Opening!$I$13,Opening!$D$13,$P$1,$A180,$D180,$M$1)</f>
        <v>0</v>
      </c>
      <c r="S180" s="40">
        <f>_xll.DBRW($C$1,S$37,$Q$16,$O$1,Opening!$I$13,Opening!$D$13,$P$1,$A180,$D180,$M$1)</f>
        <v>0</v>
      </c>
      <c r="T180" s="40">
        <f>_xll.DBRW($C$1,T$37,$Q$16,$O$1,Opening!$I$13,Opening!$D$13,$P$1,$A180,$D180,$M$1)</f>
        <v>0</v>
      </c>
      <c r="U180" s="40">
        <f>_xll.DBRW($C$1,U$37,$Q$16,$O$1,Opening!$I$13,Opening!$D$13,$P$1,$A180,$D180,$M$1)</f>
        <v>0</v>
      </c>
      <c r="V180"/>
      <c r="W180"/>
      <c r="X180"/>
      <c r="Y180"/>
      <c r="Z180"/>
    </row>
    <row r="181" spans="1:27" ht="15.75" customHeight="1">
      <c r="A181" s="68" t="s">
        <v>384</v>
      </c>
      <c r="B181" s="29" t="s">
        <v>385</v>
      </c>
      <c r="C181" s="62" t="s">
        <v>151</v>
      </c>
      <c r="D181" s="56" t="s">
        <v>294</v>
      </c>
      <c r="E181" s="36">
        <f>_xll.DBRW($C$1,Opening!$G$13,Opening!E$11,$O$1,Opening!$I$13,Opening!$D$13,$D181,$A$180,$B$180,$M$1)</f>
        <v>0</v>
      </c>
      <c r="F181" s="36">
        <f>_xll.DBRW($C$1,Opening!$G$13,Opening!F$11,$O$1,Opening!$I$13,Opening!$D$13,$D181,$A$180,$B$180,$M$1)</f>
        <v>0</v>
      </c>
      <c r="G181" s="36">
        <f>_xll.DBRW($C$1,Opening!$G$13,Opening!G$11,$O$1,Opening!$I$13,Opening!$D$13,$D181,$A$180,$B$180,$M$1)</f>
        <v>0</v>
      </c>
      <c r="H181" s="36">
        <f>_xll.DBRW($C$1,Opening!$G$13,Opening!H$11,$O$1,Opening!$I$13,Opening!$D$13,$D181,$A$180,$B$180,$M$1)</f>
        <v>0</v>
      </c>
      <c r="I181" s="36">
        <f>_xll.DBRW($C$1,Opening!$G$13,Opening!I$11,$O$1,Opening!$I$13,Opening!$D$13,$D181,$A$180,$B$180,$M$1)</f>
        <v>0</v>
      </c>
      <c r="J181" s="36">
        <f>_xll.DBRW($C$1,Opening!$G$13,Opening!J$11,$O$1,Opening!$I$13,Opening!$D$13,$D181,$A$180,$B$180,$M$1)</f>
        <v>0</v>
      </c>
      <c r="K181" s="36">
        <f>_xll.DBRW($C$1,Opening!$G$13,Opening!K$11,$O$1,Opening!$I$13,Opening!$D$13,$D181,$A$180,$B$180,$M$1)</f>
        <v>0</v>
      </c>
      <c r="L181" s="36">
        <f>_xll.DBRW($C$1,Opening!$G$13,Opening!L$11,$O$1,Opening!$I$13,Opening!$D$13,$D181,$A$180,$B$180,$M$1)</f>
        <v>0</v>
      </c>
      <c r="M181" s="36">
        <f>_xll.DBRW($C$1,Opening!$G$13,Opening!M$11,$O$1,Opening!$I$13,Opening!$D$13,$D181,$A$180,$B$180,$M$1)</f>
        <v>0</v>
      </c>
      <c r="N181" s="36">
        <f>_xll.DBRW($C$1,Opening!$G$13,Opening!N$11,$O$1,Opening!$I$13,Opening!$D$13,$D181,$A$180,$B$180,$M$1)</f>
        <v>0</v>
      </c>
      <c r="O181" s="36">
        <f>_xll.DBRW($C$1,Opening!$G$13,Opening!O$11,$O$1,Opening!$I$13,Opening!$D$13,$D181,$A$180,$B$180,$M$1)</f>
        <v>0</v>
      </c>
      <c r="P181" s="36">
        <f>_xll.DBRW($C$1,Opening!$G$13,Opening!P$11,$O$1,Opening!$I$13,Opening!$D$13,$D181,$A$180,$B$180,$M$1)</f>
        <v>0</v>
      </c>
      <c r="Q181" s="36">
        <f>_xll.DBRW($C$1,Q$15,$Q$16,$O$1,Opening!$I$13,Opening!$D$13,$D181,$A$180,$B$180,$M$1)</f>
        <v>0</v>
      </c>
      <c r="R181" s="36">
        <f>_xll.DBRW($C$1,R$15,$Q$16,$O$1,Opening!$I$13,Opening!$D$13,$D181,$A$180,$B$180,$M$1)</f>
        <v>0</v>
      </c>
      <c r="S181" s="36">
        <f>_xll.DBRW($C$1,S$15,$Q$16,$O$1,Opening!$I$13,Opening!$D$13,$D181,$A$180,$B$180,$M$1)</f>
        <v>0</v>
      </c>
      <c r="T181" s="36">
        <f>_xll.DBRW($C$1,T$15,$Q$16,$O$1,Opening!$I$13,Opening!$D$13,$D181,$A$180,$B$180,$M$1)</f>
        <v>0</v>
      </c>
      <c r="U181" s="36">
        <f>_xll.DBRW($C$1,U$15,$Q$16,$O$1,Opening!$I$13,Opening!$D$13,$D181,$A$180,$B$180,$M$1)</f>
        <v>0</v>
      </c>
      <c r="V181"/>
      <c r="W181"/>
      <c r="X181"/>
      <c r="Y181"/>
      <c r="Z181"/>
    </row>
    <row r="182" spans="1:27" ht="15.75" customHeight="1">
      <c r="A182" s="68" t="s">
        <v>384</v>
      </c>
      <c r="B182" s="29" t="s">
        <v>385</v>
      </c>
      <c r="C182" s="62" t="s">
        <v>151</v>
      </c>
      <c r="D182" s="56" t="s">
        <v>292</v>
      </c>
      <c r="E182" s="36">
        <f>_xll.DBRW($C$1,Opening!$G$13,Opening!E$11,$O$1,Opening!$I$13,Opening!$D$13,$D182,$A$180,$B$180,$M$1)</f>
        <v>0</v>
      </c>
      <c r="F182" s="36">
        <f>_xll.DBRW($C$1,Opening!$G$13,Opening!F$11,$O$1,Opening!$I$13,Opening!$D$13,$D182,$A$180,$B$180,$M$1)</f>
        <v>0</v>
      </c>
      <c r="G182" s="36">
        <f>_xll.DBRW($C$1,Opening!$G$13,Opening!G$11,$O$1,Opening!$I$13,Opening!$D$13,$D182,$A$180,$B$180,$M$1)</f>
        <v>0</v>
      </c>
      <c r="H182" s="36">
        <f>_xll.DBRW($C$1,Opening!$G$13,Opening!H$11,$O$1,Opening!$I$13,Opening!$D$13,$D182,$A$180,$B$180,$M$1)</f>
        <v>0</v>
      </c>
      <c r="I182" s="36">
        <f>_xll.DBRW($C$1,Opening!$G$13,Opening!I$11,$O$1,Opening!$I$13,Opening!$D$13,$D182,$A$180,$B$180,$M$1)</f>
        <v>0</v>
      </c>
      <c r="J182" s="36">
        <f>_xll.DBRW($C$1,Opening!$G$13,Opening!J$11,$O$1,Opening!$I$13,Opening!$D$13,$D182,$A$180,$B$180,$M$1)</f>
        <v>0</v>
      </c>
      <c r="K182" s="36">
        <f>_xll.DBRW($C$1,Opening!$G$13,Opening!K$11,$O$1,Opening!$I$13,Opening!$D$13,$D182,$A$180,$B$180,$M$1)</f>
        <v>0</v>
      </c>
      <c r="L182" s="36">
        <f>_xll.DBRW($C$1,Opening!$G$13,Opening!L$11,$O$1,Opening!$I$13,Opening!$D$13,$D182,$A$180,$B$180,$M$1)</f>
        <v>0</v>
      </c>
      <c r="M182" s="36">
        <f>_xll.DBRW($C$1,Opening!$G$13,Opening!M$11,$O$1,Opening!$I$13,Opening!$D$13,$D182,$A$180,$B$180,$M$1)</f>
        <v>0</v>
      </c>
      <c r="N182" s="36">
        <f>_xll.DBRW($C$1,Opening!$G$13,Opening!N$11,$O$1,Opening!$I$13,Opening!$D$13,$D182,$A$180,$B$180,$M$1)</f>
        <v>0</v>
      </c>
      <c r="O182" s="36">
        <f>_xll.DBRW($C$1,Opening!$G$13,Opening!O$11,$O$1,Opening!$I$13,Opening!$D$13,$D182,$A$180,$B$180,$M$1)</f>
        <v>0</v>
      </c>
      <c r="P182" s="36">
        <f>_xll.DBRW($C$1,Opening!$G$13,Opening!P$11,$O$1,Opening!$I$13,Opening!$D$13,$D182,$A$180,$B$180,$M$1)</f>
        <v>0</v>
      </c>
      <c r="Q182" s="36">
        <f>_xll.DBRW($C$1,Q$15,$Q$16,$O$1,Opening!$I$13,Opening!$D$13,$D182,$A$180,$B$180,$M$1)</f>
        <v>0</v>
      </c>
      <c r="R182" s="36">
        <f>_xll.DBRW($C$1,R$15,$Q$16,$O$1,Opening!$I$13,Opening!$D$13,$D182,$A$180,$B$180,$M$1)</f>
        <v>0</v>
      </c>
      <c r="S182" s="36">
        <f>_xll.DBRW($C$1,S$15,$Q$16,$O$1,Opening!$I$13,Opening!$D$13,$D182,$A$180,$B$180,$M$1)</f>
        <v>0</v>
      </c>
      <c r="T182" s="36">
        <f>_xll.DBRW($C$1,T$15,$Q$16,$O$1,Opening!$I$13,Opening!$D$13,$D182,$A$180,$B$180,$M$1)</f>
        <v>0</v>
      </c>
      <c r="U182" s="36">
        <f>_xll.DBRW($C$1,U$15,$Q$16,$O$1,Opening!$I$13,Opening!$D$13,$D182,$A$180,$B$180,$M$1)</f>
        <v>0</v>
      </c>
      <c r="V182"/>
      <c r="W182"/>
      <c r="X182"/>
      <c r="Y182"/>
      <c r="Z182"/>
    </row>
    <row r="183" spans="1:27" ht="15.75" customHeight="1">
      <c r="A183" s="68" t="s">
        <v>384</v>
      </c>
      <c r="B183" s="29" t="s">
        <v>385</v>
      </c>
      <c r="C183" s="62" t="s">
        <v>151</v>
      </c>
      <c r="D183" s="56" t="s">
        <v>293</v>
      </c>
      <c r="E183" s="36">
        <f>_xll.DBRW($C$1,Opening!$G$13,Opening!E$11,$O$1,Opening!$I$13,Opening!$D$13,$D183,$A$180,$B$180,$M$1)</f>
        <v>0</v>
      </c>
      <c r="F183" s="36">
        <f>_xll.DBRW($C$1,Opening!$G$13,Opening!F$11,$O$1,Opening!$I$13,Opening!$D$13,$D183,$A$180,$B$180,$M$1)</f>
        <v>0</v>
      </c>
      <c r="G183" s="36">
        <f>_xll.DBRW($C$1,Opening!$G$13,Opening!G$11,$O$1,Opening!$I$13,Opening!$D$13,$D183,$A$180,$B$180,$M$1)</f>
        <v>0</v>
      </c>
      <c r="H183" s="36">
        <f>_xll.DBRW($C$1,Opening!$G$13,Opening!H$11,$O$1,Opening!$I$13,Opening!$D$13,$D183,$A$180,$B$180,$M$1)</f>
        <v>0</v>
      </c>
      <c r="I183" s="36">
        <f>_xll.DBRW($C$1,Opening!$G$13,Opening!I$11,$O$1,Opening!$I$13,Opening!$D$13,$D183,$A$180,$B$180,$M$1)</f>
        <v>0</v>
      </c>
      <c r="J183" s="36">
        <f>_xll.DBRW($C$1,Opening!$G$13,Opening!J$11,$O$1,Opening!$I$13,Opening!$D$13,$D183,$A$180,$B$180,$M$1)</f>
        <v>0</v>
      </c>
      <c r="K183" s="36">
        <f>_xll.DBRW($C$1,Opening!$G$13,Opening!K$11,$O$1,Opening!$I$13,Opening!$D$13,$D183,$A$180,$B$180,$M$1)</f>
        <v>0</v>
      </c>
      <c r="L183" s="36">
        <f>_xll.DBRW($C$1,Opening!$G$13,Opening!L$11,$O$1,Opening!$I$13,Opening!$D$13,$D183,$A$180,$B$180,$M$1)</f>
        <v>0</v>
      </c>
      <c r="M183" s="36">
        <f>_xll.DBRW($C$1,Opening!$G$13,Opening!M$11,$O$1,Opening!$I$13,Opening!$D$13,$D183,$A$180,$B$180,$M$1)</f>
        <v>0</v>
      </c>
      <c r="N183" s="36">
        <f>_xll.DBRW($C$1,Opening!$G$13,Opening!N$11,$O$1,Opening!$I$13,Opening!$D$13,$D183,$A$180,$B$180,$M$1)</f>
        <v>0</v>
      </c>
      <c r="O183" s="36">
        <f>_xll.DBRW($C$1,Opening!$G$13,Opening!O$11,$O$1,Opening!$I$13,Opening!$D$13,$D183,$A$180,$B$180,$M$1)</f>
        <v>0</v>
      </c>
      <c r="P183" s="36">
        <f>_xll.DBRW($C$1,Opening!$G$13,Opening!P$11,$O$1,Opening!$I$13,Opening!$D$13,$D183,$A$180,$B$180,$M$1)</f>
        <v>0</v>
      </c>
      <c r="Q183" s="36">
        <f>_xll.DBRW($C$1,Q$15,$Q$16,$O$1,Opening!$I$13,Opening!$D$13,$D183,$A$180,$B$180,$M$1)</f>
        <v>0</v>
      </c>
      <c r="R183" s="36">
        <f>_xll.DBRW($C$1,R$15,$Q$16,$O$1,Opening!$I$13,Opening!$D$13,$D183,$A$180,$B$180,$M$1)</f>
        <v>0</v>
      </c>
      <c r="S183" s="36">
        <f>_xll.DBRW($C$1,S$15,$Q$16,$O$1,Opening!$I$13,Opening!$D$13,$D183,$A$180,$B$180,$M$1)</f>
        <v>0</v>
      </c>
      <c r="T183" s="36">
        <f>_xll.DBRW($C$1,T$15,$Q$16,$O$1,Opening!$I$13,Opening!$D$13,$D183,$A$180,$B$180,$M$1)</f>
        <v>0</v>
      </c>
      <c r="U183" s="36">
        <f>_xll.DBRW($C$1,U$15,$Q$16,$O$1,Opening!$I$13,Opening!$D$13,$D183,$A$180,$B$180,$M$1)</f>
        <v>0</v>
      </c>
      <c r="V183"/>
      <c r="W183"/>
      <c r="X183"/>
      <c r="Y183"/>
      <c r="Z183"/>
    </row>
    <row r="184" spans="1:27" ht="15.75" customHeight="1">
      <c r="A184" s="68" t="s">
        <v>384</v>
      </c>
      <c r="B184" s="29" t="s">
        <v>385</v>
      </c>
      <c r="C184" s="62" t="s">
        <v>151</v>
      </c>
      <c r="D184" s="56" t="s">
        <v>295</v>
      </c>
      <c r="E184" s="36">
        <f>_xll.DBRW($C$1,Opening!$G$13,Opening!E$11,$O$1,Opening!$I$13,Opening!$D$13,$D184,$A$180,$B$180,$M$1)</f>
        <v>0</v>
      </c>
      <c r="F184" s="36">
        <f>_xll.DBRW($C$1,Opening!$G$13,Opening!F$11,$O$1,Opening!$I$13,Opening!$D$13,$D184,$A$180,$B$180,$M$1)</f>
        <v>0</v>
      </c>
      <c r="G184" s="36">
        <f>_xll.DBRW($C$1,Opening!$G$13,Opening!G$11,$O$1,Opening!$I$13,Opening!$D$13,$D184,$A$180,$B$180,$M$1)</f>
        <v>0</v>
      </c>
      <c r="H184" s="36">
        <f>_xll.DBRW($C$1,Opening!$G$13,Opening!H$11,$O$1,Opening!$I$13,Opening!$D$13,$D184,$A$180,$B$180,$M$1)</f>
        <v>0</v>
      </c>
      <c r="I184" s="36">
        <f>_xll.DBRW($C$1,Opening!$G$13,Opening!I$11,$O$1,Opening!$I$13,Opening!$D$13,$D184,$A$180,$B$180,$M$1)</f>
        <v>0</v>
      </c>
      <c r="J184" s="36">
        <f>_xll.DBRW($C$1,Opening!$G$13,Opening!J$11,$O$1,Opening!$I$13,Opening!$D$13,$D184,$A$180,$B$180,$M$1)</f>
        <v>0</v>
      </c>
      <c r="K184" s="36">
        <f>_xll.DBRW($C$1,Opening!$G$13,Opening!K$11,$O$1,Opening!$I$13,Opening!$D$13,$D184,$A$180,$B$180,$M$1)</f>
        <v>0</v>
      </c>
      <c r="L184" s="36">
        <f>_xll.DBRW($C$1,Opening!$G$13,Opening!L$11,$O$1,Opening!$I$13,Opening!$D$13,$D184,$A$180,$B$180,$M$1)</f>
        <v>0</v>
      </c>
      <c r="M184" s="36">
        <f>_xll.DBRW($C$1,Opening!$G$13,Opening!M$11,$O$1,Opening!$I$13,Opening!$D$13,$D184,$A$180,$B$180,$M$1)</f>
        <v>0</v>
      </c>
      <c r="N184" s="36">
        <f>_xll.DBRW($C$1,Opening!$G$13,Opening!N$11,$O$1,Opening!$I$13,Opening!$D$13,$D184,$A$180,$B$180,$M$1)</f>
        <v>0</v>
      </c>
      <c r="O184" s="36">
        <f>_xll.DBRW($C$1,Opening!$G$13,Opening!O$11,$O$1,Opening!$I$13,Opening!$D$13,$D184,$A$180,$B$180,$M$1)</f>
        <v>0</v>
      </c>
      <c r="P184" s="36">
        <f>_xll.DBRW($C$1,Opening!$G$13,Opening!P$11,$O$1,Opening!$I$13,Opening!$D$13,$D184,$A$180,$B$180,$M$1)</f>
        <v>0</v>
      </c>
      <c r="Q184" s="36">
        <f>_xll.DBRW($C$1,Q$15,$Q$16,$O$1,Opening!$I$13,Opening!$D$13,$D184,$A$180,$B$180,$M$1)</f>
        <v>0</v>
      </c>
      <c r="R184" s="36">
        <f>_xll.DBRW($C$1,R$15,$Q$16,$O$1,Opening!$I$13,Opening!$D$13,$D184,$A$180,$B$180,$M$1)</f>
        <v>0</v>
      </c>
      <c r="S184" s="36">
        <f>_xll.DBRW($C$1,S$15,$Q$16,$O$1,Opening!$I$13,Opening!$D$13,$D184,$A$180,$B$180,$M$1)</f>
        <v>0</v>
      </c>
      <c r="T184" s="36">
        <f>_xll.DBRW($C$1,T$15,$Q$16,$O$1,Opening!$I$13,Opening!$D$13,$D184,$A$180,$B$180,$M$1)</f>
        <v>0</v>
      </c>
      <c r="U184" s="36">
        <f>_xll.DBRW($C$1,U$15,$Q$16,$O$1,Opening!$I$13,Opening!$D$13,$D184,$A$180,$B$180,$M$1)</f>
        <v>0</v>
      </c>
      <c r="V184"/>
      <c r="W184"/>
      <c r="X184"/>
      <c r="Y184"/>
      <c r="Z184"/>
    </row>
    <row r="185" spans="1:27" ht="15.75" customHeight="1">
      <c r="A185" s="68" t="s">
        <v>384</v>
      </c>
      <c r="B185" s="29" t="s">
        <v>385</v>
      </c>
      <c r="C185" s="62" t="s">
        <v>151</v>
      </c>
      <c r="D185" s="56" t="s">
        <v>296</v>
      </c>
      <c r="E185" s="36">
        <f>_xll.DBRW($C$1,Opening!$G$13,Opening!E$11,$O$1,Opening!$I$13,Opening!$D$13,$D185,$A$180,$B$180,$M$1)</f>
        <v>0</v>
      </c>
      <c r="F185" s="36">
        <f>_xll.DBRW($C$1,Opening!$G$13,Opening!F$11,$O$1,Opening!$I$13,Opening!$D$13,$D185,$A$180,$B$180,$M$1)</f>
        <v>0</v>
      </c>
      <c r="G185" s="36">
        <f>_xll.DBRW($C$1,Opening!$G$13,Opening!G$11,$O$1,Opening!$I$13,Opening!$D$13,$D185,$A$180,$B$180,$M$1)</f>
        <v>0</v>
      </c>
      <c r="H185" s="36">
        <f>_xll.DBRW($C$1,Opening!$G$13,Opening!H$11,$O$1,Opening!$I$13,Opening!$D$13,$D185,$A$180,$B$180,$M$1)</f>
        <v>0</v>
      </c>
      <c r="I185" s="36">
        <f>_xll.DBRW($C$1,Opening!$G$13,Opening!I$11,$O$1,Opening!$I$13,Opening!$D$13,$D185,$A$180,$B$180,$M$1)</f>
        <v>0</v>
      </c>
      <c r="J185" s="36">
        <f>_xll.DBRW($C$1,Opening!$G$13,Opening!J$11,$O$1,Opening!$I$13,Opening!$D$13,$D185,$A$180,$B$180,$M$1)</f>
        <v>0</v>
      </c>
      <c r="K185" s="36">
        <f>_xll.DBRW($C$1,Opening!$G$13,Opening!K$11,$O$1,Opening!$I$13,Opening!$D$13,$D185,$A$180,$B$180,$M$1)</f>
        <v>0</v>
      </c>
      <c r="L185" s="36">
        <f>_xll.DBRW($C$1,Opening!$G$13,Opening!L$11,$O$1,Opening!$I$13,Opening!$D$13,$D185,$A$180,$B$180,$M$1)</f>
        <v>0</v>
      </c>
      <c r="M185" s="36">
        <f>_xll.DBRW($C$1,Opening!$G$13,Opening!M$11,$O$1,Opening!$I$13,Opening!$D$13,$D185,$A$180,$B$180,$M$1)</f>
        <v>0</v>
      </c>
      <c r="N185" s="36">
        <f>_xll.DBRW($C$1,Opening!$G$13,Opening!N$11,$O$1,Opening!$I$13,Opening!$D$13,$D185,$A$180,$B$180,$M$1)</f>
        <v>0</v>
      </c>
      <c r="O185" s="36">
        <f>_xll.DBRW($C$1,Opening!$G$13,Opening!O$11,$O$1,Opening!$I$13,Opening!$D$13,$D185,$A$180,$B$180,$M$1)</f>
        <v>0</v>
      </c>
      <c r="P185" s="36">
        <f>_xll.DBRW($C$1,Opening!$G$13,Opening!P$11,$O$1,Opening!$I$13,Opening!$D$13,$D185,$A$180,$B$180,$M$1)</f>
        <v>0</v>
      </c>
      <c r="Q185" s="36">
        <f>_xll.DBRW($C$1,Q$15,$Q$16,$O$1,Opening!$I$13,Opening!$D$13,$D185,$A$180,$B$180,$M$1)</f>
        <v>0</v>
      </c>
      <c r="R185" s="36">
        <f>_xll.DBRW($C$1,R$15,$Q$16,$O$1,Opening!$I$13,Opening!$D$13,$D185,$A$180,$B$180,$M$1)</f>
        <v>0</v>
      </c>
      <c r="S185" s="36">
        <f>_xll.DBRW($C$1,S$15,$Q$16,$O$1,Opening!$I$13,Opening!$D$13,$D185,$A$180,$B$180,$M$1)</f>
        <v>0</v>
      </c>
      <c r="T185" s="36">
        <f>_xll.DBRW($C$1,T$15,$Q$16,$O$1,Opening!$I$13,Opening!$D$13,$D185,$A$180,$B$180,$M$1)</f>
        <v>0</v>
      </c>
      <c r="U185" s="36">
        <f>_xll.DBRW($C$1,U$15,$Q$16,$O$1,Opening!$I$13,Opening!$D$13,$D185,$A$180,$B$180,$M$1)</f>
        <v>0</v>
      </c>
      <c r="V185"/>
      <c r="W185"/>
      <c r="X185"/>
      <c r="Y185"/>
      <c r="Z185"/>
    </row>
    <row r="186" spans="1:27" ht="15.75" customHeight="1">
      <c r="A186" s="68" t="s">
        <v>384</v>
      </c>
      <c r="B186" s="29" t="s">
        <v>385</v>
      </c>
      <c r="C186" s="62" t="s">
        <v>151</v>
      </c>
      <c r="D186" s="56" t="s">
        <v>297</v>
      </c>
      <c r="E186" s="36">
        <f>_xll.DBRW($C$1,Opening!$G$13,Opening!E$11,$O$1,Opening!$I$13,Opening!$D$13,$D186,$A$180,$B$180,$M$1)</f>
        <v>0</v>
      </c>
      <c r="F186" s="36">
        <f>_xll.DBRW($C$1,Opening!$G$13,Opening!F$11,$O$1,Opening!$I$13,Opening!$D$13,$D186,$A$180,$B$180,$M$1)</f>
        <v>0</v>
      </c>
      <c r="G186" s="36">
        <f>_xll.DBRW($C$1,Opening!$G$13,Opening!G$11,$O$1,Opening!$I$13,Opening!$D$13,$D186,$A$180,$B$180,$M$1)</f>
        <v>0</v>
      </c>
      <c r="H186" s="36">
        <f>_xll.DBRW($C$1,Opening!$G$13,Opening!H$11,$O$1,Opening!$I$13,Opening!$D$13,$D186,$A$180,$B$180,$M$1)</f>
        <v>0</v>
      </c>
      <c r="I186" s="36">
        <f>_xll.DBRW($C$1,Opening!$G$13,Opening!I$11,$O$1,Opening!$I$13,Opening!$D$13,$D186,$A$180,$B$180,$M$1)</f>
        <v>0</v>
      </c>
      <c r="J186" s="36">
        <f>_xll.DBRW($C$1,Opening!$G$13,Opening!J$11,$O$1,Opening!$I$13,Opening!$D$13,$D186,$A$180,$B$180,$M$1)</f>
        <v>0</v>
      </c>
      <c r="K186" s="36">
        <f>_xll.DBRW($C$1,Opening!$G$13,Opening!K$11,$O$1,Opening!$I$13,Opening!$D$13,$D186,$A$180,$B$180,$M$1)</f>
        <v>0</v>
      </c>
      <c r="L186" s="36">
        <f>_xll.DBRW($C$1,Opening!$G$13,Opening!L$11,$O$1,Opening!$I$13,Opening!$D$13,$D186,$A$180,$B$180,$M$1)</f>
        <v>0</v>
      </c>
      <c r="M186" s="36">
        <f>_xll.DBRW($C$1,Opening!$G$13,Opening!M$11,$O$1,Opening!$I$13,Opening!$D$13,$D186,$A$180,$B$180,$M$1)</f>
        <v>0</v>
      </c>
      <c r="N186" s="36">
        <f>_xll.DBRW($C$1,Opening!$G$13,Opening!N$11,$O$1,Opening!$I$13,Opening!$D$13,$D186,$A$180,$B$180,$M$1)</f>
        <v>0</v>
      </c>
      <c r="O186" s="36">
        <f>_xll.DBRW($C$1,Opening!$G$13,Opening!O$11,$O$1,Opening!$I$13,Opening!$D$13,$D186,$A$180,$B$180,$M$1)</f>
        <v>0</v>
      </c>
      <c r="P186" s="36">
        <f>_xll.DBRW($C$1,Opening!$G$13,Opening!P$11,$O$1,Opening!$I$13,Opening!$D$13,$D186,$A$180,$B$180,$M$1)</f>
        <v>0</v>
      </c>
      <c r="Q186" s="36">
        <f>_xll.DBRW($C$1,Q$15,$Q$16,$O$1,Opening!$I$13,Opening!$D$13,$D186,$A$180,$B$180,$M$1)</f>
        <v>0</v>
      </c>
      <c r="R186" s="36">
        <f>_xll.DBRW($C$1,R$15,$Q$16,$O$1,Opening!$I$13,Opening!$D$13,$D186,$A$180,$B$180,$M$1)</f>
        <v>0</v>
      </c>
      <c r="S186" s="36">
        <f>_xll.DBRW($C$1,S$15,$Q$16,$O$1,Opening!$I$13,Opening!$D$13,$D186,$A$180,$B$180,$M$1)</f>
        <v>0</v>
      </c>
      <c r="T186" s="36">
        <f>_xll.DBRW($C$1,T$15,$Q$16,$O$1,Opening!$I$13,Opening!$D$13,$D186,$A$180,$B$180,$M$1)</f>
        <v>0</v>
      </c>
      <c r="U186" s="36">
        <f>_xll.DBRW($C$1,U$15,$Q$16,$O$1,Opening!$I$13,Opening!$D$13,$D186,$A$180,$B$180,$M$1)</f>
        <v>0</v>
      </c>
      <c r="V186"/>
      <c r="W186"/>
      <c r="X186"/>
      <c r="Y186"/>
      <c r="Z186"/>
    </row>
    <row r="187" spans="1:27" ht="15.75" customHeight="1">
      <c r="A187" s="68" t="s">
        <v>384</v>
      </c>
      <c r="B187" s="29" t="s">
        <v>385</v>
      </c>
      <c r="C187" s="62" t="s">
        <v>151</v>
      </c>
      <c r="D187" s="56" t="s">
        <v>298</v>
      </c>
      <c r="E187" s="36">
        <f>_xll.DBRW($C$1,Opening!$G$13,Opening!E$11,$O$1,Opening!$I$13,Opening!$D$13,$D187,$A$180,$B$180,$M$1)</f>
        <v>0</v>
      </c>
      <c r="F187" s="36">
        <f>_xll.DBRW($C$1,Opening!$G$13,Opening!F$11,$O$1,Opening!$I$13,Opening!$D$13,$D187,$A$180,$B$180,$M$1)</f>
        <v>0</v>
      </c>
      <c r="G187" s="36">
        <f>_xll.DBRW($C$1,Opening!$G$13,Opening!G$11,$O$1,Opening!$I$13,Opening!$D$13,$D187,$A$180,$B$180,$M$1)</f>
        <v>0</v>
      </c>
      <c r="H187" s="36">
        <f>_xll.DBRW($C$1,Opening!$G$13,Opening!H$11,$O$1,Opening!$I$13,Opening!$D$13,$D187,$A$180,$B$180,$M$1)</f>
        <v>0</v>
      </c>
      <c r="I187" s="36">
        <f>_xll.DBRW($C$1,Opening!$G$13,Opening!I$11,$O$1,Opening!$I$13,Opening!$D$13,$D187,$A$180,$B$180,$M$1)</f>
        <v>0</v>
      </c>
      <c r="J187" s="36">
        <f>_xll.DBRW($C$1,Opening!$G$13,Opening!J$11,$O$1,Opening!$I$13,Opening!$D$13,$D187,$A$180,$B$180,$M$1)</f>
        <v>0</v>
      </c>
      <c r="K187" s="36">
        <f>_xll.DBRW($C$1,Opening!$G$13,Opening!K$11,$O$1,Opening!$I$13,Opening!$D$13,$D187,$A$180,$B$180,$M$1)</f>
        <v>0</v>
      </c>
      <c r="L187" s="36">
        <f>_xll.DBRW($C$1,Opening!$G$13,Opening!L$11,$O$1,Opening!$I$13,Opening!$D$13,$D187,$A$180,$B$180,$M$1)</f>
        <v>0</v>
      </c>
      <c r="M187" s="36">
        <f>_xll.DBRW($C$1,Opening!$G$13,Opening!M$11,$O$1,Opening!$I$13,Opening!$D$13,$D187,$A$180,$B$180,$M$1)</f>
        <v>0</v>
      </c>
      <c r="N187" s="36">
        <f>_xll.DBRW($C$1,Opening!$G$13,Opening!N$11,$O$1,Opening!$I$13,Opening!$D$13,$D187,$A$180,$B$180,$M$1)</f>
        <v>0</v>
      </c>
      <c r="O187" s="36">
        <f>_xll.DBRW($C$1,Opening!$G$13,Opening!O$11,$O$1,Opening!$I$13,Opening!$D$13,$D187,$A$180,$B$180,$M$1)</f>
        <v>0</v>
      </c>
      <c r="P187" s="36">
        <f>_xll.DBRW($C$1,Opening!$G$13,Opening!P$11,$O$1,Opening!$I$13,Opening!$D$13,$D187,$A$180,$B$180,$M$1)</f>
        <v>0</v>
      </c>
      <c r="Q187" s="36">
        <f>_xll.DBRW($C$1,Q$15,$Q$16,$O$1,Opening!$I$13,Opening!$D$13,$D187,$A$180,$B$180,$M$1)</f>
        <v>0</v>
      </c>
      <c r="R187" s="36">
        <f>_xll.DBRW($C$1,R$15,$Q$16,$O$1,Opening!$I$13,Opening!$D$13,$D187,$A$180,$B$180,$M$1)</f>
        <v>0</v>
      </c>
      <c r="S187" s="36">
        <f>_xll.DBRW($C$1,S$15,$Q$16,$O$1,Opening!$I$13,Opening!$D$13,$D187,$A$180,$B$180,$M$1)</f>
        <v>0</v>
      </c>
      <c r="T187" s="36">
        <f>_xll.DBRW($C$1,T$15,$Q$16,$O$1,Opening!$I$13,Opening!$D$13,$D187,$A$180,$B$180,$M$1)</f>
        <v>0</v>
      </c>
      <c r="U187" s="36">
        <f>_xll.DBRW($C$1,U$15,$Q$16,$O$1,Opening!$I$13,Opening!$D$13,$D187,$A$180,$B$180,$M$1)</f>
        <v>0</v>
      </c>
      <c r="V187"/>
      <c r="W187"/>
      <c r="X187"/>
      <c r="Y187"/>
      <c r="Z187"/>
    </row>
    <row r="188" spans="1:27" ht="15.75" customHeight="1">
      <c r="A188" s="68" t="s">
        <v>384</v>
      </c>
      <c r="B188" s="29" t="s">
        <v>385</v>
      </c>
      <c r="C188" s="63" t="s">
        <v>151</v>
      </c>
      <c r="D188" s="64" t="s">
        <v>299</v>
      </c>
      <c r="E188" s="36">
        <f>_xll.DBRW($C$1,Opening!$G$13,Opening!E$11,$O$1,Opening!$I$13,Opening!$D$13,$D188,$A$180,$B$180,$M$1)</f>
        <v>0</v>
      </c>
      <c r="F188" s="36">
        <f>_xll.DBRW($C$1,Opening!$G$13,Opening!F$11,$O$1,Opening!$I$13,Opening!$D$13,$D188,$A$180,$B$180,$M$1)</f>
        <v>0</v>
      </c>
      <c r="G188" s="36">
        <f>_xll.DBRW($C$1,Opening!$G$13,Opening!G$11,$O$1,Opening!$I$13,Opening!$D$13,$D188,$A$180,$B$180,$M$1)</f>
        <v>0</v>
      </c>
      <c r="H188" s="36">
        <f>_xll.DBRW($C$1,Opening!$G$13,Opening!H$11,$O$1,Opening!$I$13,Opening!$D$13,$D188,$A$180,$B$180,$M$1)</f>
        <v>0</v>
      </c>
      <c r="I188" s="36">
        <f>_xll.DBRW($C$1,Opening!$G$13,Opening!I$11,$O$1,Opening!$I$13,Opening!$D$13,$D188,$A$180,$B$180,$M$1)</f>
        <v>0</v>
      </c>
      <c r="J188" s="36">
        <f>_xll.DBRW($C$1,Opening!$G$13,Opening!J$11,$O$1,Opening!$I$13,Opening!$D$13,$D188,$A$180,$B$180,$M$1)</f>
        <v>0</v>
      </c>
      <c r="K188" s="36">
        <f>_xll.DBRW($C$1,Opening!$G$13,Opening!K$11,$O$1,Opening!$I$13,Opening!$D$13,$D188,$A$180,$B$180,$M$1)</f>
        <v>0</v>
      </c>
      <c r="L188" s="36">
        <f>_xll.DBRW($C$1,Opening!$G$13,Opening!L$11,$O$1,Opening!$I$13,Opening!$D$13,$D188,$A$180,$B$180,$M$1)</f>
        <v>0</v>
      </c>
      <c r="M188" s="36">
        <f>_xll.DBRW($C$1,Opening!$G$13,Opening!M$11,$O$1,Opening!$I$13,Opening!$D$13,$D188,$A$180,$B$180,$M$1)</f>
        <v>0</v>
      </c>
      <c r="N188" s="36">
        <f>_xll.DBRW($C$1,Opening!$G$13,Opening!N$11,$O$1,Opening!$I$13,Opening!$D$13,$D188,$A$180,$B$180,$M$1)</f>
        <v>0</v>
      </c>
      <c r="O188" s="36">
        <f>_xll.DBRW($C$1,Opening!$G$13,Opening!O$11,$O$1,Opening!$I$13,Opening!$D$13,$D188,$A$180,$B$180,$M$1)</f>
        <v>0</v>
      </c>
      <c r="P188" s="36">
        <f>_xll.DBRW($C$1,Opening!$G$13,Opening!P$11,$O$1,Opening!$I$13,Opening!$D$13,$D188,$A$180,$B$180,$M$1)</f>
        <v>0</v>
      </c>
      <c r="Q188" s="36">
        <f>_xll.DBRW($C$1,Q$15,$Q$16,$O$1,Opening!$I$13,Opening!$D$13,$D188,$A$180,$B$180,$M$1)</f>
        <v>0</v>
      </c>
      <c r="R188" s="36">
        <f>_xll.DBRW($C$1,R$15,$Q$16,$O$1,Opening!$I$13,Opening!$D$13,$D188,$A$180,$B$180,$M$1)</f>
        <v>0</v>
      </c>
      <c r="S188" s="36">
        <f>_xll.DBRW($C$1,S$15,$Q$16,$O$1,Opening!$I$13,Opening!$D$13,$D188,$A$180,$B$180,$M$1)</f>
        <v>0</v>
      </c>
      <c r="T188" s="36">
        <f>_xll.DBRW($C$1,T$15,$Q$16,$O$1,Opening!$I$13,Opening!$D$13,$D188,$A$180,$B$180,$M$1)</f>
        <v>0</v>
      </c>
      <c r="U188" s="36">
        <f>_xll.DBRW($C$1,U$15,$Q$16,$O$1,Opening!$I$13,Opening!$D$13,$D188,$A$180,$B$180,$M$1)</f>
        <v>0</v>
      </c>
      <c r="V188"/>
      <c r="W188"/>
      <c r="X188"/>
      <c r="Y188"/>
      <c r="Z188"/>
    </row>
    <row r="189" spans="1:27" ht="15.75" customHeight="1">
      <c r="C189" s="59"/>
      <c r="D189" s="59"/>
      <c r="E189" s="59"/>
      <c r="F189" s="59"/>
      <c r="G189" s="59"/>
      <c r="H189" s="59"/>
      <c r="I189" s="60"/>
      <c r="J189" s="60"/>
      <c r="K189" s="60"/>
      <c r="L189" s="60"/>
      <c r="M189" s="60"/>
      <c r="N189" s="60"/>
      <c r="O189" s="60"/>
      <c r="P189" s="60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 ht="15.75" customHeight="1">
      <c r="C190" s="59"/>
      <c r="D190" s="59"/>
      <c r="E190" s="59"/>
      <c r="F190" s="59"/>
      <c r="G190" s="59"/>
      <c r="H190" s="59"/>
      <c r="I190" s="60"/>
      <c r="J190" s="60"/>
      <c r="K190" s="60"/>
      <c r="L190" s="60"/>
      <c r="M190" s="60"/>
      <c r="N190" s="60"/>
      <c r="O190" s="60"/>
      <c r="P190" s="60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 ht="15.75" customHeight="1">
      <c r="C191" s="59"/>
      <c r="D191" s="59"/>
      <c r="E191" s="59"/>
      <c r="F191" s="59"/>
      <c r="G191" s="59"/>
      <c r="H191" s="59"/>
      <c r="I191" s="60"/>
      <c r="J191" s="60"/>
      <c r="K191" s="60"/>
      <c r="L191" s="60"/>
      <c r="M191" s="60"/>
      <c r="N191" s="60"/>
      <c r="O191" s="60"/>
      <c r="P191" s="60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 ht="15.75" customHeight="1">
      <c r="C192" s="59"/>
      <c r="D192" s="59"/>
      <c r="E192" s="59"/>
      <c r="F192" s="59"/>
      <c r="G192" s="59"/>
      <c r="H192" s="59"/>
      <c r="I192" s="60"/>
      <c r="J192" s="60"/>
      <c r="K192" s="60"/>
      <c r="L192" s="60"/>
      <c r="M192" s="60"/>
      <c r="N192" s="60"/>
      <c r="O192" s="60"/>
      <c r="P192" s="60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 ht="15.75" customHeight="1">
      <c r="C193" s="59"/>
      <c r="D193" s="59"/>
      <c r="E193" s="59"/>
      <c r="F193" s="59"/>
      <c r="G193" s="59"/>
      <c r="H193" s="59"/>
      <c r="I193" s="60"/>
      <c r="J193" s="60"/>
      <c r="K193" s="60"/>
      <c r="L193" s="60"/>
      <c r="M193" s="60"/>
      <c r="N193" s="60"/>
      <c r="O193" s="60"/>
      <c r="P193" s="60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 ht="15.75" customHeight="1" thickBot="1">
      <c r="C194" s="33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 ht="15.75" customHeight="1" thickTop="1">
      <c r="C195" s="32" t="s">
        <v>239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 ht="15.75" customHeight="1"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8">
        <f>$G$13+1</f>
        <v>2027</v>
      </c>
      <c r="R196" s="38">
        <f>$G$13+2</f>
        <v>2028</v>
      </c>
      <c r="S196" s="38">
        <f>$G$13+3</f>
        <v>2029</v>
      </c>
      <c r="T196" s="38">
        <f>$G$13+4</f>
        <v>2030</v>
      </c>
      <c r="U196" s="38">
        <f>$G$13+5</f>
        <v>2031</v>
      </c>
      <c r="V196" s="43"/>
      <c r="W196" s="43"/>
      <c r="X196" s="43"/>
      <c r="Y196" s="43"/>
      <c r="Z196" s="43"/>
      <c r="AA196" s="43"/>
    </row>
    <row r="197" spans="1:27" ht="15.75" customHeight="1">
      <c r="C197" s="31"/>
      <c r="D197" s="31"/>
      <c r="E197" s="38" t="str">
        <f t="shared" ref="E197:P197" si="9">$G$13&amp;"."&amp;E$11</f>
        <v>2026.01</v>
      </c>
      <c r="F197" s="38" t="str">
        <f t="shared" si="9"/>
        <v>2026.02</v>
      </c>
      <c r="G197" s="38" t="str">
        <f t="shared" si="9"/>
        <v>2026.03</v>
      </c>
      <c r="H197" s="38" t="str">
        <f t="shared" si="9"/>
        <v>2026.04</v>
      </c>
      <c r="I197" s="38" t="str">
        <f t="shared" si="9"/>
        <v>2026.05</v>
      </c>
      <c r="J197" s="38" t="str">
        <f t="shared" si="9"/>
        <v>2026.06</v>
      </c>
      <c r="K197" s="38" t="str">
        <f t="shared" si="9"/>
        <v>2026.07</v>
      </c>
      <c r="L197" s="38" t="str">
        <f t="shared" si="9"/>
        <v>2026.08</v>
      </c>
      <c r="M197" s="38" t="str">
        <f t="shared" si="9"/>
        <v>2026.09</v>
      </c>
      <c r="N197" s="38" t="str">
        <f t="shared" si="9"/>
        <v>2026.10</v>
      </c>
      <c r="O197" s="38" t="str">
        <f t="shared" si="9"/>
        <v>2026.11</v>
      </c>
      <c r="P197" s="38" t="str">
        <f t="shared" si="9"/>
        <v>2026.12</v>
      </c>
      <c r="Q197" s="38" t="s">
        <v>304</v>
      </c>
      <c r="R197" s="38" t="s">
        <v>304</v>
      </c>
      <c r="S197" s="38" t="s">
        <v>304</v>
      </c>
      <c r="T197" s="38" t="s">
        <v>304</v>
      </c>
      <c r="U197" s="38" t="s">
        <v>304</v>
      </c>
      <c r="V197"/>
      <c r="W197"/>
      <c r="X197"/>
      <c r="Y197"/>
      <c r="Z197"/>
    </row>
    <row r="198" spans="1:27" ht="15.75" customHeight="1">
      <c r="A198" s="68" t="s">
        <v>395</v>
      </c>
      <c r="C198" s="42" t="s">
        <v>159</v>
      </c>
      <c r="D198" s="42" t="s">
        <v>257</v>
      </c>
      <c r="E198" s="40">
        <f>_xll.DBRW($C$1,Opening!$G$13,Opening!E$11,$O$1,Opening!$I$13,Opening!$D$13,$P$2,$A198,$D198,$M$1)</f>
        <v>0</v>
      </c>
      <c r="F198" s="40">
        <f>_xll.DBRW($C$1,Opening!$G$13,Opening!F$11,$O$1,Opening!$I$13,Opening!$D$13,$P$2,$A198,$D198,$M$1)</f>
        <v>0</v>
      </c>
      <c r="G198" s="40">
        <f>_xll.DBRW($C$1,Opening!$G$13,Opening!G$11,$O$1,Opening!$I$13,Opening!$D$13,$P$2,$A198,$D198,$M$1)</f>
        <v>0</v>
      </c>
      <c r="H198" s="40">
        <f>_xll.DBRW($C$1,Opening!$G$13,Opening!H$11,$O$1,Opening!$I$13,Opening!$D$13,$P$2,$A198,$D198,$M$1)</f>
        <v>0</v>
      </c>
      <c r="I198" s="40">
        <f>_xll.DBRW($C$1,Opening!$G$13,Opening!I$11,$O$1,Opening!$I$13,Opening!$D$13,$P$2,$A198,$D198,$M$1)</f>
        <v>0</v>
      </c>
      <c r="J198" s="40">
        <f>_xll.DBRW($C$1,Opening!$G$13,Opening!J$11,$O$1,Opening!$I$13,Opening!$D$13,$P$2,$A198,$D198,$M$1)</f>
        <v>0</v>
      </c>
      <c r="K198" s="40">
        <f>_xll.DBRW($C$1,Opening!$G$13,Opening!K$11,$O$1,Opening!$I$13,Opening!$D$13,$P$2,$A198,$D198,$M$1)</f>
        <v>0</v>
      </c>
      <c r="L198" s="40">
        <f>_xll.DBRW($C$1,Opening!$G$13,Opening!L$11,$O$1,Opening!$I$13,Opening!$D$13,$P$2,$A198,$D198,$M$1)</f>
        <v>0</v>
      </c>
      <c r="M198" s="40">
        <f>_xll.DBRW($C$1,Opening!$G$13,Opening!M$11,$O$1,Opening!$I$13,Opening!$D$13,$P$2,$A198,$D198,$M$1)</f>
        <v>0</v>
      </c>
      <c r="N198" s="40">
        <f>_xll.DBRW($C$1,Opening!$G$13,Opening!N$11,$O$1,Opening!$I$13,Opening!$D$13,$P$2,$A198,$D198,$M$1)</f>
        <v>0</v>
      </c>
      <c r="O198" s="40">
        <f>_xll.DBRW($C$1,Opening!$G$13,Opening!O$11,$O$1,Opening!$I$13,Opening!$D$13,$P$2,$A198,$D198,$M$1)</f>
        <v>0</v>
      </c>
      <c r="P198" s="40">
        <f>_xll.DBRW($C$1,Opening!$G$13,Opening!P$11,$O$1,Opening!$I$13,Opening!$D$13,$P$2,$A198,$D198,$M$1)</f>
        <v>0</v>
      </c>
      <c r="Q198" s="40">
        <f>_xll.DBRW($C$1,Q$37,$Q$16,$O$1,Opening!$I$13,Opening!$D$13,$P$1,$A198,$D198,$M$1)</f>
        <v>0</v>
      </c>
      <c r="R198" s="40">
        <f>_xll.DBRW($C$1,R$37,$Q$16,$O$1,Opening!$I$13,Opening!$D$13,$P$1,$A198,$D198,$M$1)</f>
        <v>0</v>
      </c>
      <c r="S198" s="40">
        <f>_xll.DBRW($C$1,S$37,$Q$16,$O$1,Opening!$I$13,Opening!$D$13,$P$1,$A198,$D198,$M$1)</f>
        <v>0</v>
      </c>
      <c r="T198" s="40">
        <f>_xll.DBRW($C$1,T$37,$Q$16,$O$1,Opening!$I$13,Opening!$D$13,$P$1,$A198,$D198,$M$1)</f>
        <v>0</v>
      </c>
      <c r="U198" s="40">
        <f>_xll.DBRW($C$1,U$37,$Q$16,$O$1,Opening!$I$13,Opening!$D$13,$P$1,$A198,$D198,$M$1)</f>
        <v>0</v>
      </c>
      <c r="V198"/>
      <c r="W198"/>
      <c r="X198"/>
      <c r="Y198"/>
      <c r="Z198"/>
    </row>
    <row r="199" spans="1:27" ht="15.75" customHeight="1">
      <c r="A199" s="68" t="s">
        <v>395</v>
      </c>
      <c r="B199" s="29" t="s">
        <v>386</v>
      </c>
      <c r="C199" s="37" t="s">
        <v>159</v>
      </c>
      <c r="D199" s="37" t="s">
        <v>240</v>
      </c>
      <c r="E199" s="36">
        <f>_xll.DBRW($C$1,Opening!$G$13,Opening!E$11,$O$1,Opening!$I$13,Opening!$D$13,$P$1,$A199,$B199,$M$1)</f>
        <v>0</v>
      </c>
      <c r="F199" s="36">
        <f>_xll.DBRW($C$1,Opening!$G$13,Opening!F$11,$O$1,Opening!$I$13,Opening!$D$13,$P$1,$A199,$B199,$M$1)</f>
        <v>0</v>
      </c>
      <c r="G199" s="36">
        <f>_xll.DBRW($C$1,Opening!$G$13,Opening!G$11,$O$1,Opening!$I$13,Opening!$D$13,$P$1,$A199,$B199,$M$1)</f>
        <v>0</v>
      </c>
      <c r="H199" s="36">
        <f>_xll.DBRW($C$1,Opening!$G$13,Opening!H$11,$O$1,Opening!$I$13,Opening!$D$13,$P$1,$A199,$B199,$M$1)</f>
        <v>0</v>
      </c>
      <c r="I199" s="36">
        <f>_xll.DBRW($C$1,Opening!$G$13,Opening!I$11,$O$1,Opening!$I$13,Opening!$D$13,$P$1,$A199,$B199,$M$1)</f>
        <v>0</v>
      </c>
      <c r="J199" s="36">
        <f>_xll.DBRW($C$1,Opening!$G$13,Opening!J$11,$O$1,Opening!$I$13,Opening!$D$13,$P$1,$A199,$B199,$M$1)</f>
        <v>0</v>
      </c>
      <c r="K199" s="36">
        <f>_xll.DBRW($C$1,Opening!$G$13,Opening!K$11,$O$1,Opening!$I$13,Opening!$D$13,$P$1,$A199,$B199,$M$1)</f>
        <v>0</v>
      </c>
      <c r="L199" s="36">
        <f>_xll.DBRW($C$1,Opening!$G$13,Opening!L$11,$O$1,Opening!$I$13,Opening!$D$13,$P$1,$A199,$B199,$M$1)</f>
        <v>0</v>
      </c>
      <c r="M199" s="36">
        <f>_xll.DBRW($C$1,Opening!$G$13,Opening!M$11,$O$1,Opening!$I$13,Opening!$D$13,$P$1,$A199,$B199,$M$1)</f>
        <v>0</v>
      </c>
      <c r="N199" s="36">
        <f>_xll.DBRW($C$1,Opening!$G$13,Opening!N$11,$O$1,Opening!$I$13,Opening!$D$13,$P$1,$A199,$B199,$M$1)</f>
        <v>0</v>
      </c>
      <c r="O199" s="36">
        <f>_xll.DBRW($C$1,Opening!$G$13,Opening!O$11,$O$1,Opening!$I$13,Opening!$D$13,$P$1,$A199,$B199,$M$1)</f>
        <v>0</v>
      </c>
      <c r="P199" s="36">
        <f>_xll.DBRW($C$1,Opening!$G$13,Opening!P$11,$O$1,Opening!$I$13,Opening!$D$13,$P$1,$A199,$B199,$M$1)</f>
        <v>0</v>
      </c>
      <c r="Q199" s="36">
        <f>_xll.DBRW($C$1,Q$15,$Q$16,$O$1,Opening!$I$13,Opening!$D$13,$P$1,$A199,$B199,$M$1)</f>
        <v>0</v>
      </c>
      <c r="R199" s="36">
        <f>_xll.DBRW($C$1,R$15,$Q$16,$O$1,Opening!$I$13,Opening!$D$13,$P$1,$A199,$B199,$M$1)</f>
        <v>0</v>
      </c>
      <c r="S199" s="36">
        <f>_xll.DBRW($C$1,S$15,$Q$16,$O$1,Opening!$I$13,Opening!$D$13,$P$1,$A199,$B199,$M$1)</f>
        <v>0</v>
      </c>
      <c r="T199" s="36">
        <f>_xll.DBRW($C$1,T$15,$Q$16,$O$1,Opening!$I$13,Opening!$D$13,$P$1,$A199,$B199,$M$1)</f>
        <v>0</v>
      </c>
      <c r="U199" s="36">
        <f>_xll.DBRW($C$1,U$15,$Q$16,$O$1,Opening!$I$13,Opening!$D$13,$P$1,$A199,$B199,$M$1)</f>
        <v>0</v>
      </c>
      <c r="V199"/>
      <c r="W199"/>
      <c r="X199"/>
      <c r="Y199"/>
      <c r="Z199"/>
    </row>
    <row r="200" spans="1:27" ht="15.75" customHeight="1">
      <c r="A200" s="68" t="s">
        <v>395</v>
      </c>
      <c r="B200" s="29" t="s">
        <v>387</v>
      </c>
      <c r="C200" s="37" t="s">
        <v>159</v>
      </c>
      <c r="D200" s="37" t="s">
        <v>241</v>
      </c>
      <c r="E200" s="36">
        <f>_xll.DBRW($C$1,Opening!$G$13,Opening!E$11,$O$1,Opening!$I$13,Opening!$D$13,$P$1,$A200,$B200,$M$1)</f>
        <v>0</v>
      </c>
      <c r="F200" s="36">
        <f>_xll.DBRW($C$1,Opening!$G$13,Opening!F$11,$O$1,Opening!$I$13,Opening!$D$13,$P$1,$A200,$B200,$M$1)</f>
        <v>0</v>
      </c>
      <c r="G200" s="36">
        <f>_xll.DBRW($C$1,Opening!$G$13,Opening!G$11,$O$1,Opening!$I$13,Opening!$D$13,$P$1,$A200,$B200,$M$1)</f>
        <v>0</v>
      </c>
      <c r="H200" s="36">
        <f>_xll.DBRW($C$1,Opening!$G$13,Opening!H$11,$O$1,Opening!$I$13,Opening!$D$13,$P$1,$A200,$B200,$M$1)</f>
        <v>0</v>
      </c>
      <c r="I200" s="36">
        <f>_xll.DBRW($C$1,Opening!$G$13,Opening!I$11,$O$1,Opening!$I$13,Opening!$D$13,$P$1,$A200,$B200,$M$1)</f>
        <v>0</v>
      </c>
      <c r="J200" s="36">
        <f>_xll.DBRW($C$1,Opening!$G$13,Opening!J$11,$O$1,Opening!$I$13,Opening!$D$13,$P$1,$A200,$B200,$M$1)</f>
        <v>0</v>
      </c>
      <c r="K200" s="36">
        <f>_xll.DBRW($C$1,Opening!$G$13,Opening!K$11,$O$1,Opening!$I$13,Opening!$D$13,$P$1,$A200,$B200,$M$1)</f>
        <v>0</v>
      </c>
      <c r="L200" s="36">
        <f>_xll.DBRW($C$1,Opening!$G$13,Opening!L$11,$O$1,Opening!$I$13,Opening!$D$13,$P$1,$A200,$B200,$M$1)</f>
        <v>0</v>
      </c>
      <c r="M200" s="36">
        <f>_xll.DBRW($C$1,Opening!$G$13,Opening!M$11,$O$1,Opening!$I$13,Opening!$D$13,$P$1,$A200,$B200,$M$1)</f>
        <v>0</v>
      </c>
      <c r="N200" s="36">
        <f>_xll.DBRW($C$1,Opening!$G$13,Opening!N$11,$O$1,Opening!$I$13,Opening!$D$13,$P$1,$A200,$B200,$M$1)</f>
        <v>0</v>
      </c>
      <c r="O200" s="36">
        <f>_xll.DBRW($C$1,Opening!$G$13,Opening!O$11,$O$1,Opening!$I$13,Opening!$D$13,$P$1,$A200,$B200,$M$1)</f>
        <v>0</v>
      </c>
      <c r="P200" s="36">
        <f>_xll.DBRW($C$1,Opening!$G$13,Opening!P$11,$O$1,Opening!$I$13,Opening!$D$13,$P$1,$A200,$B200,$M$1)</f>
        <v>0</v>
      </c>
      <c r="Q200" s="36">
        <f>_xll.DBRW($C$1,Q$15,$Q$16,$O$1,Opening!$I$13,Opening!$D$13,$P$1,$A200,$B200,$M$1)</f>
        <v>0</v>
      </c>
      <c r="R200" s="36">
        <f>_xll.DBRW($C$1,R$15,$Q$16,$O$1,Opening!$I$13,Opening!$D$13,$P$1,$A200,$B200,$M$1)</f>
        <v>0</v>
      </c>
      <c r="S200" s="36">
        <f>_xll.DBRW($C$1,S$15,$Q$16,$O$1,Opening!$I$13,Opening!$D$13,$P$1,$A200,$B200,$M$1)</f>
        <v>0</v>
      </c>
      <c r="T200" s="36">
        <f>_xll.DBRW($C$1,T$15,$Q$16,$O$1,Opening!$I$13,Opening!$D$13,$P$1,$A200,$B200,$M$1)</f>
        <v>0</v>
      </c>
      <c r="U200" s="36">
        <f>_xll.DBRW($C$1,U$15,$Q$16,$O$1,Opening!$I$13,Opening!$D$13,$P$1,$A200,$B200,$M$1)</f>
        <v>0</v>
      </c>
      <c r="V200"/>
      <c r="W200"/>
      <c r="X200"/>
      <c r="Y200"/>
      <c r="Z200"/>
    </row>
    <row r="201" spans="1:27" ht="15.75" customHeight="1">
      <c r="A201" s="68" t="s">
        <v>395</v>
      </c>
      <c r="B201" s="29" t="s">
        <v>388</v>
      </c>
      <c r="C201" s="37" t="s">
        <v>159</v>
      </c>
      <c r="D201" s="37" t="s">
        <v>242</v>
      </c>
      <c r="E201" s="36">
        <f>_xll.DBRW($C$1,Opening!$G$13,Opening!E$11,$O$1,Opening!$I$13,Opening!$D$13,$P$1,$A201,$B201,$M$1)</f>
        <v>0</v>
      </c>
      <c r="F201" s="36">
        <f>_xll.DBRW($C$1,Opening!$G$13,Opening!F$11,$O$1,Opening!$I$13,Opening!$D$13,$P$1,$A201,$B201,$M$1)</f>
        <v>0</v>
      </c>
      <c r="G201" s="36">
        <f>_xll.DBRW($C$1,Opening!$G$13,Opening!G$11,$O$1,Opening!$I$13,Opening!$D$13,$P$1,$A201,$B201,$M$1)</f>
        <v>0</v>
      </c>
      <c r="H201" s="36">
        <f>_xll.DBRW($C$1,Opening!$G$13,Opening!H$11,$O$1,Opening!$I$13,Opening!$D$13,$P$1,$A201,$B201,$M$1)</f>
        <v>0</v>
      </c>
      <c r="I201" s="36">
        <f>_xll.DBRW($C$1,Opening!$G$13,Opening!I$11,$O$1,Opening!$I$13,Opening!$D$13,$P$1,$A201,$B201,$M$1)</f>
        <v>0</v>
      </c>
      <c r="J201" s="36">
        <f>_xll.DBRW($C$1,Opening!$G$13,Opening!J$11,$O$1,Opening!$I$13,Opening!$D$13,$P$1,$A201,$B201,$M$1)</f>
        <v>0</v>
      </c>
      <c r="K201" s="36">
        <f>_xll.DBRW($C$1,Opening!$G$13,Opening!K$11,$O$1,Opening!$I$13,Opening!$D$13,$P$1,$A201,$B201,$M$1)</f>
        <v>0</v>
      </c>
      <c r="L201" s="36">
        <f>_xll.DBRW($C$1,Opening!$G$13,Opening!L$11,$O$1,Opening!$I$13,Opening!$D$13,$P$1,$A201,$B201,$M$1)</f>
        <v>0</v>
      </c>
      <c r="M201" s="36">
        <f>_xll.DBRW($C$1,Opening!$G$13,Opening!M$11,$O$1,Opening!$I$13,Opening!$D$13,$P$1,$A201,$B201,$M$1)</f>
        <v>0</v>
      </c>
      <c r="N201" s="36">
        <f>_xll.DBRW($C$1,Opening!$G$13,Opening!N$11,$O$1,Opening!$I$13,Opening!$D$13,$P$1,$A201,$B201,$M$1)</f>
        <v>0</v>
      </c>
      <c r="O201" s="36">
        <f>_xll.DBRW($C$1,Opening!$G$13,Opening!O$11,$O$1,Opening!$I$13,Opening!$D$13,$P$1,$A201,$B201,$M$1)</f>
        <v>0</v>
      </c>
      <c r="P201" s="36">
        <f>_xll.DBRW($C$1,Opening!$G$13,Opening!P$11,$O$1,Opening!$I$13,Opening!$D$13,$P$1,$A201,$B201,$M$1)</f>
        <v>0</v>
      </c>
      <c r="Q201" s="36">
        <f>_xll.DBRW($C$1,Q$15,$Q$16,$O$1,Opening!$I$13,Opening!$D$13,$P$1,$A201,$B201,$M$1)</f>
        <v>0</v>
      </c>
      <c r="R201" s="36">
        <f>_xll.DBRW($C$1,R$15,$Q$16,$O$1,Opening!$I$13,Opening!$D$13,$P$1,$A201,$B201,$M$1)</f>
        <v>0</v>
      </c>
      <c r="S201" s="36">
        <f>_xll.DBRW($C$1,S$15,$Q$16,$O$1,Opening!$I$13,Opening!$D$13,$P$1,$A201,$B201,$M$1)</f>
        <v>0</v>
      </c>
      <c r="T201" s="36">
        <f>_xll.DBRW($C$1,T$15,$Q$16,$O$1,Opening!$I$13,Opening!$D$13,$P$1,$A201,$B201,$M$1)</f>
        <v>0</v>
      </c>
      <c r="U201" s="36">
        <f>_xll.DBRW($C$1,U$15,$Q$16,$O$1,Opening!$I$13,Opening!$D$13,$P$1,$A201,$B201,$M$1)</f>
        <v>0</v>
      </c>
      <c r="V201"/>
      <c r="W201"/>
      <c r="X201"/>
      <c r="Y201"/>
      <c r="Z201"/>
    </row>
    <row r="202" spans="1:27" ht="15.75" customHeight="1">
      <c r="A202" s="68" t="s">
        <v>395</v>
      </c>
      <c r="B202" s="29" t="s">
        <v>389</v>
      </c>
      <c r="C202" s="37" t="s">
        <v>159</v>
      </c>
      <c r="D202" s="37" t="s">
        <v>243</v>
      </c>
      <c r="E202" s="36">
        <f>_xll.DBRW($C$1,Opening!$G$13,Opening!E$11,$O$1,Opening!$I$13,Opening!$D$13,$P$1,$A202,$B202,$M$1)</f>
        <v>0</v>
      </c>
      <c r="F202" s="36">
        <f>_xll.DBRW($C$1,Opening!$G$13,Opening!F$11,$O$1,Opening!$I$13,Opening!$D$13,$P$1,$A202,$B202,$M$1)</f>
        <v>0</v>
      </c>
      <c r="G202" s="36">
        <f>_xll.DBRW($C$1,Opening!$G$13,Opening!G$11,$O$1,Opening!$I$13,Opening!$D$13,$P$1,$A202,$B202,$M$1)</f>
        <v>0</v>
      </c>
      <c r="H202" s="36">
        <f>_xll.DBRW($C$1,Opening!$G$13,Opening!H$11,$O$1,Opening!$I$13,Opening!$D$13,$P$1,$A202,$B202,$M$1)</f>
        <v>0</v>
      </c>
      <c r="I202" s="36">
        <f>_xll.DBRW($C$1,Opening!$G$13,Opening!I$11,$O$1,Opening!$I$13,Opening!$D$13,$P$1,$A202,$B202,$M$1)</f>
        <v>0</v>
      </c>
      <c r="J202" s="36">
        <f>_xll.DBRW($C$1,Opening!$G$13,Opening!J$11,$O$1,Opening!$I$13,Opening!$D$13,$P$1,$A202,$B202,$M$1)</f>
        <v>0</v>
      </c>
      <c r="K202" s="36">
        <f>_xll.DBRW($C$1,Opening!$G$13,Opening!K$11,$O$1,Opening!$I$13,Opening!$D$13,$P$1,$A202,$B202,$M$1)</f>
        <v>0</v>
      </c>
      <c r="L202" s="36">
        <f>_xll.DBRW($C$1,Opening!$G$13,Opening!L$11,$O$1,Opening!$I$13,Opening!$D$13,$P$1,$A202,$B202,$M$1)</f>
        <v>0</v>
      </c>
      <c r="M202" s="36">
        <f>_xll.DBRW($C$1,Opening!$G$13,Opening!M$11,$O$1,Opening!$I$13,Opening!$D$13,$P$1,$A202,$B202,$M$1)</f>
        <v>0</v>
      </c>
      <c r="N202" s="36">
        <f>_xll.DBRW($C$1,Opening!$G$13,Opening!N$11,$O$1,Opening!$I$13,Opening!$D$13,$P$1,$A202,$B202,$M$1)</f>
        <v>0</v>
      </c>
      <c r="O202" s="36">
        <f>_xll.DBRW($C$1,Opening!$G$13,Opening!O$11,$O$1,Opening!$I$13,Opening!$D$13,$P$1,$A202,$B202,$M$1)</f>
        <v>0</v>
      </c>
      <c r="P202" s="36">
        <f>_xll.DBRW($C$1,Opening!$G$13,Opening!P$11,$O$1,Opening!$I$13,Opening!$D$13,$P$1,$A202,$B202,$M$1)</f>
        <v>0</v>
      </c>
      <c r="Q202" s="36">
        <f>_xll.DBRW($C$1,Q$15,$Q$16,$O$1,Opening!$I$13,Opening!$D$13,$P$1,$A202,$B202,$M$1)</f>
        <v>0</v>
      </c>
      <c r="R202" s="36">
        <f>_xll.DBRW($C$1,R$15,$Q$16,$O$1,Opening!$I$13,Opening!$D$13,$P$1,$A202,$B202,$M$1)</f>
        <v>0</v>
      </c>
      <c r="S202" s="36">
        <f>_xll.DBRW($C$1,S$15,$Q$16,$O$1,Opening!$I$13,Opening!$D$13,$P$1,$A202,$B202,$M$1)</f>
        <v>0</v>
      </c>
      <c r="T202" s="36">
        <f>_xll.DBRW($C$1,T$15,$Q$16,$O$1,Opening!$I$13,Opening!$D$13,$P$1,$A202,$B202,$M$1)</f>
        <v>0</v>
      </c>
      <c r="U202" s="36">
        <f>_xll.DBRW($C$1,U$15,$Q$16,$O$1,Opening!$I$13,Opening!$D$13,$P$1,$A202,$B202,$M$1)</f>
        <v>0</v>
      </c>
      <c r="V202"/>
      <c r="W202"/>
      <c r="X202"/>
      <c r="Y202"/>
      <c r="Z202"/>
    </row>
    <row r="203" spans="1:27" ht="15.75" customHeight="1">
      <c r="A203" s="68" t="s">
        <v>395</v>
      </c>
      <c r="B203" s="29" t="s">
        <v>390</v>
      </c>
      <c r="C203" s="37" t="s">
        <v>159</v>
      </c>
      <c r="D203" s="37" t="s">
        <v>244</v>
      </c>
      <c r="E203" s="36">
        <f>_xll.DBRW($C$1,Opening!$G$13,Opening!E$11,$O$1,Opening!$I$13,Opening!$D$13,$P$1,$A203,$B203,$M$1)</f>
        <v>0</v>
      </c>
      <c r="F203" s="36">
        <f>_xll.DBRW($C$1,Opening!$G$13,Opening!F$11,$O$1,Opening!$I$13,Opening!$D$13,$P$1,$A203,$B203,$M$1)</f>
        <v>0</v>
      </c>
      <c r="G203" s="36">
        <f>_xll.DBRW($C$1,Opening!$G$13,Opening!G$11,$O$1,Opening!$I$13,Opening!$D$13,$P$1,$A203,$B203,$M$1)</f>
        <v>0</v>
      </c>
      <c r="H203" s="36">
        <f>_xll.DBRW($C$1,Opening!$G$13,Opening!H$11,$O$1,Opening!$I$13,Opening!$D$13,$P$1,$A203,$B203,$M$1)</f>
        <v>0</v>
      </c>
      <c r="I203" s="36">
        <f>_xll.DBRW($C$1,Opening!$G$13,Opening!I$11,$O$1,Opening!$I$13,Opening!$D$13,$P$1,$A203,$B203,$M$1)</f>
        <v>0</v>
      </c>
      <c r="J203" s="36">
        <f>_xll.DBRW($C$1,Opening!$G$13,Opening!J$11,$O$1,Opening!$I$13,Opening!$D$13,$P$1,$A203,$B203,$M$1)</f>
        <v>0</v>
      </c>
      <c r="K203" s="36">
        <f>_xll.DBRW($C$1,Opening!$G$13,Opening!K$11,$O$1,Opening!$I$13,Opening!$D$13,$P$1,$A203,$B203,$M$1)</f>
        <v>0</v>
      </c>
      <c r="L203" s="36">
        <f>_xll.DBRW($C$1,Opening!$G$13,Opening!L$11,$O$1,Opening!$I$13,Opening!$D$13,$P$1,$A203,$B203,$M$1)</f>
        <v>0</v>
      </c>
      <c r="M203" s="36">
        <f>_xll.DBRW($C$1,Opening!$G$13,Opening!M$11,$O$1,Opening!$I$13,Opening!$D$13,$P$1,$A203,$B203,$M$1)</f>
        <v>0</v>
      </c>
      <c r="N203" s="36">
        <f>_xll.DBRW($C$1,Opening!$G$13,Opening!N$11,$O$1,Opening!$I$13,Opening!$D$13,$P$1,$A203,$B203,$M$1)</f>
        <v>0</v>
      </c>
      <c r="O203" s="36">
        <f>_xll.DBRW($C$1,Opening!$G$13,Opening!O$11,$O$1,Opening!$I$13,Opening!$D$13,$P$1,$A203,$B203,$M$1)</f>
        <v>0</v>
      </c>
      <c r="P203" s="36">
        <f>_xll.DBRW($C$1,Opening!$G$13,Opening!P$11,$O$1,Opening!$I$13,Opening!$D$13,$P$1,$A203,$B203,$M$1)</f>
        <v>0</v>
      </c>
      <c r="Q203" s="36">
        <f>_xll.DBRW($C$1,Q$15,$Q$16,$O$1,Opening!$I$13,Opening!$D$13,$P$1,$A203,$B203,$M$1)</f>
        <v>0</v>
      </c>
      <c r="R203" s="36">
        <f>_xll.DBRW($C$1,R$15,$Q$16,$O$1,Opening!$I$13,Opening!$D$13,$P$1,$A203,$B203,$M$1)</f>
        <v>0</v>
      </c>
      <c r="S203" s="36">
        <f>_xll.DBRW($C$1,S$15,$Q$16,$O$1,Opening!$I$13,Opening!$D$13,$P$1,$A203,$B203,$M$1)</f>
        <v>0</v>
      </c>
      <c r="T203" s="36">
        <f>_xll.DBRW($C$1,T$15,$Q$16,$O$1,Opening!$I$13,Opening!$D$13,$P$1,$A203,$B203,$M$1)</f>
        <v>0</v>
      </c>
      <c r="U203" s="36">
        <f>_xll.DBRW($C$1,U$15,$Q$16,$O$1,Opening!$I$13,Opening!$D$13,$P$1,$A203,$B203,$M$1)</f>
        <v>0</v>
      </c>
      <c r="V203"/>
      <c r="W203"/>
      <c r="X203"/>
      <c r="Y203"/>
      <c r="Z203"/>
    </row>
    <row r="204" spans="1:27" ht="15.75" customHeight="1">
      <c r="A204" s="68" t="s">
        <v>395</v>
      </c>
      <c r="B204" s="29" t="s">
        <v>391</v>
      </c>
      <c r="C204" s="37" t="s">
        <v>159</v>
      </c>
      <c r="D204" s="37" t="s">
        <v>245</v>
      </c>
      <c r="E204" s="36">
        <f>_xll.DBRW($C$1,Opening!$G$13,Opening!E$11,$O$1,Opening!$I$13,Opening!$D$13,$P$1,$A204,$B204,$M$1)</f>
        <v>0</v>
      </c>
      <c r="F204" s="36">
        <f>_xll.DBRW($C$1,Opening!$G$13,Opening!F$11,$O$1,Opening!$I$13,Opening!$D$13,$P$1,$A204,$B204,$M$1)</f>
        <v>0</v>
      </c>
      <c r="G204" s="36">
        <f>_xll.DBRW($C$1,Opening!$G$13,Opening!G$11,$O$1,Opening!$I$13,Opening!$D$13,$P$1,$A204,$B204,$M$1)</f>
        <v>0</v>
      </c>
      <c r="H204" s="36">
        <f>_xll.DBRW($C$1,Opening!$G$13,Opening!H$11,$O$1,Opening!$I$13,Opening!$D$13,$P$1,$A204,$B204,$M$1)</f>
        <v>0</v>
      </c>
      <c r="I204" s="36">
        <f>_xll.DBRW($C$1,Opening!$G$13,Opening!I$11,$O$1,Opening!$I$13,Opening!$D$13,$P$1,$A204,$B204,$M$1)</f>
        <v>0</v>
      </c>
      <c r="J204" s="36">
        <f>_xll.DBRW($C$1,Opening!$G$13,Opening!J$11,$O$1,Opening!$I$13,Opening!$D$13,$P$1,$A204,$B204,$M$1)</f>
        <v>0</v>
      </c>
      <c r="K204" s="36">
        <f>_xll.DBRW($C$1,Opening!$G$13,Opening!K$11,$O$1,Opening!$I$13,Opening!$D$13,$P$1,$A204,$B204,$M$1)</f>
        <v>0</v>
      </c>
      <c r="L204" s="36">
        <f>_xll.DBRW($C$1,Opening!$G$13,Opening!L$11,$O$1,Opening!$I$13,Opening!$D$13,$P$1,$A204,$B204,$M$1)</f>
        <v>0</v>
      </c>
      <c r="M204" s="36">
        <f>_xll.DBRW($C$1,Opening!$G$13,Opening!M$11,$O$1,Opening!$I$13,Opening!$D$13,$P$1,$A204,$B204,$M$1)</f>
        <v>0</v>
      </c>
      <c r="N204" s="36">
        <f>_xll.DBRW($C$1,Opening!$G$13,Opening!N$11,$O$1,Opening!$I$13,Opening!$D$13,$P$1,$A204,$B204,$M$1)</f>
        <v>0</v>
      </c>
      <c r="O204" s="36">
        <f>_xll.DBRW($C$1,Opening!$G$13,Opening!O$11,$O$1,Opening!$I$13,Opening!$D$13,$P$1,$A204,$B204,$M$1)</f>
        <v>0</v>
      </c>
      <c r="P204" s="36">
        <f>_xll.DBRW($C$1,Opening!$G$13,Opening!P$11,$O$1,Opening!$I$13,Opening!$D$13,$P$1,$A204,$B204,$M$1)</f>
        <v>0</v>
      </c>
      <c r="Q204" s="36">
        <f>_xll.DBRW($C$1,Q$15,$Q$16,$O$1,Opening!$I$13,Opening!$D$13,$P$1,$A204,$B204,$M$1)</f>
        <v>0</v>
      </c>
      <c r="R204" s="36">
        <f>_xll.DBRW($C$1,R$15,$Q$16,$O$1,Opening!$I$13,Opening!$D$13,$P$1,$A204,$B204,$M$1)</f>
        <v>0</v>
      </c>
      <c r="S204" s="36">
        <f>_xll.DBRW($C$1,S$15,$Q$16,$O$1,Opening!$I$13,Opening!$D$13,$P$1,$A204,$B204,$M$1)</f>
        <v>0</v>
      </c>
      <c r="T204" s="36">
        <f>_xll.DBRW($C$1,T$15,$Q$16,$O$1,Opening!$I$13,Opening!$D$13,$P$1,$A204,$B204,$M$1)</f>
        <v>0</v>
      </c>
      <c r="U204" s="36">
        <f>_xll.DBRW($C$1,U$15,$Q$16,$O$1,Opening!$I$13,Opening!$D$13,$P$1,$A204,$B204,$M$1)</f>
        <v>0</v>
      </c>
      <c r="V204"/>
      <c r="W204"/>
      <c r="X204"/>
      <c r="Y204"/>
      <c r="Z204"/>
    </row>
    <row r="205" spans="1:27" ht="15.75" customHeight="1">
      <c r="A205" s="68" t="s">
        <v>395</v>
      </c>
      <c r="B205" s="29" t="s">
        <v>392</v>
      </c>
      <c r="C205" s="37" t="s">
        <v>159</v>
      </c>
      <c r="D205" s="37" t="s">
        <v>246</v>
      </c>
      <c r="E205" s="36">
        <f>_xll.DBRW($C$1,Opening!$G$13,Opening!E$11,$O$1,Opening!$I$13,Opening!$D$13,$P$1,$A205,$B205,$M$1)</f>
        <v>0</v>
      </c>
      <c r="F205" s="36">
        <f>_xll.DBRW($C$1,Opening!$G$13,Opening!F$11,$O$1,Opening!$I$13,Opening!$D$13,$P$1,$A205,$B205,$M$1)</f>
        <v>0</v>
      </c>
      <c r="G205" s="36">
        <f>_xll.DBRW($C$1,Opening!$G$13,Opening!G$11,$O$1,Opening!$I$13,Opening!$D$13,$P$1,$A205,$B205,$M$1)</f>
        <v>0</v>
      </c>
      <c r="H205" s="36">
        <f>_xll.DBRW($C$1,Opening!$G$13,Opening!H$11,$O$1,Opening!$I$13,Opening!$D$13,$P$1,$A205,$B205,$M$1)</f>
        <v>0</v>
      </c>
      <c r="I205" s="36">
        <f>_xll.DBRW($C$1,Opening!$G$13,Opening!I$11,$O$1,Opening!$I$13,Opening!$D$13,$P$1,$A205,$B205,$M$1)</f>
        <v>0</v>
      </c>
      <c r="J205" s="36">
        <f>_xll.DBRW($C$1,Opening!$G$13,Opening!J$11,$O$1,Opening!$I$13,Opening!$D$13,$P$1,$A205,$B205,$M$1)</f>
        <v>0</v>
      </c>
      <c r="K205" s="36">
        <f>_xll.DBRW($C$1,Opening!$G$13,Opening!K$11,$O$1,Opening!$I$13,Opening!$D$13,$P$1,$A205,$B205,$M$1)</f>
        <v>0</v>
      </c>
      <c r="L205" s="36">
        <f>_xll.DBRW($C$1,Opening!$G$13,Opening!L$11,$O$1,Opening!$I$13,Opening!$D$13,$P$1,$A205,$B205,$M$1)</f>
        <v>0</v>
      </c>
      <c r="M205" s="36">
        <f>_xll.DBRW($C$1,Opening!$G$13,Opening!M$11,$O$1,Opening!$I$13,Opening!$D$13,$P$1,$A205,$B205,$M$1)</f>
        <v>0</v>
      </c>
      <c r="N205" s="36">
        <f>_xll.DBRW($C$1,Opening!$G$13,Opening!N$11,$O$1,Opening!$I$13,Opening!$D$13,$P$1,$A205,$B205,$M$1)</f>
        <v>0</v>
      </c>
      <c r="O205" s="36">
        <f>_xll.DBRW($C$1,Opening!$G$13,Opening!O$11,$O$1,Opening!$I$13,Opening!$D$13,$P$1,$A205,$B205,$M$1)</f>
        <v>0</v>
      </c>
      <c r="P205" s="36">
        <f>_xll.DBRW($C$1,Opening!$G$13,Opening!P$11,$O$1,Opening!$I$13,Opening!$D$13,$P$1,$A205,$B205,$M$1)</f>
        <v>0</v>
      </c>
      <c r="Q205" s="36">
        <f>_xll.DBRW($C$1,Q$15,$Q$16,$O$1,Opening!$I$13,Opening!$D$13,$P$1,$A205,$B205,$M$1)</f>
        <v>0</v>
      </c>
      <c r="R205" s="36">
        <f>_xll.DBRW($C$1,R$15,$Q$16,$O$1,Opening!$I$13,Opening!$D$13,$P$1,$A205,$B205,$M$1)</f>
        <v>0</v>
      </c>
      <c r="S205" s="36">
        <f>_xll.DBRW($C$1,S$15,$Q$16,$O$1,Opening!$I$13,Opening!$D$13,$P$1,$A205,$B205,$M$1)</f>
        <v>0</v>
      </c>
      <c r="T205" s="36">
        <f>_xll.DBRW($C$1,T$15,$Q$16,$O$1,Opening!$I$13,Opening!$D$13,$P$1,$A205,$B205,$M$1)</f>
        <v>0</v>
      </c>
      <c r="U205" s="36">
        <f>_xll.DBRW($C$1,U$15,$Q$16,$O$1,Opening!$I$13,Opening!$D$13,$P$1,$A205,$B205,$M$1)</f>
        <v>0</v>
      </c>
      <c r="V205"/>
      <c r="W205"/>
      <c r="X205"/>
      <c r="Y205"/>
      <c r="Z205"/>
    </row>
    <row r="206" spans="1:27" ht="15.75" customHeight="1">
      <c r="A206" s="68" t="s">
        <v>395</v>
      </c>
      <c r="B206" s="29" t="s">
        <v>393</v>
      </c>
      <c r="C206" s="37" t="s">
        <v>159</v>
      </c>
      <c r="D206" s="37" t="s">
        <v>247</v>
      </c>
      <c r="E206" s="36">
        <f>_xll.DBRW($C$1,Opening!$G$13,Opening!E$11,$O$1,Opening!$I$13,Opening!$D$13,$P$1,$A206,$B206,$M$1)</f>
        <v>0</v>
      </c>
      <c r="F206" s="36">
        <f>_xll.DBRW($C$1,Opening!$G$13,Opening!F$11,$O$1,Opening!$I$13,Opening!$D$13,$P$1,$A206,$B206,$M$1)</f>
        <v>0</v>
      </c>
      <c r="G206" s="36">
        <f>_xll.DBRW($C$1,Opening!$G$13,Opening!G$11,$O$1,Opening!$I$13,Opening!$D$13,$P$1,$A206,$B206,$M$1)</f>
        <v>0</v>
      </c>
      <c r="H206" s="36">
        <f>_xll.DBRW($C$1,Opening!$G$13,Opening!H$11,$O$1,Opening!$I$13,Opening!$D$13,$P$1,$A206,$B206,$M$1)</f>
        <v>0</v>
      </c>
      <c r="I206" s="36">
        <f>_xll.DBRW($C$1,Opening!$G$13,Opening!I$11,$O$1,Opening!$I$13,Opening!$D$13,$P$1,$A206,$B206,$M$1)</f>
        <v>0</v>
      </c>
      <c r="J206" s="36">
        <f>_xll.DBRW($C$1,Opening!$G$13,Opening!J$11,$O$1,Opening!$I$13,Opening!$D$13,$P$1,$A206,$B206,$M$1)</f>
        <v>0</v>
      </c>
      <c r="K206" s="36">
        <f>_xll.DBRW($C$1,Opening!$G$13,Opening!K$11,$O$1,Opening!$I$13,Opening!$D$13,$P$1,$A206,$B206,$M$1)</f>
        <v>0</v>
      </c>
      <c r="L206" s="36">
        <f>_xll.DBRW($C$1,Opening!$G$13,Opening!L$11,$O$1,Opening!$I$13,Opening!$D$13,$P$1,$A206,$B206,$M$1)</f>
        <v>0</v>
      </c>
      <c r="M206" s="36">
        <f>_xll.DBRW($C$1,Opening!$G$13,Opening!M$11,$O$1,Opening!$I$13,Opening!$D$13,$P$1,$A206,$B206,$M$1)</f>
        <v>0</v>
      </c>
      <c r="N206" s="36">
        <f>_xll.DBRW($C$1,Opening!$G$13,Opening!N$11,$O$1,Opening!$I$13,Opening!$D$13,$P$1,$A206,$B206,$M$1)</f>
        <v>0</v>
      </c>
      <c r="O206" s="36">
        <f>_xll.DBRW($C$1,Opening!$G$13,Opening!O$11,$O$1,Opening!$I$13,Opening!$D$13,$P$1,$A206,$B206,$M$1)</f>
        <v>0</v>
      </c>
      <c r="P206" s="36">
        <f>_xll.DBRW($C$1,Opening!$G$13,Opening!P$11,$O$1,Opening!$I$13,Opening!$D$13,$P$1,$A206,$B206,$M$1)</f>
        <v>0</v>
      </c>
      <c r="Q206" s="36">
        <f>_xll.DBRW($C$1,Q$15,$Q$16,$O$1,Opening!$I$13,Opening!$D$13,$P$1,$A206,$B206,$M$1)</f>
        <v>0</v>
      </c>
      <c r="R206" s="36">
        <f>_xll.DBRW($C$1,R$15,$Q$16,$O$1,Opening!$I$13,Opening!$D$13,$P$1,$A206,$B206,$M$1)</f>
        <v>0</v>
      </c>
      <c r="S206" s="36">
        <f>_xll.DBRW($C$1,S$15,$Q$16,$O$1,Opening!$I$13,Opening!$D$13,$P$1,$A206,$B206,$M$1)</f>
        <v>0</v>
      </c>
      <c r="T206" s="36">
        <f>_xll.DBRW($C$1,T$15,$Q$16,$O$1,Opening!$I$13,Opening!$D$13,$P$1,$A206,$B206,$M$1)</f>
        <v>0</v>
      </c>
      <c r="U206" s="36">
        <f>_xll.DBRW($C$1,U$15,$Q$16,$O$1,Opening!$I$13,Opening!$D$13,$P$1,$A206,$B206,$M$1)</f>
        <v>0</v>
      </c>
      <c r="V206"/>
      <c r="W206"/>
      <c r="X206"/>
      <c r="Y206"/>
      <c r="Z206"/>
    </row>
    <row r="207" spans="1:27" ht="15.75" customHeight="1">
      <c r="A207" s="68" t="s">
        <v>395</v>
      </c>
      <c r="B207" s="29" t="s">
        <v>394</v>
      </c>
      <c r="C207" s="37" t="s">
        <v>159</v>
      </c>
      <c r="D207" s="37" t="s">
        <v>248</v>
      </c>
      <c r="E207" s="36">
        <f>_xll.DBRW($C$1,Opening!$G$13,Opening!E$11,$O$1,Opening!$I$13,Opening!$D$13,$P$1,$A207,$B207,$M$1)</f>
        <v>0</v>
      </c>
      <c r="F207" s="36">
        <f>_xll.DBRW($C$1,Opening!$G$13,Opening!F$11,$O$1,Opening!$I$13,Opening!$D$13,$P$1,$A207,$B207,$M$1)</f>
        <v>0</v>
      </c>
      <c r="G207" s="36">
        <f>_xll.DBRW($C$1,Opening!$G$13,Opening!G$11,$O$1,Opening!$I$13,Opening!$D$13,$P$1,$A207,$B207,$M$1)</f>
        <v>0</v>
      </c>
      <c r="H207" s="36">
        <f>_xll.DBRW($C$1,Opening!$G$13,Opening!H$11,$O$1,Opening!$I$13,Opening!$D$13,$P$1,$A207,$B207,$M$1)</f>
        <v>0</v>
      </c>
      <c r="I207" s="36">
        <f>_xll.DBRW($C$1,Opening!$G$13,Opening!I$11,$O$1,Opening!$I$13,Opening!$D$13,$P$1,$A207,$B207,$M$1)</f>
        <v>0</v>
      </c>
      <c r="J207" s="36">
        <f>_xll.DBRW($C$1,Opening!$G$13,Opening!J$11,$O$1,Opening!$I$13,Opening!$D$13,$P$1,$A207,$B207,$M$1)</f>
        <v>0</v>
      </c>
      <c r="K207" s="36">
        <f>_xll.DBRW($C$1,Opening!$G$13,Opening!K$11,$O$1,Opening!$I$13,Opening!$D$13,$P$1,$A207,$B207,$M$1)</f>
        <v>0</v>
      </c>
      <c r="L207" s="36">
        <f>_xll.DBRW($C$1,Opening!$G$13,Opening!L$11,$O$1,Opening!$I$13,Opening!$D$13,$P$1,$A207,$B207,$M$1)</f>
        <v>0</v>
      </c>
      <c r="M207" s="36">
        <f>_xll.DBRW($C$1,Opening!$G$13,Opening!M$11,$O$1,Opening!$I$13,Opening!$D$13,$P$1,$A207,$B207,$M$1)</f>
        <v>0</v>
      </c>
      <c r="N207" s="36">
        <f>_xll.DBRW($C$1,Opening!$G$13,Opening!N$11,$O$1,Opening!$I$13,Opening!$D$13,$P$1,$A207,$B207,$M$1)</f>
        <v>0</v>
      </c>
      <c r="O207" s="36">
        <f>_xll.DBRW($C$1,Opening!$G$13,Opening!O$11,$O$1,Opening!$I$13,Opening!$D$13,$P$1,$A207,$B207,$M$1)</f>
        <v>0</v>
      </c>
      <c r="P207" s="36">
        <f>_xll.DBRW($C$1,Opening!$G$13,Opening!P$11,$O$1,Opening!$I$13,Opening!$D$13,$P$1,$A207,$B207,$M$1)</f>
        <v>0</v>
      </c>
      <c r="Q207" s="36">
        <f>_xll.DBRW($C$1,Q$15,$Q$16,$O$1,Opening!$I$13,Opening!$D$13,$P$1,$A207,$B207,$M$1)</f>
        <v>0</v>
      </c>
      <c r="R207" s="36">
        <f>_xll.DBRW($C$1,R$15,$Q$16,$O$1,Opening!$I$13,Opening!$D$13,$P$1,$A207,$B207,$M$1)</f>
        <v>0</v>
      </c>
      <c r="S207" s="36">
        <f>_xll.DBRW($C$1,S$15,$Q$16,$O$1,Opening!$I$13,Opening!$D$13,$P$1,$A207,$B207,$M$1)</f>
        <v>0</v>
      </c>
      <c r="T207" s="36">
        <f>_xll.DBRW($C$1,T$15,$Q$16,$O$1,Opening!$I$13,Opening!$D$13,$P$1,$A207,$B207,$M$1)</f>
        <v>0</v>
      </c>
      <c r="U207" s="36">
        <f>_xll.DBRW($C$1,U$15,$Q$16,$O$1,Opening!$I$13,Opening!$D$13,$P$1,$A207,$B207,$M$1)</f>
        <v>0</v>
      </c>
      <c r="V207"/>
      <c r="W207"/>
      <c r="X207"/>
      <c r="Y207"/>
      <c r="Z207"/>
    </row>
    <row r="208" spans="1:27" ht="15.75" customHeight="1">
      <c r="A208" s="68" t="s">
        <v>395</v>
      </c>
      <c r="B208" s="29" t="s">
        <v>49</v>
      </c>
      <c r="C208" s="37" t="s">
        <v>159</v>
      </c>
      <c r="D208" s="37" t="s">
        <v>49</v>
      </c>
      <c r="E208" s="36">
        <f>_xll.DBRW($C$1,Opening!$G$13,Opening!E$11,$O$1,Opening!$I$13,Opening!$D$13,$P$1,$A208,$B208,$M$1)</f>
        <v>0</v>
      </c>
      <c r="F208" s="36">
        <f>_xll.DBRW($C$1,Opening!$G$13,Opening!F$11,$O$1,Opening!$I$13,Opening!$D$13,$P$1,$A208,$B208,$M$1)</f>
        <v>0</v>
      </c>
      <c r="G208" s="36">
        <f>_xll.DBRW($C$1,Opening!$G$13,Opening!G$11,$O$1,Opening!$I$13,Opening!$D$13,$P$1,$A208,$B208,$M$1)</f>
        <v>0</v>
      </c>
      <c r="H208" s="36">
        <f>_xll.DBRW($C$1,Opening!$G$13,Opening!H$11,$O$1,Opening!$I$13,Opening!$D$13,$P$1,$A208,$B208,$M$1)</f>
        <v>0</v>
      </c>
      <c r="I208" s="36">
        <f>_xll.DBRW($C$1,Opening!$G$13,Opening!I$11,$O$1,Opening!$I$13,Opening!$D$13,$P$1,$A208,$B208,$M$1)</f>
        <v>0</v>
      </c>
      <c r="J208" s="36">
        <f>_xll.DBRW($C$1,Opening!$G$13,Opening!J$11,$O$1,Opening!$I$13,Opening!$D$13,$P$1,$A208,$B208,$M$1)</f>
        <v>0</v>
      </c>
      <c r="K208" s="36">
        <f>_xll.DBRW($C$1,Opening!$G$13,Opening!K$11,$O$1,Opening!$I$13,Opening!$D$13,$P$1,$A208,$B208,$M$1)</f>
        <v>0</v>
      </c>
      <c r="L208" s="36">
        <f>_xll.DBRW($C$1,Opening!$G$13,Opening!L$11,$O$1,Opening!$I$13,Opening!$D$13,$P$1,$A208,$B208,$M$1)</f>
        <v>0</v>
      </c>
      <c r="M208" s="36">
        <f>_xll.DBRW($C$1,Opening!$G$13,Opening!M$11,$O$1,Opening!$I$13,Opening!$D$13,$P$1,$A208,$B208,$M$1)</f>
        <v>0</v>
      </c>
      <c r="N208" s="36">
        <f>_xll.DBRW($C$1,Opening!$G$13,Opening!N$11,$O$1,Opening!$I$13,Opening!$D$13,$P$1,$A208,$B208,$M$1)</f>
        <v>0</v>
      </c>
      <c r="O208" s="36">
        <f>_xll.DBRW($C$1,Opening!$G$13,Opening!O$11,$O$1,Opening!$I$13,Opening!$D$13,$P$1,$A208,$B208,$M$1)</f>
        <v>0</v>
      </c>
      <c r="P208" s="36">
        <f>_xll.DBRW($C$1,Opening!$G$13,Opening!P$11,$O$1,Opening!$I$13,Opening!$D$13,$P$1,$A208,$B208,$M$1)</f>
        <v>0</v>
      </c>
      <c r="Q208" s="36">
        <f>_xll.DBRW($C$1,Q$15,$Q$16,$O$1,Opening!$I$13,Opening!$D$13,$P$1,$A208,$B208,$M$1)</f>
        <v>0</v>
      </c>
      <c r="R208" s="36">
        <f>_xll.DBRW($C$1,R$15,$Q$16,$O$1,Opening!$I$13,Opening!$D$13,$P$1,$A208,$B208,$M$1)</f>
        <v>0</v>
      </c>
      <c r="S208" s="36">
        <f>_xll.DBRW($C$1,S$15,$Q$16,$O$1,Opening!$I$13,Opening!$D$13,$P$1,$A208,$B208,$M$1)</f>
        <v>0</v>
      </c>
      <c r="T208" s="36">
        <f>_xll.DBRW($C$1,T$15,$Q$16,$O$1,Opening!$I$13,Opening!$D$13,$P$1,$A208,$B208,$M$1)</f>
        <v>0</v>
      </c>
      <c r="U208" s="36">
        <f>_xll.DBRW($C$1,U$15,$Q$16,$O$1,Opening!$I$13,Opening!$D$13,$P$1,$A208,$B208,$M$1)</f>
        <v>0</v>
      </c>
      <c r="V208"/>
      <c r="W208"/>
      <c r="X208"/>
      <c r="Y208"/>
      <c r="Z208"/>
    </row>
    <row r="209" spans="1:27" ht="15.75" customHeight="1"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 ht="15.75" customHeight="1" thickBot="1">
      <c r="C210" s="33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 ht="15.75" customHeight="1" thickTop="1">
      <c r="C211" s="32" t="s">
        <v>249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 ht="15.75" customHeight="1"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8">
        <f>$G$13+1</f>
        <v>2027</v>
      </c>
      <c r="R212" s="38">
        <f>$G$13+2</f>
        <v>2028</v>
      </c>
      <c r="S212" s="38">
        <f>$G$13+3</f>
        <v>2029</v>
      </c>
      <c r="T212" s="38">
        <f>$G$13+4</f>
        <v>2030</v>
      </c>
      <c r="U212" s="38">
        <f>$G$13+5</f>
        <v>2031</v>
      </c>
      <c r="V212" s="43"/>
      <c r="W212" s="43"/>
      <c r="X212" s="43"/>
      <c r="Y212" s="43"/>
      <c r="Z212" s="43"/>
      <c r="AA212" s="43"/>
    </row>
    <row r="213" spans="1:27" ht="15.75" customHeight="1">
      <c r="C213" s="31"/>
      <c r="D213" s="31"/>
      <c r="E213" s="38" t="str">
        <f t="shared" ref="E213:P213" si="10">$G$13&amp;"."&amp;E$11</f>
        <v>2026.01</v>
      </c>
      <c r="F213" s="38" t="str">
        <f t="shared" si="10"/>
        <v>2026.02</v>
      </c>
      <c r="G213" s="38" t="str">
        <f t="shared" si="10"/>
        <v>2026.03</v>
      </c>
      <c r="H213" s="38" t="str">
        <f t="shared" si="10"/>
        <v>2026.04</v>
      </c>
      <c r="I213" s="38" t="str">
        <f t="shared" si="10"/>
        <v>2026.05</v>
      </c>
      <c r="J213" s="38" t="str">
        <f t="shared" si="10"/>
        <v>2026.06</v>
      </c>
      <c r="K213" s="38" t="str">
        <f t="shared" si="10"/>
        <v>2026.07</v>
      </c>
      <c r="L213" s="38" t="str">
        <f t="shared" si="10"/>
        <v>2026.08</v>
      </c>
      <c r="M213" s="38" t="str">
        <f t="shared" si="10"/>
        <v>2026.09</v>
      </c>
      <c r="N213" s="38" t="str">
        <f t="shared" si="10"/>
        <v>2026.10</v>
      </c>
      <c r="O213" s="38" t="str">
        <f t="shared" si="10"/>
        <v>2026.11</v>
      </c>
      <c r="P213" s="38" t="str">
        <f t="shared" si="10"/>
        <v>2026.12</v>
      </c>
      <c r="Q213" s="38" t="s">
        <v>304</v>
      </c>
      <c r="R213" s="38" t="s">
        <v>304</v>
      </c>
      <c r="S213" s="38" t="s">
        <v>304</v>
      </c>
      <c r="T213" s="38" t="s">
        <v>304</v>
      </c>
      <c r="U213" s="38" t="s">
        <v>304</v>
      </c>
      <c r="V213"/>
      <c r="W213"/>
      <c r="X213"/>
      <c r="Y213"/>
      <c r="Z213"/>
    </row>
    <row r="214" spans="1:27" ht="15.75" customHeight="1">
      <c r="A214" s="68" t="s">
        <v>396</v>
      </c>
      <c r="C214" s="42" t="s">
        <v>156</v>
      </c>
      <c r="D214" s="42" t="s">
        <v>257</v>
      </c>
      <c r="E214" s="40">
        <f>_xll.DBRW($C$1,Opening!$G$13,Opening!E$11,$O$1,Opening!$I$13,Opening!$D$13,$P$2,$A214,$D214,$M$1)</f>
        <v>0</v>
      </c>
      <c r="F214" s="40">
        <f>_xll.DBRW($C$1,Opening!$G$13,Opening!F$11,$O$1,Opening!$I$13,Opening!$D$13,$P$2,$A214,$D214,$M$1)</f>
        <v>0</v>
      </c>
      <c r="G214" s="40">
        <f>_xll.DBRW($C$1,Opening!$G$13,Opening!G$11,$O$1,Opening!$I$13,Opening!$D$13,$P$2,$A214,$D214,$M$1)</f>
        <v>0</v>
      </c>
      <c r="H214" s="40">
        <f>_xll.DBRW($C$1,Opening!$G$13,Opening!H$11,$O$1,Opening!$I$13,Opening!$D$13,$P$2,$A214,$D214,$M$1)</f>
        <v>0</v>
      </c>
      <c r="I214" s="40">
        <f>_xll.DBRW($C$1,Opening!$G$13,Opening!I$11,$O$1,Opening!$I$13,Opening!$D$13,$P$2,$A214,$D214,$M$1)</f>
        <v>0</v>
      </c>
      <c r="J214" s="40">
        <f>_xll.DBRW($C$1,Opening!$G$13,Opening!J$11,$O$1,Opening!$I$13,Opening!$D$13,$P$2,$A214,$D214,$M$1)</f>
        <v>0</v>
      </c>
      <c r="K214" s="40">
        <f>_xll.DBRW($C$1,Opening!$G$13,Opening!K$11,$O$1,Opening!$I$13,Opening!$D$13,$P$2,$A214,$D214,$M$1)</f>
        <v>0</v>
      </c>
      <c r="L214" s="40">
        <f>_xll.DBRW($C$1,Opening!$G$13,Opening!L$11,$O$1,Opening!$I$13,Opening!$D$13,$P$2,$A214,$D214,$M$1)</f>
        <v>0</v>
      </c>
      <c r="M214" s="40">
        <f>_xll.DBRW($C$1,Opening!$G$13,Opening!M$11,$O$1,Opening!$I$13,Opening!$D$13,$P$2,$A214,$D214,$M$1)</f>
        <v>0</v>
      </c>
      <c r="N214" s="40">
        <f>_xll.DBRW($C$1,Opening!$G$13,Opening!N$11,$O$1,Opening!$I$13,Opening!$D$13,$P$2,$A214,$D214,$M$1)</f>
        <v>0</v>
      </c>
      <c r="O214" s="40">
        <f>_xll.DBRW($C$1,Opening!$G$13,Opening!O$11,$O$1,Opening!$I$13,Opening!$D$13,$P$2,$A214,$D214,$M$1)</f>
        <v>0</v>
      </c>
      <c r="P214" s="40">
        <f>_xll.DBRW($C$1,Opening!$G$13,Opening!P$11,$O$1,Opening!$I$13,Opening!$D$13,$P$2,$A214,$D214,$M$1)</f>
        <v>0</v>
      </c>
      <c r="Q214" s="40">
        <f>_xll.DBRW($C$1,Q$37,$Q$16,$O$1,Opening!$I$13,Opening!$D$13,$P$1,$A214,$D214,$M$1)</f>
        <v>0</v>
      </c>
      <c r="R214" s="40">
        <f>_xll.DBRW($C$1,R$37,$Q$16,$O$1,Opening!$I$13,Opening!$D$13,$P$1,$A214,$D214,$M$1)</f>
        <v>0</v>
      </c>
      <c r="S214" s="40">
        <f>_xll.DBRW($C$1,S$37,$Q$16,$O$1,Opening!$I$13,Opening!$D$13,$P$1,$A214,$D214,$M$1)</f>
        <v>0</v>
      </c>
      <c r="T214" s="40">
        <f>_xll.DBRW($C$1,T$37,$Q$16,$O$1,Opening!$I$13,Opening!$D$13,$P$1,$A214,$D214,$M$1)</f>
        <v>0</v>
      </c>
      <c r="U214" s="40">
        <f>_xll.DBRW($C$1,U$37,$Q$16,$O$1,Opening!$I$13,Opening!$D$13,$P$1,$A214,$D214,$M$1)</f>
        <v>0</v>
      </c>
      <c r="V214"/>
      <c r="W214"/>
      <c r="X214"/>
      <c r="Y214"/>
      <c r="Z214"/>
    </row>
    <row r="215" spans="1:27" ht="15.75" customHeight="1">
      <c r="A215" s="68" t="s">
        <v>396</v>
      </c>
      <c r="B215" s="29" t="s">
        <v>397</v>
      </c>
      <c r="C215" s="37" t="s">
        <v>156</v>
      </c>
      <c r="D215" s="37" t="s">
        <v>250</v>
      </c>
      <c r="E215" s="36">
        <f>_xll.DBRW($C$1,Opening!$G$13,Opening!E$11,$O$1,Opening!$I$13,Opening!$D$13,$P$1,$A215,$B215,$M$1)</f>
        <v>0</v>
      </c>
      <c r="F215" s="36">
        <f>_xll.DBRW($C$1,Opening!$G$13,Opening!F$11,$O$1,Opening!$I$13,Opening!$D$13,$P$1,$A215,$B215,$M$1)</f>
        <v>0</v>
      </c>
      <c r="G215" s="36">
        <f>_xll.DBRW($C$1,Opening!$G$13,Opening!G$11,$O$1,Opening!$I$13,Opening!$D$13,$P$1,$A215,$B215,$M$1)</f>
        <v>0</v>
      </c>
      <c r="H215" s="36">
        <f>_xll.DBRW($C$1,Opening!$G$13,Opening!H$11,$O$1,Opening!$I$13,Opening!$D$13,$P$1,$A215,$B215,$M$1)</f>
        <v>0</v>
      </c>
      <c r="I215" s="36">
        <f>_xll.DBRW($C$1,Opening!$G$13,Opening!I$11,$O$1,Opening!$I$13,Opening!$D$13,$P$1,$A215,$B215,$M$1)</f>
        <v>0</v>
      </c>
      <c r="J215" s="36">
        <f>_xll.DBRW($C$1,Opening!$G$13,Opening!J$11,$O$1,Opening!$I$13,Opening!$D$13,$P$1,$A215,$B215,$M$1)</f>
        <v>0</v>
      </c>
      <c r="K215" s="36">
        <f>_xll.DBRW($C$1,Opening!$G$13,Opening!K$11,$O$1,Opening!$I$13,Opening!$D$13,$P$1,$A215,$B215,$M$1)</f>
        <v>0</v>
      </c>
      <c r="L215" s="36">
        <f>_xll.DBRW($C$1,Opening!$G$13,Opening!L$11,$O$1,Opening!$I$13,Opening!$D$13,$P$1,$A215,$B215,$M$1)</f>
        <v>0</v>
      </c>
      <c r="M215" s="36">
        <f>_xll.DBRW($C$1,Opening!$G$13,Opening!M$11,$O$1,Opening!$I$13,Opening!$D$13,$P$1,$A215,$B215,$M$1)</f>
        <v>0</v>
      </c>
      <c r="N215" s="36">
        <f>_xll.DBRW($C$1,Opening!$G$13,Opening!N$11,$O$1,Opening!$I$13,Opening!$D$13,$P$1,$A215,$B215,$M$1)</f>
        <v>0</v>
      </c>
      <c r="O215" s="36">
        <f>_xll.DBRW($C$1,Opening!$G$13,Opening!O$11,$O$1,Opening!$I$13,Opening!$D$13,$P$1,$A215,$B215,$M$1)</f>
        <v>0</v>
      </c>
      <c r="P215" s="36">
        <f>_xll.DBRW($C$1,Opening!$G$13,Opening!P$11,$O$1,Opening!$I$13,Opening!$D$13,$P$1,$A215,$B215,$M$1)</f>
        <v>0</v>
      </c>
      <c r="Q215" s="36">
        <f>_xll.DBRW($C$1,Q$15,$Q$16,$O$1,Opening!$I$13,Opening!$D$13,$P$1,$A215,$B215,$M$1)</f>
        <v>0</v>
      </c>
      <c r="R215" s="36">
        <f>_xll.DBRW($C$1,R$15,$Q$16,$O$1,Opening!$I$13,Opening!$D$13,$P$1,$A215,$B215,$M$1)</f>
        <v>0</v>
      </c>
      <c r="S215" s="36">
        <f>_xll.DBRW($C$1,S$15,$Q$16,$O$1,Opening!$I$13,Opening!$D$13,$P$1,$A215,$B215,$M$1)</f>
        <v>0</v>
      </c>
      <c r="T215" s="36">
        <f>_xll.DBRW($C$1,T$15,$Q$16,$O$1,Opening!$I$13,Opening!$D$13,$P$1,$A215,$B215,$M$1)</f>
        <v>0</v>
      </c>
      <c r="U215" s="36">
        <f>_xll.DBRW($C$1,U$15,$Q$16,$O$1,Opening!$I$13,Opening!$D$13,$P$1,$A215,$B215,$M$1)</f>
        <v>0</v>
      </c>
      <c r="V215"/>
      <c r="W215"/>
      <c r="X215"/>
      <c r="Y215"/>
      <c r="Z215"/>
    </row>
    <row r="216" spans="1:27" ht="15.75" customHeight="1">
      <c r="A216" s="68" t="s">
        <v>396</v>
      </c>
      <c r="B216" s="29" t="s">
        <v>398</v>
      </c>
      <c r="C216" s="37" t="s">
        <v>156</v>
      </c>
      <c r="D216" s="37" t="s">
        <v>251</v>
      </c>
      <c r="E216" s="36">
        <f>_xll.DBRW($C$1,Opening!$G$13,Opening!E$11,$O$1,Opening!$I$13,Opening!$D$13,$P$1,$A216,$B216,$M$1)</f>
        <v>0</v>
      </c>
      <c r="F216" s="36">
        <f>_xll.DBRW($C$1,Opening!$G$13,Opening!F$11,$O$1,Opening!$I$13,Opening!$D$13,$P$1,$A216,$B216,$M$1)</f>
        <v>0</v>
      </c>
      <c r="G216" s="36">
        <f>_xll.DBRW($C$1,Opening!$G$13,Opening!G$11,$O$1,Opening!$I$13,Opening!$D$13,$P$1,$A216,$B216,$M$1)</f>
        <v>0</v>
      </c>
      <c r="H216" s="36">
        <f>_xll.DBRW($C$1,Opening!$G$13,Opening!H$11,$O$1,Opening!$I$13,Opening!$D$13,$P$1,$A216,$B216,$M$1)</f>
        <v>0</v>
      </c>
      <c r="I216" s="36">
        <f>_xll.DBRW($C$1,Opening!$G$13,Opening!I$11,$O$1,Opening!$I$13,Opening!$D$13,$P$1,$A216,$B216,$M$1)</f>
        <v>0</v>
      </c>
      <c r="J216" s="36">
        <f>_xll.DBRW($C$1,Opening!$G$13,Opening!J$11,$O$1,Opening!$I$13,Opening!$D$13,$P$1,$A216,$B216,$M$1)</f>
        <v>0</v>
      </c>
      <c r="K216" s="36">
        <f>_xll.DBRW($C$1,Opening!$G$13,Opening!K$11,$O$1,Opening!$I$13,Opening!$D$13,$P$1,$A216,$B216,$M$1)</f>
        <v>0</v>
      </c>
      <c r="L216" s="36">
        <f>_xll.DBRW($C$1,Opening!$G$13,Opening!L$11,$O$1,Opening!$I$13,Opening!$D$13,$P$1,$A216,$B216,$M$1)</f>
        <v>0</v>
      </c>
      <c r="M216" s="36">
        <f>_xll.DBRW($C$1,Opening!$G$13,Opening!M$11,$O$1,Opening!$I$13,Opening!$D$13,$P$1,$A216,$B216,$M$1)</f>
        <v>0</v>
      </c>
      <c r="N216" s="36">
        <f>_xll.DBRW($C$1,Opening!$G$13,Opening!N$11,$O$1,Opening!$I$13,Opening!$D$13,$P$1,$A216,$B216,$M$1)</f>
        <v>0</v>
      </c>
      <c r="O216" s="36">
        <f>_xll.DBRW($C$1,Opening!$G$13,Opening!O$11,$O$1,Opening!$I$13,Opening!$D$13,$P$1,$A216,$B216,$M$1)</f>
        <v>0</v>
      </c>
      <c r="P216" s="36">
        <f>_xll.DBRW($C$1,Opening!$G$13,Opening!P$11,$O$1,Opening!$I$13,Opening!$D$13,$P$1,$A216,$B216,$M$1)</f>
        <v>0</v>
      </c>
      <c r="Q216" s="36">
        <f>_xll.DBRW($C$1,Q$15,$Q$16,$O$1,Opening!$I$13,Opening!$D$13,$P$1,$A216,$B216,$M$1)</f>
        <v>0</v>
      </c>
      <c r="R216" s="36">
        <f>_xll.DBRW($C$1,R$15,$Q$16,$O$1,Opening!$I$13,Opening!$D$13,$P$1,$A216,$B216,$M$1)</f>
        <v>0</v>
      </c>
      <c r="S216" s="36">
        <f>_xll.DBRW($C$1,S$15,$Q$16,$O$1,Opening!$I$13,Opening!$D$13,$P$1,$A216,$B216,$M$1)</f>
        <v>0</v>
      </c>
      <c r="T216" s="36">
        <f>_xll.DBRW($C$1,T$15,$Q$16,$O$1,Opening!$I$13,Opening!$D$13,$P$1,$A216,$B216,$M$1)</f>
        <v>0</v>
      </c>
      <c r="U216" s="36">
        <f>_xll.DBRW($C$1,U$15,$Q$16,$O$1,Opening!$I$13,Opening!$D$13,$P$1,$A216,$B216,$M$1)</f>
        <v>0</v>
      </c>
      <c r="V216"/>
      <c r="W216"/>
      <c r="X216"/>
      <c r="Y216"/>
      <c r="Z216"/>
    </row>
    <row r="217" spans="1:27" ht="15.75" customHeight="1">
      <c r="A217" s="68" t="s">
        <v>396</v>
      </c>
      <c r="B217" s="29" t="s">
        <v>399</v>
      </c>
      <c r="C217" s="37" t="s">
        <v>156</v>
      </c>
      <c r="D217" s="37" t="s">
        <v>252</v>
      </c>
      <c r="E217" s="36">
        <f>_xll.DBRW($C$1,Opening!$G$13,Opening!E$11,$O$1,Opening!$I$13,Opening!$D$13,$P$1,$A217,$B217,$M$1)</f>
        <v>0</v>
      </c>
      <c r="F217" s="36">
        <f>_xll.DBRW($C$1,Opening!$G$13,Opening!F$11,$O$1,Opening!$I$13,Opening!$D$13,$P$1,$A217,$B217,$M$1)</f>
        <v>0</v>
      </c>
      <c r="G217" s="36">
        <f>_xll.DBRW($C$1,Opening!$G$13,Opening!G$11,$O$1,Opening!$I$13,Opening!$D$13,$P$1,$A217,$B217,$M$1)</f>
        <v>0</v>
      </c>
      <c r="H217" s="36">
        <f>_xll.DBRW($C$1,Opening!$G$13,Opening!H$11,$O$1,Opening!$I$13,Opening!$D$13,$P$1,$A217,$B217,$M$1)</f>
        <v>0</v>
      </c>
      <c r="I217" s="36">
        <f>_xll.DBRW($C$1,Opening!$G$13,Opening!I$11,$O$1,Opening!$I$13,Opening!$D$13,$P$1,$A217,$B217,$M$1)</f>
        <v>0</v>
      </c>
      <c r="J217" s="36">
        <f>_xll.DBRW($C$1,Opening!$G$13,Opening!J$11,$O$1,Opening!$I$13,Opening!$D$13,$P$1,$A217,$B217,$M$1)</f>
        <v>0</v>
      </c>
      <c r="K217" s="36">
        <f>_xll.DBRW($C$1,Opening!$G$13,Opening!K$11,$O$1,Opening!$I$13,Opening!$D$13,$P$1,$A217,$B217,$M$1)</f>
        <v>0</v>
      </c>
      <c r="L217" s="36">
        <f>_xll.DBRW($C$1,Opening!$G$13,Opening!L$11,$O$1,Opening!$I$13,Opening!$D$13,$P$1,$A217,$B217,$M$1)</f>
        <v>0</v>
      </c>
      <c r="M217" s="36">
        <f>_xll.DBRW($C$1,Opening!$G$13,Opening!M$11,$O$1,Opening!$I$13,Opening!$D$13,$P$1,$A217,$B217,$M$1)</f>
        <v>0</v>
      </c>
      <c r="N217" s="36">
        <f>_xll.DBRW($C$1,Opening!$G$13,Opening!N$11,$O$1,Opening!$I$13,Opening!$D$13,$P$1,$A217,$B217,$M$1)</f>
        <v>0</v>
      </c>
      <c r="O217" s="36">
        <f>_xll.DBRW($C$1,Opening!$G$13,Opening!O$11,$O$1,Opening!$I$13,Opening!$D$13,$P$1,$A217,$B217,$M$1)</f>
        <v>0</v>
      </c>
      <c r="P217" s="36">
        <f>_xll.DBRW($C$1,Opening!$G$13,Opening!P$11,$O$1,Opening!$I$13,Opening!$D$13,$P$1,$A217,$B217,$M$1)</f>
        <v>0</v>
      </c>
      <c r="Q217" s="36">
        <f>_xll.DBRW($C$1,Q$15,$Q$16,$O$1,Opening!$I$13,Opening!$D$13,$P$1,$A217,$B217,$M$1)</f>
        <v>0</v>
      </c>
      <c r="R217" s="36">
        <f>_xll.DBRW($C$1,R$15,$Q$16,$O$1,Opening!$I$13,Opening!$D$13,$P$1,$A217,$B217,$M$1)</f>
        <v>0</v>
      </c>
      <c r="S217" s="36">
        <f>_xll.DBRW($C$1,S$15,$Q$16,$O$1,Opening!$I$13,Opening!$D$13,$P$1,$A217,$B217,$M$1)</f>
        <v>0</v>
      </c>
      <c r="T217" s="36">
        <f>_xll.DBRW($C$1,T$15,$Q$16,$O$1,Opening!$I$13,Opening!$D$13,$P$1,$A217,$B217,$M$1)</f>
        <v>0</v>
      </c>
      <c r="U217" s="36">
        <f>_xll.DBRW($C$1,U$15,$Q$16,$O$1,Opening!$I$13,Opening!$D$13,$P$1,$A217,$B217,$M$1)</f>
        <v>0</v>
      </c>
      <c r="V217"/>
      <c r="W217"/>
      <c r="X217"/>
      <c r="Y217"/>
      <c r="Z217"/>
    </row>
    <row r="218" spans="1:27" ht="15.75" customHeight="1">
      <c r="A218" s="68" t="s">
        <v>396</v>
      </c>
      <c r="B218" s="29" t="s">
        <v>400</v>
      </c>
      <c r="C218" s="37" t="s">
        <v>156</v>
      </c>
      <c r="D218" s="37" t="s">
        <v>253</v>
      </c>
      <c r="E218" s="36">
        <f>_xll.DBRW($C$1,Opening!$G$13,Opening!E$11,$O$1,Opening!$I$13,Opening!$D$13,$P$1,$A218,$B218,$M$1)</f>
        <v>0</v>
      </c>
      <c r="F218" s="36">
        <f>_xll.DBRW($C$1,Opening!$G$13,Opening!F$11,$O$1,Opening!$I$13,Opening!$D$13,$P$1,$A218,$B218,$M$1)</f>
        <v>0</v>
      </c>
      <c r="G218" s="36">
        <f>_xll.DBRW($C$1,Opening!$G$13,Opening!G$11,$O$1,Opening!$I$13,Opening!$D$13,$P$1,$A218,$B218,$M$1)</f>
        <v>0</v>
      </c>
      <c r="H218" s="36">
        <f>_xll.DBRW($C$1,Opening!$G$13,Opening!H$11,$O$1,Opening!$I$13,Opening!$D$13,$P$1,$A218,$B218,$M$1)</f>
        <v>0</v>
      </c>
      <c r="I218" s="36">
        <f>_xll.DBRW($C$1,Opening!$G$13,Opening!I$11,$O$1,Opening!$I$13,Opening!$D$13,$P$1,$A218,$B218,$M$1)</f>
        <v>0</v>
      </c>
      <c r="J218" s="36">
        <f>_xll.DBRW($C$1,Opening!$G$13,Opening!J$11,$O$1,Opening!$I$13,Opening!$D$13,$P$1,$A218,$B218,$M$1)</f>
        <v>0</v>
      </c>
      <c r="K218" s="36">
        <f>_xll.DBRW($C$1,Opening!$G$13,Opening!K$11,$O$1,Opening!$I$13,Opening!$D$13,$P$1,$A218,$B218,$M$1)</f>
        <v>0</v>
      </c>
      <c r="L218" s="36">
        <f>_xll.DBRW($C$1,Opening!$G$13,Opening!L$11,$O$1,Opening!$I$13,Opening!$D$13,$P$1,$A218,$B218,$M$1)</f>
        <v>0</v>
      </c>
      <c r="M218" s="36">
        <f>_xll.DBRW($C$1,Opening!$G$13,Opening!M$11,$O$1,Opening!$I$13,Opening!$D$13,$P$1,$A218,$B218,$M$1)</f>
        <v>0</v>
      </c>
      <c r="N218" s="36">
        <f>_xll.DBRW($C$1,Opening!$G$13,Opening!N$11,$O$1,Opening!$I$13,Opening!$D$13,$P$1,$A218,$B218,$M$1)</f>
        <v>0</v>
      </c>
      <c r="O218" s="36">
        <f>_xll.DBRW($C$1,Opening!$G$13,Opening!O$11,$O$1,Opening!$I$13,Opening!$D$13,$P$1,$A218,$B218,$M$1)</f>
        <v>0</v>
      </c>
      <c r="P218" s="36">
        <f>_xll.DBRW($C$1,Opening!$G$13,Opening!P$11,$O$1,Opening!$I$13,Opening!$D$13,$P$1,$A218,$B218,$M$1)</f>
        <v>0</v>
      </c>
      <c r="Q218" s="36">
        <f>_xll.DBRW($C$1,Q$15,$Q$16,$O$1,Opening!$I$13,Opening!$D$13,$P$1,$A218,$B218,$M$1)</f>
        <v>0</v>
      </c>
      <c r="R218" s="36">
        <f>_xll.DBRW($C$1,R$15,$Q$16,$O$1,Opening!$I$13,Opening!$D$13,$P$1,$A218,$B218,$M$1)</f>
        <v>0</v>
      </c>
      <c r="S218" s="36">
        <f>_xll.DBRW($C$1,S$15,$Q$16,$O$1,Opening!$I$13,Opening!$D$13,$P$1,$A218,$B218,$M$1)</f>
        <v>0</v>
      </c>
      <c r="T218" s="36">
        <f>_xll.DBRW($C$1,T$15,$Q$16,$O$1,Opening!$I$13,Opening!$D$13,$P$1,$A218,$B218,$M$1)</f>
        <v>0</v>
      </c>
      <c r="U218" s="36">
        <f>_xll.DBRW($C$1,U$15,$Q$16,$O$1,Opening!$I$13,Opening!$D$13,$P$1,$A218,$B218,$M$1)</f>
        <v>0</v>
      </c>
      <c r="V218"/>
      <c r="W218"/>
      <c r="X218"/>
      <c r="Y218"/>
      <c r="Z218"/>
    </row>
    <row r="219" spans="1:27" ht="15.75" customHeight="1">
      <c r="A219" s="68" t="s">
        <v>396</v>
      </c>
      <c r="B219" s="29" t="s">
        <v>401</v>
      </c>
      <c r="C219" s="37" t="s">
        <v>156</v>
      </c>
      <c r="D219" s="37" t="s">
        <v>254</v>
      </c>
      <c r="E219" s="36">
        <f>_xll.DBRW($C$1,Opening!$G$13,Opening!E$11,$O$1,Opening!$I$13,Opening!$D$13,$P$1,$A219,$B219,$M$1)</f>
        <v>0</v>
      </c>
      <c r="F219" s="36">
        <f>_xll.DBRW($C$1,Opening!$G$13,Opening!F$11,$O$1,Opening!$I$13,Opening!$D$13,$P$1,$A219,$B219,$M$1)</f>
        <v>0</v>
      </c>
      <c r="G219" s="36">
        <f>_xll.DBRW($C$1,Opening!$G$13,Opening!G$11,$O$1,Opening!$I$13,Opening!$D$13,$P$1,$A219,$B219,$M$1)</f>
        <v>0</v>
      </c>
      <c r="H219" s="36">
        <f>_xll.DBRW($C$1,Opening!$G$13,Opening!H$11,$O$1,Opening!$I$13,Opening!$D$13,$P$1,$A219,$B219,$M$1)</f>
        <v>0</v>
      </c>
      <c r="I219" s="36">
        <f>_xll.DBRW($C$1,Opening!$G$13,Opening!I$11,$O$1,Opening!$I$13,Opening!$D$13,$P$1,$A219,$B219,$M$1)</f>
        <v>0</v>
      </c>
      <c r="J219" s="36">
        <f>_xll.DBRW($C$1,Opening!$G$13,Opening!J$11,$O$1,Opening!$I$13,Opening!$D$13,$P$1,$A219,$B219,$M$1)</f>
        <v>0</v>
      </c>
      <c r="K219" s="36">
        <f>_xll.DBRW($C$1,Opening!$G$13,Opening!K$11,$O$1,Opening!$I$13,Opening!$D$13,$P$1,$A219,$B219,$M$1)</f>
        <v>0</v>
      </c>
      <c r="L219" s="36">
        <f>_xll.DBRW($C$1,Opening!$G$13,Opening!L$11,$O$1,Opening!$I$13,Opening!$D$13,$P$1,$A219,$B219,$M$1)</f>
        <v>0</v>
      </c>
      <c r="M219" s="36">
        <f>_xll.DBRW($C$1,Opening!$G$13,Opening!M$11,$O$1,Opening!$I$13,Opening!$D$13,$P$1,$A219,$B219,$M$1)</f>
        <v>0</v>
      </c>
      <c r="N219" s="36">
        <f>_xll.DBRW($C$1,Opening!$G$13,Opening!N$11,$O$1,Opening!$I$13,Opening!$D$13,$P$1,$A219,$B219,$M$1)</f>
        <v>0</v>
      </c>
      <c r="O219" s="36">
        <f>_xll.DBRW($C$1,Opening!$G$13,Opening!O$11,$O$1,Opening!$I$13,Opening!$D$13,$P$1,$A219,$B219,$M$1)</f>
        <v>0</v>
      </c>
      <c r="P219" s="36">
        <f>_xll.DBRW($C$1,Opening!$G$13,Opening!P$11,$O$1,Opening!$I$13,Opening!$D$13,$P$1,$A219,$B219,$M$1)</f>
        <v>0</v>
      </c>
      <c r="Q219" s="36">
        <f>_xll.DBRW($C$1,Q$15,$Q$16,$O$1,Opening!$I$13,Opening!$D$13,$P$1,$A219,$B219,$M$1)</f>
        <v>0</v>
      </c>
      <c r="R219" s="36">
        <f>_xll.DBRW($C$1,R$15,$Q$16,$O$1,Opening!$I$13,Opening!$D$13,$P$1,$A219,$B219,$M$1)</f>
        <v>0</v>
      </c>
      <c r="S219" s="36">
        <f>_xll.DBRW($C$1,S$15,$Q$16,$O$1,Opening!$I$13,Opening!$D$13,$P$1,$A219,$B219,$M$1)</f>
        <v>0</v>
      </c>
      <c r="T219" s="36">
        <f>_xll.DBRW($C$1,T$15,$Q$16,$O$1,Opening!$I$13,Opening!$D$13,$P$1,$A219,$B219,$M$1)</f>
        <v>0</v>
      </c>
      <c r="U219" s="36">
        <f>_xll.DBRW($C$1,U$15,$Q$16,$O$1,Opening!$I$13,Opening!$D$13,$P$1,$A219,$B219,$M$1)</f>
        <v>0</v>
      </c>
      <c r="V219"/>
      <c r="W219"/>
      <c r="X219"/>
      <c r="Y219"/>
      <c r="Z219"/>
    </row>
    <row r="220" spans="1:27" ht="15.75" customHeight="1">
      <c r="A220" s="68" t="s">
        <v>396</v>
      </c>
      <c r="B220" s="29" t="s">
        <v>402</v>
      </c>
      <c r="C220" s="37" t="s">
        <v>156</v>
      </c>
      <c r="D220" s="37" t="s">
        <v>255</v>
      </c>
      <c r="E220" s="36">
        <f>_xll.DBRW($C$1,Opening!$G$13,Opening!E$11,$O$1,Opening!$I$13,Opening!$D$13,$P$1,$A220,$B220,$M$1)</f>
        <v>0</v>
      </c>
      <c r="F220" s="36">
        <f>_xll.DBRW($C$1,Opening!$G$13,Opening!F$11,$O$1,Opening!$I$13,Opening!$D$13,$P$1,$A220,$B220,$M$1)</f>
        <v>0</v>
      </c>
      <c r="G220" s="36">
        <f>_xll.DBRW($C$1,Opening!$G$13,Opening!G$11,$O$1,Opening!$I$13,Opening!$D$13,$P$1,$A220,$B220,$M$1)</f>
        <v>0</v>
      </c>
      <c r="H220" s="36">
        <f>_xll.DBRW($C$1,Opening!$G$13,Opening!H$11,$O$1,Opening!$I$13,Opening!$D$13,$P$1,$A220,$B220,$M$1)</f>
        <v>0</v>
      </c>
      <c r="I220" s="36">
        <f>_xll.DBRW($C$1,Opening!$G$13,Opening!I$11,$O$1,Opening!$I$13,Opening!$D$13,$P$1,$A220,$B220,$M$1)</f>
        <v>0</v>
      </c>
      <c r="J220" s="36">
        <f>_xll.DBRW($C$1,Opening!$G$13,Opening!J$11,$O$1,Opening!$I$13,Opening!$D$13,$P$1,$A220,$B220,$M$1)</f>
        <v>0</v>
      </c>
      <c r="K220" s="36">
        <f>_xll.DBRW($C$1,Opening!$G$13,Opening!K$11,$O$1,Opening!$I$13,Opening!$D$13,$P$1,$A220,$B220,$M$1)</f>
        <v>0</v>
      </c>
      <c r="L220" s="36">
        <f>_xll.DBRW($C$1,Opening!$G$13,Opening!L$11,$O$1,Opening!$I$13,Opening!$D$13,$P$1,$A220,$B220,$M$1)</f>
        <v>0</v>
      </c>
      <c r="M220" s="36">
        <f>_xll.DBRW($C$1,Opening!$G$13,Opening!M$11,$O$1,Opening!$I$13,Opening!$D$13,$P$1,$A220,$B220,$M$1)</f>
        <v>0</v>
      </c>
      <c r="N220" s="36">
        <f>_xll.DBRW($C$1,Opening!$G$13,Opening!N$11,$O$1,Opening!$I$13,Opening!$D$13,$P$1,$A220,$B220,$M$1)</f>
        <v>0</v>
      </c>
      <c r="O220" s="36">
        <f>_xll.DBRW($C$1,Opening!$G$13,Opening!O$11,$O$1,Opening!$I$13,Opening!$D$13,$P$1,$A220,$B220,$M$1)</f>
        <v>0</v>
      </c>
      <c r="P220" s="36">
        <f>_xll.DBRW($C$1,Opening!$G$13,Opening!P$11,$O$1,Opening!$I$13,Opening!$D$13,$P$1,$A220,$B220,$M$1)</f>
        <v>0</v>
      </c>
      <c r="Q220" s="36">
        <f>_xll.DBRW($C$1,Q$15,$Q$16,$O$1,Opening!$I$13,Opening!$D$13,$P$1,$A220,$B220,$M$1)</f>
        <v>0</v>
      </c>
      <c r="R220" s="36">
        <f>_xll.DBRW($C$1,R$15,$Q$16,$O$1,Opening!$I$13,Opening!$D$13,$P$1,$A220,$B220,$M$1)</f>
        <v>0</v>
      </c>
      <c r="S220" s="36">
        <f>_xll.DBRW($C$1,S$15,$Q$16,$O$1,Opening!$I$13,Opening!$D$13,$P$1,$A220,$B220,$M$1)</f>
        <v>0</v>
      </c>
      <c r="T220" s="36">
        <f>_xll.DBRW($C$1,T$15,$Q$16,$O$1,Opening!$I$13,Opening!$D$13,$P$1,$A220,$B220,$M$1)</f>
        <v>0</v>
      </c>
      <c r="U220" s="36">
        <f>_xll.DBRW($C$1,U$15,$Q$16,$O$1,Opening!$I$13,Opening!$D$13,$P$1,$A220,$B220,$M$1)</f>
        <v>0</v>
      </c>
      <c r="V220"/>
      <c r="W220"/>
      <c r="X220"/>
      <c r="Y220"/>
      <c r="Z220"/>
    </row>
    <row r="221" spans="1:27" ht="15.75" customHeight="1">
      <c r="A221" s="68" t="s">
        <v>396</v>
      </c>
      <c r="B221" s="29" t="s">
        <v>403</v>
      </c>
      <c r="C221" s="37" t="s">
        <v>156</v>
      </c>
      <c r="D221" s="37" t="s">
        <v>184</v>
      </c>
      <c r="E221" s="36">
        <f>_xll.DBRW($C$1,Opening!$G$13,Opening!E$11,$O$1,Opening!$I$13,Opening!$D$13,$P$1,$A221,$B221,$M$1)</f>
        <v>0</v>
      </c>
      <c r="F221" s="36">
        <f>_xll.DBRW($C$1,Opening!$G$13,Opening!F$11,$O$1,Opening!$I$13,Opening!$D$13,$P$1,$A221,$B221,$M$1)</f>
        <v>0</v>
      </c>
      <c r="G221" s="36">
        <f>_xll.DBRW($C$1,Opening!$G$13,Opening!G$11,$O$1,Opening!$I$13,Opening!$D$13,$P$1,$A221,$B221,$M$1)</f>
        <v>0</v>
      </c>
      <c r="H221" s="36">
        <f>_xll.DBRW($C$1,Opening!$G$13,Opening!H$11,$O$1,Opening!$I$13,Opening!$D$13,$P$1,$A221,$B221,$M$1)</f>
        <v>0</v>
      </c>
      <c r="I221" s="36">
        <f>_xll.DBRW($C$1,Opening!$G$13,Opening!I$11,$O$1,Opening!$I$13,Opening!$D$13,$P$1,$A221,$B221,$M$1)</f>
        <v>0</v>
      </c>
      <c r="J221" s="36">
        <f>_xll.DBRW($C$1,Opening!$G$13,Opening!J$11,$O$1,Opening!$I$13,Opening!$D$13,$P$1,$A221,$B221,$M$1)</f>
        <v>0</v>
      </c>
      <c r="K221" s="36">
        <f>_xll.DBRW($C$1,Opening!$G$13,Opening!K$11,$O$1,Opening!$I$13,Opening!$D$13,$P$1,$A221,$B221,$M$1)</f>
        <v>0</v>
      </c>
      <c r="L221" s="36">
        <f>_xll.DBRW($C$1,Opening!$G$13,Opening!L$11,$O$1,Opening!$I$13,Opening!$D$13,$P$1,$A221,$B221,$M$1)</f>
        <v>0</v>
      </c>
      <c r="M221" s="36">
        <f>_xll.DBRW($C$1,Opening!$G$13,Opening!M$11,$O$1,Opening!$I$13,Opening!$D$13,$P$1,$A221,$B221,$M$1)</f>
        <v>0</v>
      </c>
      <c r="N221" s="36">
        <f>_xll.DBRW($C$1,Opening!$G$13,Opening!N$11,$O$1,Opening!$I$13,Opening!$D$13,$P$1,$A221,$B221,$M$1)</f>
        <v>0</v>
      </c>
      <c r="O221" s="36">
        <f>_xll.DBRW($C$1,Opening!$G$13,Opening!O$11,$O$1,Opening!$I$13,Opening!$D$13,$P$1,$A221,$B221,$M$1)</f>
        <v>0</v>
      </c>
      <c r="P221" s="36">
        <f>_xll.DBRW($C$1,Opening!$G$13,Opening!P$11,$O$1,Opening!$I$13,Opening!$D$13,$P$1,$A221,$B221,$M$1)</f>
        <v>0</v>
      </c>
      <c r="Q221" s="36">
        <f>_xll.DBRW($C$1,Q$15,$Q$16,$O$1,Opening!$I$13,Opening!$D$13,$P$1,$A221,$B221,$M$1)</f>
        <v>0</v>
      </c>
      <c r="R221" s="36">
        <f>_xll.DBRW($C$1,R$15,$Q$16,$O$1,Opening!$I$13,Opening!$D$13,$P$1,$A221,$B221,$M$1)</f>
        <v>0</v>
      </c>
      <c r="S221" s="36">
        <f>_xll.DBRW($C$1,S$15,$Q$16,$O$1,Opening!$I$13,Opening!$D$13,$P$1,$A221,$B221,$M$1)</f>
        <v>0</v>
      </c>
      <c r="T221" s="36">
        <f>_xll.DBRW($C$1,T$15,$Q$16,$O$1,Opening!$I$13,Opening!$D$13,$P$1,$A221,$B221,$M$1)</f>
        <v>0</v>
      </c>
      <c r="U221" s="36">
        <f>_xll.DBRW($C$1,U$15,$Q$16,$O$1,Opening!$I$13,Opening!$D$13,$P$1,$A221,$B221,$M$1)</f>
        <v>0</v>
      </c>
      <c r="V221"/>
      <c r="W221"/>
      <c r="X221"/>
      <c r="Y221"/>
      <c r="Z221"/>
    </row>
    <row r="222" spans="1:27" ht="15.75" customHeight="1">
      <c r="A222" s="68" t="s">
        <v>396</v>
      </c>
      <c r="B222" s="29" t="s">
        <v>404</v>
      </c>
      <c r="C222" s="37" t="s">
        <v>156</v>
      </c>
      <c r="D222" s="37" t="s">
        <v>256</v>
      </c>
      <c r="E222" s="36">
        <f>_xll.DBRW($C$1,Opening!$G$13,Opening!E$11,$O$1,Opening!$I$13,Opening!$D$13,$P$1,$A222,$B222,$M$1)</f>
        <v>0</v>
      </c>
      <c r="F222" s="36">
        <f>_xll.DBRW($C$1,Opening!$G$13,Opening!F$11,$O$1,Opening!$I$13,Opening!$D$13,$P$1,$A222,$B222,$M$1)</f>
        <v>0</v>
      </c>
      <c r="G222" s="36">
        <f>_xll.DBRW($C$1,Opening!$G$13,Opening!G$11,$O$1,Opening!$I$13,Opening!$D$13,$P$1,$A222,$B222,$M$1)</f>
        <v>0</v>
      </c>
      <c r="H222" s="36">
        <f>_xll.DBRW($C$1,Opening!$G$13,Opening!H$11,$O$1,Opening!$I$13,Opening!$D$13,$P$1,$A222,$B222,$M$1)</f>
        <v>0</v>
      </c>
      <c r="I222" s="36">
        <f>_xll.DBRW($C$1,Opening!$G$13,Opening!I$11,$O$1,Opening!$I$13,Opening!$D$13,$P$1,$A222,$B222,$M$1)</f>
        <v>0</v>
      </c>
      <c r="J222" s="36">
        <f>_xll.DBRW($C$1,Opening!$G$13,Opening!J$11,$O$1,Opening!$I$13,Opening!$D$13,$P$1,$A222,$B222,$M$1)</f>
        <v>0</v>
      </c>
      <c r="K222" s="36">
        <f>_xll.DBRW($C$1,Opening!$G$13,Opening!K$11,$O$1,Opening!$I$13,Opening!$D$13,$P$1,$A222,$B222,$M$1)</f>
        <v>0</v>
      </c>
      <c r="L222" s="36">
        <f>_xll.DBRW($C$1,Opening!$G$13,Opening!L$11,$O$1,Opening!$I$13,Opening!$D$13,$P$1,$A222,$B222,$M$1)</f>
        <v>0</v>
      </c>
      <c r="M222" s="36">
        <f>_xll.DBRW($C$1,Opening!$G$13,Opening!M$11,$O$1,Opening!$I$13,Opening!$D$13,$P$1,$A222,$B222,$M$1)</f>
        <v>0</v>
      </c>
      <c r="N222" s="36">
        <f>_xll.DBRW($C$1,Opening!$G$13,Opening!N$11,$O$1,Opening!$I$13,Opening!$D$13,$P$1,$A222,$B222,$M$1)</f>
        <v>0</v>
      </c>
      <c r="O222" s="36">
        <f>_xll.DBRW($C$1,Opening!$G$13,Opening!O$11,$O$1,Opening!$I$13,Opening!$D$13,$P$1,$A222,$B222,$M$1)</f>
        <v>0</v>
      </c>
      <c r="P222" s="36">
        <f>_xll.DBRW($C$1,Opening!$G$13,Opening!P$11,$O$1,Opening!$I$13,Opening!$D$13,$P$1,$A222,$B222,$M$1)</f>
        <v>0</v>
      </c>
      <c r="Q222" s="36">
        <f>_xll.DBRW($C$1,Q$15,$Q$16,$O$1,Opening!$I$13,Opening!$D$13,$P$1,$A222,$B222,$M$1)</f>
        <v>0</v>
      </c>
      <c r="R222" s="36">
        <f>_xll.DBRW($C$1,R$15,$Q$16,$O$1,Opening!$I$13,Opening!$D$13,$P$1,$A222,$B222,$M$1)</f>
        <v>0</v>
      </c>
      <c r="S222" s="36">
        <f>_xll.DBRW($C$1,S$15,$Q$16,$O$1,Opening!$I$13,Opening!$D$13,$P$1,$A222,$B222,$M$1)</f>
        <v>0</v>
      </c>
      <c r="T222" s="36">
        <f>_xll.DBRW($C$1,T$15,$Q$16,$O$1,Opening!$I$13,Opening!$D$13,$P$1,$A222,$B222,$M$1)</f>
        <v>0</v>
      </c>
      <c r="U222" s="36">
        <f>_xll.DBRW($C$1,U$15,$Q$16,$O$1,Opening!$I$13,Opening!$D$13,$P$1,$A222,$B222,$M$1)</f>
        <v>0</v>
      </c>
      <c r="V222"/>
      <c r="W222"/>
      <c r="X222"/>
      <c r="Y222"/>
      <c r="Z222"/>
    </row>
    <row r="223" spans="1:27" ht="15.75" customHeight="1">
      <c r="A223" s="68" t="s">
        <v>396</v>
      </c>
      <c r="B223" s="29" t="s">
        <v>49</v>
      </c>
      <c r="C223" s="37" t="s">
        <v>156</v>
      </c>
      <c r="D223" s="37" t="s">
        <v>49</v>
      </c>
      <c r="E223" s="36">
        <f>_xll.DBRW($C$1,Opening!$G$13,Opening!E$11,$O$1,Opening!$I$13,Opening!$D$13,$P$1,$A223,$B223,$M$1)</f>
        <v>0</v>
      </c>
      <c r="F223" s="36">
        <f>_xll.DBRW($C$1,Opening!$G$13,Opening!F$11,$O$1,Opening!$I$13,Opening!$D$13,$P$1,$A223,$B223,$M$1)</f>
        <v>0</v>
      </c>
      <c r="G223" s="36">
        <f>_xll.DBRW($C$1,Opening!$G$13,Opening!G$11,$O$1,Opening!$I$13,Opening!$D$13,$P$1,$A223,$B223,$M$1)</f>
        <v>0</v>
      </c>
      <c r="H223" s="36">
        <f>_xll.DBRW($C$1,Opening!$G$13,Opening!H$11,$O$1,Opening!$I$13,Opening!$D$13,$P$1,$A223,$B223,$M$1)</f>
        <v>0</v>
      </c>
      <c r="I223" s="36">
        <f>_xll.DBRW($C$1,Opening!$G$13,Opening!I$11,$O$1,Opening!$I$13,Opening!$D$13,$P$1,$A223,$B223,$M$1)</f>
        <v>0</v>
      </c>
      <c r="J223" s="36">
        <f>_xll.DBRW($C$1,Opening!$G$13,Opening!J$11,$O$1,Opening!$I$13,Opening!$D$13,$P$1,$A223,$B223,$M$1)</f>
        <v>0</v>
      </c>
      <c r="K223" s="36">
        <f>_xll.DBRW($C$1,Opening!$G$13,Opening!K$11,$O$1,Opening!$I$13,Opening!$D$13,$P$1,$A223,$B223,$M$1)</f>
        <v>0</v>
      </c>
      <c r="L223" s="36">
        <f>_xll.DBRW($C$1,Opening!$G$13,Opening!L$11,$O$1,Opening!$I$13,Opening!$D$13,$P$1,$A223,$B223,$M$1)</f>
        <v>0</v>
      </c>
      <c r="M223" s="36">
        <f>_xll.DBRW($C$1,Opening!$G$13,Opening!M$11,$O$1,Opening!$I$13,Opening!$D$13,$P$1,$A223,$B223,$M$1)</f>
        <v>0</v>
      </c>
      <c r="N223" s="36">
        <f>_xll.DBRW($C$1,Opening!$G$13,Opening!N$11,$O$1,Opening!$I$13,Opening!$D$13,$P$1,$A223,$B223,$M$1)</f>
        <v>0</v>
      </c>
      <c r="O223" s="36">
        <f>_xll.DBRW($C$1,Opening!$G$13,Opening!O$11,$O$1,Opening!$I$13,Opening!$D$13,$P$1,$A223,$B223,$M$1)</f>
        <v>0</v>
      </c>
      <c r="P223" s="36">
        <f>_xll.DBRW($C$1,Opening!$G$13,Opening!P$11,$O$1,Opening!$I$13,Opening!$D$13,$P$1,$A223,$B223,$M$1)</f>
        <v>0</v>
      </c>
      <c r="Q223" s="36">
        <f>_xll.DBRW($C$1,Q$15,$Q$16,$O$1,Opening!$I$13,Opening!$D$13,$P$1,$A223,$B223,$M$1)</f>
        <v>0</v>
      </c>
      <c r="R223" s="36">
        <f>_xll.DBRW($C$1,R$15,$Q$16,$O$1,Opening!$I$13,Opening!$D$13,$P$1,$A223,$B223,$M$1)</f>
        <v>0</v>
      </c>
      <c r="S223" s="36">
        <f>_xll.DBRW($C$1,S$15,$Q$16,$O$1,Opening!$I$13,Opening!$D$13,$P$1,$A223,$B223,$M$1)</f>
        <v>0</v>
      </c>
      <c r="T223" s="36">
        <f>_xll.DBRW($C$1,T$15,$Q$16,$O$1,Opening!$I$13,Opening!$D$13,$P$1,$A223,$B223,$M$1)</f>
        <v>0</v>
      </c>
      <c r="U223" s="36">
        <f>_xll.DBRW($C$1,U$15,$Q$16,$O$1,Opening!$I$13,Opening!$D$13,$P$1,$A223,$B223,$M$1)</f>
        <v>0</v>
      </c>
      <c r="V223"/>
      <c r="W223"/>
      <c r="X223"/>
      <c r="Y223"/>
      <c r="Z223"/>
    </row>
    <row r="224" spans="1:27" ht="15.75" customHeight="1"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3:27" ht="15.75" customHeight="1"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3:27" ht="15.75" customHeight="1"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3:27" ht="15.75" customHeight="1"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3:27" ht="15.75" customHeight="1"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3:27" ht="15.75" customHeight="1"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3:27" ht="15.75" customHeight="1"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3:27" ht="15.75" customHeight="1"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3:27" ht="15.75" customHeight="1"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3:27" ht="15.75" customHeight="1"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3:27" ht="15.75" customHeight="1"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3:27" ht="15.75" customHeight="1"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3:27" ht="15.75" customHeight="1"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3:27" ht="15.75" customHeight="1"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3:27" ht="15.75" customHeight="1"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3:27" ht="15.75" customHeight="1"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3:27" ht="15.75" customHeight="1"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/>
      <c r="R240"/>
      <c r="S240"/>
      <c r="T240"/>
      <c r="U240"/>
      <c r="V240"/>
      <c r="W240"/>
      <c r="X240"/>
      <c r="Y240"/>
      <c r="Z240"/>
    </row>
    <row r="241" spans="3:26" ht="15.75" customHeight="1"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/>
      <c r="R241"/>
      <c r="S241"/>
      <c r="T241"/>
      <c r="U241"/>
      <c r="V241"/>
      <c r="W241"/>
      <c r="X241"/>
      <c r="Y241"/>
      <c r="Z241"/>
    </row>
    <row r="242" spans="3:26" ht="15.75" customHeight="1"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/>
      <c r="R242"/>
      <c r="S242"/>
      <c r="T242"/>
      <c r="U242"/>
      <c r="V242"/>
      <c r="W242"/>
      <c r="X242"/>
      <c r="Y242"/>
      <c r="Z242"/>
    </row>
    <row r="243" spans="3:26" ht="15.75" customHeight="1"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/>
      <c r="R243"/>
      <c r="S243"/>
      <c r="T243"/>
      <c r="U243"/>
      <c r="V243"/>
      <c r="W243"/>
      <c r="X243"/>
      <c r="Y243"/>
      <c r="Z243"/>
    </row>
    <row r="244" spans="3:26" ht="15.75" customHeight="1"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/>
      <c r="R244"/>
      <c r="S244"/>
      <c r="T244"/>
      <c r="U244"/>
      <c r="V244"/>
      <c r="W244"/>
      <c r="X244"/>
      <c r="Y244"/>
      <c r="Z244"/>
    </row>
    <row r="245" spans="3:26" ht="15.75" customHeight="1"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/>
      <c r="R245"/>
      <c r="S245"/>
      <c r="T245"/>
      <c r="U245"/>
      <c r="V245"/>
      <c r="W245"/>
      <c r="X245"/>
      <c r="Y245"/>
      <c r="Z245"/>
    </row>
    <row r="246" spans="3:26" ht="15.75" customHeight="1"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/>
      <c r="R246"/>
      <c r="S246"/>
      <c r="T246"/>
      <c r="U246"/>
      <c r="V246"/>
      <c r="W246"/>
      <c r="X246"/>
      <c r="Y246"/>
      <c r="Z246"/>
    </row>
    <row r="247" spans="3:26" ht="15.75" customHeight="1"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/>
      <c r="R247"/>
      <c r="S247"/>
      <c r="T247"/>
      <c r="U247"/>
      <c r="V247"/>
      <c r="W247"/>
      <c r="X247"/>
      <c r="Y247"/>
      <c r="Z247"/>
    </row>
    <row r="248" spans="3:26" ht="15.75" customHeight="1"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/>
      <c r="R248"/>
      <c r="S248"/>
      <c r="T248"/>
      <c r="U248"/>
      <c r="V248"/>
      <c r="W248"/>
      <c r="X248"/>
      <c r="Y248"/>
      <c r="Z248"/>
    </row>
    <row r="249" spans="3:26" ht="15.75" customHeight="1"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/>
      <c r="R249"/>
      <c r="S249"/>
      <c r="T249"/>
      <c r="U249"/>
      <c r="V249"/>
      <c r="W249"/>
      <c r="X249"/>
      <c r="Y249"/>
      <c r="Z249"/>
    </row>
    <row r="250" spans="3:26" ht="15.75" customHeight="1"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/>
      <c r="R250"/>
      <c r="S250"/>
      <c r="T250"/>
      <c r="U250"/>
      <c r="V250"/>
      <c r="W250"/>
      <c r="X250"/>
      <c r="Y250"/>
      <c r="Z250"/>
    </row>
    <row r="251" spans="3:26" ht="15.75" customHeight="1"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/>
      <c r="R251"/>
      <c r="S251"/>
      <c r="T251"/>
      <c r="U251"/>
      <c r="V251"/>
      <c r="W251"/>
      <c r="X251"/>
      <c r="Y251"/>
      <c r="Z251"/>
    </row>
    <row r="252" spans="3:26" ht="15.75" customHeight="1"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/>
      <c r="R252"/>
      <c r="S252"/>
      <c r="T252"/>
      <c r="U252"/>
      <c r="V252"/>
      <c r="W252"/>
      <c r="X252"/>
      <c r="Y252"/>
      <c r="Z252"/>
    </row>
    <row r="253" spans="3:26" ht="15.75" customHeight="1"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/>
      <c r="R253"/>
      <c r="S253"/>
      <c r="T253"/>
      <c r="U253"/>
      <c r="V253"/>
      <c r="W253"/>
      <c r="X253"/>
      <c r="Y253"/>
      <c r="Z253"/>
    </row>
    <row r="254" spans="3:26" ht="15.75" customHeight="1"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/>
      <c r="R254"/>
      <c r="S254"/>
      <c r="T254"/>
      <c r="U254"/>
      <c r="V254"/>
      <c r="W254"/>
      <c r="X254"/>
      <c r="Y254"/>
      <c r="Z254"/>
    </row>
    <row r="255" spans="3:26" ht="15.75" customHeight="1"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/>
      <c r="R255"/>
      <c r="S255"/>
      <c r="T255"/>
      <c r="U255"/>
      <c r="V255"/>
      <c r="W255"/>
      <c r="X255"/>
      <c r="Y255"/>
      <c r="Z255"/>
    </row>
    <row r="256" spans="3:26" ht="15.75" customHeight="1"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/>
      <c r="R256"/>
      <c r="S256"/>
      <c r="T256"/>
      <c r="U256"/>
      <c r="V256"/>
      <c r="W256"/>
      <c r="X256"/>
      <c r="Y256"/>
      <c r="Z256"/>
    </row>
    <row r="257" spans="3:26" ht="15.75" customHeight="1"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/>
      <c r="R257"/>
      <c r="S257"/>
      <c r="T257"/>
      <c r="U257"/>
      <c r="V257"/>
      <c r="W257"/>
      <c r="X257"/>
      <c r="Y257"/>
      <c r="Z257"/>
    </row>
    <row r="258" spans="3:26" ht="15.75" customHeight="1"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/>
      <c r="R258"/>
      <c r="S258"/>
      <c r="T258"/>
      <c r="U258"/>
      <c r="V258"/>
      <c r="W258"/>
      <c r="X258"/>
      <c r="Y258"/>
      <c r="Z258"/>
    </row>
    <row r="259" spans="3:26" ht="15.75" customHeight="1"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/>
      <c r="R259"/>
      <c r="S259"/>
      <c r="T259"/>
      <c r="U259"/>
      <c r="V259"/>
      <c r="W259"/>
      <c r="X259"/>
      <c r="Y259"/>
      <c r="Z259"/>
    </row>
    <row r="260" spans="3:26" ht="15.75" customHeight="1"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/>
      <c r="R260"/>
      <c r="S260"/>
      <c r="T260"/>
      <c r="U260"/>
      <c r="V260"/>
      <c r="W260"/>
      <c r="X260"/>
      <c r="Y260"/>
      <c r="Z260"/>
    </row>
    <row r="261" spans="3:26" ht="15.75" customHeight="1"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/>
      <c r="R261"/>
      <c r="S261"/>
      <c r="T261"/>
      <c r="U261"/>
      <c r="V261"/>
      <c r="W261"/>
      <c r="X261"/>
      <c r="Y261"/>
      <c r="Z261"/>
    </row>
    <row r="262" spans="3:26" ht="15.75" customHeight="1"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/>
      <c r="R262"/>
      <c r="S262"/>
      <c r="T262"/>
      <c r="U262"/>
      <c r="V262"/>
      <c r="W262"/>
      <c r="X262"/>
      <c r="Y262"/>
      <c r="Z262"/>
    </row>
    <row r="263" spans="3:26" ht="15.75" customHeight="1"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/>
      <c r="R263"/>
      <c r="S263"/>
      <c r="T263"/>
      <c r="U263"/>
      <c r="V263"/>
      <c r="W263"/>
      <c r="X263"/>
      <c r="Y263"/>
      <c r="Z263"/>
    </row>
    <row r="264" spans="3:26" ht="15.75" customHeight="1"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/>
      <c r="R264"/>
      <c r="S264"/>
      <c r="T264"/>
      <c r="U264"/>
      <c r="V264"/>
      <c r="W264"/>
      <c r="X264"/>
      <c r="Y264"/>
      <c r="Z264"/>
    </row>
    <row r="265" spans="3:26" ht="15.75" customHeight="1"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/>
      <c r="R265"/>
      <c r="S265"/>
      <c r="T265"/>
      <c r="U265"/>
      <c r="V265"/>
      <c r="W265"/>
      <c r="X265"/>
      <c r="Y265"/>
      <c r="Z265"/>
    </row>
    <row r="266" spans="3:26" ht="15.75" customHeight="1"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/>
      <c r="R266"/>
      <c r="S266"/>
      <c r="T266"/>
      <c r="U266"/>
      <c r="V266"/>
      <c r="W266"/>
      <c r="X266"/>
      <c r="Y266"/>
      <c r="Z266"/>
    </row>
    <row r="267" spans="3:26" ht="15.75" customHeight="1"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/>
      <c r="R267"/>
      <c r="S267"/>
      <c r="T267"/>
      <c r="U267"/>
      <c r="V267"/>
      <c r="W267"/>
      <c r="X267"/>
      <c r="Y267"/>
      <c r="Z267"/>
    </row>
    <row r="268" spans="3:26" ht="15.75" customHeight="1"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/>
      <c r="R268"/>
      <c r="S268"/>
      <c r="T268"/>
      <c r="U268"/>
      <c r="V268"/>
      <c r="W268"/>
      <c r="X268"/>
      <c r="Y268"/>
      <c r="Z268"/>
    </row>
    <row r="269" spans="3:26" ht="15.75" customHeight="1"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/>
      <c r="R269"/>
      <c r="S269"/>
      <c r="T269"/>
      <c r="U269"/>
      <c r="V269"/>
      <c r="W269"/>
      <c r="X269"/>
      <c r="Y269"/>
      <c r="Z269"/>
    </row>
    <row r="270" spans="3:26" ht="15.75" customHeight="1"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/>
      <c r="R270"/>
      <c r="S270"/>
      <c r="T270"/>
      <c r="U270"/>
      <c r="V270"/>
      <c r="W270"/>
      <c r="X270"/>
      <c r="Y270"/>
      <c r="Z270"/>
    </row>
    <row r="271" spans="3:26" ht="15.75" customHeight="1"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/>
      <c r="R271"/>
      <c r="S271"/>
      <c r="T271"/>
      <c r="U271"/>
      <c r="V271"/>
      <c r="W271"/>
      <c r="X271"/>
      <c r="Y271"/>
      <c r="Z271"/>
    </row>
    <row r="272" spans="3:26" ht="15.75" customHeight="1"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/>
      <c r="R272"/>
      <c r="S272"/>
      <c r="T272"/>
      <c r="U272"/>
      <c r="V272"/>
      <c r="W272"/>
      <c r="X272"/>
      <c r="Y272"/>
      <c r="Z272"/>
    </row>
    <row r="273" spans="3:26" ht="15.75" customHeight="1"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/>
      <c r="R273"/>
      <c r="S273"/>
      <c r="T273"/>
      <c r="U273"/>
      <c r="V273"/>
      <c r="W273"/>
      <c r="X273"/>
      <c r="Y273"/>
      <c r="Z273"/>
    </row>
    <row r="274" spans="3:26" ht="15.75" customHeight="1"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/>
      <c r="R274"/>
      <c r="S274"/>
      <c r="T274"/>
      <c r="U274"/>
      <c r="V274"/>
      <c r="W274"/>
      <c r="X274"/>
      <c r="Y274"/>
      <c r="Z274"/>
    </row>
    <row r="275" spans="3:26" ht="15.75" customHeight="1"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/>
      <c r="R275"/>
      <c r="S275"/>
      <c r="T275"/>
      <c r="U275"/>
      <c r="V275"/>
      <c r="W275"/>
      <c r="X275"/>
      <c r="Y275"/>
      <c r="Z275"/>
    </row>
    <row r="276" spans="3:26" ht="15.75" customHeight="1"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/>
      <c r="R276"/>
      <c r="S276"/>
      <c r="T276"/>
      <c r="U276"/>
      <c r="V276"/>
      <c r="W276"/>
      <c r="X276"/>
      <c r="Y276"/>
      <c r="Z276"/>
    </row>
    <row r="277" spans="3:26" ht="15.75" customHeight="1"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/>
      <c r="R277"/>
      <c r="S277"/>
      <c r="T277"/>
      <c r="U277"/>
      <c r="V277"/>
      <c r="W277"/>
      <c r="X277"/>
      <c r="Y277"/>
      <c r="Z277"/>
    </row>
    <row r="278" spans="3:26" ht="15.75" customHeight="1"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/>
      <c r="R278"/>
      <c r="S278"/>
      <c r="T278"/>
      <c r="U278"/>
      <c r="V278"/>
      <c r="W278"/>
      <c r="X278"/>
      <c r="Y278"/>
      <c r="Z278"/>
    </row>
    <row r="279" spans="3:26" ht="15.75" customHeight="1"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/>
      <c r="R279"/>
      <c r="S279"/>
      <c r="T279"/>
      <c r="U279"/>
      <c r="V279"/>
      <c r="W279"/>
      <c r="X279"/>
      <c r="Y279"/>
      <c r="Z279"/>
    </row>
    <row r="280" spans="3:26" ht="15.75" customHeight="1"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/>
      <c r="R280"/>
      <c r="S280"/>
      <c r="T280"/>
      <c r="U280"/>
      <c r="V280"/>
      <c r="W280"/>
      <c r="X280"/>
      <c r="Y280"/>
      <c r="Z280"/>
    </row>
    <row r="281" spans="3:26" ht="15.75" customHeight="1"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/>
      <c r="R281"/>
      <c r="S281"/>
      <c r="T281"/>
      <c r="U281"/>
      <c r="V281"/>
      <c r="W281"/>
      <c r="X281"/>
      <c r="Y281"/>
      <c r="Z281"/>
    </row>
    <row r="282" spans="3:26" ht="15.75" customHeight="1"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/>
      <c r="R282"/>
      <c r="S282"/>
      <c r="T282"/>
      <c r="U282"/>
      <c r="V282"/>
      <c r="W282"/>
      <c r="X282"/>
      <c r="Y282"/>
      <c r="Z282"/>
    </row>
    <row r="283" spans="3:26" ht="15.75" customHeight="1"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/>
      <c r="R283"/>
      <c r="S283"/>
      <c r="T283"/>
      <c r="U283"/>
      <c r="V283"/>
      <c r="W283"/>
      <c r="X283"/>
      <c r="Y283"/>
      <c r="Z283"/>
    </row>
    <row r="284" spans="3:26" ht="15.75" customHeight="1"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/>
      <c r="R284"/>
      <c r="S284"/>
      <c r="T284"/>
      <c r="U284"/>
      <c r="V284"/>
      <c r="W284"/>
      <c r="X284"/>
      <c r="Y284"/>
      <c r="Z284"/>
    </row>
    <row r="285" spans="3:26" ht="15.75" customHeight="1"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/>
      <c r="R285"/>
      <c r="S285"/>
      <c r="T285"/>
      <c r="U285"/>
      <c r="V285"/>
      <c r="W285"/>
      <c r="X285"/>
      <c r="Y285"/>
      <c r="Z285"/>
    </row>
    <row r="286" spans="3:26" ht="15.75" customHeight="1"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/>
      <c r="R286"/>
      <c r="S286"/>
      <c r="T286"/>
      <c r="U286"/>
      <c r="V286"/>
      <c r="W286"/>
      <c r="X286"/>
      <c r="Y286"/>
      <c r="Z286"/>
    </row>
    <row r="287" spans="3:26" ht="15.75" customHeight="1"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/>
      <c r="R287"/>
      <c r="S287"/>
      <c r="T287"/>
      <c r="U287"/>
      <c r="V287"/>
      <c r="W287"/>
      <c r="X287"/>
      <c r="Y287"/>
      <c r="Z287"/>
    </row>
    <row r="288" spans="3:26" ht="15.75" customHeight="1"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/>
      <c r="R288"/>
      <c r="S288"/>
      <c r="T288"/>
      <c r="U288"/>
      <c r="V288"/>
      <c r="W288"/>
      <c r="X288"/>
      <c r="Y288"/>
      <c r="Z288"/>
    </row>
    <row r="289" spans="2:26" ht="15.75" customHeight="1"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/>
      <c r="R289"/>
      <c r="S289"/>
      <c r="T289"/>
      <c r="U289"/>
      <c r="V289"/>
      <c r="W289"/>
      <c r="X289"/>
      <c r="Y289"/>
      <c r="Z289"/>
    </row>
    <row r="290" spans="2:26" ht="15.75" customHeight="1"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/>
      <c r="R290"/>
      <c r="S290"/>
      <c r="T290"/>
      <c r="U290"/>
      <c r="V290"/>
      <c r="W290"/>
      <c r="X290"/>
      <c r="Y290"/>
      <c r="Z290"/>
    </row>
    <row r="291" spans="2:26" ht="15.75" customHeight="1"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/>
      <c r="R291"/>
      <c r="S291"/>
      <c r="T291"/>
      <c r="U291"/>
      <c r="V291"/>
      <c r="W291"/>
      <c r="X291"/>
      <c r="Y291"/>
      <c r="Z291"/>
    </row>
    <row r="292" spans="2:26" ht="15.75" customHeight="1"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/>
      <c r="R292"/>
      <c r="S292"/>
      <c r="T292"/>
      <c r="U292"/>
      <c r="V292"/>
      <c r="W292"/>
      <c r="X292"/>
      <c r="Y292"/>
      <c r="Z292"/>
    </row>
    <row r="293" spans="2:26" ht="15.75" customHeight="1"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/>
      <c r="R293"/>
      <c r="S293"/>
      <c r="T293"/>
      <c r="U293"/>
      <c r="V293"/>
      <c r="W293"/>
      <c r="X293"/>
      <c r="Y293"/>
      <c r="Z293"/>
    </row>
    <row r="294" spans="2:26" ht="15.75" customHeight="1"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/>
      <c r="R294"/>
      <c r="S294"/>
      <c r="T294"/>
      <c r="U294"/>
      <c r="V294"/>
      <c r="W294"/>
      <c r="X294"/>
      <c r="Y294"/>
      <c r="Z294"/>
    </row>
    <row r="295" spans="2:26" ht="15.75" customHeight="1"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/>
      <c r="R295"/>
      <c r="S295"/>
      <c r="T295"/>
      <c r="U295"/>
      <c r="V295"/>
      <c r="W295"/>
      <c r="X295"/>
      <c r="Y295"/>
      <c r="Z295"/>
    </row>
    <row r="296" spans="2:26" ht="15.75" customHeight="1"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/>
      <c r="R296"/>
      <c r="S296"/>
      <c r="T296"/>
      <c r="U296"/>
      <c r="V296"/>
      <c r="W296"/>
      <c r="X296"/>
      <c r="Y296"/>
      <c r="Z296"/>
    </row>
    <row r="297" spans="2:26" ht="15.75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2:26" ht="15.75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2:26" ht="15.75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2:26" ht="15.75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2:26" ht="15.75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2:26" ht="15.75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</sheetData>
  <mergeCells count="2">
    <mergeCell ref="C7:D8"/>
    <mergeCell ref="M12:N12"/>
  </mergeCells>
  <conditionalFormatting sqref="E18:U33">
    <cfRule type="expression" dxfId="54" priority="34">
      <formula>E$5="ACTUAL"</formula>
    </cfRule>
  </conditionalFormatting>
  <conditionalFormatting sqref="E40:U50">
    <cfRule type="expression" dxfId="53" priority="33">
      <formula>E$5="ACTUAL"</formula>
    </cfRule>
  </conditionalFormatting>
  <conditionalFormatting sqref="E57:U60">
    <cfRule type="expression" dxfId="52" priority="32">
      <formula>E$5="ACTUAL"</formula>
    </cfRule>
  </conditionalFormatting>
  <conditionalFormatting sqref="E67:U111">
    <cfRule type="expression" dxfId="51" priority="30">
      <formula>E$5="ACTUAL"</formula>
    </cfRule>
  </conditionalFormatting>
  <conditionalFormatting sqref="E117:U124">
    <cfRule type="expression" dxfId="50" priority="28">
      <formula>E$5="ACTUAL"</formula>
    </cfRule>
  </conditionalFormatting>
  <conditionalFormatting sqref="E131:U142">
    <cfRule type="expression" dxfId="49" priority="20">
      <formula>E$5="ACTUAL"</formula>
    </cfRule>
  </conditionalFormatting>
  <conditionalFormatting sqref="E144:U155">
    <cfRule type="expression" dxfId="48" priority="19">
      <formula>E$5="ACTUAL"</formula>
    </cfRule>
  </conditionalFormatting>
  <conditionalFormatting sqref="E162:U164">
    <cfRule type="expression" dxfId="47" priority="13">
      <formula>E$5="ACTUAL"</formula>
    </cfRule>
  </conditionalFormatting>
  <conditionalFormatting sqref="E171:U174">
    <cfRule type="expression" dxfId="46" priority="11">
      <formula>E$5="ACTUAL"</formula>
    </cfRule>
  </conditionalFormatting>
  <conditionalFormatting sqref="E181:U188">
    <cfRule type="expression" dxfId="45" priority="9">
      <formula>E$5="ACTUAL"</formula>
    </cfRule>
  </conditionalFormatting>
  <conditionalFormatting sqref="E199:U208">
    <cfRule type="expression" dxfId="44" priority="6">
      <formula>E$5="ACTUAL"</formula>
    </cfRule>
  </conditionalFormatting>
  <conditionalFormatting sqref="E215:U223">
    <cfRule type="expression" dxfId="43" priority="3">
      <formula>E$5="ACTUAL"</formula>
    </cfRule>
  </conditionalFormatting>
  <conditionalFormatting sqref="F57:P57">
    <cfRule type="expression" dxfId="42" priority="40">
      <formula>F$5="ACTUAL"</formula>
    </cfRule>
  </conditionalFormatting>
  <conditionalFormatting sqref="F67:P67">
    <cfRule type="expression" dxfId="41" priority="37">
      <formula>F$5="ACTUAL"</formula>
    </cfRule>
  </conditionalFormatting>
  <conditionalFormatting sqref="F117:P117">
    <cfRule type="expression" dxfId="40" priority="38">
      <formula>F$5="ACTUAL"</formula>
    </cfRule>
  </conditionalFormatting>
  <conditionalFormatting sqref="F131:P132">
    <cfRule type="expression" dxfId="39" priority="57">
      <formula>F$5="ACTUAL"</formula>
    </cfRule>
  </conditionalFormatting>
  <conditionalFormatting sqref="F144:P144 F146:P146">
    <cfRule type="expression" dxfId="38" priority="56">
      <formula>F$5="ACTUAL"</formula>
    </cfRule>
  </conditionalFormatting>
  <conditionalFormatting sqref="F162:P162">
    <cfRule type="expression" dxfId="37" priority="54">
      <formula>F$5="ACTUAL"</formula>
    </cfRule>
  </conditionalFormatting>
  <conditionalFormatting sqref="F171:P171">
    <cfRule type="expression" dxfId="36" priority="51">
      <formula>F$5="ACTUAL"</formula>
    </cfRule>
  </conditionalFormatting>
  <conditionalFormatting sqref="F199:P199">
    <cfRule type="expression" dxfId="35" priority="48">
      <formula>F$5="ACTUAL"</formula>
    </cfRule>
  </conditionalFormatting>
  <conditionalFormatting sqref="F215:P215">
    <cfRule type="expression" dxfId="34" priority="45">
      <formula>F$5="ACTUAL"</formula>
    </cfRule>
  </conditionalFormatting>
  <conditionalFormatting sqref="H189:P193">
    <cfRule type="expression" dxfId="33" priority="44">
      <formula>H$5="ACTUAL"</formula>
    </cfRule>
  </conditionalFormatting>
  <conditionalFormatting sqref="L13">
    <cfRule type="cellIs" dxfId="32" priority="93" operator="equal">
      <formula>"Open"</formula>
    </cfRule>
    <cfRule type="cellIs" dxfId="31" priority="94" operator="equal">
      <formula>"Closed"</formula>
    </cfRule>
  </conditionalFormatting>
  <conditionalFormatting sqref="R199:U199">
    <cfRule type="expression" dxfId="30" priority="7">
      <formula>R$5="ACTUAL"</formula>
    </cfRule>
  </conditionalFormatting>
  <dataValidations count="1">
    <dataValidation type="list" errorStyle="information" allowBlank="1" showInputMessage="1" sqref="F5:P5" xr:uid="{B707C55B-7E45-4E2B-9BCB-32AE4410BA0E}">
      <formula1>cafe_validation_temp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8824-364E-48B1-8C06-51AC7BA20691}">
  <sheetPr codeName="Planilha3"/>
  <dimension ref="A1:X84"/>
  <sheetViews>
    <sheetView showGridLines="0" topLeftCell="A6" zoomScaleNormal="100" workbookViewId="0">
      <selection activeCell="L6" sqref="L6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CONS_VC_PRD:STG.100.DataBase_Uploads:1238482367706353290</v>
      </c>
      <c r="C1" s="29" t="str">
        <f>_xll.VIEW("CONS_VC_PRD:ALL.015.Region_Assumptions")</f>
        <v>CONS_VC_PRD:ALL.015.Region_Assumptions:1238482367-623053554</v>
      </c>
      <c r="D1" s="29" t="str">
        <f>_xll.VIEW("CONS_VC_PRD:DFS.120.Financial_Results")</f>
        <v>CONS_VC_PRD:DFS.120.Financial_Results:123848236773519470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CONS_VC_PRD:REV.100.Revenue_Consolidated:12384823671191647563</v>
      </c>
      <c r="C2" s="29" t="str">
        <f>_xll.VIEW("CONS_VC_PRD:ALL.010.Economic_Assumptions")</f>
        <v>CONS_VC_PRD:ALL.010.Economic_Assumptions:1238482367-1999215955</v>
      </c>
      <c r="D2" s="29" t="str">
        <f>_xll.VIEW("CONS_VC_PRD:DFS.140.Indirect_Cash_Flow")</f>
        <v>CONS_VC_PRD:DFS.140.Indirect_Cash_Flow:1238482367-224370523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CONS_VC_PRD:DFS.100.Profit_and_Loss:12384823671955539452</v>
      </c>
      <c r="C3" s="29" t="str">
        <f>_xll.VIEW("CONS_VC_PRD:DFS.160.Working_Capital")</f>
        <v>CONS_VC_PRD:DFS.160.Working_Capital:1238482367-111416978</v>
      </c>
      <c r="D3" s="29" t="str">
        <f>_xll.VIEW("CONS_VC_PRD:ALL.004.Uploads_Status_Planning")</f>
        <v>CONS_VC_PRD:ALL.004.Uploads_Status_Planning:1238482367116721433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CONS_VC_PRD:ALL.001.Actual_Control:1238482367-1891813795</v>
      </c>
      <c r="C4" s="29" t="str">
        <f>_xll.VIEW("CONS_VC_PRD:DFS.180.Gross_Debt")</f>
        <v>CONS_VC_PRD:DFS.180.Gross_Debt:1238482367110538733</v>
      </c>
      <c r="D4" s="29" t="str">
        <f>_xll.VIEW("CONS_VC_PRD:}ElementAttributes_ALL.D.Accounts")</f>
        <v>CONS_VC_PRD:}ElementAttributes_ALL.D.Accounts:12384823671767311839</v>
      </c>
    </row>
    <row r="5" spans="1:19" s="29" customFormat="1" ht="30" hidden="1" customHeight="1">
      <c r="A5" s="66"/>
      <c r="C5" t="str">
        <f>_xll.DBRW(Input_Prod_01!$B$4,Input_Prod_01!$G$11,Input_Prod_01!C14,$M$1,$G$3)</f>
        <v>ACTUAL</v>
      </c>
      <c r="D5" t="str">
        <f>_xll.DBRW(Input_Prod_01!$B$4,Input_Prod_01!$G$11,Input_Prod_01!D14,$M$1,$G$3)</f>
        <v/>
      </c>
      <c r="E5" t="str">
        <f>_xll.DBRW(Input_Prod_01!$B$4,Input_Prod_01!$G$11,Input_Prod_01!E14,$M$1,$G$3)</f>
        <v/>
      </c>
      <c r="F5" t="str">
        <f>_xll.DBRW(Input_Prod_01!$B$4,Input_Prod_01!$G$11,Input_Prod_01!F14,$M$1,$G$3)</f>
        <v/>
      </c>
      <c r="G5" t="str">
        <f>_xll.DBRW(Input_Prod_01!$B$4,Input_Prod_01!$G$11,Input_Prod_01!G14,$M$1,$G$3)</f>
        <v/>
      </c>
      <c r="H5" t="str">
        <f>_xll.DBRW(Input_Prod_01!$B$4,Input_Prod_01!$G$11,Input_Prod_01!H14,$M$1,$G$3)</f>
        <v/>
      </c>
      <c r="I5" t="str">
        <f>_xll.DBRW(Input_Prod_01!$B$4,Input_Prod_01!$G$11,Input_Prod_01!I14,$M$1,$G$3)</f>
        <v/>
      </c>
      <c r="J5" t="str">
        <f>_xll.DBRW(Input_Prod_01!$B$4,Input_Prod_01!$G$11,Input_Prod_01!J14,$M$1,$G$3)</f>
        <v/>
      </c>
      <c r="K5" t="str">
        <f>_xll.DBRW(Input_Prod_01!$B$4,Input_Prod_01!$G$11,Input_Prod_01!K14,$M$1,$G$3)</f>
        <v/>
      </c>
      <c r="L5" t="str">
        <f>_xll.DBRW(Input_Prod_01!$B$4,Input_Prod_01!$G$11,Input_Prod_01!L14,$M$1,$G$3)</f>
        <v/>
      </c>
      <c r="M5" t="str">
        <f>_xll.DBRW(Input_Prod_01!$B$4,Input_Prod_01!$G$11,Input_Prod_01!M14,$M$1,$G$3)</f>
        <v/>
      </c>
      <c r="N5" t="str">
        <f>_xll.DBRW(Input_Prod_01!$B$4,Input_Prod_01!$G$11,Input_Prod_01!N14,$M$1,$G$3)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9" s="29" customFormat="1" ht="15.6" customHeight="1">
      <c r="A10" s="66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s="29" customFormat="1" ht="21.6" customHeight="1">
      <c r="A11" s="66"/>
      <c r="B11" s="91"/>
      <c r="C11" s="104" t="str">
        <f>Cons_Region!$C$12</f>
        <v>VCBR</v>
      </c>
      <c r="D11" s="104"/>
      <c r="E11" s="99"/>
      <c r="F11" s="100"/>
      <c r="G11" s="101" t="str">
        <f>Cons_Region!$F$12</f>
        <v>2026</v>
      </c>
      <c r="H11" s="100"/>
      <c r="I11" s="101" t="str">
        <f>Cons_Region!$H$12</f>
        <v>BRL</v>
      </c>
      <c r="J11" s="102"/>
      <c r="K11" s="103" t="s">
        <v>523</v>
      </c>
      <c r="L11" s="101" t="str">
        <f>_xll.DBRW($D$3,$M$1,$C$11,"Financial_Planning","Status")</f>
        <v>Open</v>
      </c>
      <c r="M11" s="92"/>
      <c r="N11" s="90"/>
      <c r="O11" s="90"/>
      <c r="P11" s="90"/>
      <c r="Q11" s="90"/>
      <c r="R11" s="90"/>
      <c r="S11" s="90"/>
    </row>
    <row r="12" spans="1:19" s="29" customFormat="1" ht="14.4" customHeight="1">
      <c r="A12" s="66"/>
      <c r="B12" s="93"/>
      <c r="C12" s="94"/>
      <c r="D12" s="93"/>
      <c r="E12" s="93"/>
      <c r="F12" s="94"/>
      <c r="G12" s="93"/>
      <c r="H12" s="93"/>
      <c r="I12" s="94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spans="1:19" s="29" customFormat="1" ht="14.4" customHeight="1">
      <c r="A13" s="66"/>
      <c r="B13" s="86"/>
      <c r="C13" s="87"/>
      <c r="D13" s="88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97">
        <f>$G$11+1</f>
        <v>2027</v>
      </c>
      <c r="P13" s="98">
        <f>$G$11+2</f>
        <v>2028</v>
      </c>
      <c r="Q13" s="98">
        <f>$G$11+3</f>
        <v>2029</v>
      </c>
      <c r="R13" s="98">
        <f>$G$11+4</f>
        <v>2030</v>
      </c>
      <c r="S13" s="98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_xll.DBRW($C$2,Input_Prod_01!$G$11,Input_Prod_01!$C$14,$M$1,$B16,$K$1)</f>
        <v>0</v>
      </c>
      <c r="D16" s="40">
        <f>_xll.DBRW($C$2,Input_Prod_01!$G$11,Input_Prod_01!$C$14,$M$1,$B16,$K$1)</f>
        <v>0</v>
      </c>
      <c r="E16" s="40">
        <f>_xll.DBRW($C$2,Input_Prod_01!$G$11,Input_Prod_01!$C$14,$M$1,$B16,$K$1)</f>
        <v>0</v>
      </c>
      <c r="F16" s="40">
        <f>_xll.DBRW($C$2,Input_Prod_01!$G$11,Input_Prod_01!$C$14,$M$1,$B16,$K$1)</f>
        <v>0</v>
      </c>
      <c r="G16" s="40">
        <f>_xll.DBRW($C$2,Input_Prod_01!$G$11,Input_Prod_01!$C$14,$M$1,$B16,$K$1)</f>
        <v>0</v>
      </c>
      <c r="H16" s="40">
        <f>_xll.DBRW($C$2,Input_Prod_01!$G$11,Input_Prod_01!$C$14,$M$1,$B16,$K$1)</f>
        <v>0</v>
      </c>
      <c r="I16" s="40">
        <f>_xll.DBRW($C$2,Input_Prod_01!$G$11,Input_Prod_01!$C$14,$M$1,$B16,$K$1)</f>
        <v>0</v>
      </c>
      <c r="J16" s="40">
        <f>_xll.DBRW($C$2,Input_Prod_01!$G$11,Input_Prod_01!$C$14,$M$1,$B16,$K$1)</f>
        <v>0</v>
      </c>
      <c r="K16" s="40">
        <f>_xll.DBRW($C$2,Input_Prod_01!$G$11,Input_Prod_01!$C$14,$M$1,$B16,$K$1)</f>
        <v>0</v>
      </c>
      <c r="L16" s="40">
        <f>_xll.DBRW($C$2,Input_Prod_01!$G$11,Input_Prod_01!$C$14,$M$1,$B16,$K$1)</f>
        <v>0</v>
      </c>
      <c r="M16" s="40">
        <f>_xll.DBRW($C$2,Input_Prod_01!$G$11,Input_Prod_01!$C$14,$M$1,$B16,$K$1)</f>
        <v>0</v>
      </c>
      <c r="N16" s="40">
        <f>_xll.DBRW($C$2,Input_Prod_01!$G$11,Input_Prod_01!$C$14,$M$1,$B16,$K$1)</f>
        <v>0</v>
      </c>
      <c r="O16" s="40">
        <f>_xll.DBRW($C$2,O$13,$O$15,$M$1,$B16,$K$1)</f>
        <v>0</v>
      </c>
      <c r="P16" s="40">
        <f>_xll.DBRW($C$2,P$13,$O$15,$M$1,$B16,$K$1)</f>
        <v>0</v>
      </c>
      <c r="Q16" s="40">
        <f>_xll.DBRW($C$2,Q$13,$O$15,$M$1,$B16,$K$1)</f>
        <v>0</v>
      </c>
      <c r="R16" s="40">
        <f>_xll.DBRW($C$2,R$13,$O$15,$M$1,$B16,$K$1)</f>
        <v>0</v>
      </c>
      <c r="S16" s="40">
        <f>_xll.DBRW($C$2,S$13,$O$15,$M$1,$B16,$K$1)</f>
        <v>0</v>
      </c>
    </row>
    <row r="17" spans="1:19" s="29" customFormat="1" ht="15.75" customHeight="1">
      <c r="A17" s="66"/>
      <c r="B17" s="45" t="s">
        <v>1</v>
      </c>
      <c r="C17" s="40">
        <f>_xll.DBRW($C$2,Input_Prod_01!$G$11,Input_Prod_01!$C$14,$M$1,$B17,$K$1)</f>
        <v>0</v>
      </c>
      <c r="D17" s="40">
        <f>_xll.DBRW($C$2,Input_Prod_01!$G$11,Input_Prod_01!$C$14,$M$1,$B17,$K$1)</f>
        <v>0</v>
      </c>
      <c r="E17" s="40">
        <f>_xll.DBRW($C$2,Input_Prod_01!$G$11,Input_Prod_01!$C$14,$M$1,$B17,$K$1)</f>
        <v>0</v>
      </c>
      <c r="F17" s="40">
        <f>_xll.DBRW($C$2,Input_Prod_01!$G$11,Input_Prod_01!$C$14,$M$1,$B17,$K$1)</f>
        <v>0</v>
      </c>
      <c r="G17" s="40">
        <f>_xll.DBRW($C$2,Input_Prod_01!$G$11,Input_Prod_01!$C$14,$M$1,$B17,$K$1)</f>
        <v>0</v>
      </c>
      <c r="H17" s="40">
        <f>_xll.DBRW($C$2,Input_Prod_01!$G$11,Input_Prod_01!$C$14,$M$1,$B17,$K$1)</f>
        <v>0</v>
      </c>
      <c r="I17" s="40">
        <f>_xll.DBRW($C$2,Input_Prod_01!$G$11,Input_Prod_01!$C$14,$M$1,$B17,$K$1)</f>
        <v>0</v>
      </c>
      <c r="J17" s="40">
        <f>_xll.DBRW($C$2,Input_Prod_01!$G$11,Input_Prod_01!$C$14,$M$1,$B17,$K$1)</f>
        <v>0</v>
      </c>
      <c r="K17" s="40">
        <f>_xll.DBRW($C$2,Input_Prod_01!$G$11,Input_Prod_01!$C$14,$M$1,$B17,$K$1)</f>
        <v>0</v>
      </c>
      <c r="L17" s="40">
        <f>_xll.DBRW($C$2,Input_Prod_01!$G$11,Input_Prod_01!$C$14,$M$1,$B17,$K$1)</f>
        <v>0</v>
      </c>
      <c r="M17" s="40">
        <f>_xll.DBRW($C$2,Input_Prod_01!$G$11,Input_Prod_01!$C$14,$M$1,$B17,$K$1)</f>
        <v>0</v>
      </c>
      <c r="N17" s="40">
        <f>_xll.DBRW($C$2,Input_Prod_01!$G$11,Input_Prod_01!$C$14,$M$1,$B17,$K$1)</f>
        <v>0</v>
      </c>
      <c r="O17" s="40">
        <f>_xll.DBRW($C$2,O$13,$O$15,$M$1,$B17,$K$1)</f>
        <v>0</v>
      </c>
      <c r="P17" s="40">
        <f>_xll.DBRW($C$2,P$13,$O$15,$M$1,$B17,$K$1)</f>
        <v>0</v>
      </c>
      <c r="Q17" s="40">
        <f>_xll.DBRW($C$2,Q$13,$O$15,$M$1,$B17,$K$1)</f>
        <v>0</v>
      </c>
      <c r="R17" s="40">
        <f>_xll.DBRW($C$2,R$13,$O$15,$M$1,$B17,$K$1)</f>
        <v>0</v>
      </c>
      <c r="S17" s="40">
        <f>_xll.DBRW($C$2,S$13,$O$15,$M$1,$B17,$K$1)</f>
        <v>0</v>
      </c>
    </row>
    <row r="18" spans="1:19" s="29" customFormat="1" ht="15.75" customHeight="1">
      <c r="A18" s="66"/>
      <c r="B18" s="45" t="s">
        <v>2</v>
      </c>
      <c r="C18" s="40">
        <f>_xll.DBRW($C$2,Input_Prod_01!$G$11,Input_Prod_01!$C$14,$M$1,$B18,$K$1)</f>
        <v>0</v>
      </c>
      <c r="D18" s="40">
        <f>_xll.DBRW($C$2,Input_Prod_01!$G$11,Input_Prod_01!$C$14,$M$1,$B18,$K$1)</f>
        <v>0</v>
      </c>
      <c r="E18" s="40">
        <f>_xll.DBRW($C$2,Input_Prod_01!$G$11,Input_Prod_01!$C$14,$M$1,$B18,$K$1)</f>
        <v>0</v>
      </c>
      <c r="F18" s="40">
        <f>_xll.DBRW($C$2,Input_Prod_01!$G$11,Input_Prod_01!$C$14,$M$1,$B18,$K$1)</f>
        <v>0</v>
      </c>
      <c r="G18" s="40">
        <f>_xll.DBRW($C$2,Input_Prod_01!$G$11,Input_Prod_01!$C$14,$M$1,$B18,$K$1)</f>
        <v>0</v>
      </c>
      <c r="H18" s="40">
        <f>_xll.DBRW($C$2,Input_Prod_01!$G$11,Input_Prod_01!$C$14,$M$1,$B18,$K$1)</f>
        <v>0</v>
      </c>
      <c r="I18" s="40">
        <f>_xll.DBRW($C$2,Input_Prod_01!$G$11,Input_Prod_01!$C$14,$M$1,$B18,$K$1)</f>
        <v>0</v>
      </c>
      <c r="J18" s="40">
        <f>_xll.DBRW($C$2,Input_Prod_01!$G$11,Input_Prod_01!$C$14,$M$1,$B18,$K$1)</f>
        <v>0</v>
      </c>
      <c r="K18" s="40">
        <f>_xll.DBRW($C$2,Input_Prod_01!$G$11,Input_Prod_01!$C$14,$M$1,$B18,$K$1)</f>
        <v>0</v>
      </c>
      <c r="L18" s="40">
        <f>_xll.DBRW($C$2,Input_Prod_01!$G$11,Input_Prod_01!$C$14,$M$1,$B18,$K$1)</f>
        <v>0</v>
      </c>
      <c r="M18" s="40">
        <f>_xll.DBRW($C$2,Input_Prod_01!$G$11,Input_Prod_01!$C$14,$M$1,$B18,$K$1)</f>
        <v>0</v>
      </c>
      <c r="N18" s="40">
        <f>_xll.DBRW($C$2,Input_Prod_01!$G$11,Input_Prod_01!$C$14,$M$1,$B18,$K$1)</f>
        <v>0</v>
      </c>
      <c r="O18" s="40">
        <f>_xll.DBRW($C$2,O$13,$O$15,$M$1,$B18,$K$1)</f>
        <v>0</v>
      </c>
      <c r="P18" s="40">
        <f>_xll.DBRW($C$2,P$13,$O$15,$M$1,$B18,$K$1)</f>
        <v>0</v>
      </c>
      <c r="Q18" s="40">
        <f>_xll.DBRW($C$2,Q$13,$O$15,$M$1,$B18,$K$1)</f>
        <v>0</v>
      </c>
      <c r="R18" s="40">
        <f>_xll.DBRW($C$2,R$13,$O$15,$M$1,$B18,$K$1)</f>
        <v>0</v>
      </c>
      <c r="S18" s="40">
        <f>_xll.DBRW($C$2,S$13,$O$15,$M$1,$B18,$K$1)</f>
        <v>0</v>
      </c>
    </row>
    <row r="19" spans="1:19" s="29" customFormat="1" ht="15.75" customHeight="1">
      <c r="A19" s="66"/>
      <c r="B19" s="45" t="s">
        <v>3</v>
      </c>
      <c r="C19" s="40">
        <f>_xll.DBRW($C$2,Input_Prod_01!$G$11,Input_Prod_01!$C$14,$M$1,$B19,$K$1)</f>
        <v>0</v>
      </c>
      <c r="D19" s="40">
        <f>_xll.DBRW($C$2,Input_Prod_01!$G$11,Input_Prod_01!$C$14,$M$1,$B19,$K$1)</f>
        <v>0</v>
      </c>
      <c r="E19" s="40">
        <f>_xll.DBRW($C$2,Input_Prod_01!$G$11,Input_Prod_01!$C$14,$M$1,$B19,$K$1)</f>
        <v>0</v>
      </c>
      <c r="F19" s="40">
        <f>_xll.DBRW($C$2,Input_Prod_01!$G$11,Input_Prod_01!$C$14,$M$1,$B19,$K$1)</f>
        <v>0</v>
      </c>
      <c r="G19" s="40">
        <f>_xll.DBRW($C$2,Input_Prod_01!$G$11,Input_Prod_01!$C$14,$M$1,$B19,$K$1)</f>
        <v>0</v>
      </c>
      <c r="H19" s="40">
        <f>_xll.DBRW($C$2,Input_Prod_01!$G$11,Input_Prod_01!$C$14,$M$1,$B19,$K$1)</f>
        <v>0</v>
      </c>
      <c r="I19" s="40">
        <f>_xll.DBRW($C$2,Input_Prod_01!$G$11,Input_Prod_01!$C$14,$M$1,$B19,$K$1)</f>
        <v>0</v>
      </c>
      <c r="J19" s="40">
        <f>_xll.DBRW($C$2,Input_Prod_01!$G$11,Input_Prod_01!$C$14,$M$1,$B19,$K$1)</f>
        <v>0</v>
      </c>
      <c r="K19" s="40">
        <f>_xll.DBRW($C$2,Input_Prod_01!$G$11,Input_Prod_01!$C$14,$M$1,$B19,$K$1)</f>
        <v>0</v>
      </c>
      <c r="L19" s="40">
        <f>_xll.DBRW($C$2,Input_Prod_01!$G$11,Input_Prod_01!$C$14,$M$1,$B19,$K$1)</f>
        <v>0</v>
      </c>
      <c r="M19" s="40">
        <f>_xll.DBRW($C$2,Input_Prod_01!$G$11,Input_Prod_01!$C$14,$M$1,$B19,$K$1)</f>
        <v>0</v>
      </c>
      <c r="N19" s="40">
        <f>_xll.DBRW($C$2,Input_Prod_01!$G$11,Input_Prod_01!$C$14,$M$1,$B19,$K$1)</f>
        <v>0</v>
      </c>
      <c r="O19" s="40">
        <f>_xll.DBRW($C$2,O$13,$O$15,$M$1,$B19,$K$1)</f>
        <v>0</v>
      </c>
      <c r="P19" s="40">
        <f>_xll.DBRW($C$2,P$13,$O$15,$M$1,$B19,$K$1)</f>
        <v>0</v>
      </c>
      <c r="Q19" s="40">
        <f>_xll.DBRW($C$2,Q$13,$O$15,$M$1,$B19,$K$1)</f>
        <v>0</v>
      </c>
      <c r="R19" s="40">
        <f>_xll.DBRW($C$2,R$13,$O$15,$M$1,$B19,$K$1)</f>
        <v>0</v>
      </c>
      <c r="S19" s="40">
        <f>_xll.DBRW($C$2,S$13,$O$15,$M$1,$B19,$K$1)</f>
        <v>0</v>
      </c>
    </row>
    <row r="20" spans="1:19" s="29" customFormat="1" ht="15.75" customHeight="1">
      <c r="A20" s="66"/>
      <c r="B20" s="45" t="s">
        <v>4</v>
      </c>
      <c r="C20" s="40">
        <f>_xll.DBRW($C$2,Input_Prod_01!$G$11,Input_Prod_01!$C$14,$M$1,$B20,$K$1)</f>
        <v>5</v>
      </c>
      <c r="D20" s="40">
        <f>_xll.DBRW($C$2,Input_Prod_01!$G$11,Input_Prod_01!$C$14,$M$1,$B20,$K$1)</f>
        <v>5</v>
      </c>
      <c r="E20" s="40">
        <f>_xll.DBRW($C$2,Input_Prod_01!$G$11,Input_Prod_01!$C$14,$M$1,$B20,$K$1)</f>
        <v>5</v>
      </c>
      <c r="F20" s="40">
        <f>_xll.DBRW($C$2,Input_Prod_01!$G$11,Input_Prod_01!$C$14,$M$1,$B20,$K$1)</f>
        <v>5</v>
      </c>
      <c r="G20" s="40">
        <f>_xll.DBRW($C$2,Input_Prod_01!$G$11,Input_Prod_01!$C$14,$M$1,$B20,$K$1)</f>
        <v>5</v>
      </c>
      <c r="H20" s="40">
        <f>_xll.DBRW($C$2,Input_Prod_01!$G$11,Input_Prod_01!$C$14,$M$1,$B20,$K$1)</f>
        <v>5</v>
      </c>
      <c r="I20" s="40">
        <f>_xll.DBRW($C$2,Input_Prod_01!$G$11,Input_Prod_01!$C$14,$M$1,$B20,$K$1)</f>
        <v>5</v>
      </c>
      <c r="J20" s="40">
        <f>_xll.DBRW($C$2,Input_Prod_01!$G$11,Input_Prod_01!$C$14,$M$1,$B20,$K$1)</f>
        <v>5</v>
      </c>
      <c r="K20" s="40">
        <f>_xll.DBRW($C$2,Input_Prod_01!$G$11,Input_Prod_01!$C$14,$M$1,$B20,$K$1)</f>
        <v>5</v>
      </c>
      <c r="L20" s="40">
        <f>_xll.DBRW($C$2,Input_Prod_01!$G$11,Input_Prod_01!$C$14,$M$1,$B20,$K$1)</f>
        <v>5</v>
      </c>
      <c r="M20" s="40">
        <f>_xll.DBRW($C$2,Input_Prod_01!$G$11,Input_Prod_01!$C$14,$M$1,$B20,$K$1)</f>
        <v>5</v>
      </c>
      <c r="N20" s="40">
        <f>_xll.DBRW($C$2,Input_Prod_01!$G$11,Input_Prod_01!$C$14,$M$1,$B20,$K$1)</f>
        <v>5</v>
      </c>
      <c r="O20" s="40">
        <f>_xll.DBRW($C$2,O$13,$O$15,$M$1,$B20,$K$1)</f>
        <v>0</v>
      </c>
      <c r="P20" s="40">
        <f>_xll.DBRW($C$2,P$13,$O$15,$M$1,$B20,$K$1)</f>
        <v>0</v>
      </c>
      <c r="Q20" s="40">
        <f>_xll.DBRW($C$2,Q$13,$O$15,$M$1,$B20,$K$1)</f>
        <v>0</v>
      </c>
      <c r="R20" s="40">
        <f>_xll.DBRW($C$2,R$13,$O$15,$M$1,$B20,$K$1)</f>
        <v>0</v>
      </c>
      <c r="S20" s="40">
        <f>_xll.DBRW($C$2,S$13,$O$15,$M$1,$B20,$K$1)</f>
        <v>0</v>
      </c>
    </row>
    <row r="21" spans="1:19" s="29" customFormat="1" ht="15.75" customHeight="1">
      <c r="A21" s="66"/>
      <c r="B21" s="45" t="s">
        <v>5</v>
      </c>
      <c r="C21" s="40">
        <f>_xll.DBRW($C$2,Input_Prod_01!$G$11,Input_Prod_01!$C$14,$M$1,$B21,$K$1)</f>
        <v>0</v>
      </c>
      <c r="D21" s="40">
        <f>_xll.DBRW($C$2,Input_Prod_01!$G$11,Input_Prod_01!$C$14,$M$1,$B21,$K$1)</f>
        <v>0</v>
      </c>
      <c r="E21" s="40">
        <f>_xll.DBRW($C$2,Input_Prod_01!$G$11,Input_Prod_01!$C$14,$M$1,$B21,$K$1)</f>
        <v>0</v>
      </c>
      <c r="F21" s="40">
        <f>_xll.DBRW($C$2,Input_Prod_01!$G$11,Input_Prod_01!$C$14,$M$1,$B21,$K$1)</f>
        <v>0</v>
      </c>
      <c r="G21" s="40">
        <f>_xll.DBRW($C$2,Input_Prod_01!$G$11,Input_Prod_01!$C$14,$M$1,$B21,$K$1)</f>
        <v>0</v>
      </c>
      <c r="H21" s="40">
        <f>_xll.DBRW($C$2,Input_Prod_01!$G$11,Input_Prod_01!$C$14,$M$1,$B21,$K$1)</f>
        <v>0</v>
      </c>
      <c r="I21" s="40">
        <f>_xll.DBRW($C$2,Input_Prod_01!$G$11,Input_Prod_01!$C$14,$M$1,$B21,$K$1)</f>
        <v>0</v>
      </c>
      <c r="J21" s="40">
        <f>_xll.DBRW($C$2,Input_Prod_01!$G$11,Input_Prod_01!$C$14,$M$1,$B21,$K$1)</f>
        <v>0</v>
      </c>
      <c r="K21" s="40">
        <f>_xll.DBRW($C$2,Input_Prod_01!$G$11,Input_Prod_01!$C$14,$M$1,$B21,$K$1)</f>
        <v>0</v>
      </c>
      <c r="L21" s="40">
        <f>_xll.DBRW($C$2,Input_Prod_01!$G$11,Input_Prod_01!$C$14,$M$1,$B21,$K$1)</f>
        <v>0</v>
      </c>
      <c r="M21" s="40">
        <f>_xll.DBRW($C$2,Input_Prod_01!$G$11,Input_Prod_01!$C$14,$M$1,$B21,$K$1)</f>
        <v>0</v>
      </c>
      <c r="N21" s="40">
        <f>_xll.DBRW($C$2,Input_Prod_01!$G$11,Input_Prod_01!$C$14,$M$1,$B21,$K$1)</f>
        <v>0</v>
      </c>
      <c r="O21" s="40">
        <f>_xll.DBRW($C$2,O$13,$O$15,$M$1,$B21,$K$1)</f>
        <v>0</v>
      </c>
      <c r="P21" s="40">
        <f>_xll.DBRW($C$2,P$13,$O$15,$M$1,$B21,$K$1)</f>
        <v>0</v>
      </c>
      <c r="Q21" s="40">
        <f>_xll.DBRW($C$2,Q$13,$O$15,$M$1,$B21,$K$1)</f>
        <v>0</v>
      </c>
      <c r="R21" s="40">
        <f>_xll.DBRW($C$2,R$13,$O$15,$M$1,$B21,$K$1)</f>
        <v>0</v>
      </c>
      <c r="S21" s="40">
        <f>_xll.DBRW($C$2,S$13,$O$15,$M$1,$B21,$K$1)</f>
        <v>0</v>
      </c>
    </row>
    <row r="22" spans="1:19" s="29" customFormat="1" ht="15.75" customHeight="1">
      <c r="A22" s="66"/>
      <c r="B22" s="45" t="s">
        <v>6</v>
      </c>
      <c r="C22" s="40">
        <f>_xll.DBRW($C$2,Input_Prod_01!$G$11,Input_Prod_01!$C$14,$M$1,$B22,$K$1)</f>
        <v>0</v>
      </c>
      <c r="D22" s="40">
        <f>_xll.DBRW($C$2,Input_Prod_01!$G$11,Input_Prod_01!$C$14,$M$1,$B22,$K$1)</f>
        <v>0</v>
      </c>
      <c r="E22" s="40">
        <f>_xll.DBRW($C$2,Input_Prod_01!$G$11,Input_Prod_01!$C$14,$M$1,$B22,$K$1)</f>
        <v>0</v>
      </c>
      <c r="F22" s="40">
        <f>_xll.DBRW($C$2,Input_Prod_01!$G$11,Input_Prod_01!$C$14,$M$1,$B22,$K$1)</f>
        <v>0</v>
      </c>
      <c r="G22" s="40">
        <f>_xll.DBRW($C$2,Input_Prod_01!$G$11,Input_Prod_01!$C$14,$M$1,$B22,$K$1)</f>
        <v>0</v>
      </c>
      <c r="H22" s="40">
        <f>_xll.DBRW($C$2,Input_Prod_01!$G$11,Input_Prod_01!$C$14,$M$1,$B22,$K$1)</f>
        <v>0</v>
      </c>
      <c r="I22" s="40">
        <f>_xll.DBRW($C$2,Input_Prod_01!$G$11,Input_Prod_01!$C$14,$M$1,$B22,$K$1)</f>
        <v>0</v>
      </c>
      <c r="J22" s="40">
        <f>_xll.DBRW($C$2,Input_Prod_01!$G$11,Input_Prod_01!$C$14,$M$1,$B22,$K$1)</f>
        <v>0</v>
      </c>
      <c r="K22" s="40">
        <f>_xll.DBRW($C$2,Input_Prod_01!$G$11,Input_Prod_01!$C$14,$M$1,$B22,$K$1)</f>
        <v>0</v>
      </c>
      <c r="L22" s="40">
        <f>_xll.DBRW($C$2,Input_Prod_01!$G$11,Input_Prod_01!$C$14,$M$1,$B22,$K$1)</f>
        <v>0</v>
      </c>
      <c r="M22" s="40">
        <f>_xll.DBRW($C$2,Input_Prod_01!$G$11,Input_Prod_01!$C$14,$M$1,$B22,$K$1)</f>
        <v>0</v>
      </c>
      <c r="N22" s="40">
        <f>_xll.DBRW($C$2,Input_Prod_01!$G$11,Input_Prod_01!$C$14,$M$1,$B22,$K$1)</f>
        <v>0</v>
      </c>
      <c r="O22" s="40">
        <f>_xll.DBRW($C$2,O$13,$O$15,$M$1,$B22,$K$1)</f>
        <v>0</v>
      </c>
      <c r="P22" s="40">
        <f>_xll.DBRW($C$2,P$13,$O$15,$M$1,$B22,$K$1)</f>
        <v>0</v>
      </c>
      <c r="Q22" s="40">
        <f>_xll.DBRW($C$2,Q$13,$O$15,$M$1,$B22,$K$1)</f>
        <v>0</v>
      </c>
      <c r="R22" s="40">
        <f>_xll.DBRW($C$2,R$13,$O$15,$M$1,$B22,$K$1)</f>
        <v>0</v>
      </c>
      <c r="S22" s="40">
        <f>_xll.DBRW($C$2,S$13,$O$15,$M$1,$B22,$K$1)</f>
        <v>0</v>
      </c>
    </row>
    <row r="23" spans="1:19" s="29" customFormat="1" ht="15.75" customHeight="1">
      <c r="A23" s="66"/>
      <c r="B23" s="45" t="s">
        <v>7</v>
      </c>
      <c r="C23" s="40">
        <f>_xll.DBRW($C$2,Input_Prod_01!$G$11,Input_Prod_01!$C$14,$M$1,$B23,$K$1)</f>
        <v>0</v>
      </c>
      <c r="D23" s="40">
        <f>_xll.DBRW($C$2,Input_Prod_01!$G$11,Input_Prod_01!$C$14,$M$1,$B23,$K$1)</f>
        <v>0</v>
      </c>
      <c r="E23" s="40">
        <f>_xll.DBRW($C$2,Input_Prod_01!$G$11,Input_Prod_01!$C$14,$M$1,$B23,$K$1)</f>
        <v>0</v>
      </c>
      <c r="F23" s="40">
        <f>_xll.DBRW($C$2,Input_Prod_01!$G$11,Input_Prod_01!$C$14,$M$1,$B23,$K$1)</f>
        <v>0</v>
      </c>
      <c r="G23" s="40">
        <f>_xll.DBRW($C$2,Input_Prod_01!$G$11,Input_Prod_01!$C$14,$M$1,$B23,$K$1)</f>
        <v>0</v>
      </c>
      <c r="H23" s="40">
        <f>_xll.DBRW($C$2,Input_Prod_01!$G$11,Input_Prod_01!$C$14,$M$1,$B23,$K$1)</f>
        <v>0</v>
      </c>
      <c r="I23" s="40">
        <f>_xll.DBRW($C$2,Input_Prod_01!$G$11,Input_Prod_01!$C$14,$M$1,$B23,$K$1)</f>
        <v>0</v>
      </c>
      <c r="J23" s="40">
        <f>_xll.DBRW($C$2,Input_Prod_01!$G$11,Input_Prod_01!$C$14,$M$1,$B23,$K$1)</f>
        <v>0</v>
      </c>
      <c r="K23" s="40">
        <f>_xll.DBRW($C$2,Input_Prod_01!$G$11,Input_Prod_01!$C$14,$M$1,$B23,$K$1)</f>
        <v>0</v>
      </c>
      <c r="L23" s="40">
        <f>_xll.DBRW($C$2,Input_Prod_01!$G$11,Input_Prod_01!$C$14,$M$1,$B23,$K$1)</f>
        <v>0</v>
      </c>
      <c r="M23" s="40">
        <f>_xll.DBRW($C$2,Input_Prod_01!$G$11,Input_Prod_01!$C$14,$M$1,$B23,$K$1)</f>
        <v>0</v>
      </c>
      <c r="N23" s="40">
        <f>_xll.DBRW($C$2,Input_Prod_01!$G$11,Input_Prod_01!$C$14,$M$1,$B23,$K$1)</f>
        <v>0</v>
      </c>
      <c r="O23" s="40">
        <f>_xll.DBRW($C$2,O$13,$O$15,$M$1,$B23,$K$1)</f>
        <v>0</v>
      </c>
      <c r="P23" s="40">
        <f>_xll.DBRW($C$2,P$13,$O$15,$M$1,$B23,$K$1)</f>
        <v>0</v>
      </c>
      <c r="Q23" s="40">
        <f>_xll.DBRW($C$2,Q$13,$O$15,$M$1,$B23,$K$1)</f>
        <v>0</v>
      </c>
      <c r="R23" s="40">
        <f>_xll.DBRW($C$2,R$13,$O$15,$M$1,$B23,$K$1)</f>
        <v>0</v>
      </c>
      <c r="S23" s="40">
        <f>_xll.DBRW($C$2,S$13,$O$15,$M$1,$B23,$K$1)</f>
        <v>0</v>
      </c>
    </row>
    <row r="24" spans="1:19" s="29" customFormat="1" ht="15.75" customHeight="1">
      <c r="A24" s="66"/>
      <c r="B24" s="45" t="s">
        <v>8</v>
      </c>
      <c r="C24" s="40">
        <f>_xll.DBRW($C$2,Input_Prod_01!$G$11,Input_Prod_01!$C$14,$M$1,$B24,$K$1)</f>
        <v>0</v>
      </c>
      <c r="D24" s="40">
        <f>_xll.DBRW($C$2,Input_Prod_01!$G$11,Input_Prod_01!$C$14,$M$1,$B24,$K$1)</f>
        <v>0</v>
      </c>
      <c r="E24" s="40">
        <f>_xll.DBRW($C$2,Input_Prod_01!$G$11,Input_Prod_01!$C$14,$M$1,$B24,$K$1)</f>
        <v>0</v>
      </c>
      <c r="F24" s="40">
        <f>_xll.DBRW($C$2,Input_Prod_01!$G$11,Input_Prod_01!$C$14,$M$1,$B24,$K$1)</f>
        <v>0</v>
      </c>
      <c r="G24" s="40">
        <f>_xll.DBRW($C$2,Input_Prod_01!$G$11,Input_Prod_01!$C$14,$M$1,$B24,$K$1)</f>
        <v>0</v>
      </c>
      <c r="H24" s="40">
        <f>_xll.DBRW($C$2,Input_Prod_01!$G$11,Input_Prod_01!$C$14,$M$1,$B24,$K$1)</f>
        <v>0</v>
      </c>
      <c r="I24" s="40">
        <f>_xll.DBRW($C$2,Input_Prod_01!$G$11,Input_Prod_01!$C$14,$M$1,$B24,$K$1)</f>
        <v>0</v>
      </c>
      <c r="J24" s="40">
        <f>_xll.DBRW($C$2,Input_Prod_01!$G$11,Input_Prod_01!$C$14,$M$1,$B24,$K$1)</f>
        <v>0</v>
      </c>
      <c r="K24" s="40">
        <f>_xll.DBRW($C$2,Input_Prod_01!$G$11,Input_Prod_01!$C$14,$M$1,$B24,$K$1)</f>
        <v>0</v>
      </c>
      <c r="L24" s="40">
        <f>_xll.DBRW($C$2,Input_Prod_01!$G$11,Input_Prod_01!$C$14,$M$1,$B24,$K$1)</f>
        <v>0</v>
      </c>
      <c r="M24" s="40">
        <f>_xll.DBRW($C$2,Input_Prod_01!$G$11,Input_Prod_01!$C$14,$M$1,$B24,$K$1)</f>
        <v>0</v>
      </c>
      <c r="N24" s="40">
        <f>_xll.DBRW($C$2,Input_Prod_01!$G$11,Input_Prod_01!$C$14,$M$1,$B24,$K$1)</f>
        <v>0</v>
      </c>
      <c r="O24" s="40">
        <f>_xll.DBRW($C$2,O$13,$O$15,$M$1,$B24,$K$1)</f>
        <v>0</v>
      </c>
      <c r="P24" s="40">
        <f>_xll.DBRW($C$2,P$13,$O$15,$M$1,$B24,$K$1)</f>
        <v>0</v>
      </c>
      <c r="Q24" s="40">
        <f>_xll.DBRW($C$2,Q$13,$O$15,$M$1,$B24,$K$1)</f>
        <v>0</v>
      </c>
      <c r="R24" s="40">
        <f>_xll.DBRW($C$2,R$13,$O$15,$M$1,$B24,$K$1)</f>
        <v>0</v>
      </c>
      <c r="S24" s="40">
        <f>_xll.DBRW($C$2,S$13,$O$15,$M$1,$B24,$K$1)</f>
        <v>0</v>
      </c>
    </row>
    <row r="25" spans="1:19" s="29" customFormat="1" ht="15.75" customHeight="1">
      <c r="A25" s="66"/>
      <c r="B25" s="45" t="s">
        <v>9</v>
      </c>
      <c r="C25" s="40">
        <f>_xll.DBRW($C$2,Input_Prod_01!$G$11,Input_Prod_01!$C$14,$M$1,$B25,$K$1)</f>
        <v>0</v>
      </c>
      <c r="D25" s="40">
        <f>_xll.DBRW($C$2,Input_Prod_01!$G$11,Input_Prod_01!$C$14,$M$1,$B25,$K$1)</f>
        <v>0</v>
      </c>
      <c r="E25" s="40">
        <f>_xll.DBRW($C$2,Input_Prod_01!$G$11,Input_Prod_01!$C$14,$M$1,$B25,$K$1)</f>
        <v>0</v>
      </c>
      <c r="F25" s="40">
        <f>_xll.DBRW($C$2,Input_Prod_01!$G$11,Input_Prod_01!$C$14,$M$1,$B25,$K$1)</f>
        <v>0</v>
      </c>
      <c r="G25" s="40">
        <f>_xll.DBRW($C$2,Input_Prod_01!$G$11,Input_Prod_01!$C$14,$M$1,$B25,$K$1)</f>
        <v>0</v>
      </c>
      <c r="H25" s="40">
        <f>_xll.DBRW($C$2,Input_Prod_01!$G$11,Input_Prod_01!$C$14,$M$1,$B25,$K$1)</f>
        <v>0</v>
      </c>
      <c r="I25" s="40">
        <f>_xll.DBRW($C$2,Input_Prod_01!$G$11,Input_Prod_01!$C$14,$M$1,$B25,$K$1)</f>
        <v>0</v>
      </c>
      <c r="J25" s="40">
        <f>_xll.DBRW($C$2,Input_Prod_01!$G$11,Input_Prod_01!$C$14,$M$1,$B25,$K$1)</f>
        <v>0</v>
      </c>
      <c r="K25" s="40">
        <f>_xll.DBRW($C$2,Input_Prod_01!$G$11,Input_Prod_01!$C$14,$M$1,$B25,$K$1)</f>
        <v>0</v>
      </c>
      <c r="L25" s="40">
        <f>_xll.DBRW($C$2,Input_Prod_01!$G$11,Input_Prod_01!$C$14,$M$1,$B25,$K$1)</f>
        <v>0</v>
      </c>
      <c r="M25" s="40">
        <f>_xll.DBRW($C$2,Input_Prod_01!$G$11,Input_Prod_01!$C$14,$M$1,$B25,$K$1)</f>
        <v>0</v>
      </c>
      <c r="N25" s="40">
        <f>_xll.DBRW($C$2,Input_Prod_01!$G$11,Input_Prod_01!$C$14,$M$1,$B25,$K$1)</f>
        <v>0</v>
      </c>
      <c r="O25" s="40">
        <f>_xll.DBRW($C$2,O$13,$O$15,$M$1,$B25,$K$1)</f>
        <v>0</v>
      </c>
      <c r="P25" s="40">
        <f>_xll.DBRW($C$2,P$13,$O$15,$M$1,$B25,$K$1)</f>
        <v>0</v>
      </c>
      <c r="Q25" s="40">
        <f>_xll.DBRW($C$2,Q$13,$O$15,$M$1,$B25,$K$1)</f>
        <v>0</v>
      </c>
      <c r="R25" s="40">
        <f>_xll.DBRW($C$2,R$13,$O$15,$M$1,$B25,$K$1)</f>
        <v>0</v>
      </c>
      <c r="S25" s="40">
        <f>_xll.DBRW($C$2,S$13,$O$15,$M$1,$B25,$K$1)</f>
        <v>0</v>
      </c>
    </row>
    <row r="26" spans="1:19" s="29" customFormat="1" ht="15.75" customHeight="1">
      <c r="A26" s="66"/>
      <c r="B26" s="45" t="s">
        <v>10</v>
      </c>
      <c r="C26" s="40">
        <f>_xll.DBRW($C$2,Input_Prod_01!$G$11,Input_Prod_01!$C$14,$M$1,$B26,$K$1)</f>
        <v>0</v>
      </c>
      <c r="D26" s="40">
        <f>_xll.DBRW($C$2,Input_Prod_01!$G$11,Input_Prod_01!$C$14,$M$1,$B26,$K$1)</f>
        <v>0</v>
      </c>
      <c r="E26" s="40">
        <f>_xll.DBRW($C$2,Input_Prod_01!$G$11,Input_Prod_01!$C$14,$M$1,$B26,$K$1)</f>
        <v>0</v>
      </c>
      <c r="F26" s="40">
        <f>_xll.DBRW($C$2,Input_Prod_01!$G$11,Input_Prod_01!$C$14,$M$1,$B26,$K$1)</f>
        <v>0</v>
      </c>
      <c r="G26" s="40">
        <f>_xll.DBRW($C$2,Input_Prod_01!$G$11,Input_Prod_01!$C$14,$M$1,$B26,$K$1)</f>
        <v>0</v>
      </c>
      <c r="H26" s="40">
        <f>_xll.DBRW($C$2,Input_Prod_01!$G$11,Input_Prod_01!$C$14,$M$1,$B26,$K$1)</f>
        <v>0</v>
      </c>
      <c r="I26" s="40">
        <f>_xll.DBRW($C$2,Input_Prod_01!$G$11,Input_Prod_01!$C$14,$M$1,$B26,$K$1)</f>
        <v>0</v>
      </c>
      <c r="J26" s="40">
        <f>_xll.DBRW($C$2,Input_Prod_01!$G$11,Input_Prod_01!$C$14,$M$1,$B26,$K$1)</f>
        <v>0</v>
      </c>
      <c r="K26" s="40">
        <f>_xll.DBRW($C$2,Input_Prod_01!$G$11,Input_Prod_01!$C$14,$M$1,$B26,$K$1)</f>
        <v>0</v>
      </c>
      <c r="L26" s="40">
        <f>_xll.DBRW($C$2,Input_Prod_01!$G$11,Input_Prod_01!$C$14,$M$1,$B26,$K$1)</f>
        <v>0</v>
      </c>
      <c r="M26" s="40">
        <f>_xll.DBRW($C$2,Input_Prod_01!$G$11,Input_Prod_01!$C$14,$M$1,$B26,$K$1)</f>
        <v>0</v>
      </c>
      <c r="N26" s="40">
        <f>_xll.DBRW($C$2,Input_Prod_01!$G$11,Input_Prod_01!$C$14,$M$1,$B26,$K$1)</f>
        <v>0</v>
      </c>
      <c r="O26" s="40">
        <f>_xll.DBRW($C$2,O$13,$O$15,$M$1,$B26,$K$1)</f>
        <v>0</v>
      </c>
      <c r="P26" s="40">
        <f>_xll.DBRW($C$2,P$13,$O$15,$M$1,$B26,$K$1)</f>
        <v>0</v>
      </c>
      <c r="Q26" s="40">
        <f>_xll.DBRW($C$2,Q$13,$O$15,$M$1,$B26,$K$1)</f>
        <v>0</v>
      </c>
      <c r="R26" s="40">
        <f>_xll.DBRW($C$2,R$13,$O$15,$M$1,$B26,$K$1)</f>
        <v>0</v>
      </c>
      <c r="S26" s="40">
        <f>_xll.DBRW($C$2,S$13,$O$15,$M$1,$B26,$K$1)</f>
        <v>0</v>
      </c>
    </row>
    <row r="27" spans="1:19" s="29" customFormat="1" ht="15.75" customHeight="1">
      <c r="A27" s="66"/>
      <c r="B27" s="45" t="s">
        <v>11</v>
      </c>
      <c r="C27" s="40">
        <f>_xll.DBRW($C$2,Input_Prod_01!$G$11,Input_Prod_01!$C$14,$M$1,$B27,$K$1)</f>
        <v>0</v>
      </c>
      <c r="D27" s="40">
        <f>_xll.DBRW($C$2,Input_Prod_01!$G$11,Input_Prod_01!$C$14,$M$1,$B27,$K$1)</f>
        <v>0</v>
      </c>
      <c r="E27" s="40">
        <f>_xll.DBRW($C$2,Input_Prod_01!$G$11,Input_Prod_01!$C$14,$M$1,$B27,$K$1)</f>
        <v>0</v>
      </c>
      <c r="F27" s="40">
        <f>_xll.DBRW($C$2,Input_Prod_01!$G$11,Input_Prod_01!$C$14,$M$1,$B27,$K$1)</f>
        <v>0</v>
      </c>
      <c r="G27" s="40">
        <f>_xll.DBRW($C$2,Input_Prod_01!$G$11,Input_Prod_01!$C$14,$M$1,$B27,$K$1)</f>
        <v>0</v>
      </c>
      <c r="H27" s="40">
        <f>_xll.DBRW($C$2,Input_Prod_01!$G$11,Input_Prod_01!$C$14,$M$1,$B27,$K$1)</f>
        <v>0</v>
      </c>
      <c r="I27" s="40">
        <f>_xll.DBRW($C$2,Input_Prod_01!$G$11,Input_Prod_01!$C$14,$M$1,$B27,$K$1)</f>
        <v>0</v>
      </c>
      <c r="J27" s="40">
        <f>_xll.DBRW($C$2,Input_Prod_01!$G$11,Input_Prod_01!$C$14,$M$1,$B27,$K$1)</f>
        <v>0</v>
      </c>
      <c r="K27" s="40">
        <f>_xll.DBRW($C$2,Input_Prod_01!$G$11,Input_Prod_01!$C$14,$M$1,$B27,$K$1)</f>
        <v>0</v>
      </c>
      <c r="L27" s="40">
        <f>_xll.DBRW($C$2,Input_Prod_01!$G$11,Input_Prod_01!$C$14,$M$1,$B27,$K$1)</f>
        <v>0</v>
      </c>
      <c r="M27" s="40">
        <f>_xll.DBRW($C$2,Input_Prod_01!$G$11,Input_Prod_01!$C$14,$M$1,$B27,$K$1)</f>
        <v>0</v>
      </c>
      <c r="N27" s="40">
        <f>_xll.DBRW($C$2,Input_Prod_01!$G$11,Input_Prod_01!$C$14,$M$1,$B27,$K$1)</f>
        <v>0</v>
      </c>
      <c r="O27" s="40">
        <f>_xll.DBRW($C$2,O$13,$O$15,$M$1,$B27,$K$1)</f>
        <v>0</v>
      </c>
      <c r="P27" s="40">
        <f>_xll.DBRW($C$2,P$13,$O$15,$M$1,$B27,$K$1)</f>
        <v>0</v>
      </c>
      <c r="Q27" s="40">
        <f>_xll.DBRW($C$2,Q$13,$O$15,$M$1,$B27,$K$1)</f>
        <v>0</v>
      </c>
      <c r="R27" s="40">
        <f>_xll.DBRW($C$2,R$13,$O$15,$M$1,$B27,$K$1)</f>
        <v>0</v>
      </c>
      <c r="S27" s="40">
        <f>_xll.DBRW($C$2,S$13,$O$15,$M$1,$B27,$K$1)</f>
        <v>0</v>
      </c>
    </row>
    <row r="28" spans="1:19" s="29" customFormat="1" ht="15.75" customHeight="1">
      <c r="A28" s="66"/>
      <c r="B28" s="45" t="s">
        <v>12</v>
      </c>
      <c r="C28" s="40">
        <f>_xll.DBRW($C$2,Input_Prod_01!$G$11,Input_Prod_01!$C$14,$M$1,$B28,$K$1)</f>
        <v>0</v>
      </c>
      <c r="D28" s="40">
        <f>_xll.DBRW($C$2,Input_Prod_01!$G$11,Input_Prod_01!$C$14,$M$1,$B28,$K$1)</f>
        <v>0</v>
      </c>
      <c r="E28" s="40">
        <f>_xll.DBRW($C$2,Input_Prod_01!$G$11,Input_Prod_01!$C$14,$M$1,$B28,$K$1)</f>
        <v>0</v>
      </c>
      <c r="F28" s="40">
        <f>_xll.DBRW($C$2,Input_Prod_01!$G$11,Input_Prod_01!$C$14,$M$1,$B28,$K$1)</f>
        <v>0</v>
      </c>
      <c r="G28" s="40">
        <f>_xll.DBRW($C$2,Input_Prod_01!$G$11,Input_Prod_01!$C$14,$M$1,$B28,$K$1)</f>
        <v>0</v>
      </c>
      <c r="H28" s="40">
        <f>_xll.DBRW($C$2,Input_Prod_01!$G$11,Input_Prod_01!$C$14,$M$1,$B28,$K$1)</f>
        <v>0</v>
      </c>
      <c r="I28" s="40">
        <f>_xll.DBRW($C$2,Input_Prod_01!$G$11,Input_Prod_01!$C$14,$M$1,$B28,$K$1)</f>
        <v>0</v>
      </c>
      <c r="J28" s="40">
        <f>_xll.DBRW($C$2,Input_Prod_01!$G$11,Input_Prod_01!$C$14,$M$1,$B28,$K$1)</f>
        <v>0</v>
      </c>
      <c r="K28" s="40">
        <f>_xll.DBRW($C$2,Input_Prod_01!$G$11,Input_Prod_01!$C$14,$M$1,$B28,$K$1)</f>
        <v>0</v>
      </c>
      <c r="L28" s="40">
        <f>_xll.DBRW($C$2,Input_Prod_01!$G$11,Input_Prod_01!$C$14,$M$1,$B28,$K$1)</f>
        <v>0</v>
      </c>
      <c r="M28" s="40">
        <f>_xll.DBRW($C$2,Input_Prod_01!$G$11,Input_Prod_01!$C$14,$M$1,$B28,$K$1)</f>
        <v>0</v>
      </c>
      <c r="N28" s="40">
        <f>_xll.DBRW($C$2,Input_Prod_01!$G$11,Input_Prod_01!$C$14,$M$1,$B28,$K$1)</f>
        <v>0</v>
      </c>
      <c r="O28" s="40">
        <f>_xll.DBRW($C$2,O$13,$O$15,$M$1,$B28,$K$1)</f>
        <v>0</v>
      </c>
      <c r="P28" s="40">
        <f>_xll.DBRW($C$2,P$13,$O$15,$M$1,$B28,$K$1)</f>
        <v>0</v>
      </c>
      <c r="Q28" s="40">
        <f>_xll.DBRW($C$2,Q$13,$O$15,$M$1,$B28,$K$1)</f>
        <v>0</v>
      </c>
      <c r="R28" s="40">
        <f>_xll.DBRW($C$2,R$13,$O$15,$M$1,$B28,$K$1)</f>
        <v>0</v>
      </c>
      <c r="S28" s="40">
        <f>_xll.DBRW($C$2,S$13,$O$15,$M$1,$B28,$K$1)</f>
        <v>0</v>
      </c>
    </row>
    <row r="29" spans="1:19" s="29" customFormat="1" ht="15.75" customHeight="1">
      <c r="A29" s="66"/>
      <c r="B29" s="45" t="s">
        <v>13</v>
      </c>
      <c r="C29" s="40">
        <f>_xll.DBRW($C$2,Input_Prod_01!$G$11,Input_Prod_01!$C$14,$M$1,$B29,$K$1)</f>
        <v>0</v>
      </c>
      <c r="D29" s="40">
        <f>_xll.DBRW($C$2,Input_Prod_01!$G$11,Input_Prod_01!$C$14,$M$1,$B29,$K$1)</f>
        <v>0</v>
      </c>
      <c r="E29" s="40">
        <f>_xll.DBRW($C$2,Input_Prod_01!$G$11,Input_Prod_01!$C$14,$M$1,$B29,$K$1)</f>
        <v>0</v>
      </c>
      <c r="F29" s="40">
        <f>_xll.DBRW($C$2,Input_Prod_01!$G$11,Input_Prod_01!$C$14,$M$1,$B29,$K$1)</f>
        <v>0</v>
      </c>
      <c r="G29" s="40">
        <f>_xll.DBRW($C$2,Input_Prod_01!$G$11,Input_Prod_01!$C$14,$M$1,$B29,$K$1)</f>
        <v>0</v>
      </c>
      <c r="H29" s="40">
        <f>_xll.DBRW($C$2,Input_Prod_01!$G$11,Input_Prod_01!$C$14,$M$1,$B29,$K$1)</f>
        <v>0</v>
      </c>
      <c r="I29" s="40">
        <f>_xll.DBRW($C$2,Input_Prod_01!$G$11,Input_Prod_01!$C$14,$M$1,$B29,$K$1)</f>
        <v>0</v>
      </c>
      <c r="J29" s="40">
        <f>_xll.DBRW($C$2,Input_Prod_01!$G$11,Input_Prod_01!$C$14,$M$1,$B29,$K$1)</f>
        <v>0</v>
      </c>
      <c r="K29" s="40">
        <f>_xll.DBRW($C$2,Input_Prod_01!$G$11,Input_Prod_01!$C$14,$M$1,$B29,$K$1)</f>
        <v>0</v>
      </c>
      <c r="L29" s="40">
        <f>_xll.DBRW($C$2,Input_Prod_01!$G$11,Input_Prod_01!$C$14,$M$1,$B29,$K$1)</f>
        <v>0</v>
      </c>
      <c r="M29" s="40">
        <f>_xll.DBRW($C$2,Input_Prod_01!$G$11,Input_Prod_01!$C$14,$M$1,$B29,$K$1)</f>
        <v>0</v>
      </c>
      <c r="N29" s="40">
        <f>_xll.DBRW($C$2,Input_Prod_01!$G$11,Input_Prod_01!$C$14,$M$1,$B29,$K$1)</f>
        <v>0</v>
      </c>
      <c r="O29" s="40">
        <f>_xll.DBRW($C$2,O$13,$O$15,$M$1,$B29,$K$1)</f>
        <v>0</v>
      </c>
      <c r="P29" s="40">
        <f>_xll.DBRW($C$2,P$13,$O$15,$M$1,$B29,$K$1)</f>
        <v>0</v>
      </c>
      <c r="Q29" s="40">
        <f>_xll.DBRW($C$2,Q$13,$O$15,$M$1,$B29,$K$1)</f>
        <v>0</v>
      </c>
      <c r="R29" s="40">
        <f>_xll.DBRW($C$2,R$13,$O$15,$M$1,$B29,$K$1)</f>
        <v>0</v>
      </c>
      <c r="S29" s="40">
        <f>_xll.DBRW($C$2,S$13,$O$15,$M$1,$B29,$K$1)</f>
        <v>0</v>
      </c>
    </row>
    <row r="30" spans="1:19" s="29" customFormat="1" ht="15.75" customHeight="1">
      <c r="A30" s="66"/>
      <c r="B30" s="45" t="s">
        <v>14</v>
      </c>
      <c r="C30" s="40">
        <f>_xll.DBRW($C$2,Input_Prod_01!$G$11,Input_Prod_01!$C$14,$M$1,$B30,$K$1)</f>
        <v>31</v>
      </c>
      <c r="D30" s="40">
        <f>_xll.DBRW($C$2,Input_Prod_01!$G$11,Input_Prod_01!$C$14,$M$1,$B30,$K$1)</f>
        <v>31</v>
      </c>
      <c r="E30" s="40">
        <f>_xll.DBRW($C$2,Input_Prod_01!$G$11,Input_Prod_01!$C$14,$M$1,$B30,$K$1)</f>
        <v>31</v>
      </c>
      <c r="F30" s="40">
        <f>_xll.DBRW($C$2,Input_Prod_01!$G$11,Input_Prod_01!$C$14,$M$1,$B30,$K$1)</f>
        <v>31</v>
      </c>
      <c r="G30" s="40">
        <f>_xll.DBRW($C$2,Input_Prod_01!$G$11,Input_Prod_01!$C$14,$M$1,$B30,$K$1)</f>
        <v>31</v>
      </c>
      <c r="H30" s="40">
        <f>_xll.DBRW($C$2,Input_Prod_01!$G$11,Input_Prod_01!$C$14,$M$1,$B30,$K$1)</f>
        <v>31</v>
      </c>
      <c r="I30" s="40">
        <f>_xll.DBRW($C$2,Input_Prod_01!$G$11,Input_Prod_01!$C$14,$M$1,$B30,$K$1)</f>
        <v>31</v>
      </c>
      <c r="J30" s="40">
        <f>_xll.DBRW($C$2,Input_Prod_01!$G$11,Input_Prod_01!$C$14,$M$1,$B30,$K$1)</f>
        <v>31</v>
      </c>
      <c r="K30" s="40">
        <f>_xll.DBRW($C$2,Input_Prod_01!$G$11,Input_Prod_01!$C$14,$M$1,$B30,$K$1)</f>
        <v>31</v>
      </c>
      <c r="L30" s="40">
        <f>_xll.DBRW($C$2,Input_Prod_01!$G$11,Input_Prod_01!$C$14,$M$1,$B30,$K$1)</f>
        <v>31</v>
      </c>
      <c r="M30" s="40">
        <f>_xll.DBRW($C$2,Input_Prod_01!$G$11,Input_Prod_01!$C$14,$M$1,$B30,$K$1)</f>
        <v>31</v>
      </c>
      <c r="N30" s="40">
        <f>_xll.DBRW($C$2,Input_Prod_01!$G$11,Input_Prod_01!$C$14,$M$1,$B30,$K$1)</f>
        <v>31</v>
      </c>
      <c r="O30" s="40">
        <f>_xll.DBRW($C$2,O$13,$O$15,$M$1,$B30,$K$1)</f>
        <v>0</v>
      </c>
      <c r="P30" s="40">
        <f>_xll.DBRW($C$2,P$13,$O$15,$M$1,$B30,$K$1)</f>
        <v>0</v>
      </c>
      <c r="Q30" s="40">
        <f>_xll.DBRW($C$2,Q$13,$O$15,$M$1,$B30,$K$1)</f>
        <v>0</v>
      </c>
      <c r="R30" s="40">
        <f>_xll.DBRW($C$2,R$13,$O$15,$M$1,$B30,$K$1)</f>
        <v>0</v>
      </c>
      <c r="S30" s="40">
        <f>_xll.DBRW($C$2,S$13,$O$15,$M$1,$B30,$K$1)</f>
        <v>0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83" t="str">
        <f>_xll.SUBNM("CONS_VC_PRD:ALL.D.Products","Nivel_0","PRODCE010 - Cement","Código e Descrição")</f>
        <v>PRODCE010 - Cement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8">
        <f>$G$11+1</f>
        <v>2027</v>
      </c>
      <c r="P35" s="98">
        <f>$G$11+2</f>
        <v>2028</v>
      </c>
      <c r="Q35" s="98">
        <f>$G$11+3</f>
        <v>2029</v>
      </c>
      <c r="R35" s="98">
        <f>$G$11+4</f>
        <v>2030</v>
      </c>
      <c r="S35" s="98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_xll.DBRW($B$1,Input_Prod_01!$G$11,Input_Prod_01!C$14,$M$1,Input_Prod_01!$I$11,$C$11,Input_Prod_01!$E$33,Input_Prod_01!$A37,$L$1,$K$1)</f>
        <v>0</v>
      </c>
      <c r="D37" s="36">
        <f>_xll.DBRW($B$1,Input_Prod_01!$G$11,Input_Prod_01!D$14,$M$1,Input_Prod_01!$I$11,$C$11,Input_Prod_01!$E$33,Input_Prod_01!$A37,$L$1,$K$1)</f>
        <v>0</v>
      </c>
      <c r="E37" s="36">
        <f>_xll.DBRW($B$1,Input_Prod_01!$G$11,Input_Prod_01!E$14,$M$1,Input_Prod_01!$I$11,$C$11,Input_Prod_01!$E$33,Input_Prod_01!$A37,$L$1,$K$1)</f>
        <v>0</v>
      </c>
      <c r="F37" s="36">
        <f>_xll.DBRW($B$1,Input_Prod_01!$G$11,Input_Prod_01!F$14,$M$1,Input_Prod_01!$I$11,$C$11,Input_Prod_01!$E$33,Input_Prod_01!$A37,$L$1,$K$1)</f>
        <v>0</v>
      </c>
      <c r="G37" s="36">
        <f>_xll.DBRW($B$1,Input_Prod_01!$G$11,Input_Prod_01!G$14,$M$1,Input_Prod_01!$I$11,$C$11,Input_Prod_01!$E$33,Input_Prod_01!$A37,$L$1,$K$1)</f>
        <v>0</v>
      </c>
      <c r="H37" s="36">
        <f>_xll.DBRW($B$1,Input_Prod_01!$G$11,Input_Prod_01!H$14,$M$1,Input_Prod_01!$I$11,$C$11,Input_Prod_01!$E$33,Input_Prod_01!$A37,$L$1,$K$1)</f>
        <v>0</v>
      </c>
      <c r="I37" s="36">
        <f>_xll.DBRW($B$1,Input_Prod_01!$G$11,Input_Prod_01!I$14,$M$1,Input_Prod_01!$I$11,$C$11,Input_Prod_01!$E$33,Input_Prod_01!$A37,$L$1,$K$1)</f>
        <v>0</v>
      </c>
      <c r="J37" s="36">
        <f>_xll.DBRW($B$1,Input_Prod_01!$G$11,Input_Prod_01!J$14,$M$1,Input_Prod_01!$I$11,$C$11,Input_Prod_01!$E$33,Input_Prod_01!$A37,$L$1,$K$1)</f>
        <v>0</v>
      </c>
      <c r="K37" s="36">
        <f>_xll.DBRW($B$1,Input_Prod_01!$G$11,Input_Prod_01!K$14,$M$1,Input_Prod_01!$I$11,$C$11,Input_Prod_01!$E$33,Input_Prod_01!$A37,$L$1,$K$1)</f>
        <v>0</v>
      </c>
      <c r="L37" s="36">
        <f>_xll.DBRW($B$1,Input_Prod_01!$G$11,Input_Prod_01!L$14,$M$1,Input_Prod_01!$I$11,$C$11,Input_Prod_01!$E$33,Input_Prod_01!$A37,$L$1,$K$1)</f>
        <v>0</v>
      </c>
      <c r="M37" s="36">
        <f>_xll.DBRW($B$1,Input_Prod_01!$G$11,Input_Prod_01!M$14,$M$1,Input_Prod_01!$I$11,$C$11,Input_Prod_01!$E$33,Input_Prod_01!$A37,$L$1,$K$1)</f>
        <v>0</v>
      </c>
      <c r="N37" s="36">
        <f>_xll.DBRW($B$1,Input_Prod_01!$G$11,Input_Prod_01!N$14,$M$1,Input_Prod_01!$I$11,$C$11,Input_Prod_01!$E$33,Input_Prod_01!$A37,$L$1,$K$1)</f>
        <v>0</v>
      </c>
      <c r="O37" s="36">
        <f>_xll.DBRW($B$1,O$13,O$15,$M$1,Input_Prod_01!$I$11,$C$11,Input_Prod_01!$E$33,Input_Prod_01!$A37,$L$1,$K$1)</f>
        <v>0</v>
      </c>
      <c r="P37" s="36">
        <f>_xll.DBRW($B$1,P$13,P$15,$M$1,Input_Prod_01!$I$11,$C$11,Input_Prod_01!$E$33,Input_Prod_01!$A37,$L$1,$K$1)</f>
        <v>0</v>
      </c>
      <c r="Q37" s="36">
        <f>_xll.DBRW($B$1,Q$13,Q$15,$M$1,Input_Prod_01!$I$11,$C$11,Input_Prod_01!$E$33,Input_Prod_01!$A37,$L$1,$K$1)</f>
        <v>0</v>
      </c>
      <c r="R37" s="36">
        <f>_xll.DBRW($B$1,R$13,R$15,$M$1,Input_Prod_01!$I$11,$C$11,Input_Prod_01!$E$33,Input_Prod_01!$A37,$L$1,$K$1)</f>
        <v>0</v>
      </c>
      <c r="S37" s="36">
        <f>_xll.DBRW($B$1,S$13,S$15,$M$1,Input_Prod_01!$I$11,$C$11,Input_Prod_01!$E$33,Input_Prod_01!$A37,$L$1,$K$1)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_xll.DBRW($B$1,Input_Prod_01!$G$11,Input_Prod_01!C$14,$M$1,Input_Prod_01!$I$11,$C$11,Input_Prod_01!$E$33,Input_Prod_01!$A38,$L$1,$K$1)</f>
        <v>0</v>
      </c>
      <c r="D38" s="36">
        <f>_xll.DBRW($B$1,Input_Prod_01!$G$11,Input_Prod_01!D$14,$M$1,Input_Prod_01!$I$11,$C$11,Input_Prod_01!$E$33,Input_Prod_01!$A38,$L$1,$K$1)</f>
        <v>1705.8153</v>
      </c>
      <c r="E38" s="36">
        <f>_xll.DBRW($B$1,Input_Prod_01!$G$11,Input_Prod_01!E$14,$M$1,Input_Prod_01!$I$11,$C$11,Input_Prod_01!$E$33,Input_Prod_01!$A38,$L$1,$K$1)</f>
        <v>2099.1723000000002</v>
      </c>
      <c r="F38" s="36">
        <f>_xll.DBRW($B$1,Input_Prod_01!$G$11,Input_Prod_01!F$14,$M$1,Input_Prod_01!$I$11,$C$11,Input_Prod_01!$E$33,Input_Prod_01!$A38,$L$1,$K$1)</f>
        <v>1958.3569</v>
      </c>
      <c r="G38" s="36">
        <f>_xll.DBRW($B$1,Input_Prod_01!$G$11,Input_Prod_01!G$14,$M$1,Input_Prod_01!$I$11,$C$11,Input_Prod_01!$E$33,Input_Prod_01!$A38,$L$1,$K$1)</f>
        <v>2088.7012</v>
      </c>
      <c r="H38" s="36">
        <f>_xll.DBRW($B$1,Input_Prod_01!$G$11,Input_Prod_01!H$14,$M$1,Input_Prod_01!$I$11,$C$11,Input_Prod_01!$E$33,Input_Prod_01!$A38,$L$1,$K$1)</f>
        <v>2124.3285999999998</v>
      </c>
      <c r="I38" s="36">
        <f>_xll.DBRW($B$1,Input_Prod_01!$G$11,Input_Prod_01!I$14,$M$1,Input_Prod_01!$I$11,$C$11,Input_Prod_01!$E$33,Input_Prod_01!$A38,$L$1,$K$1)</f>
        <v>2247.8209999999999</v>
      </c>
      <c r="J38" s="36">
        <f>_xll.DBRW($B$1,Input_Prod_01!$G$11,Input_Prod_01!J$14,$M$1,Input_Prod_01!$I$11,$C$11,Input_Prod_01!$E$33,Input_Prod_01!$A38,$L$1,$K$1)</f>
        <v>2215.1190000000001</v>
      </c>
      <c r="K38" s="36">
        <f>_xll.DBRW($B$1,Input_Prod_01!$G$11,Input_Prod_01!K$14,$M$1,Input_Prod_01!$I$11,$C$11,Input_Prod_01!$E$33,Input_Prod_01!$A38,$L$1,$K$1)</f>
        <v>2169.3416000000002</v>
      </c>
      <c r="L38" s="36">
        <f>_xll.DBRW($B$1,Input_Prod_01!$G$11,Input_Prod_01!L$14,$M$1,Input_Prod_01!$I$11,$C$11,Input_Prod_01!$E$33,Input_Prod_01!$A38,$L$1,$K$1)</f>
        <v>2132.7941999999998</v>
      </c>
      <c r="M38" s="36">
        <f>_xll.DBRW($B$1,Input_Prod_01!$G$11,Input_Prod_01!M$14,$M$1,Input_Prod_01!$I$11,$C$11,Input_Prod_01!$E$33,Input_Prod_01!$A38,$L$1,$K$1)</f>
        <v>1958.3907999999999</v>
      </c>
      <c r="N38" s="36">
        <f>_xll.DBRW($B$1,Input_Prod_01!$G$11,Input_Prod_01!N$14,$M$1,Input_Prod_01!$I$11,$C$11,Input_Prod_01!$E$33,Input_Prod_01!$A38,$L$1,$K$1)</f>
        <v>1801.8453999999999</v>
      </c>
      <c r="O38" s="36">
        <f>_xll.DBRW($B$1,O$13,O$15,$M$1,Input_Prod_01!$I$11,$C$11,Input_Prod_01!$E$33,Input_Prod_01!$A38,$L$1,$K$1)</f>
        <v>0</v>
      </c>
      <c r="P38" s="36">
        <f>_xll.DBRW($B$1,P$13,P$15,$M$1,Input_Prod_01!$I$11,$C$11,Input_Prod_01!$E$33,Input_Prod_01!$A38,$L$1,$K$1)</f>
        <v>0</v>
      </c>
      <c r="Q38" s="36">
        <f>_xll.DBRW($B$1,Q$13,Q$15,$M$1,Input_Prod_01!$I$11,$C$11,Input_Prod_01!$E$33,Input_Prod_01!$A38,$L$1,$K$1)</f>
        <v>0</v>
      </c>
      <c r="R38" s="36">
        <f>_xll.DBRW($B$1,R$13,R$15,$M$1,Input_Prod_01!$I$11,$C$11,Input_Prod_01!$E$33,Input_Prod_01!$A38,$L$1,$K$1)</f>
        <v>0</v>
      </c>
      <c r="S38" s="36">
        <f>_xll.DBRW($B$1,S$13,S$15,$M$1,Input_Prod_01!$I$11,$C$11,Input_Prod_01!$E$33,Input_Prod_01!$A38,$L$1,$K$1)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_xll.DBRW($B$1,Input_Prod_01!$G$11,Input_Prod_01!C$14,$M$1,Input_Prod_01!$I$11,$C$11,Input_Prod_01!$E$33,Input_Prod_01!$A39,$L$1,$K$1)</f>
        <v>0</v>
      </c>
      <c r="D39" s="36">
        <f>_xll.DBRW($B$1,Input_Prod_01!$G$11,Input_Prod_01!D$14,$M$1,Input_Prod_01!$I$11,$C$11,Input_Prod_01!$E$33,Input_Prod_01!$A39,$L$1,$K$1)</f>
        <v>0</v>
      </c>
      <c r="E39" s="36">
        <f>_xll.DBRW($B$1,Input_Prod_01!$G$11,Input_Prod_01!E$14,$M$1,Input_Prod_01!$I$11,$C$11,Input_Prod_01!$E$33,Input_Prod_01!$A39,$L$1,$K$1)</f>
        <v>0</v>
      </c>
      <c r="F39" s="36">
        <f>_xll.DBRW($B$1,Input_Prod_01!$G$11,Input_Prod_01!F$14,$M$1,Input_Prod_01!$I$11,$C$11,Input_Prod_01!$E$33,Input_Prod_01!$A39,$L$1,$K$1)</f>
        <v>0</v>
      </c>
      <c r="G39" s="36">
        <f>_xll.DBRW($B$1,Input_Prod_01!$G$11,Input_Prod_01!G$14,$M$1,Input_Prod_01!$I$11,$C$11,Input_Prod_01!$E$33,Input_Prod_01!$A39,$L$1,$K$1)</f>
        <v>0</v>
      </c>
      <c r="H39" s="36">
        <f>_xll.DBRW($B$1,Input_Prod_01!$G$11,Input_Prod_01!H$14,$M$1,Input_Prod_01!$I$11,$C$11,Input_Prod_01!$E$33,Input_Prod_01!$A39,$L$1,$K$1)</f>
        <v>0</v>
      </c>
      <c r="I39" s="36">
        <f>_xll.DBRW($B$1,Input_Prod_01!$G$11,Input_Prod_01!I$14,$M$1,Input_Prod_01!$I$11,$C$11,Input_Prod_01!$E$33,Input_Prod_01!$A39,$L$1,$K$1)</f>
        <v>0</v>
      </c>
      <c r="J39" s="36">
        <f>_xll.DBRW($B$1,Input_Prod_01!$G$11,Input_Prod_01!J$14,$M$1,Input_Prod_01!$I$11,$C$11,Input_Prod_01!$E$33,Input_Prod_01!$A39,$L$1,$K$1)</f>
        <v>0</v>
      </c>
      <c r="K39" s="36">
        <f>_xll.DBRW($B$1,Input_Prod_01!$G$11,Input_Prod_01!K$14,$M$1,Input_Prod_01!$I$11,$C$11,Input_Prod_01!$E$33,Input_Prod_01!$A39,$L$1,$K$1)</f>
        <v>0</v>
      </c>
      <c r="L39" s="36">
        <f>_xll.DBRW($B$1,Input_Prod_01!$G$11,Input_Prod_01!L$14,$M$1,Input_Prod_01!$I$11,$C$11,Input_Prod_01!$E$33,Input_Prod_01!$A39,$L$1,$K$1)</f>
        <v>0</v>
      </c>
      <c r="M39" s="36">
        <f>_xll.DBRW($B$1,Input_Prod_01!$G$11,Input_Prod_01!M$14,$M$1,Input_Prod_01!$I$11,$C$11,Input_Prod_01!$E$33,Input_Prod_01!$A39,$L$1,$K$1)</f>
        <v>0</v>
      </c>
      <c r="N39" s="36">
        <f>_xll.DBRW($B$1,Input_Prod_01!$G$11,Input_Prod_01!N$14,$M$1,Input_Prod_01!$I$11,$C$11,Input_Prod_01!$E$33,Input_Prod_01!$A39,$L$1,$K$1)</f>
        <v>0</v>
      </c>
      <c r="O39" s="36">
        <f>_xll.DBRW($B$1,O$13,O$15,$M$1,Input_Prod_01!$I$11,$C$11,Input_Prod_01!$E$33,Input_Prod_01!$A39,$L$1,$K$1)</f>
        <v>0</v>
      </c>
      <c r="P39" s="36">
        <f>_xll.DBRW($B$1,P$13,P$15,$M$1,Input_Prod_01!$I$11,$C$11,Input_Prod_01!$E$33,Input_Prod_01!$A39,$L$1,$K$1)</f>
        <v>0</v>
      </c>
      <c r="Q39" s="36">
        <f>_xll.DBRW($B$1,Q$13,Q$15,$M$1,Input_Prod_01!$I$11,$C$11,Input_Prod_01!$E$33,Input_Prod_01!$A39,$L$1,$K$1)</f>
        <v>0</v>
      </c>
      <c r="R39" s="36">
        <f>_xll.DBRW($B$1,R$13,R$15,$M$1,Input_Prod_01!$I$11,$C$11,Input_Prod_01!$E$33,Input_Prod_01!$A39,$L$1,$K$1)</f>
        <v>0</v>
      </c>
      <c r="S39" s="36">
        <f>_xll.DBRW($B$1,S$13,S$15,$M$1,Input_Prod_01!$I$11,$C$11,Input_Prod_01!$E$33,Input_Prod_01!$A39,$L$1,$K$1)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_xll.DBRW($B$1,Input_Prod_01!$G$11,Input_Prod_01!C$14,$M$1,Input_Prod_01!$I$11,$C$11,Input_Prod_01!$E$33,Input_Prod_01!$A40,$L$1,$K$1)</f>
        <v>0</v>
      </c>
      <c r="D40" s="36">
        <f>_xll.DBRW($B$1,Input_Prod_01!$G$11,Input_Prod_01!D$14,$M$1,Input_Prod_01!$I$11,$C$11,Input_Prod_01!$E$33,Input_Prod_01!$A40,$L$1,$K$1)</f>
        <v>0</v>
      </c>
      <c r="E40" s="36">
        <f>_xll.DBRW($B$1,Input_Prod_01!$G$11,Input_Prod_01!E$14,$M$1,Input_Prod_01!$I$11,$C$11,Input_Prod_01!$E$33,Input_Prod_01!$A40,$L$1,$K$1)</f>
        <v>0</v>
      </c>
      <c r="F40" s="36">
        <f>_xll.DBRW($B$1,Input_Prod_01!$G$11,Input_Prod_01!F$14,$M$1,Input_Prod_01!$I$11,$C$11,Input_Prod_01!$E$33,Input_Prod_01!$A40,$L$1,$K$1)</f>
        <v>0</v>
      </c>
      <c r="G40" s="36">
        <f>_xll.DBRW($B$1,Input_Prod_01!$G$11,Input_Prod_01!G$14,$M$1,Input_Prod_01!$I$11,$C$11,Input_Prod_01!$E$33,Input_Prod_01!$A40,$L$1,$K$1)</f>
        <v>0</v>
      </c>
      <c r="H40" s="36">
        <f>_xll.DBRW($B$1,Input_Prod_01!$G$11,Input_Prod_01!H$14,$M$1,Input_Prod_01!$I$11,$C$11,Input_Prod_01!$E$33,Input_Prod_01!$A40,$L$1,$K$1)</f>
        <v>0</v>
      </c>
      <c r="I40" s="36">
        <f>_xll.DBRW($B$1,Input_Prod_01!$G$11,Input_Prod_01!I$14,$M$1,Input_Prod_01!$I$11,$C$11,Input_Prod_01!$E$33,Input_Prod_01!$A40,$L$1,$K$1)</f>
        <v>0</v>
      </c>
      <c r="J40" s="36">
        <f>_xll.DBRW($B$1,Input_Prod_01!$G$11,Input_Prod_01!J$14,$M$1,Input_Prod_01!$I$11,$C$11,Input_Prod_01!$E$33,Input_Prod_01!$A40,$L$1,$K$1)</f>
        <v>0</v>
      </c>
      <c r="K40" s="36">
        <f>_xll.DBRW($B$1,Input_Prod_01!$G$11,Input_Prod_01!K$14,$M$1,Input_Prod_01!$I$11,$C$11,Input_Prod_01!$E$33,Input_Prod_01!$A40,$L$1,$K$1)</f>
        <v>0</v>
      </c>
      <c r="L40" s="36">
        <f>_xll.DBRW($B$1,Input_Prod_01!$G$11,Input_Prod_01!L$14,$M$1,Input_Prod_01!$I$11,$C$11,Input_Prod_01!$E$33,Input_Prod_01!$A40,$L$1,$K$1)</f>
        <v>0</v>
      </c>
      <c r="M40" s="36">
        <f>_xll.DBRW($B$1,Input_Prod_01!$G$11,Input_Prod_01!M$14,$M$1,Input_Prod_01!$I$11,$C$11,Input_Prod_01!$E$33,Input_Prod_01!$A40,$L$1,$K$1)</f>
        <v>0</v>
      </c>
      <c r="N40" s="36">
        <f>_xll.DBRW($B$1,Input_Prod_01!$G$11,Input_Prod_01!N$14,$M$1,Input_Prod_01!$I$11,$C$11,Input_Prod_01!$E$33,Input_Prod_01!$A40,$L$1,$K$1)</f>
        <v>0</v>
      </c>
      <c r="O40" s="36">
        <f>_xll.DBRW($B$1,O$13,O$15,$M$1,Input_Prod_01!$I$11,$C$11,Input_Prod_01!$E$33,Input_Prod_01!$A40,$L$1,$K$1)</f>
        <v>0</v>
      </c>
      <c r="P40" s="36">
        <f>_xll.DBRW($B$1,P$13,P$15,$M$1,Input_Prod_01!$I$11,$C$11,Input_Prod_01!$E$33,Input_Prod_01!$A40,$L$1,$K$1)</f>
        <v>0</v>
      </c>
      <c r="Q40" s="36">
        <f>_xll.DBRW($B$1,Q$13,Q$15,$M$1,Input_Prod_01!$I$11,$C$11,Input_Prod_01!$E$33,Input_Prod_01!$A40,$L$1,$K$1)</f>
        <v>0</v>
      </c>
      <c r="R40" s="36">
        <f>_xll.DBRW($B$1,R$13,R$15,$M$1,Input_Prod_01!$I$11,$C$11,Input_Prod_01!$E$33,Input_Prod_01!$A40,$L$1,$K$1)</f>
        <v>0</v>
      </c>
      <c r="S40" s="36">
        <f>_xll.DBRW($B$1,S$13,S$15,$M$1,Input_Prod_01!$I$11,$C$11,Input_Prod_01!$E$33,Input_Prod_01!$A40,$L$1,$K$1)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_xll.DBRW($B$1,Input_Prod_01!$G$11,Input_Prod_01!C$14,$M$1,Input_Prod_01!$I$11,$C$11,Input_Prod_01!$E$33,Input_Prod_01!$A41,$L$1,$K$1)</f>
        <v>0</v>
      </c>
      <c r="D41" s="36">
        <f>_xll.DBRW($B$1,Input_Prod_01!$G$11,Input_Prod_01!D$14,$M$1,Input_Prod_01!$I$11,$C$11,Input_Prod_01!$E$33,Input_Prod_01!$A41,$L$1,$K$1)</f>
        <v>404.51010000000002</v>
      </c>
      <c r="E41" s="36">
        <f>_xll.DBRW($B$1,Input_Prod_01!$G$11,Input_Prod_01!E$14,$M$1,Input_Prod_01!$I$11,$C$11,Input_Prod_01!$E$33,Input_Prod_01!$A41,$L$1,$K$1)</f>
        <v>404.19170000000003</v>
      </c>
      <c r="F41" s="36">
        <f>_xll.DBRW($B$1,Input_Prod_01!$G$11,Input_Prod_01!F$14,$M$1,Input_Prod_01!$I$11,$C$11,Input_Prod_01!$E$33,Input_Prod_01!$A41,$L$1,$K$1)</f>
        <v>406.4384</v>
      </c>
      <c r="G41" s="36">
        <f>_xll.DBRW($B$1,Input_Prod_01!$G$11,Input_Prod_01!G$14,$M$1,Input_Prod_01!$I$11,$C$11,Input_Prod_01!$E$33,Input_Prod_01!$A41,$L$1,$K$1)</f>
        <v>413.43130000000002</v>
      </c>
      <c r="H41" s="36">
        <f>_xll.DBRW($B$1,Input_Prod_01!$G$11,Input_Prod_01!H$14,$M$1,Input_Prod_01!$I$11,$C$11,Input_Prod_01!$E$33,Input_Prod_01!$A41,$L$1,$K$1)</f>
        <v>416.37509999999997</v>
      </c>
      <c r="I41" s="36">
        <f>_xll.DBRW($B$1,Input_Prod_01!$G$11,Input_Prod_01!I$14,$M$1,Input_Prod_01!$I$11,$C$11,Input_Prod_01!$E$33,Input_Prod_01!$A41,$L$1,$K$1)</f>
        <v>421.22059999999999</v>
      </c>
      <c r="J41" s="36">
        <f>_xll.DBRW($B$1,Input_Prod_01!$G$11,Input_Prod_01!J$14,$M$1,Input_Prod_01!$I$11,$C$11,Input_Prod_01!$E$33,Input_Prod_01!$A41,$L$1,$K$1)</f>
        <v>424.89749999999998</v>
      </c>
      <c r="K41" s="36">
        <f>_xll.DBRW($B$1,Input_Prod_01!$G$11,Input_Prod_01!K$14,$M$1,Input_Prod_01!$I$11,$C$11,Input_Prod_01!$E$33,Input_Prod_01!$A41,$L$1,$K$1)</f>
        <v>433.08359999999999</v>
      </c>
      <c r="L41" s="36">
        <f>_xll.DBRW($B$1,Input_Prod_01!$G$11,Input_Prod_01!L$14,$M$1,Input_Prod_01!$I$11,$C$11,Input_Prod_01!$E$33,Input_Prod_01!$A41,$L$1,$K$1)</f>
        <v>434.68650000000002</v>
      </c>
      <c r="M41" s="36">
        <f>_xll.DBRW($B$1,Input_Prod_01!$G$11,Input_Prod_01!M$14,$M$1,Input_Prod_01!$I$11,$C$11,Input_Prod_01!$E$33,Input_Prod_01!$A41,$L$1,$K$1)</f>
        <v>434.99</v>
      </c>
      <c r="N41" s="36">
        <f>_xll.DBRW($B$1,Input_Prod_01!$G$11,Input_Prod_01!N$14,$M$1,Input_Prod_01!$I$11,$C$11,Input_Prod_01!$E$33,Input_Prod_01!$A41,$L$1,$K$1)</f>
        <v>430.84730000000002</v>
      </c>
      <c r="O41" s="36">
        <f>_xll.DBRW($B$1,O$13,O$15,$M$1,Input_Prod_01!$I$11,$C$11,Input_Prod_01!$E$33,Input_Prod_01!$A41,$L$1,$K$1)</f>
        <v>0</v>
      </c>
      <c r="P41" s="36">
        <f>_xll.DBRW($B$1,P$13,P$15,$M$1,Input_Prod_01!$I$11,$C$11,Input_Prod_01!$E$33,Input_Prod_01!$A41,$L$1,$K$1)</f>
        <v>0</v>
      </c>
      <c r="Q41" s="36">
        <f>_xll.DBRW($B$1,Q$13,Q$15,$M$1,Input_Prod_01!$I$11,$C$11,Input_Prod_01!$E$33,Input_Prod_01!$A41,$L$1,$K$1)</f>
        <v>0</v>
      </c>
      <c r="R41" s="36">
        <f>_xll.DBRW($B$1,R$13,R$15,$M$1,Input_Prod_01!$I$11,$C$11,Input_Prod_01!$E$33,Input_Prod_01!$A41,$L$1,$K$1)</f>
        <v>0</v>
      </c>
      <c r="S41" s="36">
        <f>_xll.DBRW($B$1,S$13,S$15,$M$1,Input_Prod_01!$I$11,$C$11,Input_Prod_01!$E$33,Input_Prod_01!$A41,$L$1,$K$1)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_xll.DBRW($B$1,Input_Prod_01!$G$11,Input_Prod_01!C$14,$M$1,Input_Prod_01!$I$11,$C$11,Input_Prod_01!$E$33,Input_Prod_01!$A42,$L$1,$K$1)</f>
        <v>0</v>
      </c>
      <c r="D42" s="36">
        <f>_xll.DBRW($B$1,Input_Prod_01!$G$11,Input_Prod_01!D$14,$M$1,Input_Prod_01!$I$11,$C$11,Input_Prod_01!$E$33,Input_Prod_01!$A42,$L$1,$K$1)</f>
        <v>0</v>
      </c>
      <c r="E42" s="36">
        <f>_xll.DBRW($B$1,Input_Prod_01!$G$11,Input_Prod_01!E$14,$M$1,Input_Prod_01!$I$11,$C$11,Input_Prod_01!$E$33,Input_Prod_01!$A42,$L$1,$K$1)</f>
        <v>0</v>
      </c>
      <c r="F42" s="36">
        <f>_xll.DBRW($B$1,Input_Prod_01!$G$11,Input_Prod_01!F$14,$M$1,Input_Prod_01!$I$11,$C$11,Input_Prod_01!$E$33,Input_Prod_01!$A42,$L$1,$K$1)</f>
        <v>0</v>
      </c>
      <c r="G42" s="36">
        <f>_xll.DBRW($B$1,Input_Prod_01!$G$11,Input_Prod_01!G$14,$M$1,Input_Prod_01!$I$11,$C$11,Input_Prod_01!$E$33,Input_Prod_01!$A42,$L$1,$K$1)</f>
        <v>0</v>
      </c>
      <c r="H42" s="36">
        <f>_xll.DBRW($B$1,Input_Prod_01!$G$11,Input_Prod_01!H$14,$M$1,Input_Prod_01!$I$11,$C$11,Input_Prod_01!$E$33,Input_Prod_01!$A42,$L$1,$K$1)</f>
        <v>0</v>
      </c>
      <c r="I42" s="36">
        <f>_xll.DBRW($B$1,Input_Prod_01!$G$11,Input_Prod_01!I$14,$M$1,Input_Prod_01!$I$11,$C$11,Input_Prod_01!$E$33,Input_Prod_01!$A42,$L$1,$K$1)</f>
        <v>0</v>
      </c>
      <c r="J42" s="36">
        <f>_xll.DBRW($B$1,Input_Prod_01!$G$11,Input_Prod_01!J$14,$M$1,Input_Prod_01!$I$11,$C$11,Input_Prod_01!$E$33,Input_Prod_01!$A42,$L$1,$K$1)</f>
        <v>0</v>
      </c>
      <c r="K42" s="36">
        <f>_xll.DBRW($B$1,Input_Prod_01!$G$11,Input_Prod_01!K$14,$M$1,Input_Prod_01!$I$11,$C$11,Input_Prod_01!$E$33,Input_Prod_01!$A42,$L$1,$K$1)</f>
        <v>0</v>
      </c>
      <c r="L42" s="36">
        <f>_xll.DBRW($B$1,Input_Prod_01!$G$11,Input_Prod_01!L$14,$M$1,Input_Prod_01!$I$11,$C$11,Input_Prod_01!$E$33,Input_Prod_01!$A42,$L$1,$K$1)</f>
        <v>0</v>
      </c>
      <c r="M42" s="36">
        <f>_xll.DBRW($B$1,Input_Prod_01!$G$11,Input_Prod_01!M$14,$M$1,Input_Prod_01!$I$11,$C$11,Input_Prod_01!$E$33,Input_Prod_01!$A42,$L$1,$K$1)</f>
        <v>0</v>
      </c>
      <c r="N42" s="36">
        <f>_xll.DBRW($B$1,Input_Prod_01!$G$11,Input_Prod_01!N$14,$M$1,Input_Prod_01!$I$11,$C$11,Input_Prod_01!$E$33,Input_Prod_01!$A42,$L$1,$K$1)</f>
        <v>0</v>
      </c>
      <c r="O42" s="36">
        <f>_xll.DBRW($B$1,O$13,O$15,$M$1,Input_Prod_01!$I$11,$C$11,Input_Prod_01!$E$33,Input_Prod_01!$A42,$L$1,$K$1)</f>
        <v>0</v>
      </c>
      <c r="P42" s="36">
        <f>_xll.DBRW($B$1,P$13,P$15,$M$1,Input_Prod_01!$I$11,$C$11,Input_Prod_01!$E$33,Input_Prod_01!$A42,$L$1,$K$1)</f>
        <v>0</v>
      </c>
      <c r="Q42" s="36">
        <f>_xll.DBRW($B$1,Q$13,Q$15,$M$1,Input_Prod_01!$I$11,$C$11,Input_Prod_01!$E$33,Input_Prod_01!$A42,$L$1,$K$1)</f>
        <v>0</v>
      </c>
      <c r="R42" s="36">
        <f>_xll.DBRW($B$1,R$13,R$15,$M$1,Input_Prod_01!$I$11,$C$11,Input_Prod_01!$E$33,Input_Prod_01!$A42,$L$1,$K$1)</f>
        <v>0</v>
      </c>
      <c r="S42" s="36">
        <f>_xll.DBRW($B$1,S$13,S$15,$M$1,Input_Prod_01!$I$11,$C$11,Input_Prod_01!$E$33,Input_Prod_01!$A42,$L$1,$K$1)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_xll.DBRW($B$1,Input_Prod_01!$G$11,Input_Prod_01!C$14,$M$1,Input_Prod_01!$I$11,$C$11,Input_Prod_01!$E$33,Input_Prod_01!$A43,$L$1,$K$1)</f>
        <v>0</v>
      </c>
      <c r="D43" s="36">
        <f>_xll.DBRW($B$1,Input_Prod_01!$G$11,Input_Prod_01!D$14,$M$1,Input_Prod_01!$I$11,$C$11,Input_Prod_01!$E$33,Input_Prod_01!$A43,$L$1,$K$1)</f>
        <v>0.3246</v>
      </c>
      <c r="E43" s="36">
        <f>_xll.DBRW($B$1,Input_Prod_01!$G$11,Input_Prod_01!E$14,$M$1,Input_Prod_01!$I$11,$C$11,Input_Prod_01!$E$33,Input_Prod_01!$A43,$L$1,$K$1)</f>
        <v>0.33310000000000001</v>
      </c>
      <c r="F43" s="36">
        <f>_xll.DBRW($B$1,Input_Prod_01!$G$11,Input_Prod_01!F$14,$M$1,Input_Prod_01!$I$11,$C$11,Input_Prod_01!$E$33,Input_Prod_01!$A43,$L$1,$K$1)</f>
        <v>0.33560000000000001</v>
      </c>
      <c r="G43" s="36">
        <f>_xll.DBRW($B$1,Input_Prod_01!$G$11,Input_Prod_01!G$14,$M$1,Input_Prod_01!$I$11,$C$11,Input_Prod_01!$E$33,Input_Prod_01!$A43,$L$1,$K$1)</f>
        <v>0.33489999999999998</v>
      </c>
      <c r="H43" s="36">
        <f>_xll.DBRW($B$1,Input_Prod_01!$G$11,Input_Prod_01!H$14,$M$1,Input_Prod_01!$I$11,$C$11,Input_Prod_01!$E$33,Input_Prod_01!$A43,$L$1,$K$1)</f>
        <v>0.33029999999999998</v>
      </c>
      <c r="I43" s="36">
        <f>_xll.DBRW($B$1,Input_Prod_01!$G$11,Input_Prod_01!I$14,$M$1,Input_Prod_01!$I$11,$C$11,Input_Prod_01!$E$33,Input_Prod_01!$A43,$L$1,$K$1)</f>
        <v>0.33079999999999998</v>
      </c>
      <c r="J43" s="36">
        <f>_xll.DBRW($B$1,Input_Prod_01!$G$11,Input_Prod_01!J$14,$M$1,Input_Prod_01!$I$11,$C$11,Input_Prod_01!$E$33,Input_Prod_01!$A43,$L$1,$K$1)</f>
        <v>0.32690000000000002</v>
      </c>
      <c r="K43" s="36">
        <f>_xll.DBRW($B$1,Input_Prod_01!$G$11,Input_Prod_01!K$14,$M$1,Input_Prod_01!$I$11,$C$11,Input_Prod_01!$E$33,Input_Prod_01!$A43,$L$1,$K$1)</f>
        <v>0.32900000000000001</v>
      </c>
      <c r="L43" s="36">
        <f>_xll.DBRW($B$1,Input_Prod_01!$G$11,Input_Prod_01!L$14,$M$1,Input_Prod_01!$I$11,$C$11,Input_Prod_01!$E$33,Input_Prod_01!$A43,$L$1,$K$1)</f>
        <v>0.33810000000000001</v>
      </c>
      <c r="M43" s="36">
        <f>_xll.DBRW($B$1,Input_Prod_01!$G$11,Input_Prod_01!M$14,$M$1,Input_Prod_01!$I$11,$C$11,Input_Prod_01!$E$33,Input_Prod_01!$A43,$L$1,$K$1)</f>
        <v>0.34660000000000002</v>
      </c>
      <c r="N43" s="36">
        <f>_xll.DBRW($B$1,Input_Prod_01!$G$11,Input_Prod_01!N$14,$M$1,Input_Prod_01!$I$11,$C$11,Input_Prod_01!$E$33,Input_Prod_01!$A43,$L$1,$K$1)</f>
        <v>0.35239999999999999</v>
      </c>
      <c r="O43" s="36">
        <f>_xll.DBRW($B$1,O$13,O$15,$M$1,Input_Prod_01!$I$11,$C$11,Input_Prod_01!$E$33,Input_Prod_01!$A43,$L$1,$K$1)</f>
        <v>0</v>
      </c>
      <c r="P43" s="36">
        <f>_xll.DBRW($B$1,P$13,P$15,$M$1,Input_Prod_01!$I$11,$C$11,Input_Prod_01!$E$33,Input_Prod_01!$A43,$L$1,$K$1)</f>
        <v>0</v>
      </c>
      <c r="Q43" s="36">
        <f>_xll.DBRW($B$1,Q$13,Q$15,$M$1,Input_Prod_01!$I$11,$C$11,Input_Prod_01!$E$33,Input_Prod_01!$A43,$L$1,$K$1)</f>
        <v>0</v>
      </c>
      <c r="R43" s="36">
        <f>_xll.DBRW($B$1,R$13,R$15,$M$1,Input_Prod_01!$I$11,$C$11,Input_Prod_01!$E$33,Input_Prod_01!$A43,$L$1,$K$1)</f>
        <v>0</v>
      </c>
      <c r="S43" s="36">
        <f>_xll.DBRW($B$1,S$13,S$15,$M$1,Input_Prod_01!$I$11,$C$11,Input_Prod_01!$E$33,Input_Prod_01!$A43,$L$1,$K$1)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_xll.DBRW($B$2,Input_Prod_01!$G$11,Input_Prod_01!C$14,$M$1,Input_Prod_01!$I$11,$C$11,$E$33,$K$2,$B$44)</f>
        <v>0</v>
      </c>
      <c r="D44" s="48">
        <f>_xll.DBRW($B$2,Input_Prod_01!$G$11,Input_Prod_01!D$14,$M$1,Input_Prod_01!$I$11,$C$11,$E$33,$K$2,$B$44)</f>
        <v>913.9998529924685</v>
      </c>
      <c r="E44" s="48">
        <f>_xll.DBRW($B$2,Input_Prod_01!$G$11,Input_Prod_01!E$14,$M$1,Input_Prod_01!$I$11,$C$11,$E$33,$K$2,$B$44)</f>
        <v>1131.0927181684231</v>
      </c>
      <c r="F44" s="48">
        <f>_xll.DBRW($B$2,Input_Prod_01!$G$11,Input_Prod_01!F$14,$M$1,Input_Prod_01!$I$11,$C$11,$E$33,$K$2,$B$44)</f>
        <v>1063.0727500287605</v>
      </c>
      <c r="G44" s="48">
        <f>_xll.DBRW($B$2,Input_Prod_01!$G$11,Input_Prod_01!G$14,$M$1,Input_Prod_01!$I$11,$C$11,$E$33,$K$2,$B$44)</f>
        <v>1152.7321405455498</v>
      </c>
      <c r="H44" s="48">
        <f>_xll.DBRW($B$2,Input_Prod_01!$G$11,Input_Prod_01!H$14,$M$1,Input_Prod_01!$I$11,$C$11,$E$33,$K$2,$B$44)</f>
        <v>1176.673674492931</v>
      </c>
      <c r="I44" s="48">
        <f>_xll.DBRW($B$2,Input_Prod_01!$G$11,Input_Prod_01!I$14,$M$1,Input_Prod_01!$I$11,$C$11,$E$33,$K$2,$B$44)</f>
        <v>1260.0393815240079</v>
      </c>
      <c r="J44" s="48">
        <f>_xll.DBRW($B$2,Input_Prod_01!$G$11,Input_Prod_01!J$14,$M$1,Input_Prod_01!$I$11,$C$11,$E$33,$K$2,$B$44)</f>
        <v>1248.8763232238873</v>
      </c>
      <c r="K44" s="48">
        <f>_xll.DBRW($B$2,Input_Prod_01!$G$11,Input_Prod_01!K$14,$M$1,Input_Prod_01!$I$11,$C$11,$E$33,$K$2,$B$44)</f>
        <v>1248.6038325080633</v>
      </c>
      <c r="L44" s="48">
        <f>_xll.DBRW($B$2,Input_Prod_01!$G$11,Input_Prod_01!L$14,$M$1,Input_Prod_01!$I$11,$C$11,$E$33,$K$2,$B$44)</f>
        <v>1240.5482896570873</v>
      </c>
      <c r="M44" s="48">
        <f>_xll.DBRW($B$2,Input_Prod_01!$G$11,Input_Prod_01!M$14,$M$1,Input_Prod_01!$I$11,$C$11,$E$33,$K$2,$B$44)</f>
        <v>1147.1421656162872</v>
      </c>
      <c r="N44" s="48">
        <f>_xll.DBRW($B$2,Input_Prod_01!$G$11,Input_Prod_01!N$14,$M$1,Input_Prod_01!$I$11,$C$11,$E$33,$K$2,$B$44)</f>
        <v>1049.8954731114748</v>
      </c>
      <c r="O44" s="48">
        <f>_xll.DBRW($B$2,O$13,$O$15,$M$1,Input_Prod_01!$I$11,$C$11,$E$33,$K$2,$B$44)</f>
        <v>0</v>
      </c>
      <c r="P44" s="48">
        <f>_xll.DBRW($B$2,P$13,$O$15,$M$1,Input_Prod_01!$I$11,$C$11,$E$33,$K$2,$B$44)</f>
        <v>0</v>
      </c>
      <c r="Q44" s="48">
        <f>_xll.DBRW($B$2,Q$13,$O$15,$M$1,Input_Prod_01!$I$11,$C$11,$E$33,$K$2,$B$44)</f>
        <v>0</v>
      </c>
      <c r="R44" s="48">
        <f>_xll.DBRW($B$2,R$13,$O$15,$M$1,Input_Prod_01!$I$11,$C$11,$E$33,$K$2,$B$44)</f>
        <v>0</v>
      </c>
      <c r="S44" s="48">
        <f>_xll.DBRW($B$2,S$13,$O$15,$M$1,Input_Prod_01!$I$11,$C$11,$E$33,$K$2,$B$44)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_xll.DBRW($B$2,Input_Prod_01!$G$11,Input_Prod_01!C$14,$M$1,Input_Prod_01!$I$11,$C$11,$E$33,$K$2,$B$45)</f>
        <v>0</v>
      </c>
      <c r="D45" s="41">
        <f>_xll.DBRW($B$2,Input_Prod_01!$G$11,Input_Prod_01!D$14,$M$1,Input_Prod_01!$I$11,$C$11,$E$33,$K$2,$B$45)</f>
        <v>690.01951758453004</v>
      </c>
      <c r="E45" s="41">
        <f>_xll.DBRW($B$2,Input_Prod_01!$G$11,Input_Prod_01!E$14,$M$1,Input_Prod_01!$I$11,$C$11,$E$33,$K$2,$B$45)</f>
        <v>848.46802052991006</v>
      </c>
      <c r="F45" s="41">
        <f>_xll.DBRW($B$2,Input_Prod_01!$G$11,Input_Prod_01!F$14,$M$1,Input_Prod_01!$I$11,$C$11,$E$33,$K$2,$B$45)</f>
        <v>795.95144506496001</v>
      </c>
      <c r="G45" s="41">
        <f>_xll.DBRW($B$2,Input_Prod_01!$G$11,Input_Prod_01!G$14,$M$1,Input_Prod_01!$I$11,$C$11,$E$33,$K$2,$B$45)</f>
        <v>863.53445242756004</v>
      </c>
      <c r="H45" s="41">
        <f>_xll.DBRW($B$2,Input_Prod_01!$G$11,Input_Prod_01!H$14,$M$1,Input_Prod_01!$I$11,$C$11,$E$33,$K$2,$B$45)</f>
        <v>884.5175332578599</v>
      </c>
      <c r="I45" s="41">
        <f>_xll.DBRW($B$2,Input_Prod_01!$G$11,Input_Prod_01!I$14,$M$1,Input_Prod_01!$I$11,$C$11,$E$33,$K$2,$B$45)</f>
        <v>946.82851031259997</v>
      </c>
      <c r="J45" s="41">
        <f>_xll.DBRW($B$2,Input_Prod_01!$G$11,Input_Prod_01!J$14,$M$1,Input_Prod_01!$I$11,$C$11,$E$33,$K$2,$B$45)</f>
        <v>941.1985253025</v>
      </c>
      <c r="K45" s="41">
        <f>_xll.DBRW($B$2,Input_Prod_01!$G$11,Input_Prod_01!K$14,$M$1,Input_Prod_01!$I$11,$C$11,$E$33,$K$2,$B$45)</f>
        <v>939.50626975776015</v>
      </c>
      <c r="L45" s="41">
        <f>_xll.DBRW($B$2,Input_Prod_01!$G$11,Input_Prod_01!L$14,$M$1,Input_Prod_01!$I$11,$C$11,$E$33,$K$2,$B$45)</f>
        <v>927.09684601829997</v>
      </c>
      <c r="M45" s="41">
        <f>_xll.DBRW($B$2,Input_Prod_01!$G$11,Input_Prod_01!M$14,$M$1,Input_Prod_01!$I$11,$C$11,$E$33,$K$2,$B$45)</f>
        <v>851.88041409200002</v>
      </c>
      <c r="N45" s="41">
        <f>_xll.DBRW($B$2,Input_Prod_01!$G$11,Input_Prod_01!N$14,$M$1,Input_Prod_01!$I$11,$C$11,$E$33,$K$2,$B$45)</f>
        <v>776.32022560741996</v>
      </c>
      <c r="O45" s="48">
        <f>_xll.DBRW($B$2,O$13,$O$15,$M$1,Input_Prod_01!$I$11,$C$11,$E$33,$K$2,$B$44)</f>
        <v>0</v>
      </c>
      <c r="P45" s="48">
        <f>_xll.DBRW($B$2,P$13,$O$15,$M$1,Input_Prod_01!$I$11,$C$11,$E$33,$K$2,$B$44)</f>
        <v>0</v>
      </c>
      <c r="Q45" s="48">
        <f>_xll.DBRW($B$2,Q$13,$O$15,$M$1,Input_Prod_01!$I$11,$C$11,$E$33,$K$2,$B$44)</f>
        <v>0</v>
      </c>
      <c r="R45" s="48">
        <f>_xll.DBRW($B$2,R$13,$O$15,$M$1,Input_Prod_01!$I$11,$C$11,$E$33,$K$2,$B$44)</f>
        <v>0</v>
      </c>
      <c r="S45" s="48">
        <f>_xll.DBRW($B$2,S$13,$O$15,$M$1,Input_Prod_01!$I$11,$C$11,$E$33,$K$2,$B$44)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8">
        <f>$G$11+1</f>
        <v>2027</v>
      </c>
      <c r="P51" s="98">
        <f>$G$11+2</f>
        <v>2028</v>
      </c>
      <c r="Q51" s="98">
        <f>$G$11+3</f>
        <v>2029</v>
      </c>
      <c r="R51" s="98">
        <f>$G$11+4</f>
        <v>2030</v>
      </c>
      <c r="S51" s="98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_xll.DBRW($B$1,Input_Prod_01!$G$11,Input_Prod_01!C$14,$M$1,Input_Prod_01!$I$11,$C$11,Input_Prod_01!$E$33,Input_Prod_01!$A53,$L$1,$K$1)</f>
        <v>0</v>
      </c>
      <c r="D53" s="36">
        <f>_xll.DBRW($B$1,Input_Prod_01!$G$11,Input_Prod_01!D$14,$M$1,Input_Prod_01!$I$11,$C$11,Input_Prod_01!$E$33,Input_Prod_01!$A53,$L$1,$K$1)</f>
        <v>0</v>
      </c>
      <c r="E53" s="36">
        <f>_xll.DBRW($B$1,Input_Prod_01!$G$11,Input_Prod_01!E$14,$M$1,Input_Prod_01!$I$11,$C$11,Input_Prod_01!$E$33,Input_Prod_01!$A53,$L$1,$K$1)</f>
        <v>0</v>
      </c>
      <c r="F53" s="36">
        <f>_xll.DBRW($B$1,Input_Prod_01!$G$11,Input_Prod_01!F$14,$M$1,Input_Prod_01!$I$11,$C$11,Input_Prod_01!$E$33,Input_Prod_01!$A53,$L$1,$K$1)</f>
        <v>0</v>
      </c>
      <c r="G53" s="36">
        <f>_xll.DBRW($B$1,Input_Prod_01!$G$11,Input_Prod_01!G$14,$M$1,Input_Prod_01!$I$11,$C$11,Input_Prod_01!$E$33,Input_Prod_01!$A53,$L$1,$K$1)</f>
        <v>0</v>
      </c>
      <c r="H53" s="36">
        <f>_xll.DBRW($B$1,Input_Prod_01!$G$11,Input_Prod_01!H$14,$M$1,Input_Prod_01!$I$11,$C$11,Input_Prod_01!$E$33,Input_Prod_01!$A53,$L$1,$K$1)</f>
        <v>0</v>
      </c>
      <c r="I53" s="36">
        <f>_xll.DBRW($B$1,Input_Prod_01!$G$11,Input_Prod_01!I$14,$M$1,Input_Prod_01!$I$11,$C$11,Input_Prod_01!$E$33,Input_Prod_01!$A53,$L$1,$K$1)</f>
        <v>0</v>
      </c>
      <c r="J53" s="36">
        <f>_xll.DBRW($B$1,Input_Prod_01!$G$11,Input_Prod_01!J$14,$M$1,Input_Prod_01!$I$11,$C$11,Input_Prod_01!$E$33,Input_Prod_01!$A53,$L$1,$K$1)</f>
        <v>0</v>
      </c>
      <c r="K53" s="36">
        <f>_xll.DBRW($B$1,Input_Prod_01!$G$11,Input_Prod_01!K$14,$M$1,Input_Prod_01!$I$11,$C$11,Input_Prod_01!$E$33,Input_Prod_01!$A53,$L$1,$K$1)</f>
        <v>0</v>
      </c>
      <c r="L53" s="36">
        <f>_xll.DBRW($B$1,Input_Prod_01!$G$11,Input_Prod_01!L$14,$M$1,Input_Prod_01!$I$11,$C$11,Input_Prod_01!$E$33,Input_Prod_01!$A53,$L$1,$K$1)</f>
        <v>0</v>
      </c>
      <c r="M53" s="36">
        <f>_xll.DBRW($B$1,Input_Prod_01!$G$11,Input_Prod_01!M$14,$M$1,Input_Prod_01!$I$11,$C$11,Input_Prod_01!$E$33,Input_Prod_01!$A53,$L$1,$K$1)</f>
        <v>0</v>
      </c>
      <c r="N53" s="36">
        <f>_xll.DBRW($B$1,Input_Prod_01!$G$11,Input_Prod_01!N$14,$M$1,Input_Prod_01!$I$11,$C$11,Input_Prod_01!$E$33,Input_Prod_01!$A53,$L$1,$K$1)</f>
        <v>0</v>
      </c>
      <c r="O53" s="36">
        <f>_xll.DBRW($B$1,O$13,O$15,$M$1,Input_Prod_01!$I$11,$C$11,Input_Prod_01!$E$33,Input_Prod_01!$A53,$L$1,$K$1)</f>
        <v>0</v>
      </c>
      <c r="P53" s="36">
        <f>_xll.DBRW($B$1,P$13,P$15,$M$1,Input_Prod_01!$I$11,$C$11,Input_Prod_01!$E$33,Input_Prod_01!$A53,$L$1,$K$1)</f>
        <v>0</v>
      </c>
      <c r="Q53" s="36">
        <f>_xll.DBRW($B$1,Q$13,Q$15,$M$1,Input_Prod_01!$I$11,$C$11,Input_Prod_01!$E$33,Input_Prod_01!$A53,$L$1,$K$1)</f>
        <v>0</v>
      </c>
      <c r="R53" s="36">
        <f>_xll.DBRW($B$1,R$13,R$15,$M$1,Input_Prod_01!$I$11,$C$11,Input_Prod_01!$E$33,Input_Prod_01!$A53,$L$1,$K$1)</f>
        <v>0</v>
      </c>
      <c r="S53" s="36">
        <f>_xll.DBRW($B$1,S$13,S$15,$M$1,Input_Prod_01!$I$11,$C$11,Input_Prod_01!$E$33,Input_Prod_01!$A53,$L$1,$K$1)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_xll.DBRW($B$1,Input_Prod_01!$G$11,Input_Prod_01!C$14,$M$1,Input_Prod_01!$I$11,$C$11,Input_Prod_01!$E$33,Input_Prod_01!$A54,$L$1,$K$1)</f>
        <v>0</v>
      </c>
      <c r="D54" s="36">
        <f>_xll.DBRW($B$1,Input_Prod_01!$G$11,Input_Prod_01!D$14,$M$1,Input_Prod_01!$I$11,$C$11,Input_Prod_01!$E$33,Input_Prod_01!$A54,$L$1,$K$1)</f>
        <v>0</v>
      </c>
      <c r="E54" s="36">
        <f>_xll.DBRW($B$1,Input_Prod_01!$G$11,Input_Prod_01!E$14,$M$1,Input_Prod_01!$I$11,$C$11,Input_Prod_01!$E$33,Input_Prod_01!$A54,$L$1,$K$1)</f>
        <v>0</v>
      </c>
      <c r="F54" s="36">
        <f>_xll.DBRW($B$1,Input_Prod_01!$G$11,Input_Prod_01!F$14,$M$1,Input_Prod_01!$I$11,$C$11,Input_Prod_01!$E$33,Input_Prod_01!$A54,$L$1,$K$1)</f>
        <v>0</v>
      </c>
      <c r="G54" s="36">
        <f>_xll.DBRW($B$1,Input_Prod_01!$G$11,Input_Prod_01!G$14,$M$1,Input_Prod_01!$I$11,$C$11,Input_Prod_01!$E$33,Input_Prod_01!$A54,$L$1,$K$1)</f>
        <v>0</v>
      </c>
      <c r="H54" s="36">
        <f>_xll.DBRW($B$1,Input_Prod_01!$G$11,Input_Prod_01!H$14,$M$1,Input_Prod_01!$I$11,$C$11,Input_Prod_01!$E$33,Input_Prod_01!$A54,$L$1,$K$1)</f>
        <v>0</v>
      </c>
      <c r="I54" s="36">
        <f>_xll.DBRW($B$1,Input_Prod_01!$G$11,Input_Prod_01!I$14,$M$1,Input_Prod_01!$I$11,$C$11,Input_Prod_01!$E$33,Input_Prod_01!$A54,$L$1,$K$1)</f>
        <v>0</v>
      </c>
      <c r="J54" s="36">
        <f>_xll.DBRW($B$1,Input_Prod_01!$G$11,Input_Prod_01!J$14,$M$1,Input_Prod_01!$I$11,$C$11,Input_Prod_01!$E$33,Input_Prod_01!$A54,$L$1,$K$1)</f>
        <v>0</v>
      </c>
      <c r="K54" s="36">
        <f>_xll.DBRW($B$1,Input_Prod_01!$G$11,Input_Prod_01!K$14,$M$1,Input_Prod_01!$I$11,$C$11,Input_Prod_01!$E$33,Input_Prod_01!$A54,$L$1,$K$1)</f>
        <v>0</v>
      </c>
      <c r="L54" s="36">
        <f>_xll.DBRW($B$1,Input_Prod_01!$G$11,Input_Prod_01!L$14,$M$1,Input_Prod_01!$I$11,$C$11,Input_Prod_01!$E$33,Input_Prod_01!$A54,$L$1,$K$1)</f>
        <v>0</v>
      </c>
      <c r="M54" s="36">
        <f>_xll.DBRW($B$1,Input_Prod_01!$G$11,Input_Prod_01!M$14,$M$1,Input_Prod_01!$I$11,$C$11,Input_Prod_01!$E$33,Input_Prod_01!$A54,$L$1,$K$1)</f>
        <v>0</v>
      </c>
      <c r="N54" s="36">
        <f>_xll.DBRW($B$1,Input_Prod_01!$G$11,Input_Prod_01!N$14,$M$1,Input_Prod_01!$I$11,$C$11,Input_Prod_01!$E$33,Input_Prod_01!$A54,$L$1,$K$1)</f>
        <v>0</v>
      </c>
      <c r="O54" s="36">
        <f>_xll.DBRW($B$1,O$13,O$15,$M$1,Input_Prod_01!$I$11,$C$11,Input_Prod_01!$E$33,Input_Prod_01!$A54,$L$1,$K$1)</f>
        <v>0</v>
      </c>
      <c r="P54" s="36">
        <f>_xll.DBRW($B$1,P$13,P$15,$M$1,Input_Prod_01!$I$11,$C$11,Input_Prod_01!$E$33,Input_Prod_01!$A54,$L$1,$K$1)</f>
        <v>0</v>
      </c>
      <c r="Q54" s="36">
        <f>_xll.DBRW($B$1,Q$13,Q$15,$M$1,Input_Prod_01!$I$11,$C$11,Input_Prod_01!$E$33,Input_Prod_01!$A54,$L$1,$K$1)</f>
        <v>0</v>
      </c>
      <c r="R54" s="36">
        <f>_xll.DBRW($B$1,R$13,R$15,$M$1,Input_Prod_01!$I$11,$C$11,Input_Prod_01!$E$33,Input_Prod_01!$A54,$L$1,$K$1)</f>
        <v>0</v>
      </c>
      <c r="S54" s="36">
        <f>_xll.DBRW($B$1,S$13,S$15,$M$1,Input_Prod_01!$I$11,$C$11,Input_Prod_01!$E$33,Input_Prod_01!$A54,$L$1,$K$1)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_xll.DBRW($B$1,Input_Prod_01!$G$11,Input_Prod_01!C$14,$M$1,Input_Prod_01!$I$11,$C$11,Input_Prod_01!$E$33,Input_Prod_01!$A55,$L$1,$K$1)</f>
        <v>0</v>
      </c>
      <c r="D55" s="36">
        <f>_xll.DBRW($B$1,Input_Prod_01!$G$11,Input_Prod_01!D$14,$M$1,Input_Prod_01!$I$11,$C$11,Input_Prod_01!$E$33,Input_Prod_01!$A55,$L$1,$K$1)</f>
        <v>0</v>
      </c>
      <c r="E55" s="36">
        <f>_xll.DBRW($B$1,Input_Prod_01!$G$11,Input_Prod_01!E$14,$M$1,Input_Prod_01!$I$11,$C$11,Input_Prod_01!$E$33,Input_Prod_01!$A55,$L$1,$K$1)</f>
        <v>0</v>
      </c>
      <c r="F55" s="36">
        <f>_xll.DBRW($B$1,Input_Prod_01!$G$11,Input_Prod_01!F$14,$M$1,Input_Prod_01!$I$11,$C$11,Input_Prod_01!$E$33,Input_Prod_01!$A55,$L$1,$K$1)</f>
        <v>0</v>
      </c>
      <c r="G55" s="36">
        <f>_xll.DBRW($B$1,Input_Prod_01!$G$11,Input_Prod_01!G$14,$M$1,Input_Prod_01!$I$11,$C$11,Input_Prod_01!$E$33,Input_Prod_01!$A55,$L$1,$K$1)</f>
        <v>0</v>
      </c>
      <c r="H55" s="36">
        <f>_xll.DBRW($B$1,Input_Prod_01!$G$11,Input_Prod_01!H$14,$M$1,Input_Prod_01!$I$11,$C$11,Input_Prod_01!$E$33,Input_Prod_01!$A55,$L$1,$K$1)</f>
        <v>0</v>
      </c>
      <c r="I55" s="36">
        <f>_xll.DBRW($B$1,Input_Prod_01!$G$11,Input_Prod_01!I$14,$M$1,Input_Prod_01!$I$11,$C$11,Input_Prod_01!$E$33,Input_Prod_01!$A55,$L$1,$K$1)</f>
        <v>0</v>
      </c>
      <c r="J55" s="36">
        <f>_xll.DBRW($B$1,Input_Prod_01!$G$11,Input_Prod_01!J$14,$M$1,Input_Prod_01!$I$11,$C$11,Input_Prod_01!$E$33,Input_Prod_01!$A55,$L$1,$K$1)</f>
        <v>0</v>
      </c>
      <c r="K55" s="36">
        <f>_xll.DBRW($B$1,Input_Prod_01!$G$11,Input_Prod_01!K$14,$M$1,Input_Prod_01!$I$11,$C$11,Input_Prod_01!$E$33,Input_Prod_01!$A55,$L$1,$K$1)</f>
        <v>0</v>
      </c>
      <c r="L55" s="36">
        <f>_xll.DBRW($B$1,Input_Prod_01!$G$11,Input_Prod_01!L$14,$M$1,Input_Prod_01!$I$11,$C$11,Input_Prod_01!$E$33,Input_Prod_01!$A55,$L$1,$K$1)</f>
        <v>0</v>
      </c>
      <c r="M55" s="36">
        <f>_xll.DBRW($B$1,Input_Prod_01!$G$11,Input_Prod_01!M$14,$M$1,Input_Prod_01!$I$11,$C$11,Input_Prod_01!$E$33,Input_Prod_01!$A55,$L$1,$K$1)</f>
        <v>0</v>
      </c>
      <c r="N55" s="36">
        <f>_xll.DBRW($B$1,Input_Prod_01!$G$11,Input_Prod_01!N$14,$M$1,Input_Prod_01!$I$11,$C$11,Input_Prod_01!$E$33,Input_Prod_01!$A55,$L$1,$K$1)</f>
        <v>0</v>
      </c>
      <c r="O55" s="36">
        <f>_xll.DBRW($B$1,O$13,O$15,$M$1,Input_Prod_01!$I$11,$C$11,Input_Prod_01!$E$33,Input_Prod_01!$A55,$L$1,$K$1)</f>
        <v>0</v>
      </c>
      <c r="P55" s="36">
        <f>_xll.DBRW($B$1,P$13,P$15,$M$1,Input_Prod_01!$I$11,$C$11,Input_Prod_01!$E$33,Input_Prod_01!$A55,$L$1,$K$1)</f>
        <v>0</v>
      </c>
      <c r="Q55" s="36">
        <f>_xll.DBRW($B$1,Q$13,Q$15,$M$1,Input_Prod_01!$I$11,$C$11,Input_Prod_01!$E$33,Input_Prod_01!$A55,$L$1,$K$1)</f>
        <v>0</v>
      </c>
      <c r="R55" s="36">
        <f>_xll.DBRW($B$1,R$13,R$15,$M$1,Input_Prod_01!$I$11,$C$11,Input_Prod_01!$E$33,Input_Prod_01!$A55,$L$1,$K$1)</f>
        <v>0</v>
      </c>
      <c r="S55" s="36">
        <f>_xll.DBRW($B$1,S$13,S$15,$M$1,Input_Prod_01!$I$11,$C$11,Input_Prod_01!$E$33,Input_Prod_01!$A55,$L$1,$K$1)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_xll.DBRW($B$1,Input_Prod_01!$G$11,Input_Prod_01!C$14,$M$1,Input_Prod_01!$I$11,$C$11,Input_Prod_01!$E$33,Input_Prod_01!$A56,$L$1,$K$1)</f>
        <v>0</v>
      </c>
      <c r="D56" s="36">
        <f>_xll.DBRW($B$1,Input_Prod_01!$G$11,Input_Prod_01!D$14,$M$1,Input_Prod_01!$I$11,$C$11,Input_Prod_01!$E$33,Input_Prod_01!$A56,$L$1,$K$1)</f>
        <v>0</v>
      </c>
      <c r="E56" s="36">
        <f>_xll.DBRW($B$1,Input_Prod_01!$G$11,Input_Prod_01!E$14,$M$1,Input_Prod_01!$I$11,$C$11,Input_Prod_01!$E$33,Input_Prod_01!$A56,$L$1,$K$1)</f>
        <v>0</v>
      </c>
      <c r="F56" s="36">
        <f>_xll.DBRW($B$1,Input_Prod_01!$G$11,Input_Prod_01!F$14,$M$1,Input_Prod_01!$I$11,$C$11,Input_Prod_01!$E$33,Input_Prod_01!$A56,$L$1,$K$1)</f>
        <v>0</v>
      </c>
      <c r="G56" s="36">
        <f>_xll.DBRW($B$1,Input_Prod_01!$G$11,Input_Prod_01!G$14,$M$1,Input_Prod_01!$I$11,$C$11,Input_Prod_01!$E$33,Input_Prod_01!$A56,$L$1,$K$1)</f>
        <v>0</v>
      </c>
      <c r="H56" s="36">
        <f>_xll.DBRW($B$1,Input_Prod_01!$G$11,Input_Prod_01!H$14,$M$1,Input_Prod_01!$I$11,$C$11,Input_Prod_01!$E$33,Input_Prod_01!$A56,$L$1,$K$1)</f>
        <v>0</v>
      </c>
      <c r="I56" s="36">
        <f>_xll.DBRW($B$1,Input_Prod_01!$G$11,Input_Prod_01!I$14,$M$1,Input_Prod_01!$I$11,$C$11,Input_Prod_01!$E$33,Input_Prod_01!$A56,$L$1,$K$1)</f>
        <v>0</v>
      </c>
      <c r="J56" s="36">
        <f>_xll.DBRW($B$1,Input_Prod_01!$G$11,Input_Prod_01!J$14,$M$1,Input_Prod_01!$I$11,$C$11,Input_Prod_01!$E$33,Input_Prod_01!$A56,$L$1,$K$1)</f>
        <v>0</v>
      </c>
      <c r="K56" s="36">
        <f>_xll.DBRW($B$1,Input_Prod_01!$G$11,Input_Prod_01!K$14,$M$1,Input_Prod_01!$I$11,$C$11,Input_Prod_01!$E$33,Input_Prod_01!$A56,$L$1,$K$1)</f>
        <v>0</v>
      </c>
      <c r="L56" s="36">
        <f>_xll.DBRW($B$1,Input_Prod_01!$G$11,Input_Prod_01!L$14,$M$1,Input_Prod_01!$I$11,$C$11,Input_Prod_01!$E$33,Input_Prod_01!$A56,$L$1,$K$1)</f>
        <v>0</v>
      </c>
      <c r="M56" s="36">
        <f>_xll.DBRW($B$1,Input_Prod_01!$G$11,Input_Prod_01!M$14,$M$1,Input_Prod_01!$I$11,$C$11,Input_Prod_01!$E$33,Input_Prod_01!$A56,$L$1,$K$1)</f>
        <v>0</v>
      </c>
      <c r="N56" s="36">
        <f>_xll.DBRW($B$1,Input_Prod_01!$G$11,Input_Prod_01!N$14,$M$1,Input_Prod_01!$I$11,$C$11,Input_Prod_01!$E$33,Input_Prod_01!$A56,$L$1,$K$1)</f>
        <v>0</v>
      </c>
      <c r="O56" s="36">
        <f>_xll.DBRW($B$1,O$13,O$15,$M$1,Input_Prod_01!$I$11,$C$11,Input_Prod_01!$E$33,Input_Prod_01!$A56,$L$1,$K$1)</f>
        <v>0</v>
      </c>
      <c r="P56" s="36">
        <f>_xll.DBRW($B$1,P$13,P$15,$M$1,Input_Prod_01!$I$11,$C$11,Input_Prod_01!$E$33,Input_Prod_01!$A56,$L$1,$K$1)</f>
        <v>0</v>
      </c>
      <c r="Q56" s="36">
        <f>_xll.DBRW($B$1,Q$13,Q$15,$M$1,Input_Prod_01!$I$11,$C$11,Input_Prod_01!$E$33,Input_Prod_01!$A56,$L$1,$K$1)</f>
        <v>0</v>
      </c>
      <c r="R56" s="36">
        <f>_xll.DBRW($B$1,R$13,R$15,$M$1,Input_Prod_01!$I$11,$C$11,Input_Prod_01!$E$33,Input_Prod_01!$A56,$L$1,$K$1)</f>
        <v>0</v>
      </c>
      <c r="S56" s="36">
        <f>_xll.DBRW($B$1,S$13,S$15,$M$1,Input_Prod_01!$I$11,$C$11,Input_Prod_01!$E$33,Input_Prod_01!$A56,$L$1,$K$1)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_xll.DBRW($B$1,Input_Prod_01!$G$11,Input_Prod_01!C$14,$M$1,Input_Prod_01!$I$11,$C$11,$E$33,$A$57,"Total Accounts Line",$K$1)</f>
        <v>0</v>
      </c>
      <c r="D57" s="48">
        <f>_xll.DBRW($B$1,Input_Prod_01!$G$11,Input_Prod_01!D$14,$M$1,Input_Prod_01!$I$11,$C$11,$E$33,$A$57,"Total Accounts Line",$K$1)</f>
        <v>0</v>
      </c>
      <c r="E57" s="48">
        <f>_xll.DBRW($B$1,Input_Prod_01!$G$11,Input_Prod_01!E$14,$M$1,Input_Prod_01!$I$11,$C$11,$E$33,$A$57,"Total Accounts Line",$K$1)</f>
        <v>0</v>
      </c>
      <c r="F57" s="48">
        <f>_xll.DBRW($B$1,Input_Prod_01!$G$11,Input_Prod_01!F$14,$M$1,Input_Prod_01!$I$11,$C$11,$E$33,$A$57,"Total Accounts Line",$K$1)</f>
        <v>0</v>
      </c>
      <c r="G57" s="48">
        <f>_xll.DBRW($B$1,Input_Prod_01!$G$11,Input_Prod_01!G$14,$M$1,Input_Prod_01!$I$11,$C$11,$E$33,$A$57,"Total Accounts Line",$K$1)</f>
        <v>0</v>
      </c>
      <c r="H57" s="48">
        <f>_xll.DBRW($B$1,Input_Prod_01!$G$11,Input_Prod_01!H$14,$M$1,Input_Prod_01!$I$11,$C$11,$E$33,$A$57,"Total Accounts Line",$K$1)</f>
        <v>0</v>
      </c>
      <c r="I57" s="48">
        <f>_xll.DBRW($B$1,Input_Prod_01!$G$11,Input_Prod_01!I$14,$M$1,Input_Prod_01!$I$11,$C$11,$E$33,$A$57,"Total Accounts Line",$K$1)</f>
        <v>0</v>
      </c>
      <c r="J57" s="48">
        <f>_xll.DBRW($B$1,Input_Prod_01!$G$11,Input_Prod_01!J$14,$M$1,Input_Prod_01!$I$11,$C$11,$E$33,$A$57,"Total Accounts Line",$K$1)</f>
        <v>0</v>
      </c>
      <c r="K57" s="48">
        <f>_xll.DBRW($B$1,Input_Prod_01!$G$11,Input_Prod_01!K$14,$M$1,Input_Prod_01!$I$11,$C$11,$E$33,$A$57,"Total Accounts Line",$K$1)</f>
        <v>0</v>
      </c>
      <c r="L57" s="48">
        <f>_xll.DBRW($B$1,Input_Prod_01!$G$11,Input_Prod_01!L$14,$M$1,Input_Prod_01!$I$11,$C$11,$E$33,$A$57,"Total Accounts Line",$K$1)</f>
        <v>0</v>
      </c>
      <c r="M57" s="48">
        <f>_xll.DBRW($B$1,Input_Prod_01!$G$11,Input_Prod_01!M$14,$M$1,Input_Prod_01!$I$11,$C$11,$E$33,$A$57,"Total Accounts Line",$K$1)</f>
        <v>0</v>
      </c>
      <c r="N57" s="48">
        <f>_xll.DBRW($B$1,Input_Prod_01!$G$11,Input_Prod_01!N$14,$M$1,Input_Prod_01!$I$11,$C$11,$E$33,$A$57,"Total Accounts Line",$K$1)</f>
        <v>0</v>
      </c>
      <c r="O57" s="48">
        <f>_xll.DBRW($B$1,O$13,$O$15,$M$1,Input_Prod_01!$I$11,$C$11,$E$33,$A$57,"Total Accounts Line",$K$1)</f>
        <v>0</v>
      </c>
      <c r="P57" s="48">
        <f>_xll.DBRW($B$1,P$13,$O$15,$M$1,Input_Prod_01!$I$11,$C$11,$E$33,$A$57,"Total Accounts Line",$K$1)</f>
        <v>0</v>
      </c>
      <c r="Q57" s="48">
        <f>_xll.DBRW($B$1,Q$13,$O$15,$M$1,Input_Prod_01!$I$11,$C$11,$E$33,$A$57,"Total Accounts Line",$K$1)</f>
        <v>0</v>
      </c>
      <c r="R57" s="48">
        <f>_xll.DBRW($B$1,R$13,$O$15,$M$1,Input_Prod_01!$I$11,$C$11,$E$33,$A$57,"Total Accounts Line",$K$1)</f>
        <v>0</v>
      </c>
      <c r="S57" s="48">
        <f>_xll.DBRW($B$1,S$13,$O$15,$M$1,Input_Prod_01!$I$11,$C$11,$E$33,$A$57,"Total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_xll.DBRW($B$1,Input_Prod_01!$G$11,Input_Prod_01!C$14,$M$1,Input_Prod_01!$I$11,$C$11,$E$33,$A$57,$A58,$K$1)</f>
        <v>0</v>
      </c>
      <c r="D58" s="36">
        <f>_xll.DBRW($B$1,Input_Prod_01!$G$11,Input_Prod_01!D$14,$M$1,Input_Prod_01!$I$11,$C$11,$E$33,$A$57,$A58,$K$1)</f>
        <v>0</v>
      </c>
      <c r="E58" s="36">
        <f>_xll.DBRW($B$1,Input_Prod_01!$G$11,Input_Prod_01!E$14,$M$1,Input_Prod_01!$I$11,$C$11,$E$33,$A$57,$A58,$K$1)</f>
        <v>0</v>
      </c>
      <c r="F58" s="36">
        <f>_xll.DBRW($B$1,Input_Prod_01!$G$11,Input_Prod_01!F$14,$M$1,Input_Prod_01!$I$11,$C$11,$E$33,$A$57,$A58,$K$1)</f>
        <v>0</v>
      </c>
      <c r="G58" s="36">
        <f>_xll.DBRW($B$1,Input_Prod_01!$G$11,Input_Prod_01!G$14,$M$1,Input_Prod_01!$I$11,$C$11,$E$33,$A$57,$A58,$K$1)</f>
        <v>0</v>
      </c>
      <c r="H58" s="36">
        <f>_xll.DBRW($B$1,Input_Prod_01!$G$11,Input_Prod_01!H$14,$M$1,Input_Prod_01!$I$11,$C$11,$E$33,$A$57,$A58,$K$1)</f>
        <v>0</v>
      </c>
      <c r="I58" s="36">
        <f>_xll.DBRW($B$1,Input_Prod_01!$G$11,Input_Prod_01!I$14,$M$1,Input_Prod_01!$I$11,$C$11,$E$33,$A$57,$A58,$K$1)</f>
        <v>0</v>
      </c>
      <c r="J58" s="36">
        <f>_xll.DBRW($B$1,Input_Prod_01!$G$11,Input_Prod_01!J$14,$M$1,Input_Prod_01!$I$11,$C$11,$E$33,$A$57,$A58,$K$1)</f>
        <v>0</v>
      </c>
      <c r="K58" s="36">
        <f>_xll.DBRW($B$1,Input_Prod_01!$G$11,Input_Prod_01!K$14,$M$1,Input_Prod_01!$I$11,$C$11,$E$33,$A$57,$A58,$K$1)</f>
        <v>0</v>
      </c>
      <c r="L58" s="36">
        <f>_xll.DBRW($B$1,Input_Prod_01!$G$11,Input_Prod_01!L$14,$M$1,Input_Prod_01!$I$11,$C$11,$E$33,$A$57,$A58,$K$1)</f>
        <v>0</v>
      </c>
      <c r="M58" s="36">
        <f>_xll.DBRW($B$1,Input_Prod_01!$G$11,Input_Prod_01!M$14,$M$1,Input_Prod_01!$I$11,$C$11,$E$33,$A$57,$A58,$K$1)</f>
        <v>0</v>
      </c>
      <c r="N58" s="36">
        <f>_xll.DBRW($B$1,Input_Prod_01!$G$11,Input_Prod_01!N$14,$M$1,Input_Prod_01!$I$11,$C$11,$E$33,$A$57,$A58,$K$1)</f>
        <v>0</v>
      </c>
      <c r="O58" s="36">
        <f>_xll.DBRW($B$1,O$13,$O$15,$M$1,Input_Prod_01!$I$11,$C$11,$E$33,$A$57,$A58,$K$1)</f>
        <v>0</v>
      </c>
      <c r="P58" s="36">
        <f>_xll.DBRW($B$1,P$13,$O$15,$M$1,Input_Prod_01!$I$11,$C$11,$E$33,$A$57,$A58,$K$1)</f>
        <v>0</v>
      </c>
      <c r="Q58" s="36">
        <f>_xll.DBRW($B$1,Q$13,$O$15,$M$1,Input_Prod_01!$I$11,$C$11,$E$33,$A$57,$A58,$K$1)</f>
        <v>0</v>
      </c>
      <c r="R58" s="36">
        <f>_xll.DBRW($B$1,R$13,$O$15,$M$1,Input_Prod_01!$I$11,$C$11,$E$33,$A$57,$A58,$K$1)</f>
        <v>0</v>
      </c>
      <c r="S58" s="36">
        <f>_xll.DBRW($B$1,S$13,$O$15,$M$1,Input_Prod_01!$I$11,$C$11,$E$33,$A$57,$A58,$K$1)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_xll.DBRW($B$1,Input_Prod_01!$G$11,Input_Prod_01!C$14,$M$1,Input_Prod_01!$I$11,$C$11,$E$33,$A$57,$A59,$K$1)</f>
        <v>0</v>
      </c>
      <c r="D59" s="36">
        <f>_xll.DBRW($B$1,Input_Prod_01!$G$11,Input_Prod_01!D$14,$M$1,Input_Prod_01!$I$11,$C$11,$E$33,$A$57,$A59,$K$1)</f>
        <v>0</v>
      </c>
      <c r="E59" s="36">
        <f>_xll.DBRW($B$1,Input_Prod_01!$G$11,Input_Prod_01!E$14,$M$1,Input_Prod_01!$I$11,$C$11,$E$33,$A$57,$A59,$K$1)</f>
        <v>0</v>
      </c>
      <c r="F59" s="36">
        <f>_xll.DBRW($B$1,Input_Prod_01!$G$11,Input_Prod_01!F$14,$M$1,Input_Prod_01!$I$11,$C$11,$E$33,$A$57,$A59,$K$1)</f>
        <v>0</v>
      </c>
      <c r="G59" s="36">
        <f>_xll.DBRW($B$1,Input_Prod_01!$G$11,Input_Prod_01!G$14,$M$1,Input_Prod_01!$I$11,$C$11,$E$33,$A$57,$A59,$K$1)</f>
        <v>0</v>
      </c>
      <c r="H59" s="36">
        <f>_xll.DBRW($B$1,Input_Prod_01!$G$11,Input_Prod_01!H$14,$M$1,Input_Prod_01!$I$11,$C$11,$E$33,$A$57,$A59,$K$1)</f>
        <v>0</v>
      </c>
      <c r="I59" s="36">
        <f>_xll.DBRW($B$1,Input_Prod_01!$G$11,Input_Prod_01!I$14,$M$1,Input_Prod_01!$I$11,$C$11,$E$33,$A$57,$A59,$K$1)</f>
        <v>0</v>
      </c>
      <c r="J59" s="36">
        <f>_xll.DBRW($B$1,Input_Prod_01!$G$11,Input_Prod_01!J$14,$M$1,Input_Prod_01!$I$11,$C$11,$E$33,$A$57,$A59,$K$1)</f>
        <v>0</v>
      </c>
      <c r="K59" s="36">
        <f>_xll.DBRW($B$1,Input_Prod_01!$G$11,Input_Prod_01!K$14,$M$1,Input_Prod_01!$I$11,$C$11,$E$33,$A$57,$A59,$K$1)</f>
        <v>0</v>
      </c>
      <c r="L59" s="36">
        <f>_xll.DBRW($B$1,Input_Prod_01!$G$11,Input_Prod_01!L$14,$M$1,Input_Prod_01!$I$11,$C$11,$E$33,$A$57,$A59,$K$1)</f>
        <v>0</v>
      </c>
      <c r="M59" s="36">
        <f>_xll.DBRW($B$1,Input_Prod_01!$G$11,Input_Prod_01!M$14,$M$1,Input_Prod_01!$I$11,$C$11,$E$33,$A$57,$A59,$K$1)</f>
        <v>0</v>
      </c>
      <c r="N59" s="36">
        <f>_xll.DBRW($B$1,Input_Prod_01!$G$11,Input_Prod_01!N$14,$M$1,Input_Prod_01!$I$11,$C$11,$E$33,$A$57,$A59,$K$1)</f>
        <v>0</v>
      </c>
      <c r="O59" s="36">
        <f>_xll.DBRW($B$1,O$13,$O$15,$M$1,Input_Prod_01!$I$11,$C$11,$E$33,$A$57,$A59,$K$1)</f>
        <v>0</v>
      </c>
      <c r="P59" s="36">
        <f>_xll.DBRW($B$1,P$13,$O$15,$M$1,Input_Prod_01!$I$11,$C$11,$E$33,$A$57,$A59,$K$1)</f>
        <v>0</v>
      </c>
      <c r="Q59" s="36">
        <f>_xll.DBRW($B$1,Q$13,$O$15,$M$1,Input_Prod_01!$I$11,$C$11,$E$33,$A$57,$A59,$K$1)</f>
        <v>0</v>
      </c>
      <c r="R59" s="36">
        <f>_xll.DBRW($B$1,R$13,$O$15,$M$1,Input_Prod_01!$I$11,$C$11,$E$33,$A$57,$A59,$K$1)</f>
        <v>0</v>
      </c>
      <c r="S59" s="36">
        <f>_xll.DBRW($B$1,S$13,$O$15,$M$1,Input_Prod_01!$I$11,$C$11,$E$33,$A$57,$A59,$K$1)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_xll.DBRW($B$1,Input_Prod_01!$G$11,Input_Prod_01!C$14,$M$1,Input_Prod_01!$I$11,$C$11,$E$33,$A$57,$A60,$K$1)</f>
        <v>0</v>
      </c>
      <c r="D60" s="36">
        <f>_xll.DBRW($B$1,Input_Prod_01!$G$11,Input_Prod_01!D$14,$M$1,Input_Prod_01!$I$11,$C$11,$E$33,$A$57,$A60,$K$1)</f>
        <v>0</v>
      </c>
      <c r="E60" s="36">
        <f>_xll.DBRW($B$1,Input_Prod_01!$G$11,Input_Prod_01!E$14,$M$1,Input_Prod_01!$I$11,$C$11,$E$33,$A$57,$A60,$K$1)</f>
        <v>0</v>
      </c>
      <c r="F60" s="36">
        <f>_xll.DBRW($B$1,Input_Prod_01!$G$11,Input_Prod_01!F$14,$M$1,Input_Prod_01!$I$11,$C$11,$E$33,$A$57,$A60,$K$1)</f>
        <v>0</v>
      </c>
      <c r="G60" s="36">
        <f>_xll.DBRW($B$1,Input_Prod_01!$G$11,Input_Prod_01!G$14,$M$1,Input_Prod_01!$I$11,$C$11,$E$33,$A$57,$A60,$K$1)</f>
        <v>0</v>
      </c>
      <c r="H60" s="36">
        <f>_xll.DBRW($B$1,Input_Prod_01!$G$11,Input_Prod_01!H$14,$M$1,Input_Prod_01!$I$11,$C$11,$E$33,$A$57,$A60,$K$1)</f>
        <v>0</v>
      </c>
      <c r="I60" s="36">
        <f>_xll.DBRW($B$1,Input_Prod_01!$G$11,Input_Prod_01!I$14,$M$1,Input_Prod_01!$I$11,$C$11,$E$33,$A$57,$A60,$K$1)</f>
        <v>0</v>
      </c>
      <c r="J60" s="36">
        <f>_xll.DBRW($B$1,Input_Prod_01!$G$11,Input_Prod_01!J$14,$M$1,Input_Prod_01!$I$11,$C$11,$E$33,$A$57,$A60,$K$1)</f>
        <v>0</v>
      </c>
      <c r="K60" s="36">
        <f>_xll.DBRW($B$1,Input_Prod_01!$G$11,Input_Prod_01!K$14,$M$1,Input_Prod_01!$I$11,$C$11,$E$33,$A$57,$A60,$K$1)</f>
        <v>0</v>
      </c>
      <c r="L60" s="36">
        <f>_xll.DBRW($B$1,Input_Prod_01!$G$11,Input_Prod_01!L$14,$M$1,Input_Prod_01!$I$11,$C$11,$E$33,$A$57,$A60,$K$1)</f>
        <v>0</v>
      </c>
      <c r="M60" s="36">
        <f>_xll.DBRW($B$1,Input_Prod_01!$G$11,Input_Prod_01!M$14,$M$1,Input_Prod_01!$I$11,$C$11,$E$33,$A$57,$A60,$K$1)</f>
        <v>0</v>
      </c>
      <c r="N60" s="36">
        <f>_xll.DBRW($B$1,Input_Prod_01!$G$11,Input_Prod_01!N$14,$M$1,Input_Prod_01!$I$11,$C$11,$E$33,$A$57,$A60,$K$1)</f>
        <v>0</v>
      </c>
      <c r="O60" s="36">
        <f>_xll.DBRW($B$1,O$13,$O$15,$M$1,Input_Prod_01!$I$11,$C$11,$E$33,$A$57,$A60,$K$1)</f>
        <v>0</v>
      </c>
      <c r="P60" s="36">
        <f>_xll.DBRW($B$1,P$13,$O$15,$M$1,Input_Prod_01!$I$11,$C$11,$E$33,$A$57,$A60,$K$1)</f>
        <v>0</v>
      </c>
      <c r="Q60" s="36">
        <f>_xll.DBRW($B$1,Q$13,$O$15,$M$1,Input_Prod_01!$I$11,$C$11,$E$33,$A$57,$A60,$K$1)</f>
        <v>0</v>
      </c>
      <c r="R60" s="36">
        <f>_xll.DBRW($B$1,R$13,$O$15,$M$1,Input_Prod_01!$I$11,$C$11,$E$33,$A$57,$A60,$K$1)</f>
        <v>0</v>
      </c>
      <c r="S60" s="36">
        <f>_xll.DBRW($B$1,S$13,$O$15,$M$1,Input_Prod_01!$I$11,$C$11,$E$33,$A$57,$A60,$K$1)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_xll.DBRW($B$1,Input_Prod_01!$G$11,Input_Prod_01!C$14,$M$1,Input_Prod_01!$I$11,$C$11,$E$33,$A$57,$A61,$K$1)</f>
        <v>0</v>
      </c>
      <c r="D61" s="36">
        <f>_xll.DBRW($B$1,Input_Prod_01!$G$11,Input_Prod_01!D$14,$M$1,Input_Prod_01!$I$11,$C$11,$E$33,$A$57,$A61,$K$1)</f>
        <v>0</v>
      </c>
      <c r="E61" s="36">
        <f>_xll.DBRW($B$1,Input_Prod_01!$G$11,Input_Prod_01!E$14,$M$1,Input_Prod_01!$I$11,$C$11,$E$33,$A$57,$A61,$K$1)</f>
        <v>0</v>
      </c>
      <c r="F61" s="36">
        <f>_xll.DBRW($B$1,Input_Prod_01!$G$11,Input_Prod_01!F$14,$M$1,Input_Prod_01!$I$11,$C$11,$E$33,$A$57,$A61,$K$1)</f>
        <v>0</v>
      </c>
      <c r="G61" s="36">
        <f>_xll.DBRW($B$1,Input_Prod_01!$G$11,Input_Prod_01!G$14,$M$1,Input_Prod_01!$I$11,$C$11,$E$33,$A$57,$A61,$K$1)</f>
        <v>0</v>
      </c>
      <c r="H61" s="36">
        <f>_xll.DBRW($B$1,Input_Prod_01!$G$11,Input_Prod_01!H$14,$M$1,Input_Prod_01!$I$11,$C$11,$E$33,$A$57,$A61,$K$1)</f>
        <v>0</v>
      </c>
      <c r="I61" s="36">
        <f>_xll.DBRW($B$1,Input_Prod_01!$G$11,Input_Prod_01!I$14,$M$1,Input_Prod_01!$I$11,$C$11,$E$33,$A$57,$A61,$K$1)</f>
        <v>0</v>
      </c>
      <c r="J61" s="36">
        <f>_xll.DBRW($B$1,Input_Prod_01!$G$11,Input_Prod_01!J$14,$M$1,Input_Prod_01!$I$11,$C$11,$E$33,$A$57,$A61,$K$1)</f>
        <v>0</v>
      </c>
      <c r="K61" s="36">
        <f>_xll.DBRW($B$1,Input_Prod_01!$G$11,Input_Prod_01!K$14,$M$1,Input_Prod_01!$I$11,$C$11,$E$33,$A$57,$A61,$K$1)</f>
        <v>0</v>
      </c>
      <c r="L61" s="36">
        <f>_xll.DBRW($B$1,Input_Prod_01!$G$11,Input_Prod_01!L$14,$M$1,Input_Prod_01!$I$11,$C$11,$E$33,$A$57,$A61,$K$1)</f>
        <v>0</v>
      </c>
      <c r="M61" s="36">
        <f>_xll.DBRW($B$1,Input_Prod_01!$G$11,Input_Prod_01!M$14,$M$1,Input_Prod_01!$I$11,$C$11,$E$33,$A$57,$A61,$K$1)</f>
        <v>0</v>
      </c>
      <c r="N61" s="36">
        <f>_xll.DBRW($B$1,Input_Prod_01!$G$11,Input_Prod_01!N$14,$M$1,Input_Prod_01!$I$11,$C$11,$E$33,$A$57,$A61,$K$1)</f>
        <v>0</v>
      </c>
      <c r="O61" s="36">
        <f>_xll.DBRW($B$1,O$13,$O$15,$M$1,Input_Prod_01!$I$11,$C$11,$E$33,$A$57,$A61,$K$1)</f>
        <v>0</v>
      </c>
      <c r="P61" s="36">
        <f>_xll.DBRW($B$1,P$13,$O$15,$M$1,Input_Prod_01!$I$11,$C$11,$E$33,$A$57,$A61,$K$1)</f>
        <v>0</v>
      </c>
      <c r="Q61" s="36">
        <f>_xll.DBRW($B$1,Q$13,$O$15,$M$1,Input_Prod_01!$I$11,$C$11,$E$33,$A$57,$A61,$K$1)</f>
        <v>0</v>
      </c>
      <c r="R61" s="36">
        <f>_xll.DBRW($B$1,R$13,$O$15,$M$1,Input_Prod_01!$I$11,$C$11,$E$33,$A$57,$A61,$K$1)</f>
        <v>0</v>
      </c>
      <c r="S61" s="36">
        <f>_xll.DBRW($B$1,S$13,$O$15,$M$1,Input_Prod_01!$I$11,$C$11,$E$33,$A$57,$A61,$K$1)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_xll.DBRW($B$1,Input_Prod_01!$G$11,Input_Prod_01!C$14,$M$1,Input_Prod_01!$I$11,$C$11,$E$33,$A$57,$A62,$K$1)</f>
        <v>0</v>
      </c>
      <c r="D62" s="36">
        <f>_xll.DBRW($B$1,Input_Prod_01!$G$11,Input_Prod_01!D$14,$M$1,Input_Prod_01!$I$11,$C$11,$E$33,$A$57,$A62,$K$1)</f>
        <v>0</v>
      </c>
      <c r="E62" s="36">
        <f>_xll.DBRW($B$1,Input_Prod_01!$G$11,Input_Prod_01!E$14,$M$1,Input_Prod_01!$I$11,$C$11,$E$33,$A$57,$A62,$K$1)</f>
        <v>0</v>
      </c>
      <c r="F62" s="36">
        <f>_xll.DBRW($B$1,Input_Prod_01!$G$11,Input_Prod_01!F$14,$M$1,Input_Prod_01!$I$11,$C$11,$E$33,$A$57,$A62,$K$1)</f>
        <v>0</v>
      </c>
      <c r="G62" s="36">
        <f>_xll.DBRW($B$1,Input_Prod_01!$G$11,Input_Prod_01!G$14,$M$1,Input_Prod_01!$I$11,$C$11,$E$33,$A$57,$A62,$K$1)</f>
        <v>0</v>
      </c>
      <c r="H62" s="36">
        <f>_xll.DBRW($B$1,Input_Prod_01!$G$11,Input_Prod_01!H$14,$M$1,Input_Prod_01!$I$11,$C$11,$E$33,$A$57,$A62,$K$1)</f>
        <v>0</v>
      </c>
      <c r="I62" s="36">
        <f>_xll.DBRW($B$1,Input_Prod_01!$G$11,Input_Prod_01!I$14,$M$1,Input_Prod_01!$I$11,$C$11,$E$33,$A$57,$A62,$K$1)</f>
        <v>0</v>
      </c>
      <c r="J62" s="36">
        <f>_xll.DBRW($B$1,Input_Prod_01!$G$11,Input_Prod_01!J$14,$M$1,Input_Prod_01!$I$11,$C$11,$E$33,$A$57,$A62,$K$1)</f>
        <v>0</v>
      </c>
      <c r="K62" s="36">
        <f>_xll.DBRW($B$1,Input_Prod_01!$G$11,Input_Prod_01!K$14,$M$1,Input_Prod_01!$I$11,$C$11,$E$33,$A$57,$A62,$K$1)</f>
        <v>0</v>
      </c>
      <c r="L62" s="36">
        <f>_xll.DBRW($B$1,Input_Prod_01!$G$11,Input_Prod_01!L$14,$M$1,Input_Prod_01!$I$11,$C$11,$E$33,$A$57,$A62,$K$1)</f>
        <v>0</v>
      </c>
      <c r="M62" s="36">
        <f>_xll.DBRW($B$1,Input_Prod_01!$G$11,Input_Prod_01!M$14,$M$1,Input_Prod_01!$I$11,$C$11,$E$33,$A$57,$A62,$K$1)</f>
        <v>0</v>
      </c>
      <c r="N62" s="36">
        <f>_xll.DBRW($B$1,Input_Prod_01!$G$11,Input_Prod_01!N$14,$M$1,Input_Prod_01!$I$11,$C$11,$E$33,$A$57,$A62,$K$1)</f>
        <v>0</v>
      </c>
      <c r="O62" s="36">
        <f>_xll.DBRW($B$1,O$13,$O$15,$M$1,Input_Prod_01!$I$11,$C$11,$E$33,$A$57,$A62,$K$1)</f>
        <v>0</v>
      </c>
      <c r="P62" s="36">
        <f>_xll.DBRW($B$1,P$13,$O$15,$M$1,Input_Prod_01!$I$11,$C$11,$E$33,$A$57,$A62,$K$1)</f>
        <v>0</v>
      </c>
      <c r="Q62" s="36">
        <f>_xll.DBRW($B$1,Q$13,$O$15,$M$1,Input_Prod_01!$I$11,$C$11,$E$33,$A$57,$A62,$K$1)</f>
        <v>0</v>
      </c>
      <c r="R62" s="36">
        <f>_xll.DBRW($B$1,R$13,$O$15,$M$1,Input_Prod_01!$I$11,$C$11,$E$33,$A$57,$A62,$K$1)</f>
        <v>0</v>
      </c>
      <c r="S62" s="36">
        <f>_xll.DBRW($B$1,S$13,$O$15,$M$1,Input_Prod_01!$I$11,$C$11,$E$33,$A$57,$A62,$K$1)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_xll.DBRW($B$1,Input_Prod_01!$G$11,Input_Prod_01!C$14,$M$1,Input_Prod_01!$I$11,$C$11,$E$33,$A$57,$A63,$K$1)</f>
        <v>0</v>
      </c>
      <c r="D63" s="36">
        <f>_xll.DBRW($B$1,Input_Prod_01!$G$11,Input_Prod_01!D$14,$M$1,Input_Prod_01!$I$11,$C$11,$E$33,$A$57,$A63,$K$1)</f>
        <v>0</v>
      </c>
      <c r="E63" s="36">
        <f>_xll.DBRW($B$1,Input_Prod_01!$G$11,Input_Prod_01!E$14,$M$1,Input_Prod_01!$I$11,$C$11,$E$33,$A$57,$A63,$K$1)</f>
        <v>0</v>
      </c>
      <c r="F63" s="36">
        <f>_xll.DBRW($B$1,Input_Prod_01!$G$11,Input_Prod_01!F$14,$M$1,Input_Prod_01!$I$11,$C$11,$E$33,$A$57,$A63,$K$1)</f>
        <v>0</v>
      </c>
      <c r="G63" s="36">
        <f>_xll.DBRW($B$1,Input_Prod_01!$G$11,Input_Prod_01!G$14,$M$1,Input_Prod_01!$I$11,$C$11,$E$33,$A$57,$A63,$K$1)</f>
        <v>0</v>
      </c>
      <c r="H63" s="36">
        <f>_xll.DBRW($B$1,Input_Prod_01!$G$11,Input_Prod_01!H$14,$M$1,Input_Prod_01!$I$11,$C$11,$E$33,$A$57,$A63,$K$1)</f>
        <v>0</v>
      </c>
      <c r="I63" s="36">
        <f>_xll.DBRW($B$1,Input_Prod_01!$G$11,Input_Prod_01!I$14,$M$1,Input_Prod_01!$I$11,$C$11,$E$33,$A$57,$A63,$K$1)</f>
        <v>0</v>
      </c>
      <c r="J63" s="36">
        <f>_xll.DBRW($B$1,Input_Prod_01!$G$11,Input_Prod_01!J$14,$M$1,Input_Prod_01!$I$11,$C$11,$E$33,$A$57,$A63,$K$1)</f>
        <v>0</v>
      </c>
      <c r="K63" s="36">
        <f>_xll.DBRW($B$1,Input_Prod_01!$G$11,Input_Prod_01!K$14,$M$1,Input_Prod_01!$I$11,$C$11,$E$33,$A$57,$A63,$K$1)</f>
        <v>0</v>
      </c>
      <c r="L63" s="36">
        <f>_xll.DBRW($B$1,Input_Prod_01!$G$11,Input_Prod_01!L$14,$M$1,Input_Prod_01!$I$11,$C$11,$E$33,$A$57,$A63,$K$1)</f>
        <v>0</v>
      </c>
      <c r="M63" s="36">
        <f>_xll.DBRW($B$1,Input_Prod_01!$G$11,Input_Prod_01!M$14,$M$1,Input_Prod_01!$I$11,$C$11,$E$33,$A$57,$A63,$K$1)</f>
        <v>0</v>
      </c>
      <c r="N63" s="36">
        <f>_xll.DBRW($B$1,Input_Prod_01!$G$11,Input_Prod_01!N$14,$M$1,Input_Prod_01!$I$11,$C$11,$E$33,$A$57,$A63,$K$1)</f>
        <v>0</v>
      </c>
      <c r="O63" s="36">
        <f>_xll.DBRW($B$1,O$13,$O$15,$M$1,Input_Prod_01!$I$11,$C$11,$E$33,$A$57,$A63,$K$1)</f>
        <v>0</v>
      </c>
      <c r="P63" s="36">
        <f>_xll.DBRW($B$1,P$13,$O$15,$M$1,Input_Prod_01!$I$11,$C$11,$E$33,$A$57,$A63,$K$1)</f>
        <v>0</v>
      </c>
      <c r="Q63" s="36">
        <f>_xll.DBRW($B$1,Q$13,$O$15,$M$1,Input_Prod_01!$I$11,$C$11,$E$33,$A$57,$A63,$K$1)</f>
        <v>0</v>
      </c>
      <c r="R63" s="36">
        <f>_xll.DBRW($B$1,R$13,$O$15,$M$1,Input_Prod_01!$I$11,$C$11,$E$33,$A$57,$A63,$K$1)</f>
        <v>0</v>
      </c>
      <c r="S63" s="36">
        <f>_xll.DBRW($B$1,S$13,$O$15,$M$1,Input_Prod_01!$I$11,$C$11,$E$33,$A$57,$A63,$K$1)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_xll.DBRW($B$1,Input_Prod_01!$G$11,Input_Prod_01!C$14,$M$1,Input_Prod_01!$I$11,$C$11,$E$33,$A$57,$A64,$K$1)</f>
        <v>0</v>
      </c>
      <c r="D64" s="36">
        <f>_xll.DBRW($B$1,Input_Prod_01!$G$11,Input_Prod_01!D$14,$M$1,Input_Prod_01!$I$11,$C$11,$E$33,$A$57,$A64,$K$1)</f>
        <v>0</v>
      </c>
      <c r="E64" s="36">
        <f>_xll.DBRW($B$1,Input_Prod_01!$G$11,Input_Prod_01!E$14,$M$1,Input_Prod_01!$I$11,$C$11,$E$33,$A$57,$A64,$K$1)</f>
        <v>0</v>
      </c>
      <c r="F64" s="36">
        <f>_xll.DBRW($B$1,Input_Prod_01!$G$11,Input_Prod_01!F$14,$M$1,Input_Prod_01!$I$11,$C$11,$E$33,$A$57,$A64,$K$1)</f>
        <v>0</v>
      </c>
      <c r="G64" s="36">
        <f>_xll.DBRW($B$1,Input_Prod_01!$G$11,Input_Prod_01!G$14,$M$1,Input_Prod_01!$I$11,$C$11,$E$33,$A$57,$A64,$K$1)</f>
        <v>0</v>
      </c>
      <c r="H64" s="36">
        <f>_xll.DBRW($B$1,Input_Prod_01!$G$11,Input_Prod_01!H$14,$M$1,Input_Prod_01!$I$11,$C$11,$E$33,$A$57,$A64,$K$1)</f>
        <v>0</v>
      </c>
      <c r="I64" s="36">
        <f>_xll.DBRW($B$1,Input_Prod_01!$G$11,Input_Prod_01!I$14,$M$1,Input_Prod_01!$I$11,$C$11,$E$33,$A$57,$A64,$K$1)</f>
        <v>0</v>
      </c>
      <c r="J64" s="36">
        <f>_xll.DBRW($B$1,Input_Prod_01!$G$11,Input_Prod_01!J$14,$M$1,Input_Prod_01!$I$11,$C$11,$E$33,$A$57,$A64,$K$1)</f>
        <v>0</v>
      </c>
      <c r="K64" s="36">
        <f>_xll.DBRW($B$1,Input_Prod_01!$G$11,Input_Prod_01!K$14,$M$1,Input_Prod_01!$I$11,$C$11,$E$33,$A$57,$A64,$K$1)</f>
        <v>0</v>
      </c>
      <c r="L64" s="36">
        <f>_xll.DBRW($B$1,Input_Prod_01!$G$11,Input_Prod_01!L$14,$M$1,Input_Prod_01!$I$11,$C$11,$E$33,$A$57,$A64,$K$1)</f>
        <v>0</v>
      </c>
      <c r="M64" s="36">
        <f>_xll.DBRW($B$1,Input_Prod_01!$G$11,Input_Prod_01!M$14,$M$1,Input_Prod_01!$I$11,$C$11,$E$33,$A$57,$A64,$K$1)</f>
        <v>0</v>
      </c>
      <c r="N64" s="36">
        <f>_xll.DBRW($B$1,Input_Prod_01!$G$11,Input_Prod_01!N$14,$M$1,Input_Prod_01!$I$11,$C$11,$E$33,$A$57,$A64,$K$1)</f>
        <v>0</v>
      </c>
      <c r="O64" s="36">
        <f>_xll.DBRW($B$1,O$13,$O$15,$M$1,Input_Prod_01!$I$11,$C$11,$E$33,$A$57,$A64,$K$1)</f>
        <v>0</v>
      </c>
      <c r="P64" s="36">
        <f>_xll.DBRW($B$1,P$13,$O$15,$M$1,Input_Prod_01!$I$11,$C$11,$E$33,$A$57,$A64,$K$1)</f>
        <v>0</v>
      </c>
      <c r="Q64" s="36">
        <f>_xll.DBRW($B$1,Q$13,$O$15,$M$1,Input_Prod_01!$I$11,$C$11,$E$33,$A$57,$A64,$K$1)</f>
        <v>0</v>
      </c>
      <c r="R64" s="36">
        <f>_xll.DBRW($B$1,R$13,$O$15,$M$1,Input_Prod_01!$I$11,$C$11,$E$33,$A$57,$A64,$K$1)</f>
        <v>0</v>
      </c>
      <c r="S64" s="36">
        <f>_xll.DBRW($B$1,S$13,$O$15,$M$1,Input_Prod_01!$I$11,$C$11,$E$33,$A$57,$A64,$K$1)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_xll.DBRW($B$1,Input_Prod_01!$G$11,Input_Prod_01!C$14,$M$1,Input_Prod_01!$I$11,$C$11,$E$33,$A$57,$A65,$K$1)</f>
        <v>0</v>
      </c>
      <c r="D65" s="36">
        <f>_xll.DBRW($B$1,Input_Prod_01!$G$11,Input_Prod_01!D$14,$M$1,Input_Prod_01!$I$11,$C$11,$E$33,$A$57,$A65,$K$1)</f>
        <v>0</v>
      </c>
      <c r="E65" s="36">
        <f>_xll.DBRW($B$1,Input_Prod_01!$G$11,Input_Prod_01!E$14,$M$1,Input_Prod_01!$I$11,$C$11,$E$33,$A$57,$A65,$K$1)</f>
        <v>0</v>
      </c>
      <c r="F65" s="36">
        <f>_xll.DBRW($B$1,Input_Prod_01!$G$11,Input_Prod_01!F$14,$M$1,Input_Prod_01!$I$11,$C$11,$E$33,$A$57,$A65,$K$1)</f>
        <v>0</v>
      </c>
      <c r="G65" s="36">
        <f>_xll.DBRW($B$1,Input_Prod_01!$G$11,Input_Prod_01!G$14,$M$1,Input_Prod_01!$I$11,$C$11,$E$33,$A$57,$A65,$K$1)</f>
        <v>0</v>
      </c>
      <c r="H65" s="36">
        <f>_xll.DBRW($B$1,Input_Prod_01!$G$11,Input_Prod_01!H$14,$M$1,Input_Prod_01!$I$11,$C$11,$E$33,$A$57,$A65,$K$1)</f>
        <v>0</v>
      </c>
      <c r="I65" s="36">
        <f>_xll.DBRW($B$1,Input_Prod_01!$G$11,Input_Prod_01!I$14,$M$1,Input_Prod_01!$I$11,$C$11,$E$33,$A$57,$A65,$K$1)</f>
        <v>0</v>
      </c>
      <c r="J65" s="36">
        <f>_xll.DBRW($B$1,Input_Prod_01!$G$11,Input_Prod_01!J$14,$M$1,Input_Prod_01!$I$11,$C$11,$E$33,$A$57,$A65,$K$1)</f>
        <v>0</v>
      </c>
      <c r="K65" s="36">
        <f>_xll.DBRW($B$1,Input_Prod_01!$G$11,Input_Prod_01!K$14,$M$1,Input_Prod_01!$I$11,$C$11,$E$33,$A$57,$A65,$K$1)</f>
        <v>0</v>
      </c>
      <c r="L65" s="36">
        <f>_xll.DBRW($B$1,Input_Prod_01!$G$11,Input_Prod_01!L$14,$M$1,Input_Prod_01!$I$11,$C$11,$E$33,$A$57,$A65,$K$1)</f>
        <v>0</v>
      </c>
      <c r="M65" s="36">
        <f>_xll.DBRW($B$1,Input_Prod_01!$G$11,Input_Prod_01!M$14,$M$1,Input_Prod_01!$I$11,$C$11,$E$33,$A$57,$A65,$K$1)</f>
        <v>0</v>
      </c>
      <c r="N65" s="36">
        <f>_xll.DBRW($B$1,Input_Prod_01!$G$11,Input_Prod_01!N$14,$M$1,Input_Prod_01!$I$11,$C$11,$E$33,$A$57,$A65,$K$1)</f>
        <v>0</v>
      </c>
      <c r="O65" s="36">
        <f>_xll.DBRW($B$1,O$13,$O$15,$M$1,Input_Prod_01!$I$11,$C$11,$E$33,$A$57,$A65,$K$1)</f>
        <v>0</v>
      </c>
      <c r="P65" s="36">
        <f>_xll.DBRW($B$1,P$13,$O$15,$M$1,Input_Prod_01!$I$11,$C$11,$E$33,$A$57,$A65,$K$1)</f>
        <v>0</v>
      </c>
      <c r="Q65" s="36">
        <f>_xll.DBRW($B$1,Q$13,$O$15,$M$1,Input_Prod_01!$I$11,$C$11,$E$33,$A$57,$A65,$K$1)</f>
        <v>0</v>
      </c>
      <c r="R65" s="36">
        <f>_xll.DBRW($B$1,R$13,$O$15,$M$1,Input_Prod_01!$I$11,$C$11,$E$33,$A$57,$A65,$K$1)</f>
        <v>0</v>
      </c>
      <c r="S65" s="36">
        <f>_xll.DBRW($B$1,S$13,$O$15,$M$1,Input_Prod_01!$I$11,$C$11,$E$33,$A$57,$A65,$K$1)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_xll.DBRW($B$1,Input_Prod_01!$G$11,Input_Prod_01!C$14,$M$1,Input_Prod_01!$I$11,$C$11,$E$33,$A$57,$A66,$K$1)</f>
        <v>0</v>
      </c>
      <c r="D66" s="36">
        <f>_xll.DBRW($B$1,Input_Prod_01!$G$11,Input_Prod_01!D$14,$M$1,Input_Prod_01!$I$11,$C$11,$E$33,$A$57,$A66,$K$1)</f>
        <v>0</v>
      </c>
      <c r="E66" s="36">
        <f>_xll.DBRW($B$1,Input_Prod_01!$G$11,Input_Prod_01!E$14,$M$1,Input_Prod_01!$I$11,$C$11,$E$33,$A$57,$A66,$K$1)</f>
        <v>0</v>
      </c>
      <c r="F66" s="36">
        <f>_xll.DBRW($B$1,Input_Prod_01!$G$11,Input_Prod_01!F$14,$M$1,Input_Prod_01!$I$11,$C$11,$E$33,$A$57,$A66,$K$1)</f>
        <v>0</v>
      </c>
      <c r="G66" s="36">
        <f>_xll.DBRW($B$1,Input_Prod_01!$G$11,Input_Prod_01!G$14,$M$1,Input_Prod_01!$I$11,$C$11,$E$33,$A$57,$A66,$K$1)</f>
        <v>0</v>
      </c>
      <c r="H66" s="36">
        <f>_xll.DBRW($B$1,Input_Prod_01!$G$11,Input_Prod_01!H$14,$M$1,Input_Prod_01!$I$11,$C$11,$E$33,$A$57,$A66,$K$1)</f>
        <v>0</v>
      </c>
      <c r="I66" s="36">
        <f>_xll.DBRW($B$1,Input_Prod_01!$G$11,Input_Prod_01!I$14,$M$1,Input_Prod_01!$I$11,$C$11,$E$33,$A$57,$A66,$K$1)</f>
        <v>0</v>
      </c>
      <c r="J66" s="36">
        <f>_xll.DBRW($B$1,Input_Prod_01!$G$11,Input_Prod_01!J$14,$M$1,Input_Prod_01!$I$11,$C$11,$E$33,$A$57,$A66,$K$1)</f>
        <v>0</v>
      </c>
      <c r="K66" s="36">
        <f>_xll.DBRW($B$1,Input_Prod_01!$G$11,Input_Prod_01!K$14,$M$1,Input_Prod_01!$I$11,$C$11,$E$33,$A$57,$A66,$K$1)</f>
        <v>0</v>
      </c>
      <c r="L66" s="36">
        <f>_xll.DBRW($B$1,Input_Prod_01!$G$11,Input_Prod_01!L$14,$M$1,Input_Prod_01!$I$11,$C$11,$E$33,$A$57,$A66,$K$1)</f>
        <v>0</v>
      </c>
      <c r="M66" s="36">
        <f>_xll.DBRW($B$1,Input_Prod_01!$G$11,Input_Prod_01!M$14,$M$1,Input_Prod_01!$I$11,$C$11,$E$33,$A$57,$A66,$K$1)</f>
        <v>0</v>
      </c>
      <c r="N66" s="36">
        <f>_xll.DBRW($B$1,Input_Prod_01!$G$11,Input_Prod_01!N$14,$M$1,Input_Prod_01!$I$11,$C$11,$E$33,$A$57,$A66,$K$1)</f>
        <v>0</v>
      </c>
      <c r="O66" s="36">
        <f>_xll.DBRW($B$1,O$13,$O$15,$M$1,Input_Prod_01!$I$11,$C$11,$E$33,$A$57,$A66,$K$1)</f>
        <v>0</v>
      </c>
      <c r="P66" s="36">
        <f>_xll.DBRW($B$1,P$13,$O$15,$M$1,Input_Prod_01!$I$11,$C$11,$E$33,$A$57,$A66,$K$1)</f>
        <v>0</v>
      </c>
      <c r="Q66" s="36">
        <f>_xll.DBRW($B$1,Q$13,$O$15,$M$1,Input_Prod_01!$I$11,$C$11,$E$33,$A$57,$A66,$K$1)</f>
        <v>0</v>
      </c>
      <c r="R66" s="36">
        <f>_xll.DBRW($B$1,R$13,$O$15,$M$1,Input_Prod_01!$I$11,$C$11,$E$33,$A$57,$A66,$K$1)</f>
        <v>0</v>
      </c>
      <c r="S66" s="36">
        <f>_xll.DBRW($B$1,S$13,$O$15,$M$1,Input_Prod_01!$I$11,$C$11,$E$33,$A$57,$A66,$K$1)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_xll.DBRW($B$1,Input_Prod_01!$G$11,Input_Prod_01!C$14,$M$1,Input_Prod_01!$I$11,$C$11,$E$33,$A$57,$A67,$K$1)</f>
        <v>0</v>
      </c>
      <c r="D67" s="36">
        <f>_xll.DBRW($B$1,Input_Prod_01!$G$11,Input_Prod_01!D$14,$M$1,Input_Prod_01!$I$11,$C$11,$E$33,$A$57,$A67,$K$1)</f>
        <v>0</v>
      </c>
      <c r="E67" s="36">
        <f>_xll.DBRW($B$1,Input_Prod_01!$G$11,Input_Prod_01!E$14,$M$1,Input_Prod_01!$I$11,$C$11,$E$33,$A$57,$A67,$K$1)</f>
        <v>0</v>
      </c>
      <c r="F67" s="36">
        <f>_xll.DBRW($B$1,Input_Prod_01!$G$11,Input_Prod_01!F$14,$M$1,Input_Prod_01!$I$11,$C$11,$E$33,$A$57,$A67,$K$1)</f>
        <v>0</v>
      </c>
      <c r="G67" s="36">
        <f>_xll.DBRW($B$1,Input_Prod_01!$G$11,Input_Prod_01!G$14,$M$1,Input_Prod_01!$I$11,$C$11,$E$33,$A$57,$A67,$K$1)</f>
        <v>0</v>
      </c>
      <c r="H67" s="36">
        <f>_xll.DBRW($B$1,Input_Prod_01!$G$11,Input_Prod_01!H$14,$M$1,Input_Prod_01!$I$11,$C$11,$E$33,$A$57,$A67,$K$1)</f>
        <v>0</v>
      </c>
      <c r="I67" s="36">
        <f>_xll.DBRW($B$1,Input_Prod_01!$G$11,Input_Prod_01!I$14,$M$1,Input_Prod_01!$I$11,$C$11,$E$33,$A$57,$A67,$K$1)</f>
        <v>0</v>
      </c>
      <c r="J67" s="36">
        <f>_xll.DBRW($B$1,Input_Prod_01!$G$11,Input_Prod_01!J$14,$M$1,Input_Prod_01!$I$11,$C$11,$E$33,$A$57,$A67,$K$1)</f>
        <v>0</v>
      </c>
      <c r="K67" s="36">
        <f>_xll.DBRW($B$1,Input_Prod_01!$G$11,Input_Prod_01!K$14,$M$1,Input_Prod_01!$I$11,$C$11,$E$33,$A$57,$A67,$K$1)</f>
        <v>0</v>
      </c>
      <c r="L67" s="36">
        <f>_xll.DBRW($B$1,Input_Prod_01!$G$11,Input_Prod_01!L$14,$M$1,Input_Prod_01!$I$11,$C$11,$E$33,$A$57,$A67,$K$1)</f>
        <v>0</v>
      </c>
      <c r="M67" s="36">
        <f>_xll.DBRW($B$1,Input_Prod_01!$G$11,Input_Prod_01!M$14,$M$1,Input_Prod_01!$I$11,$C$11,$E$33,$A$57,$A67,$K$1)</f>
        <v>0</v>
      </c>
      <c r="N67" s="36">
        <f>_xll.DBRW($B$1,Input_Prod_01!$G$11,Input_Prod_01!N$14,$M$1,Input_Prod_01!$I$11,$C$11,$E$33,$A$57,$A67,$K$1)</f>
        <v>0</v>
      </c>
      <c r="O67" s="36">
        <f>_xll.DBRW($B$1,O$13,$O$15,$M$1,Input_Prod_01!$I$11,$C$11,$E$33,$A$57,$A67,$K$1)</f>
        <v>0</v>
      </c>
      <c r="P67" s="36">
        <f>_xll.DBRW($B$1,P$13,$O$15,$M$1,Input_Prod_01!$I$11,$C$11,$E$33,$A$57,$A67,$K$1)</f>
        <v>0</v>
      </c>
      <c r="Q67" s="36">
        <f>_xll.DBRW($B$1,Q$13,$O$15,$M$1,Input_Prod_01!$I$11,$C$11,$E$33,$A$57,$A67,$K$1)</f>
        <v>0</v>
      </c>
      <c r="R67" s="36">
        <f>_xll.DBRW($B$1,R$13,$O$15,$M$1,Input_Prod_01!$I$11,$C$11,$E$33,$A$57,$A67,$K$1)</f>
        <v>0</v>
      </c>
      <c r="S67" s="36">
        <f>_xll.DBRW($B$1,S$13,$O$15,$M$1,Input_Prod_01!$I$11,$C$11,$E$33,$A$57,$A67,$K$1)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_xll.DBRW($B$1,Input_Prod_01!$G$11,Input_Prod_01!C$14,$M$1,Input_Prod_01!$I$11,$C$11,$E$33,$A$57,$A68,$K$1)</f>
        <v>0</v>
      </c>
      <c r="D68" s="36">
        <f>_xll.DBRW($B$1,Input_Prod_01!$G$11,Input_Prod_01!D$14,$M$1,Input_Prod_01!$I$11,$C$11,$E$33,$A$57,$A68,$K$1)</f>
        <v>0</v>
      </c>
      <c r="E68" s="36">
        <f>_xll.DBRW($B$1,Input_Prod_01!$G$11,Input_Prod_01!E$14,$M$1,Input_Prod_01!$I$11,$C$11,$E$33,$A$57,$A68,$K$1)</f>
        <v>0</v>
      </c>
      <c r="F68" s="36">
        <f>_xll.DBRW($B$1,Input_Prod_01!$G$11,Input_Prod_01!F$14,$M$1,Input_Prod_01!$I$11,$C$11,$E$33,$A$57,$A68,$K$1)</f>
        <v>0</v>
      </c>
      <c r="G68" s="36">
        <f>_xll.DBRW($B$1,Input_Prod_01!$G$11,Input_Prod_01!G$14,$M$1,Input_Prod_01!$I$11,$C$11,$E$33,$A$57,$A68,$K$1)</f>
        <v>0</v>
      </c>
      <c r="H68" s="36">
        <f>_xll.DBRW($B$1,Input_Prod_01!$G$11,Input_Prod_01!H$14,$M$1,Input_Prod_01!$I$11,$C$11,$E$33,$A$57,$A68,$K$1)</f>
        <v>0</v>
      </c>
      <c r="I68" s="36">
        <f>_xll.DBRW($B$1,Input_Prod_01!$G$11,Input_Prod_01!I$14,$M$1,Input_Prod_01!$I$11,$C$11,$E$33,$A$57,$A68,$K$1)</f>
        <v>0</v>
      </c>
      <c r="J68" s="36">
        <f>_xll.DBRW($B$1,Input_Prod_01!$G$11,Input_Prod_01!J$14,$M$1,Input_Prod_01!$I$11,$C$11,$E$33,$A$57,$A68,$K$1)</f>
        <v>0</v>
      </c>
      <c r="K68" s="36">
        <f>_xll.DBRW($B$1,Input_Prod_01!$G$11,Input_Prod_01!K$14,$M$1,Input_Prod_01!$I$11,$C$11,$E$33,$A$57,$A68,$K$1)</f>
        <v>0</v>
      </c>
      <c r="L68" s="36">
        <f>_xll.DBRW($B$1,Input_Prod_01!$G$11,Input_Prod_01!L$14,$M$1,Input_Prod_01!$I$11,$C$11,$E$33,$A$57,$A68,$K$1)</f>
        <v>0</v>
      </c>
      <c r="M68" s="36">
        <f>_xll.DBRW($B$1,Input_Prod_01!$G$11,Input_Prod_01!M$14,$M$1,Input_Prod_01!$I$11,$C$11,$E$33,$A$57,$A68,$K$1)</f>
        <v>0</v>
      </c>
      <c r="N68" s="36">
        <f>_xll.DBRW($B$1,Input_Prod_01!$G$11,Input_Prod_01!N$14,$M$1,Input_Prod_01!$I$11,$C$11,$E$33,$A$57,$A68,$K$1)</f>
        <v>0</v>
      </c>
      <c r="O68" s="36">
        <f>_xll.DBRW($B$1,O$13,$O$15,$M$1,Input_Prod_01!$I$11,$C$11,$E$33,$A$57,$A68,$K$1)</f>
        <v>0</v>
      </c>
      <c r="P68" s="36">
        <f>_xll.DBRW($B$1,P$13,$O$15,$M$1,Input_Prod_01!$I$11,$C$11,$E$33,$A$57,$A68,$K$1)</f>
        <v>0</v>
      </c>
      <c r="Q68" s="36">
        <f>_xll.DBRW($B$1,Q$13,$O$15,$M$1,Input_Prod_01!$I$11,$C$11,$E$33,$A$57,$A68,$K$1)</f>
        <v>0</v>
      </c>
      <c r="R68" s="36">
        <f>_xll.DBRW($B$1,R$13,$O$15,$M$1,Input_Prod_01!$I$11,$C$11,$E$33,$A$57,$A68,$K$1)</f>
        <v>0</v>
      </c>
      <c r="S68" s="36">
        <f>_xll.DBRW($B$1,S$13,$O$15,$M$1,Input_Prod_01!$I$11,$C$11,$E$33,$A$57,$A68,$K$1)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_xll.DBRW($B$1,Input_Prod_01!$G$11,Input_Prod_01!C$14,$M$1,Input_Prod_01!$I$11,$C$11,$E$33,$A$57,$A69,$K$1)</f>
        <v>0</v>
      </c>
      <c r="D69" s="36">
        <f>_xll.DBRW($B$1,Input_Prod_01!$G$11,Input_Prod_01!D$14,$M$1,Input_Prod_01!$I$11,$C$11,$E$33,$A$57,$A69,$K$1)</f>
        <v>0</v>
      </c>
      <c r="E69" s="36">
        <f>_xll.DBRW($B$1,Input_Prod_01!$G$11,Input_Prod_01!E$14,$M$1,Input_Prod_01!$I$11,$C$11,$E$33,$A$57,$A69,$K$1)</f>
        <v>0</v>
      </c>
      <c r="F69" s="36">
        <f>_xll.DBRW($B$1,Input_Prod_01!$G$11,Input_Prod_01!F$14,$M$1,Input_Prod_01!$I$11,$C$11,$E$33,$A$57,$A69,$K$1)</f>
        <v>0</v>
      </c>
      <c r="G69" s="36">
        <f>_xll.DBRW($B$1,Input_Prod_01!$G$11,Input_Prod_01!G$14,$M$1,Input_Prod_01!$I$11,$C$11,$E$33,$A$57,$A69,$K$1)</f>
        <v>0</v>
      </c>
      <c r="H69" s="36">
        <f>_xll.DBRW($B$1,Input_Prod_01!$G$11,Input_Prod_01!H$14,$M$1,Input_Prod_01!$I$11,$C$11,$E$33,$A$57,$A69,$K$1)</f>
        <v>0</v>
      </c>
      <c r="I69" s="36">
        <f>_xll.DBRW($B$1,Input_Prod_01!$G$11,Input_Prod_01!I$14,$M$1,Input_Prod_01!$I$11,$C$11,$E$33,$A$57,$A69,$K$1)</f>
        <v>0</v>
      </c>
      <c r="J69" s="36">
        <f>_xll.DBRW($B$1,Input_Prod_01!$G$11,Input_Prod_01!J$14,$M$1,Input_Prod_01!$I$11,$C$11,$E$33,$A$57,$A69,$K$1)</f>
        <v>0</v>
      </c>
      <c r="K69" s="36">
        <f>_xll.DBRW($B$1,Input_Prod_01!$G$11,Input_Prod_01!K$14,$M$1,Input_Prod_01!$I$11,$C$11,$E$33,$A$57,$A69,$K$1)</f>
        <v>0</v>
      </c>
      <c r="L69" s="36">
        <f>_xll.DBRW($B$1,Input_Prod_01!$G$11,Input_Prod_01!L$14,$M$1,Input_Prod_01!$I$11,$C$11,$E$33,$A$57,$A69,$K$1)</f>
        <v>0</v>
      </c>
      <c r="M69" s="36">
        <f>_xll.DBRW($B$1,Input_Prod_01!$G$11,Input_Prod_01!M$14,$M$1,Input_Prod_01!$I$11,$C$11,$E$33,$A$57,$A69,$K$1)</f>
        <v>0</v>
      </c>
      <c r="N69" s="36">
        <f>_xll.DBRW($B$1,Input_Prod_01!$G$11,Input_Prod_01!N$14,$M$1,Input_Prod_01!$I$11,$C$11,$E$33,$A$57,$A69,$K$1)</f>
        <v>0</v>
      </c>
      <c r="O69" s="36">
        <f>_xll.DBRW($B$1,O$13,$O$15,$M$1,Input_Prod_01!$I$11,$C$11,$E$33,$A$57,$A69,$K$1)</f>
        <v>0</v>
      </c>
      <c r="P69" s="36">
        <f>_xll.DBRW($B$1,P$13,$O$15,$M$1,Input_Prod_01!$I$11,$C$11,$E$33,$A$57,$A69,$K$1)</f>
        <v>0</v>
      </c>
      <c r="Q69" s="36">
        <f>_xll.DBRW($B$1,Q$13,$O$15,$M$1,Input_Prod_01!$I$11,$C$11,$E$33,$A$57,$A69,$K$1)</f>
        <v>0</v>
      </c>
      <c r="R69" s="36">
        <f>_xll.DBRW($B$1,R$13,$O$15,$M$1,Input_Prod_01!$I$11,$C$11,$E$33,$A$57,$A69,$K$1)</f>
        <v>0</v>
      </c>
      <c r="S69" s="36">
        <f>_xll.DBRW($B$1,S$13,$O$15,$M$1,Input_Prod_01!$I$11,$C$11,$E$33,$A$57,$A69,$K$1)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_xll.DBRW($B$1,Input_Prod_01!$G$11,Input_Prod_01!C$14,$M$1,Input_Prod_01!$I$11,$C$11,$E$33,$A$57,$A70,$K$1)</f>
        <v>0</v>
      </c>
      <c r="D70" s="36">
        <f>_xll.DBRW($B$1,Input_Prod_01!$G$11,Input_Prod_01!D$14,$M$1,Input_Prod_01!$I$11,$C$11,$E$33,$A$57,$A70,$K$1)</f>
        <v>0</v>
      </c>
      <c r="E70" s="36">
        <f>_xll.DBRW($B$1,Input_Prod_01!$G$11,Input_Prod_01!E$14,$M$1,Input_Prod_01!$I$11,$C$11,$E$33,$A$57,$A70,$K$1)</f>
        <v>0</v>
      </c>
      <c r="F70" s="36">
        <f>_xll.DBRW($B$1,Input_Prod_01!$G$11,Input_Prod_01!F$14,$M$1,Input_Prod_01!$I$11,$C$11,$E$33,$A$57,$A70,$K$1)</f>
        <v>0</v>
      </c>
      <c r="G70" s="36">
        <f>_xll.DBRW($B$1,Input_Prod_01!$G$11,Input_Prod_01!G$14,$M$1,Input_Prod_01!$I$11,$C$11,$E$33,$A$57,$A70,$K$1)</f>
        <v>0</v>
      </c>
      <c r="H70" s="36">
        <f>_xll.DBRW($B$1,Input_Prod_01!$G$11,Input_Prod_01!H$14,$M$1,Input_Prod_01!$I$11,$C$11,$E$33,$A$57,$A70,$K$1)</f>
        <v>0</v>
      </c>
      <c r="I70" s="36">
        <f>_xll.DBRW($B$1,Input_Prod_01!$G$11,Input_Prod_01!I$14,$M$1,Input_Prod_01!$I$11,$C$11,$E$33,$A$57,$A70,$K$1)</f>
        <v>0</v>
      </c>
      <c r="J70" s="36">
        <f>_xll.DBRW($B$1,Input_Prod_01!$G$11,Input_Prod_01!J$14,$M$1,Input_Prod_01!$I$11,$C$11,$E$33,$A$57,$A70,$K$1)</f>
        <v>0</v>
      </c>
      <c r="K70" s="36">
        <f>_xll.DBRW($B$1,Input_Prod_01!$G$11,Input_Prod_01!K$14,$M$1,Input_Prod_01!$I$11,$C$11,$E$33,$A$57,$A70,$K$1)</f>
        <v>0</v>
      </c>
      <c r="L70" s="36">
        <f>_xll.DBRW($B$1,Input_Prod_01!$G$11,Input_Prod_01!L$14,$M$1,Input_Prod_01!$I$11,$C$11,$E$33,$A$57,$A70,$K$1)</f>
        <v>0</v>
      </c>
      <c r="M70" s="36">
        <f>_xll.DBRW($B$1,Input_Prod_01!$G$11,Input_Prod_01!M$14,$M$1,Input_Prod_01!$I$11,$C$11,$E$33,$A$57,$A70,$K$1)</f>
        <v>0</v>
      </c>
      <c r="N70" s="36">
        <f>_xll.DBRW($B$1,Input_Prod_01!$G$11,Input_Prod_01!N$14,$M$1,Input_Prod_01!$I$11,$C$11,$E$33,$A$57,$A70,$K$1)</f>
        <v>0</v>
      </c>
      <c r="O70" s="36">
        <f>_xll.DBRW($B$1,O$13,$O$15,$M$1,Input_Prod_01!$I$11,$C$11,$E$33,$A$57,$A70,$K$1)</f>
        <v>0</v>
      </c>
      <c r="P70" s="36">
        <f>_xll.DBRW($B$1,P$13,$O$15,$M$1,Input_Prod_01!$I$11,$C$11,$E$33,$A$57,$A70,$K$1)</f>
        <v>0</v>
      </c>
      <c r="Q70" s="36">
        <f>_xll.DBRW($B$1,Q$13,$O$15,$M$1,Input_Prod_01!$I$11,$C$11,$E$33,$A$57,$A70,$K$1)</f>
        <v>0</v>
      </c>
      <c r="R70" s="36">
        <f>_xll.DBRW($B$1,R$13,$O$15,$M$1,Input_Prod_01!$I$11,$C$11,$E$33,$A$57,$A70,$K$1)</f>
        <v>0</v>
      </c>
      <c r="S70" s="36">
        <f>_xll.DBRW($B$1,S$13,$O$15,$M$1,Input_Prod_01!$I$11,$C$11,$E$33,$A$57,$A70,$K$1)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_xll.DBRW($B$1,Input_Prod_01!$G$11,Input_Prod_01!C$14,$M$1,Input_Prod_01!$I$11,$C$11,$E$33,$A$57,$A71,$K$1)</f>
        <v>0</v>
      </c>
      <c r="D71" s="36">
        <f>_xll.DBRW($B$1,Input_Prod_01!$G$11,Input_Prod_01!D$14,$M$1,Input_Prod_01!$I$11,$C$11,$E$33,$A$57,$A71,$K$1)</f>
        <v>0</v>
      </c>
      <c r="E71" s="36">
        <f>_xll.DBRW($B$1,Input_Prod_01!$G$11,Input_Prod_01!E$14,$M$1,Input_Prod_01!$I$11,$C$11,$E$33,$A$57,$A71,$K$1)</f>
        <v>0</v>
      </c>
      <c r="F71" s="36">
        <f>_xll.DBRW($B$1,Input_Prod_01!$G$11,Input_Prod_01!F$14,$M$1,Input_Prod_01!$I$11,$C$11,$E$33,$A$57,$A71,$K$1)</f>
        <v>0</v>
      </c>
      <c r="G71" s="36">
        <f>_xll.DBRW($B$1,Input_Prod_01!$G$11,Input_Prod_01!G$14,$M$1,Input_Prod_01!$I$11,$C$11,$E$33,$A$57,$A71,$K$1)</f>
        <v>0</v>
      </c>
      <c r="H71" s="36">
        <f>_xll.DBRW($B$1,Input_Prod_01!$G$11,Input_Prod_01!H$14,$M$1,Input_Prod_01!$I$11,$C$11,$E$33,$A$57,$A71,$K$1)</f>
        <v>0</v>
      </c>
      <c r="I71" s="36">
        <f>_xll.DBRW($B$1,Input_Prod_01!$G$11,Input_Prod_01!I$14,$M$1,Input_Prod_01!$I$11,$C$11,$E$33,$A$57,$A71,$K$1)</f>
        <v>0</v>
      </c>
      <c r="J71" s="36">
        <f>_xll.DBRW($B$1,Input_Prod_01!$G$11,Input_Prod_01!J$14,$M$1,Input_Prod_01!$I$11,$C$11,$E$33,$A$57,$A71,$K$1)</f>
        <v>0</v>
      </c>
      <c r="K71" s="36">
        <f>_xll.DBRW($B$1,Input_Prod_01!$G$11,Input_Prod_01!K$14,$M$1,Input_Prod_01!$I$11,$C$11,$E$33,$A$57,$A71,$K$1)</f>
        <v>0</v>
      </c>
      <c r="L71" s="36">
        <f>_xll.DBRW($B$1,Input_Prod_01!$G$11,Input_Prod_01!L$14,$M$1,Input_Prod_01!$I$11,$C$11,$E$33,$A$57,$A71,$K$1)</f>
        <v>0</v>
      </c>
      <c r="M71" s="36">
        <f>_xll.DBRW($B$1,Input_Prod_01!$G$11,Input_Prod_01!M$14,$M$1,Input_Prod_01!$I$11,$C$11,$E$33,$A$57,$A71,$K$1)</f>
        <v>0</v>
      </c>
      <c r="N71" s="36">
        <f>_xll.DBRW($B$1,Input_Prod_01!$G$11,Input_Prod_01!N$14,$M$1,Input_Prod_01!$I$11,$C$11,$E$33,$A$57,$A71,$K$1)</f>
        <v>0</v>
      </c>
      <c r="O71" s="36">
        <f>_xll.DBRW($B$1,O$13,$O$15,$M$1,Input_Prod_01!$I$11,$C$11,$E$33,$A$57,$A71,$K$1)</f>
        <v>0</v>
      </c>
      <c r="P71" s="36">
        <f>_xll.DBRW($B$1,P$13,$O$15,$M$1,Input_Prod_01!$I$11,$C$11,$E$33,$A$57,$A71,$K$1)</f>
        <v>0</v>
      </c>
      <c r="Q71" s="36">
        <f>_xll.DBRW($B$1,Q$13,$O$15,$M$1,Input_Prod_01!$I$11,$C$11,$E$33,$A$57,$A71,$K$1)</f>
        <v>0</v>
      </c>
      <c r="R71" s="36">
        <f>_xll.DBRW($B$1,R$13,$O$15,$M$1,Input_Prod_01!$I$11,$C$11,$E$33,$A$57,$A71,$K$1)</f>
        <v>0</v>
      </c>
      <c r="S71" s="36">
        <f>_xll.DBRW($B$1,S$13,$O$15,$M$1,Input_Prod_01!$I$11,$C$11,$E$33,$A$57,$A71,$K$1)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_xll.DBRW($B$1,Input_Prod_01!$G$11,Input_Prod_01!C$14,$M$1,Input_Prod_01!$I$11,$C$11,$E$33,$A$57,$A72,$K$1)</f>
        <v>0</v>
      </c>
      <c r="D72" s="36">
        <f>_xll.DBRW($B$1,Input_Prod_01!$G$11,Input_Prod_01!D$14,$M$1,Input_Prod_01!$I$11,$C$11,$E$33,$A$57,$A72,$K$1)</f>
        <v>0</v>
      </c>
      <c r="E72" s="36">
        <f>_xll.DBRW($B$1,Input_Prod_01!$G$11,Input_Prod_01!E$14,$M$1,Input_Prod_01!$I$11,$C$11,$E$33,$A$57,$A72,$K$1)</f>
        <v>0</v>
      </c>
      <c r="F72" s="36">
        <f>_xll.DBRW($B$1,Input_Prod_01!$G$11,Input_Prod_01!F$14,$M$1,Input_Prod_01!$I$11,$C$11,$E$33,$A$57,$A72,$K$1)</f>
        <v>0</v>
      </c>
      <c r="G72" s="36">
        <f>_xll.DBRW($B$1,Input_Prod_01!$G$11,Input_Prod_01!G$14,$M$1,Input_Prod_01!$I$11,$C$11,$E$33,$A$57,$A72,$K$1)</f>
        <v>0</v>
      </c>
      <c r="H72" s="36">
        <f>_xll.DBRW($B$1,Input_Prod_01!$G$11,Input_Prod_01!H$14,$M$1,Input_Prod_01!$I$11,$C$11,$E$33,$A$57,$A72,$K$1)</f>
        <v>0</v>
      </c>
      <c r="I72" s="36">
        <f>_xll.DBRW($B$1,Input_Prod_01!$G$11,Input_Prod_01!I$14,$M$1,Input_Prod_01!$I$11,$C$11,$E$33,$A$57,$A72,$K$1)</f>
        <v>0</v>
      </c>
      <c r="J72" s="36">
        <f>_xll.DBRW($B$1,Input_Prod_01!$G$11,Input_Prod_01!J$14,$M$1,Input_Prod_01!$I$11,$C$11,$E$33,$A$57,$A72,$K$1)</f>
        <v>0</v>
      </c>
      <c r="K72" s="36">
        <f>_xll.DBRW($B$1,Input_Prod_01!$G$11,Input_Prod_01!K$14,$M$1,Input_Prod_01!$I$11,$C$11,$E$33,$A$57,$A72,$K$1)</f>
        <v>0</v>
      </c>
      <c r="L72" s="36">
        <f>_xll.DBRW($B$1,Input_Prod_01!$G$11,Input_Prod_01!L$14,$M$1,Input_Prod_01!$I$11,$C$11,$E$33,$A$57,$A72,$K$1)</f>
        <v>0</v>
      </c>
      <c r="M72" s="36">
        <f>_xll.DBRW($B$1,Input_Prod_01!$G$11,Input_Prod_01!M$14,$M$1,Input_Prod_01!$I$11,$C$11,$E$33,$A$57,$A72,$K$1)</f>
        <v>0</v>
      </c>
      <c r="N72" s="36">
        <f>_xll.DBRW($B$1,Input_Prod_01!$G$11,Input_Prod_01!N$14,$M$1,Input_Prod_01!$I$11,$C$11,$E$33,$A$57,$A72,$K$1)</f>
        <v>0</v>
      </c>
      <c r="O72" s="36">
        <f>_xll.DBRW($B$1,O$13,$O$15,$M$1,Input_Prod_01!$I$11,$C$11,$E$33,$A$57,$A72,$K$1)</f>
        <v>0</v>
      </c>
      <c r="P72" s="36">
        <f>_xll.DBRW($B$1,P$13,$O$15,$M$1,Input_Prod_01!$I$11,$C$11,$E$33,$A$57,$A72,$K$1)</f>
        <v>0</v>
      </c>
      <c r="Q72" s="36">
        <f>_xll.DBRW($B$1,Q$13,$O$15,$M$1,Input_Prod_01!$I$11,$C$11,$E$33,$A$57,$A72,$K$1)</f>
        <v>0</v>
      </c>
      <c r="R72" s="36">
        <f>_xll.DBRW($B$1,R$13,$O$15,$M$1,Input_Prod_01!$I$11,$C$11,$E$33,$A$57,$A72,$K$1)</f>
        <v>0</v>
      </c>
      <c r="S72" s="36">
        <f>_xll.DBRW($B$1,S$13,$O$15,$M$1,Input_Prod_01!$I$11,$C$11,$E$33,$A$57,$A72,$K$1)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_xll.DBRW($B$1,Input_Prod_01!$G$11,Input_Prod_01!C$14,$M$1,Input_Prod_01!$I$11,$C$11,$E$33,$A$57,$A73,$K$1)</f>
        <v>0</v>
      </c>
      <c r="D73" s="36">
        <f>_xll.DBRW($B$1,Input_Prod_01!$G$11,Input_Prod_01!D$14,$M$1,Input_Prod_01!$I$11,$C$11,$E$33,$A$57,$A73,$K$1)</f>
        <v>0</v>
      </c>
      <c r="E73" s="36">
        <f>_xll.DBRW($B$1,Input_Prod_01!$G$11,Input_Prod_01!E$14,$M$1,Input_Prod_01!$I$11,$C$11,$E$33,$A$57,$A73,$K$1)</f>
        <v>0</v>
      </c>
      <c r="F73" s="36">
        <f>_xll.DBRW($B$1,Input_Prod_01!$G$11,Input_Prod_01!F$14,$M$1,Input_Prod_01!$I$11,$C$11,$E$33,$A$57,$A73,$K$1)</f>
        <v>0</v>
      </c>
      <c r="G73" s="36">
        <f>_xll.DBRW($B$1,Input_Prod_01!$G$11,Input_Prod_01!G$14,$M$1,Input_Prod_01!$I$11,$C$11,$E$33,$A$57,$A73,$K$1)</f>
        <v>0</v>
      </c>
      <c r="H73" s="36">
        <f>_xll.DBRW($B$1,Input_Prod_01!$G$11,Input_Prod_01!H$14,$M$1,Input_Prod_01!$I$11,$C$11,$E$33,$A$57,$A73,$K$1)</f>
        <v>0</v>
      </c>
      <c r="I73" s="36">
        <f>_xll.DBRW($B$1,Input_Prod_01!$G$11,Input_Prod_01!I$14,$M$1,Input_Prod_01!$I$11,$C$11,$E$33,$A$57,$A73,$K$1)</f>
        <v>0</v>
      </c>
      <c r="J73" s="36">
        <f>_xll.DBRW($B$1,Input_Prod_01!$G$11,Input_Prod_01!J$14,$M$1,Input_Prod_01!$I$11,$C$11,$E$33,$A$57,$A73,$K$1)</f>
        <v>0</v>
      </c>
      <c r="K73" s="36">
        <f>_xll.DBRW($B$1,Input_Prod_01!$G$11,Input_Prod_01!K$14,$M$1,Input_Prod_01!$I$11,$C$11,$E$33,$A$57,$A73,$K$1)</f>
        <v>0</v>
      </c>
      <c r="L73" s="36">
        <f>_xll.DBRW($B$1,Input_Prod_01!$G$11,Input_Prod_01!L$14,$M$1,Input_Prod_01!$I$11,$C$11,$E$33,$A$57,$A73,$K$1)</f>
        <v>0</v>
      </c>
      <c r="M73" s="36">
        <f>_xll.DBRW($B$1,Input_Prod_01!$G$11,Input_Prod_01!M$14,$M$1,Input_Prod_01!$I$11,$C$11,$E$33,$A$57,$A73,$K$1)</f>
        <v>0</v>
      </c>
      <c r="N73" s="36">
        <f>_xll.DBRW($B$1,Input_Prod_01!$G$11,Input_Prod_01!N$14,$M$1,Input_Prod_01!$I$11,$C$11,$E$33,$A$57,$A73,$K$1)</f>
        <v>0</v>
      </c>
      <c r="O73" s="36">
        <f>_xll.DBRW($B$1,O$13,$O$15,$M$1,Input_Prod_01!$I$11,$C$11,$E$33,$A$57,$A73,$K$1)</f>
        <v>0</v>
      </c>
      <c r="P73" s="36">
        <f>_xll.DBRW($B$1,P$13,$O$15,$M$1,Input_Prod_01!$I$11,$C$11,$E$33,$A$57,$A73,$K$1)</f>
        <v>0</v>
      </c>
      <c r="Q73" s="36">
        <f>_xll.DBRW($B$1,Q$13,$O$15,$M$1,Input_Prod_01!$I$11,$C$11,$E$33,$A$57,$A73,$K$1)</f>
        <v>0</v>
      </c>
      <c r="R73" s="36">
        <f>_xll.DBRW($B$1,R$13,$O$15,$M$1,Input_Prod_01!$I$11,$C$11,$E$33,$A$57,$A73,$K$1)</f>
        <v>0</v>
      </c>
      <c r="S73" s="36">
        <f>_xll.DBRW($B$1,S$13,$O$15,$M$1,Input_Prod_01!$I$11,$C$11,$E$33,$A$57,$A73,$K$1)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_xll.DBRW($B$3,Input_Prod_01!$G$11,Input_Prod_01!C$14,$M$1,Input_Prod_01!$I$11,$C$11,$E$33,$A74,$K$1)</f>
        <v>0</v>
      </c>
      <c r="D74" s="48">
        <f>_xll.DBRW($B$3,Input_Prod_01!$G$11,Input_Prod_01!D$14,$M$1,Input_Prod_01!$I$11,$C$11,$E$33,$A74,$K$1)</f>
        <v>690.01951758453004</v>
      </c>
      <c r="E74" s="48">
        <f>_xll.DBRW($B$3,Input_Prod_01!$G$11,Input_Prod_01!E$14,$M$1,Input_Prod_01!$I$11,$C$11,$E$33,$A74,$K$1)</f>
        <v>848.46802052991006</v>
      </c>
      <c r="F74" s="48">
        <f>_xll.DBRW($B$3,Input_Prod_01!$G$11,Input_Prod_01!F$14,$M$1,Input_Prod_01!$I$11,$C$11,$E$33,$A74,$K$1)</f>
        <v>795.95144506496001</v>
      </c>
      <c r="G74" s="48">
        <f>_xll.DBRW($B$3,Input_Prod_01!$G$11,Input_Prod_01!G$14,$M$1,Input_Prod_01!$I$11,$C$11,$E$33,$A74,$K$1)</f>
        <v>863.53445242756004</v>
      </c>
      <c r="H74" s="48">
        <f>_xll.DBRW($B$3,Input_Prod_01!$G$11,Input_Prod_01!H$14,$M$1,Input_Prod_01!$I$11,$C$11,$E$33,$A74,$K$1)</f>
        <v>884.5175332578599</v>
      </c>
      <c r="I74" s="48">
        <f>_xll.DBRW($B$3,Input_Prod_01!$G$11,Input_Prod_01!I$14,$M$1,Input_Prod_01!$I$11,$C$11,$E$33,$A74,$K$1)</f>
        <v>946.82851031259997</v>
      </c>
      <c r="J74" s="48">
        <f>_xll.DBRW($B$3,Input_Prod_01!$G$11,Input_Prod_01!J$14,$M$1,Input_Prod_01!$I$11,$C$11,$E$33,$A74,$K$1)</f>
        <v>941.1985253025</v>
      </c>
      <c r="K74" s="48">
        <f>_xll.DBRW($B$3,Input_Prod_01!$G$11,Input_Prod_01!K$14,$M$1,Input_Prod_01!$I$11,$C$11,$E$33,$A74,$K$1)</f>
        <v>939.50626975776015</v>
      </c>
      <c r="L74" s="48">
        <f>_xll.DBRW($B$3,Input_Prod_01!$G$11,Input_Prod_01!L$14,$M$1,Input_Prod_01!$I$11,$C$11,$E$33,$A74,$K$1)</f>
        <v>927.09684601829997</v>
      </c>
      <c r="M74" s="48">
        <f>_xll.DBRW($B$3,Input_Prod_01!$G$11,Input_Prod_01!M$14,$M$1,Input_Prod_01!$I$11,$C$11,$E$33,$A74,$K$1)</f>
        <v>851.88041409200002</v>
      </c>
      <c r="N74" s="48">
        <f>_xll.DBRW($B$3,Input_Prod_01!$G$11,Input_Prod_01!N$14,$M$1,Input_Prod_01!$I$11,$C$11,$E$33,$A74,$K$1)</f>
        <v>776.32022560741996</v>
      </c>
      <c r="O74" s="48">
        <f>_xll.DBRW($B$3,O$13,$O$15,$M$1,Input_Prod_01!$I$11,$C$11,$E$33,$A74,$K$1)</f>
        <v>0</v>
      </c>
      <c r="P74" s="48">
        <f>_xll.DBRW($B$3,P$13,$O$15,$M$1,Input_Prod_01!$I$11,$C$11,$E$33,$A74,$K$1)</f>
        <v>0</v>
      </c>
      <c r="Q74" s="48">
        <f>_xll.DBRW($B$3,Q$13,$O$15,$M$1,Input_Prod_01!$I$11,$C$11,$E$33,$A74,$K$1)</f>
        <v>0</v>
      </c>
      <c r="R74" s="48">
        <f>_xll.DBRW($B$3,R$13,$O$15,$M$1,Input_Prod_01!$I$11,$C$11,$E$33,$A74,$K$1)</f>
        <v>0</v>
      </c>
      <c r="S74" s="48">
        <f>_xll.DBRW($B$3,S$13,$O$15,$M$1,Input_Prod_01!$I$11,$C$11,$E$33,$A74,$K$1)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8">
        <f>$G$11+1</f>
        <v>2027</v>
      </c>
      <c r="P78" s="98">
        <f>$G$11+2</f>
        <v>2028</v>
      </c>
      <c r="Q78" s="98">
        <f>$G$11+3</f>
        <v>2029</v>
      </c>
      <c r="R78" s="98">
        <f>$G$11+4</f>
        <v>2030</v>
      </c>
      <c r="S78" s="98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_xll.DBRW($B$1,Input_Prod_01!$G$11,Input_Prod_01!C$14,$M$1,Input_Prod_01!$I$11,$C$11,$E$33,Input_Prod_01!$A80,$L$1,$K$1)</f>
        <v>0</v>
      </c>
      <c r="D80" s="65">
        <f>_xll.DBRW($B$1,Input_Prod_01!$G$11,Input_Prod_01!D$14,$M$1,Input_Prod_01!$I$11,$C$11,$E$33,Input_Prod_01!$A80,$L$1,$K$1)</f>
        <v>0</v>
      </c>
      <c r="E80" s="65">
        <f>_xll.DBRW($B$1,Input_Prod_01!$G$11,Input_Prod_01!E$14,$M$1,Input_Prod_01!$I$11,$C$11,$E$33,Input_Prod_01!$A80,$L$1,$K$1)</f>
        <v>0</v>
      </c>
      <c r="F80" s="65">
        <f>_xll.DBRW($B$1,Input_Prod_01!$G$11,Input_Prod_01!F$14,$M$1,Input_Prod_01!$I$11,$C$11,$E$33,Input_Prod_01!$A80,$L$1,$K$1)</f>
        <v>0</v>
      </c>
      <c r="G80" s="65">
        <f>_xll.DBRW($B$1,Input_Prod_01!$G$11,Input_Prod_01!G$14,$M$1,Input_Prod_01!$I$11,$C$11,$E$33,Input_Prod_01!$A80,$L$1,$K$1)</f>
        <v>0</v>
      </c>
      <c r="H80" s="65">
        <f>_xll.DBRW($B$1,Input_Prod_01!$G$11,Input_Prod_01!H$14,$M$1,Input_Prod_01!$I$11,$C$11,$E$33,Input_Prod_01!$A80,$L$1,$K$1)</f>
        <v>0</v>
      </c>
      <c r="I80" s="65">
        <f>_xll.DBRW($B$1,Input_Prod_01!$G$11,Input_Prod_01!I$14,$M$1,Input_Prod_01!$I$11,$C$11,$E$33,Input_Prod_01!$A80,$L$1,$K$1)</f>
        <v>0</v>
      </c>
      <c r="J80" s="65">
        <f>_xll.DBRW($B$1,Input_Prod_01!$G$11,Input_Prod_01!J$14,$M$1,Input_Prod_01!$I$11,$C$11,$E$33,Input_Prod_01!$A80,$L$1,$K$1)</f>
        <v>0</v>
      </c>
      <c r="K80" s="65">
        <f>_xll.DBRW($B$1,Input_Prod_01!$G$11,Input_Prod_01!K$14,$M$1,Input_Prod_01!$I$11,$C$11,$E$33,Input_Prod_01!$A80,$L$1,$K$1)</f>
        <v>0</v>
      </c>
      <c r="L80" s="65">
        <f>_xll.DBRW($B$1,Input_Prod_01!$G$11,Input_Prod_01!L$14,$M$1,Input_Prod_01!$I$11,$C$11,$E$33,Input_Prod_01!$A80,$L$1,$K$1)</f>
        <v>0</v>
      </c>
      <c r="M80" s="65">
        <f>_xll.DBRW($B$1,Input_Prod_01!$G$11,Input_Prod_01!M$14,$M$1,Input_Prod_01!$I$11,$C$11,$E$33,Input_Prod_01!$A80,$L$1,$K$1)</f>
        <v>0</v>
      </c>
      <c r="N80" s="65">
        <f>_xll.DBRW($B$1,Input_Prod_01!$G$11,Input_Prod_01!N$14,$M$1,Input_Prod_01!$I$11,$C$11,$E$33,Input_Prod_01!$A80,$L$1,$K$1)</f>
        <v>0</v>
      </c>
      <c r="O80" s="65">
        <f>_xll.DBRW($B$1,O$13,$O$15,$M$1,Input_Prod_01!$I$11,$C$11,$E$33,Input_Prod_01!$A80,$L$1,$K$1)</f>
        <v>0</v>
      </c>
      <c r="P80" s="65">
        <f>_xll.DBRW($B$1,P$13,$O$15,$M$1,Input_Prod_01!$I$11,$C$11,$E$33,Input_Prod_01!$A80,$L$1,$K$1)</f>
        <v>0</v>
      </c>
      <c r="Q80" s="65">
        <f>_xll.DBRW($B$1,Q$13,$O$15,$M$1,Input_Prod_01!$I$11,$C$11,$E$33,Input_Prod_01!$A80,$L$1,$K$1)</f>
        <v>0</v>
      </c>
      <c r="R80" s="65">
        <f>_xll.DBRW($B$1,R$13,$O$15,$M$1,Input_Prod_01!$I$11,$C$11,$E$33,Input_Prod_01!$A80,$L$1,$K$1)</f>
        <v>0</v>
      </c>
      <c r="S80" s="65">
        <f>_xll.DBRW($B$1,S$13,$O$15,$M$1,Input_Prod_01!$I$11,$C$11,$E$33,Input_Prod_01!$A80,$L$1,$K$1)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_xll.DBRW($B$3,Input_Prod_01!$G$11,Input_Prod_01!C$14,$M$1,Input_Prod_01!$I$11,$C$11,$E$33,Input_Prod_01!$B81,$K$1)</f>
        <v>0</v>
      </c>
      <c r="D81" s="48">
        <f>_xll.DBRW($B$3,Input_Prod_01!$G$11,Input_Prod_01!D$14,$M$1,Input_Prod_01!$I$11,$C$11,$E$33,Input_Prod_01!$B81,$K$1)</f>
        <v>690.01951758453004</v>
      </c>
      <c r="E81" s="48">
        <f>_xll.DBRW($B$3,Input_Prod_01!$G$11,Input_Prod_01!E$14,$M$1,Input_Prod_01!$I$11,$C$11,$E$33,Input_Prod_01!$B81,$K$1)</f>
        <v>848.46802052991006</v>
      </c>
      <c r="F81" s="48">
        <f>_xll.DBRW($B$3,Input_Prod_01!$G$11,Input_Prod_01!F$14,$M$1,Input_Prod_01!$I$11,$C$11,$E$33,Input_Prod_01!$B81,$K$1)</f>
        <v>795.95144506496001</v>
      </c>
      <c r="G81" s="48">
        <f>_xll.DBRW($B$3,Input_Prod_01!$G$11,Input_Prod_01!G$14,$M$1,Input_Prod_01!$I$11,$C$11,$E$33,Input_Prod_01!$B81,$K$1)</f>
        <v>863.53445242756004</v>
      </c>
      <c r="H81" s="48">
        <f>_xll.DBRW($B$3,Input_Prod_01!$G$11,Input_Prod_01!H$14,$M$1,Input_Prod_01!$I$11,$C$11,$E$33,Input_Prod_01!$B81,$K$1)</f>
        <v>884.5175332578599</v>
      </c>
      <c r="I81" s="48">
        <f>_xll.DBRW($B$3,Input_Prod_01!$G$11,Input_Prod_01!I$14,$M$1,Input_Prod_01!$I$11,$C$11,$E$33,Input_Prod_01!$B81,$K$1)</f>
        <v>946.82851031259997</v>
      </c>
      <c r="J81" s="48">
        <f>_xll.DBRW($B$3,Input_Prod_01!$G$11,Input_Prod_01!J$14,$M$1,Input_Prod_01!$I$11,$C$11,$E$33,Input_Prod_01!$B81,$K$1)</f>
        <v>941.1985253025</v>
      </c>
      <c r="K81" s="48">
        <f>_xll.DBRW($B$3,Input_Prod_01!$G$11,Input_Prod_01!K$14,$M$1,Input_Prod_01!$I$11,$C$11,$E$33,Input_Prod_01!$B81,$K$1)</f>
        <v>939.50626975776015</v>
      </c>
      <c r="L81" s="48">
        <f>_xll.DBRW($B$3,Input_Prod_01!$G$11,Input_Prod_01!L$14,$M$1,Input_Prod_01!$I$11,$C$11,$E$33,Input_Prod_01!$B81,$K$1)</f>
        <v>927.09684601829997</v>
      </c>
      <c r="M81" s="48">
        <f>_xll.DBRW($B$3,Input_Prod_01!$G$11,Input_Prod_01!M$14,$M$1,Input_Prod_01!$I$11,$C$11,$E$33,Input_Prod_01!$B81,$K$1)</f>
        <v>851.88041409200002</v>
      </c>
      <c r="N81" s="48">
        <f>_xll.DBRW($B$3,Input_Prod_01!$G$11,Input_Prod_01!N$14,$M$1,Input_Prod_01!$I$11,$C$11,$E$33,Input_Prod_01!$B81,$K$1)</f>
        <v>776.32022560741996</v>
      </c>
      <c r="O81" s="48">
        <f>_xll.DBRW($B$3,O$13,$O$15,$M$1,Input_Prod_01!$I$11,$C$11,$E$33,Input_Prod_01!$B81,$K$1)</f>
        <v>0</v>
      </c>
      <c r="P81" s="48">
        <f>_xll.DBRW($B$3,P$13,$O$15,$M$1,Input_Prod_01!$I$11,$C$11,$E$33,Input_Prod_01!$B81,$K$1)</f>
        <v>0</v>
      </c>
      <c r="Q81" s="48">
        <f>_xll.DBRW($B$3,Q$13,$O$15,$M$1,Input_Prod_01!$I$11,$C$11,$E$33,Input_Prod_01!$B81,$K$1)</f>
        <v>0</v>
      </c>
      <c r="R81" s="48">
        <f>_xll.DBRW($B$3,R$13,$O$15,$M$1,Input_Prod_01!$I$11,$C$11,$E$33,Input_Prod_01!$B81,$K$1)</f>
        <v>0</v>
      </c>
      <c r="S81" s="48">
        <f>_xll.DBRW($B$3,S$13,$O$15,$M$1,Input_Prod_01!$I$11,$C$11,$E$33,Input_Prod_01!$B81,$K$1)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_xll.DBRW($B$3,Input_Prod_01!$G$11,Input_Prod_01!C$14,$M$1,Input_Prod_01!$I$11,Input_Prod_01!$C$11,$E$33,$A82,$K$1)</f>
        <v>0</v>
      </c>
      <c r="D82" s="40">
        <f>_xll.DBRW($B$3,Input_Prod_01!$G$11,Input_Prod_01!D$14,$M$1,Input_Prod_01!$I$11,Input_Prod_01!$C$11,$E$33,$A82,$K$1)</f>
        <v>690.01951758453004</v>
      </c>
      <c r="E82" s="40">
        <f>_xll.DBRW($B$3,Input_Prod_01!$G$11,Input_Prod_01!E$14,$M$1,Input_Prod_01!$I$11,Input_Prod_01!$C$11,$E$33,$A82,$K$1)</f>
        <v>848.46802052991006</v>
      </c>
      <c r="F82" s="40">
        <f>_xll.DBRW($B$3,Input_Prod_01!$G$11,Input_Prod_01!F$14,$M$1,Input_Prod_01!$I$11,Input_Prod_01!$C$11,$E$33,$A82,$K$1)</f>
        <v>795.95144506496001</v>
      </c>
      <c r="G82" s="40">
        <f>_xll.DBRW($B$3,Input_Prod_01!$G$11,Input_Prod_01!G$14,$M$1,Input_Prod_01!$I$11,Input_Prod_01!$C$11,$E$33,$A82,$K$1)</f>
        <v>863.53445242756004</v>
      </c>
      <c r="H82" s="40">
        <f>_xll.DBRW($B$3,Input_Prod_01!$G$11,Input_Prod_01!H$14,$M$1,Input_Prod_01!$I$11,Input_Prod_01!$C$11,$E$33,$A82,$K$1)</f>
        <v>884.5175332578599</v>
      </c>
      <c r="I82" s="40">
        <f>_xll.DBRW($B$3,Input_Prod_01!$G$11,Input_Prod_01!I$14,$M$1,Input_Prod_01!$I$11,Input_Prod_01!$C$11,$E$33,$A82,$K$1)</f>
        <v>946.82851031259997</v>
      </c>
      <c r="J82" s="40">
        <f>_xll.DBRW($B$3,Input_Prod_01!$G$11,Input_Prod_01!J$14,$M$1,Input_Prod_01!$I$11,Input_Prod_01!$C$11,$E$33,$A82,$K$1)</f>
        <v>941.1985253025</v>
      </c>
      <c r="K82" s="40">
        <f>_xll.DBRW($B$3,Input_Prod_01!$G$11,Input_Prod_01!K$14,$M$1,Input_Prod_01!$I$11,Input_Prod_01!$C$11,$E$33,$A82,$K$1)</f>
        <v>939.50626975776015</v>
      </c>
      <c r="L82" s="40">
        <f>_xll.DBRW($B$3,Input_Prod_01!$G$11,Input_Prod_01!L$14,$M$1,Input_Prod_01!$I$11,Input_Prod_01!$C$11,$E$33,$A82,$K$1)</f>
        <v>927.09684601829997</v>
      </c>
      <c r="M82" s="40">
        <f>_xll.DBRW($B$3,Input_Prod_01!$G$11,Input_Prod_01!M$14,$M$1,Input_Prod_01!$I$11,Input_Prod_01!$C$11,$E$33,$A82,$K$1)</f>
        <v>851.88041409200002</v>
      </c>
      <c r="N82" s="40">
        <f>_xll.DBRW($B$3,Input_Prod_01!$G$11,Input_Prod_01!N$14,$M$1,Input_Prod_01!$I$11,Input_Prod_01!$C$11,$E$33,$A82,$K$1)</f>
        <v>776.32022560741996</v>
      </c>
      <c r="O82" s="48">
        <f>_xll.DBRW($B$3,O$13,$O$15,$M$1,Input_Prod_01!$I$11,$C$11,$E$33,$A82,$K$1)</f>
        <v>0</v>
      </c>
      <c r="P82" s="48">
        <f>_xll.DBRW($B$3,P$13,$O$15,$M$1,Input_Prod_01!$I$11,$C$11,$E$33,$A82,$K$1)</f>
        <v>0</v>
      </c>
      <c r="Q82" s="48">
        <f>_xll.DBRW($B$3,Q$13,$O$15,$M$1,Input_Prod_01!$I$11,$C$11,$E$33,$A82,$K$1)</f>
        <v>0</v>
      </c>
      <c r="R82" s="48">
        <f>_xll.DBRW($B$3,R$13,$O$15,$M$1,Input_Prod_01!$I$11,$C$11,$E$33,$A82,$K$1)</f>
        <v>0</v>
      </c>
      <c r="S82" s="48">
        <f>_xll.DBRW($B$3,S$13,$O$15,$M$1,Input_Prod_01!$I$11,$C$11,$E$33,$A82,$K$1)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E33:G33"/>
    <mergeCell ref="B6:C7"/>
    <mergeCell ref="C11:D11"/>
  </mergeCells>
  <phoneticPr fontId="5" type="noConversion"/>
  <conditionalFormatting sqref="C37:S43">
    <cfRule type="expression" dxfId="29" priority="4">
      <formula>C$5="ACTUAL"</formula>
    </cfRule>
  </conditionalFormatting>
  <conditionalFormatting sqref="C53:S56">
    <cfRule type="expression" dxfId="28" priority="3">
      <formula>C$5="ACTUAL"</formula>
    </cfRule>
  </conditionalFormatting>
  <conditionalFormatting sqref="C58:S73">
    <cfRule type="expression" dxfId="27" priority="2">
      <formula>C$5="ACTUAL"</formula>
    </cfRule>
  </conditionalFormatting>
  <conditionalFormatting sqref="C80:S80">
    <cfRule type="expression" dxfId="26" priority="70">
      <formula>C$5="ACTUAL"</formula>
    </cfRule>
  </conditionalFormatting>
  <conditionalFormatting sqref="L11">
    <cfRule type="cellIs" dxfId="25" priority="53" operator="equal">
      <formula>"Open"</formula>
    </cfRule>
    <cfRule type="cellIs" dxfId="24" priority="54" operator="equal">
      <formula>"Closed"</formula>
    </cfRule>
  </conditionalFormatting>
  <dataValidations count="1">
    <dataValidation type="list" errorStyle="information" allowBlank="1" showInputMessage="1" sqref="D5:N5" xr:uid="{B88A5EB6-4886-440E-848F-AB6769267F0A}">
      <formula1>cafe_validation_temp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473F-AE4E-47A2-9125-A5AE66DF1EB5}">
  <dimension ref="A1:X84"/>
  <sheetViews>
    <sheetView showGridLines="0" topLeftCell="A6" zoomScaleNormal="100" workbookViewId="0">
      <selection activeCell="M6" sqref="M6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CONS_VC_PRD:STG.100.DataBase_Uploads:12384823671904840937</v>
      </c>
      <c r="C1" s="29" t="str">
        <f>_xll.VIEW("CONS_VC_PRD:ALL.015.Region_Assumptions")</f>
        <v>CONS_VC_PRD:ALL.015.Region_Assumptions:1238482367-551339135</v>
      </c>
      <c r="D1" s="29" t="str">
        <f>_xll.VIEW("CONS_VC_PRD:DFS.120.Financial_Results")</f>
        <v>CONS_VC_PRD:DFS.120.Financial_Results:12384823671815207391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CONS_VC_PRD:REV.100.Revenue_Consolidated:1238482367-1633416212</v>
      </c>
      <c r="C2" s="29" t="str">
        <f>_xll.VIEW("CONS_VC_PRD:ALL.010.Economic_Assumptions")</f>
        <v>CONS_VC_PRD:ALL.010.Economic_Assumptions:1238482367-162262700</v>
      </c>
      <c r="D2" s="29" t="str">
        <f>_xll.VIEW("CONS_VC_PRD:DFS.140.Indirect_Cash_Flow")</f>
        <v>CONS_VC_PRD:DFS.140.Indirect_Cash_Flow:1238482367-418805464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CONS_VC_PRD:DFS.100.Profit_and_Loss:1238482367-789193372</v>
      </c>
      <c r="C3" s="29" t="str">
        <f>_xll.VIEW("CONS_VC_PRD:DFS.160.Working_Capital")</f>
        <v>CONS_VC_PRD:DFS.160.Working_Capital:1238482367-1703514750</v>
      </c>
      <c r="D3" s="29" t="str">
        <f>_xll.VIEW("CONS_VC_PRD:ALL.004.Uploads_Status_Planning")</f>
        <v>CONS_VC_PRD:ALL.004.Uploads_Status_Planning:1238482367-464684186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CONS_VC_PRD:ALL.001.Actual_Control:1238482367-1751481193</v>
      </c>
      <c r="C4" s="29" t="str">
        <f>_xll.VIEW("CONS_VC_PRD:DFS.180.Gross_Debt")</f>
        <v>CONS_VC_PRD:DFS.180.Gross_Debt:1238482367794009355</v>
      </c>
      <c r="D4" s="29" t="str">
        <f>_xll.VIEW("CONS_VC_PRD:}ElementAttributes_ALL.D.Accounts")</f>
        <v>CONS_VC_PRD:}ElementAttributes_ALL.D.Accounts:12384823671352419715</v>
      </c>
    </row>
    <row r="5" spans="1:19" s="29" customFormat="1" ht="30" hidden="1" customHeight="1">
      <c r="A5" s="66"/>
      <c r="C5" t="str">
        <f>_xll.DBRW(Input_Prod_02!$B$4,Input_Prod_02!$G$11,Input_Prod_02!C14,$M$1,$G$3)</f>
        <v>ACTUAL</v>
      </c>
      <c r="D5" t="str">
        <f>_xll.DBRW(Input_Prod_02!$B$4,Input_Prod_02!$G$11,Input_Prod_02!D14,$M$1,$G$3)</f>
        <v/>
      </c>
      <c r="E5" t="str">
        <f>_xll.DBRW(Input_Prod_02!$B$4,Input_Prod_02!$G$11,Input_Prod_02!E14,$M$1,$G$3)</f>
        <v/>
      </c>
      <c r="F5" t="str">
        <f>_xll.DBRW(Input_Prod_02!$B$4,Input_Prod_02!$G$11,Input_Prod_02!F14,$M$1,$G$3)</f>
        <v/>
      </c>
      <c r="G5" t="str">
        <f>_xll.DBRW(Input_Prod_02!$B$4,Input_Prod_02!$G$11,Input_Prod_02!G14,$M$1,$G$3)</f>
        <v/>
      </c>
      <c r="H5" t="str">
        <f>_xll.DBRW(Input_Prod_02!$B$4,Input_Prod_02!$G$11,Input_Prod_02!H14,$M$1,$G$3)</f>
        <v/>
      </c>
      <c r="I5" t="str">
        <f>_xll.DBRW(Input_Prod_02!$B$4,Input_Prod_02!$G$11,Input_Prod_02!I14,$M$1,$G$3)</f>
        <v/>
      </c>
      <c r="J5" t="str">
        <f>_xll.DBRW(Input_Prod_02!$B$4,Input_Prod_02!$G$11,Input_Prod_02!J14,$M$1,$G$3)</f>
        <v/>
      </c>
      <c r="K5" t="str">
        <f>_xll.DBRW(Input_Prod_02!$B$4,Input_Prod_02!$G$11,Input_Prod_02!K14,$M$1,$G$3)</f>
        <v/>
      </c>
      <c r="L5" t="str">
        <f>_xll.DBRW(Input_Prod_02!$B$4,Input_Prod_02!$G$11,Input_Prod_02!L14,$M$1,$G$3)</f>
        <v/>
      </c>
      <c r="M5" t="str">
        <f>_xll.DBRW(Input_Prod_02!$B$4,Input_Prod_02!$G$11,Input_Prod_02!M14,$M$1,$G$3)</f>
        <v/>
      </c>
      <c r="N5" t="str">
        <f>_xll.DBRW(Input_Prod_02!$B$4,Input_Prod_02!$G$11,Input_Prod_02!N14,$M$1,$G$3)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9" s="29" customFormat="1" ht="15.6" customHeight="1">
      <c r="A10" s="66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s="29" customFormat="1" ht="21.6" customHeight="1">
      <c r="A11" s="66"/>
      <c r="B11" s="91"/>
      <c r="C11" s="104" t="str">
        <f>Cons_Region!$C$12</f>
        <v>VCBR</v>
      </c>
      <c r="D11" s="104"/>
      <c r="E11" s="99"/>
      <c r="F11" s="100"/>
      <c r="G11" s="101" t="str">
        <f>Cons_Region!$F$12</f>
        <v>2026</v>
      </c>
      <c r="H11" s="100"/>
      <c r="I11" s="101" t="str">
        <f>Cons_Region!$H$12</f>
        <v>BRL</v>
      </c>
      <c r="J11" s="102"/>
      <c r="K11" s="103" t="s">
        <v>523</v>
      </c>
      <c r="L11" s="101" t="str">
        <f>_xll.DBRW($D$3,$M$1,$C$11,"Financial_Planning","Status")</f>
        <v>Open</v>
      </c>
      <c r="M11" s="92"/>
      <c r="N11" s="90"/>
      <c r="O11" s="90"/>
      <c r="P11" s="90"/>
      <c r="Q11" s="90"/>
      <c r="R11" s="90"/>
      <c r="S11" s="90"/>
    </row>
    <row r="12" spans="1:19" s="29" customFormat="1" ht="14.4" customHeight="1">
      <c r="A12" s="66"/>
      <c r="B12" s="93"/>
      <c r="C12" s="94"/>
      <c r="D12" s="93"/>
      <c r="E12" s="93"/>
      <c r="F12" s="94"/>
      <c r="G12" s="93"/>
      <c r="H12" s="93"/>
      <c r="I12" s="94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spans="1:19" s="29" customFormat="1" ht="14.4" customHeight="1">
      <c r="A13" s="66"/>
      <c r="B13" s="86"/>
      <c r="C13" s="87"/>
      <c r="D13" s="88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97">
        <f>$G$11+1</f>
        <v>2027</v>
      </c>
      <c r="P13" s="98">
        <f>$G$11+2</f>
        <v>2028</v>
      </c>
      <c r="Q13" s="98">
        <f>$G$11+3</f>
        <v>2029</v>
      </c>
      <c r="R13" s="98">
        <f>$G$11+4</f>
        <v>2030</v>
      </c>
      <c r="S13" s="98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_xll.DBRW($C$2,Input_Prod_02!$G$11,Input_Prod_02!$C$14,$M$1,$B16,$K$1)</f>
        <v>0</v>
      </c>
      <c r="D16" s="40">
        <f>_xll.DBRW($C$2,Input_Prod_02!$G$11,Input_Prod_02!$C$14,$M$1,$B16,$K$1)</f>
        <v>0</v>
      </c>
      <c r="E16" s="40">
        <f>_xll.DBRW($C$2,Input_Prod_02!$G$11,Input_Prod_02!$C$14,$M$1,$B16,$K$1)</f>
        <v>0</v>
      </c>
      <c r="F16" s="40">
        <f>_xll.DBRW($C$2,Input_Prod_02!$G$11,Input_Prod_02!$C$14,$M$1,$B16,$K$1)</f>
        <v>0</v>
      </c>
      <c r="G16" s="40">
        <f>_xll.DBRW($C$2,Input_Prod_02!$G$11,Input_Prod_02!$C$14,$M$1,$B16,$K$1)</f>
        <v>0</v>
      </c>
      <c r="H16" s="40">
        <f>_xll.DBRW($C$2,Input_Prod_02!$G$11,Input_Prod_02!$C$14,$M$1,$B16,$K$1)</f>
        <v>0</v>
      </c>
      <c r="I16" s="40">
        <f>_xll.DBRW($C$2,Input_Prod_02!$G$11,Input_Prod_02!$C$14,$M$1,$B16,$K$1)</f>
        <v>0</v>
      </c>
      <c r="J16" s="40">
        <f>_xll.DBRW($C$2,Input_Prod_02!$G$11,Input_Prod_02!$C$14,$M$1,$B16,$K$1)</f>
        <v>0</v>
      </c>
      <c r="K16" s="40">
        <f>_xll.DBRW($C$2,Input_Prod_02!$G$11,Input_Prod_02!$C$14,$M$1,$B16,$K$1)</f>
        <v>0</v>
      </c>
      <c r="L16" s="40">
        <f>_xll.DBRW($C$2,Input_Prod_02!$G$11,Input_Prod_02!$C$14,$M$1,$B16,$K$1)</f>
        <v>0</v>
      </c>
      <c r="M16" s="40">
        <f>_xll.DBRW($C$2,Input_Prod_02!$G$11,Input_Prod_02!$C$14,$M$1,$B16,$K$1)</f>
        <v>0</v>
      </c>
      <c r="N16" s="40">
        <f>_xll.DBRW($C$2,Input_Prod_02!$G$11,Input_Prod_02!$C$14,$M$1,$B16,$K$1)</f>
        <v>0</v>
      </c>
      <c r="O16" s="40">
        <f>_xll.DBRW($C$2,O$13,$O$15,$M$1,$B16,$K$1)</f>
        <v>0</v>
      </c>
      <c r="P16" s="40">
        <f>_xll.DBRW($C$2,P$13,$O$15,$M$1,$B16,$K$1)</f>
        <v>0</v>
      </c>
      <c r="Q16" s="40">
        <f>_xll.DBRW($C$2,Q$13,$O$15,$M$1,$B16,$K$1)</f>
        <v>0</v>
      </c>
      <c r="R16" s="40">
        <f>_xll.DBRW($C$2,R$13,$O$15,$M$1,$B16,$K$1)</f>
        <v>0</v>
      </c>
      <c r="S16" s="40">
        <f>_xll.DBRW($C$2,S$13,$O$15,$M$1,$B16,$K$1)</f>
        <v>0</v>
      </c>
    </row>
    <row r="17" spans="1:19" s="29" customFormat="1" ht="15.75" customHeight="1">
      <c r="A17" s="66"/>
      <c r="B17" s="45" t="s">
        <v>1</v>
      </c>
      <c r="C17" s="40">
        <f>_xll.DBRW($C$2,Input_Prod_02!$G$11,Input_Prod_02!$C$14,$M$1,$B17,$K$1)</f>
        <v>0</v>
      </c>
      <c r="D17" s="40">
        <f>_xll.DBRW($C$2,Input_Prod_02!$G$11,Input_Prod_02!$C$14,$M$1,$B17,$K$1)</f>
        <v>0</v>
      </c>
      <c r="E17" s="40">
        <f>_xll.DBRW($C$2,Input_Prod_02!$G$11,Input_Prod_02!$C$14,$M$1,$B17,$K$1)</f>
        <v>0</v>
      </c>
      <c r="F17" s="40">
        <f>_xll.DBRW($C$2,Input_Prod_02!$G$11,Input_Prod_02!$C$14,$M$1,$B17,$K$1)</f>
        <v>0</v>
      </c>
      <c r="G17" s="40">
        <f>_xll.DBRW($C$2,Input_Prod_02!$G$11,Input_Prod_02!$C$14,$M$1,$B17,$K$1)</f>
        <v>0</v>
      </c>
      <c r="H17" s="40">
        <f>_xll.DBRW($C$2,Input_Prod_02!$G$11,Input_Prod_02!$C$14,$M$1,$B17,$K$1)</f>
        <v>0</v>
      </c>
      <c r="I17" s="40">
        <f>_xll.DBRW($C$2,Input_Prod_02!$G$11,Input_Prod_02!$C$14,$M$1,$B17,$K$1)</f>
        <v>0</v>
      </c>
      <c r="J17" s="40">
        <f>_xll.DBRW($C$2,Input_Prod_02!$G$11,Input_Prod_02!$C$14,$M$1,$B17,$K$1)</f>
        <v>0</v>
      </c>
      <c r="K17" s="40">
        <f>_xll.DBRW($C$2,Input_Prod_02!$G$11,Input_Prod_02!$C$14,$M$1,$B17,$K$1)</f>
        <v>0</v>
      </c>
      <c r="L17" s="40">
        <f>_xll.DBRW($C$2,Input_Prod_02!$G$11,Input_Prod_02!$C$14,$M$1,$B17,$K$1)</f>
        <v>0</v>
      </c>
      <c r="M17" s="40">
        <f>_xll.DBRW($C$2,Input_Prod_02!$G$11,Input_Prod_02!$C$14,$M$1,$B17,$K$1)</f>
        <v>0</v>
      </c>
      <c r="N17" s="40">
        <f>_xll.DBRW($C$2,Input_Prod_02!$G$11,Input_Prod_02!$C$14,$M$1,$B17,$K$1)</f>
        <v>0</v>
      </c>
      <c r="O17" s="40">
        <f>_xll.DBRW($C$2,O$13,$O$15,$M$1,$B17,$K$1)</f>
        <v>0</v>
      </c>
      <c r="P17" s="40">
        <f>_xll.DBRW($C$2,P$13,$O$15,$M$1,$B17,$K$1)</f>
        <v>0</v>
      </c>
      <c r="Q17" s="40">
        <f>_xll.DBRW($C$2,Q$13,$O$15,$M$1,$B17,$K$1)</f>
        <v>0</v>
      </c>
      <c r="R17" s="40">
        <f>_xll.DBRW($C$2,R$13,$O$15,$M$1,$B17,$K$1)</f>
        <v>0</v>
      </c>
      <c r="S17" s="40">
        <f>_xll.DBRW($C$2,S$13,$O$15,$M$1,$B17,$K$1)</f>
        <v>0</v>
      </c>
    </row>
    <row r="18" spans="1:19" s="29" customFormat="1" ht="15.75" customHeight="1">
      <c r="A18" s="66"/>
      <c r="B18" s="45" t="s">
        <v>2</v>
      </c>
      <c r="C18" s="40">
        <f>_xll.DBRW($C$2,Input_Prod_02!$G$11,Input_Prod_02!$C$14,$M$1,$B18,$K$1)</f>
        <v>0</v>
      </c>
      <c r="D18" s="40">
        <f>_xll.DBRW($C$2,Input_Prod_02!$G$11,Input_Prod_02!$C$14,$M$1,$B18,$K$1)</f>
        <v>0</v>
      </c>
      <c r="E18" s="40">
        <f>_xll.DBRW($C$2,Input_Prod_02!$G$11,Input_Prod_02!$C$14,$M$1,$B18,$K$1)</f>
        <v>0</v>
      </c>
      <c r="F18" s="40">
        <f>_xll.DBRW($C$2,Input_Prod_02!$G$11,Input_Prod_02!$C$14,$M$1,$B18,$K$1)</f>
        <v>0</v>
      </c>
      <c r="G18" s="40">
        <f>_xll.DBRW($C$2,Input_Prod_02!$G$11,Input_Prod_02!$C$14,$M$1,$B18,$K$1)</f>
        <v>0</v>
      </c>
      <c r="H18" s="40">
        <f>_xll.DBRW($C$2,Input_Prod_02!$G$11,Input_Prod_02!$C$14,$M$1,$B18,$K$1)</f>
        <v>0</v>
      </c>
      <c r="I18" s="40">
        <f>_xll.DBRW($C$2,Input_Prod_02!$G$11,Input_Prod_02!$C$14,$M$1,$B18,$K$1)</f>
        <v>0</v>
      </c>
      <c r="J18" s="40">
        <f>_xll.DBRW($C$2,Input_Prod_02!$G$11,Input_Prod_02!$C$14,$M$1,$B18,$K$1)</f>
        <v>0</v>
      </c>
      <c r="K18" s="40">
        <f>_xll.DBRW($C$2,Input_Prod_02!$G$11,Input_Prod_02!$C$14,$M$1,$B18,$K$1)</f>
        <v>0</v>
      </c>
      <c r="L18" s="40">
        <f>_xll.DBRW($C$2,Input_Prod_02!$G$11,Input_Prod_02!$C$14,$M$1,$B18,$K$1)</f>
        <v>0</v>
      </c>
      <c r="M18" s="40">
        <f>_xll.DBRW($C$2,Input_Prod_02!$G$11,Input_Prod_02!$C$14,$M$1,$B18,$K$1)</f>
        <v>0</v>
      </c>
      <c r="N18" s="40">
        <f>_xll.DBRW($C$2,Input_Prod_02!$G$11,Input_Prod_02!$C$14,$M$1,$B18,$K$1)</f>
        <v>0</v>
      </c>
      <c r="O18" s="40">
        <f>_xll.DBRW($C$2,O$13,$O$15,$M$1,$B18,$K$1)</f>
        <v>0</v>
      </c>
      <c r="P18" s="40">
        <f>_xll.DBRW($C$2,P$13,$O$15,$M$1,$B18,$K$1)</f>
        <v>0</v>
      </c>
      <c r="Q18" s="40">
        <f>_xll.DBRW($C$2,Q$13,$O$15,$M$1,$B18,$K$1)</f>
        <v>0</v>
      </c>
      <c r="R18" s="40">
        <f>_xll.DBRW($C$2,R$13,$O$15,$M$1,$B18,$K$1)</f>
        <v>0</v>
      </c>
      <c r="S18" s="40">
        <f>_xll.DBRW($C$2,S$13,$O$15,$M$1,$B18,$K$1)</f>
        <v>0</v>
      </c>
    </row>
    <row r="19" spans="1:19" s="29" customFormat="1" ht="15.75" customHeight="1">
      <c r="A19" s="66"/>
      <c r="B19" s="45" t="s">
        <v>3</v>
      </c>
      <c r="C19" s="40">
        <f>_xll.DBRW($C$2,Input_Prod_02!$G$11,Input_Prod_02!$C$14,$M$1,$B19,$K$1)</f>
        <v>0</v>
      </c>
      <c r="D19" s="40">
        <f>_xll.DBRW($C$2,Input_Prod_02!$G$11,Input_Prod_02!$C$14,$M$1,$B19,$K$1)</f>
        <v>0</v>
      </c>
      <c r="E19" s="40">
        <f>_xll.DBRW($C$2,Input_Prod_02!$G$11,Input_Prod_02!$C$14,$M$1,$B19,$K$1)</f>
        <v>0</v>
      </c>
      <c r="F19" s="40">
        <f>_xll.DBRW($C$2,Input_Prod_02!$G$11,Input_Prod_02!$C$14,$M$1,$B19,$K$1)</f>
        <v>0</v>
      </c>
      <c r="G19" s="40">
        <f>_xll.DBRW($C$2,Input_Prod_02!$G$11,Input_Prod_02!$C$14,$M$1,$B19,$K$1)</f>
        <v>0</v>
      </c>
      <c r="H19" s="40">
        <f>_xll.DBRW($C$2,Input_Prod_02!$G$11,Input_Prod_02!$C$14,$M$1,$B19,$K$1)</f>
        <v>0</v>
      </c>
      <c r="I19" s="40">
        <f>_xll.DBRW($C$2,Input_Prod_02!$G$11,Input_Prod_02!$C$14,$M$1,$B19,$K$1)</f>
        <v>0</v>
      </c>
      <c r="J19" s="40">
        <f>_xll.DBRW($C$2,Input_Prod_02!$G$11,Input_Prod_02!$C$14,$M$1,$B19,$K$1)</f>
        <v>0</v>
      </c>
      <c r="K19" s="40">
        <f>_xll.DBRW($C$2,Input_Prod_02!$G$11,Input_Prod_02!$C$14,$M$1,$B19,$K$1)</f>
        <v>0</v>
      </c>
      <c r="L19" s="40">
        <f>_xll.DBRW($C$2,Input_Prod_02!$G$11,Input_Prod_02!$C$14,$M$1,$B19,$K$1)</f>
        <v>0</v>
      </c>
      <c r="M19" s="40">
        <f>_xll.DBRW($C$2,Input_Prod_02!$G$11,Input_Prod_02!$C$14,$M$1,$B19,$K$1)</f>
        <v>0</v>
      </c>
      <c r="N19" s="40">
        <f>_xll.DBRW($C$2,Input_Prod_02!$G$11,Input_Prod_02!$C$14,$M$1,$B19,$K$1)</f>
        <v>0</v>
      </c>
      <c r="O19" s="40">
        <f>_xll.DBRW($C$2,O$13,$O$15,$M$1,$B19,$K$1)</f>
        <v>0</v>
      </c>
      <c r="P19" s="40">
        <f>_xll.DBRW($C$2,P$13,$O$15,$M$1,$B19,$K$1)</f>
        <v>0</v>
      </c>
      <c r="Q19" s="40">
        <f>_xll.DBRW($C$2,Q$13,$O$15,$M$1,$B19,$K$1)</f>
        <v>0</v>
      </c>
      <c r="R19" s="40">
        <f>_xll.DBRW($C$2,R$13,$O$15,$M$1,$B19,$K$1)</f>
        <v>0</v>
      </c>
      <c r="S19" s="40">
        <f>_xll.DBRW($C$2,S$13,$O$15,$M$1,$B19,$K$1)</f>
        <v>0</v>
      </c>
    </row>
    <row r="20" spans="1:19" s="29" customFormat="1" ht="15.75" customHeight="1">
      <c r="A20" s="66"/>
      <c r="B20" s="45" t="s">
        <v>4</v>
      </c>
      <c r="C20" s="40">
        <f>_xll.DBRW($C$2,Input_Prod_02!$G$11,Input_Prod_02!$C$14,$M$1,$B20,$K$1)</f>
        <v>5</v>
      </c>
      <c r="D20" s="40">
        <f>_xll.DBRW($C$2,Input_Prod_02!$G$11,Input_Prod_02!$C$14,$M$1,$B20,$K$1)</f>
        <v>5</v>
      </c>
      <c r="E20" s="40">
        <f>_xll.DBRW($C$2,Input_Prod_02!$G$11,Input_Prod_02!$C$14,$M$1,$B20,$K$1)</f>
        <v>5</v>
      </c>
      <c r="F20" s="40">
        <f>_xll.DBRW($C$2,Input_Prod_02!$G$11,Input_Prod_02!$C$14,$M$1,$B20,$K$1)</f>
        <v>5</v>
      </c>
      <c r="G20" s="40">
        <f>_xll.DBRW($C$2,Input_Prod_02!$G$11,Input_Prod_02!$C$14,$M$1,$B20,$K$1)</f>
        <v>5</v>
      </c>
      <c r="H20" s="40">
        <f>_xll.DBRW($C$2,Input_Prod_02!$G$11,Input_Prod_02!$C$14,$M$1,$B20,$K$1)</f>
        <v>5</v>
      </c>
      <c r="I20" s="40">
        <f>_xll.DBRW($C$2,Input_Prod_02!$G$11,Input_Prod_02!$C$14,$M$1,$B20,$K$1)</f>
        <v>5</v>
      </c>
      <c r="J20" s="40">
        <f>_xll.DBRW($C$2,Input_Prod_02!$G$11,Input_Prod_02!$C$14,$M$1,$B20,$K$1)</f>
        <v>5</v>
      </c>
      <c r="K20" s="40">
        <f>_xll.DBRW($C$2,Input_Prod_02!$G$11,Input_Prod_02!$C$14,$M$1,$B20,$K$1)</f>
        <v>5</v>
      </c>
      <c r="L20" s="40">
        <f>_xll.DBRW($C$2,Input_Prod_02!$G$11,Input_Prod_02!$C$14,$M$1,$B20,$K$1)</f>
        <v>5</v>
      </c>
      <c r="M20" s="40">
        <f>_xll.DBRW($C$2,Input_Prod_02!$G$11,Input_Prod_02!$C$14,$M$1,$B20,$K$1)</f>
        <v>5</v>
      </c>
      <c r="N20" s="40">
        <f>_xll.DBRW($C$2,Input_Prod_02!$G$11,Input_Prod_02!$C$14,$M$1,$B20,$K$1)</f>
        <v>5</v>
      </c>
      <c r="O20" s="40">
        <f>_xll.DBRW($C$2,O$13,$O$15,$M$1,$B20,$K$1)</f>
        <v>0</v>
      </c>
      <c r="P20" s="40">
        <f>_xll.DBRW($C$2,P$13,$O$15,$M$1,$B20,$K$1)</f>
        <v>0</v>
      </c>
      <c r="Q20" s="40">
        <f>_xll.DBRW($C$2,Q$13,$O$15,$M$1,$B20,$K$1)</f>
        <v>0</v>
      </c>
      <c r="R20" s="40">
        <f>_xll.DBRW($C$2,R$13,$O$15,$M$1,$B20,$K$1)</f>
        <v>0</v>
      </c>
      <c r="S20" s="40">
        <f>_xll.DBRW($C$2,S$13,$O$15,$M$1,$B20,$K$1)</f>
        <v>0</v>
      </c>
    </row>
    <row r="21" spans="1:19" s="29" customFormat="1" ht="15.75" customHeight="1">
      <c r="A21" s="66"/>
      <c r="B21" s="45" t="s">
        <v>5</v>
      </c>
      <c r="C21" s="40">
        <f>_xll.DBRW($C$2,Input_Prod_02!$G$11,Input_Prod_02!$C$14,$M$1,$B21,$K$1)</f>
        <v>0</v>
      </c>
      <c r="D21" s="40">
        <f>_xll.DBRW($C$2,Input_Prod_02!$G$11,Input_Prod_02!$C$14,$M$1,$B21,$K$1)</f>
        <v>0</v>
      </c>
      <c r="E21" s="40">
        <f>_xll.DBRW($C$2,Input_Prod_02!$G$11,Input_Prod_02!$C$14,$M$1,$B21,$K$1)</f>
        <v>0</v>
      </c>
      <c r="F21" s="40">
        <f>_xll.DBRW($C$2,Input_Prod_02!$G$11,Input_Prod_02!$C$14,$M$1,$B21,$K$1)</f>
        <v>0</v>
      </c>
      <c r="G21" s="40">
        <f>_xll.DBRW($C$2,Input_Prod_02!$G$11,Input_Prod_02!$C$14,$M$1,$B21,$K$1)</f>
        <v>0</v>
      </c>
      <c r="H21" s="40">
        <f>_xll.DBRW($C$2,Input_Prod_02!$G$11,Input_Prod_02!$C$14,$M$1,$B21,$K$1)</f>
        <v>0</v>
      </c>
      <c r="I21" s="40">
        <f>_xll.DBRW($C$2,Input_Prod_02!$G$11,Input_Prod_02!$C$14,$M$1,$B21,$K$1)</f>
        <v>0</v>
      </c>
      <c r="J21" s="40">
        <f>_xll.DBRW($C$2,Input_Prod_02!$G$11,Input_Prod_02!$C$14,$M$1,$B21,$K$1)</f>
        <v>0</v>
      </c>
      <c r="K21" s="40">
        <f>_xll.DBRW($C$2,Input_Prod_02!$G$11,Input_Prod_02!$C$14,$M$1,$B21,$K$1)</f>
        <v>0</v>
      </c>
      <c r="L21" s="40">
        <f>_xll.DBRW($C$2,Input_Prod_02!$G$11,Input_Prod_02!$C$14,$M$1,$B21,$K$1)</f>
        <v>0</v>
      </c>
      <c r="M21" s="40">
        <f>_xll.DBRW($C$2,Input_Prod_02!$G$11,Input_Prod_02!$C$14,$M$1,$B21,$K$1)</f>
        <v>0</v>
      </c>
      <c r="N21" s="40">
        <f>_xll.DBRW($C$2,Input_Prod_02!$G$11,Input_Prod_02!$C$14,$M$1,$B21,$K$1)</f>
        <v>0</v>
      </c>
      <c r="O21" s="40">
        <f>_xll.DBRW($C$2,O$13,$O$15,$M$1,$B21,$K$1)</f>
        <v>0</v>
      </c>
      <c r="P21" s="40">
        <f>_xll.DBRW($C$2,P$13,$O$15,$M$1,$B21,$K$1)</f>
        <v>0</v>
      </c>
      <c r="Q21" s="40">
        <f>_xll.DBRW($C$2,Q$13,$O$15,$M$1,$B21,$K$1)</f>
        <v>0</v>
      </c>
      <c r="R21" s="40">
        <f>_xll.DBRW($C$2,R$13,$O$15,$M$1,$B21,$K$1)</f>
        <v>0</v>
      </c>
      <c r="S21" s="40">
        <f>_xll.DBRW($C$2,S$13,$O$15,$M$1,$B21,$K$1)</f>
        <v>0</v>
      </c>
    </row>
    <row r="22" spans="1:19" s="29" customFormat="1" ht="15.75" customHeight="1">
      <c r="A22" s="66"/>
      <c r="B22" s="45" t="s">
        <v>6</v>
      </c>
      <c r="C22" s="40">
        <f>_xll.DBRW($C$2,Input_Prod_02!$G$11,Input_Prod_02!$C$14,$M$1,$B22,$K$1)</f>
        <v>0</v>
      </c>
      <c r="D22" s="40">
        <f>_xll.DBRW($C$2,Input_Prod_02!$G$11,Input_Prod_02!$C$14,$M$1,$B22,$K$1)</f>
        <v>0</v>
      </c>
      <c r="E22" s="40">
        <f>_xll.DBRW($C$2,Input_Prod_02!$G$11,Input_Prod_02!$C$14,$M$1,$B22,$K$1)</f>
        <v>0</v>
      </c>
      <c r="F22" s="40">
        <f>_xll.DBRW($C$2,Input_Prod_02!$G$11,Input_Prod_02!$C$14,$M$1,$B22,$K$1)</f>
        <v>0</v>
      </c>
      <c r="G22" s="40">
        <f>_xll.DBRW($C$2,Input_Prod_02!$G$11,Input_Prod_02!$C$14,$M$1,$B22,$K$1)</f>
        <v>0</v>
      </c>
      <c r="H22" s="40">
        <f>_xll.DBRW($C$2,Input_Prod_02!$G$11,Input_Prod_02!$C$14,$M$1,$B22,$K$1)</f>
        <v>0</v>
      </c>
      <c r="I22" s="40">
        <f>_xll.DBRW($C$2,Input_Prod_02!$G$11,Input_Prod_02!$C$14,$M$1,$B22,$K$1)</f>
        <v>0</v>
      </c>
      <c r="J22" s="40">
        <f>_xll.DBRW($C$2,Input_Prod_02!$G$11,Input_Prod_02!$C$14,$M$1,$B22,$K$1)</f>
        <v>0</v>
      </c>
      <c r="K22" s="40">
        <f>_xll.DBRW($C$2,Input_Prod_02!$G$11,Input_Prod_02!$C$14,$M$1,$B22,$K$1)</f>
        <v>0</v>
      </c>
      <c r="L22" s="40">
        <f>_xll.DBRW($C$2,Input_Prod_02!$G$11,Input_Prod_02!$C$14,$M$1,$B22,$K$1)</f>
        <v>0</v>
      </c>
      <c r="M22" s="40">
        <f>_xll.DBRW($C$2,Input_Prod_02!$G$11,Input_Prod_02!$C$14,$M$1,$B22,$K$1)</f>
        <v>0</v>
      </c>
      <c r="N22" s="40">
        <f>_xll.DBRW($C$2,Input_Prod_02!$G$11,Input_Prod_02!$C$14,$M$1,$B22,$K$1)</f>
        <v>0</v>
      </c>
      <c r="O22" s="40">
        <f>_xll.DBRW($C$2,O$13,$O$15,$M$1,$B22,$K$1)</f>
        <v>0</v>
      </c>
      <c r="P22" s="40">
        <f>_xll.DBRW($C$2,P$13,$O$15,$M$1,$B22,$K$1)</f>
        <v>0</v>
      </c>
      <c r="Q22" s="40">
        <f>_xll.DBRW($C$2,Q$13,$O$15,$M$1,$B22,$K$1)</f>
        <v>0</v>
      </c>
      <c r="R22" s="40">
        <f>_xll.DBRW($C$2,R$13,$O$15,$M$1,$B22,$K$1)</f>
        <v>0</v>
      </c>
      <c r="S22" s="40">
        <f>_xll.DBRW($C$2,S$13,$O$15,$M$1,$B22,$K$1)</f>
        <v>0</v>
      </c>
    </row>
    <row r="23" spans="1:19" s="29" customFormat="1" ht="15.75" customHeight="1">
      <c r="A23" s="66"/>
      <c r="B23" s="45" t="s">
        <v>7</v>
      </c>
      <c r="C23" s="40">
        <f>_xll.DBRW($C$2,Input_Prod_02!$G$11,Input_Prod_02!$C$14,$M$1,$B23,$K$1)</f>
        <v>0</v>
      </c>
      <c r="D23" s="40">
        <f>_xll.DBRW($C$2,Input_Prod_02!$G$11,Input_Prod_02!$C$14,$M$1,$B23,$K$1)</f>
        <v>0</v>
      </c>
      <c r="E23" s="40">
        <f>_xll.DBRW($C$2,Input_Prod_02!$G$11,Input_Prod_02!$C$14,$M$1,$B23,$K$1)</f>
        <v>0</v>
      </c>
      <c r="F23" s="40">
        <f>_xll.DBRW($C$2,Input_Prod_02!$G$11,Input_Prod_02!$C$14,$M$1,$B23,$K$1)</f>
        <v>0</v>
      </c>
      <c r="G23" s="40">
        <f>_xll.DBRW($C$2,Input_Prod_02!$G$11,Input_Prod_02!$C$14,$M$1,$B23,$K$1)</f>
        <v>0</v>
      </c>
      <c r="H23" s="40">
        <f>_xll.DBRW($C$2,Input_Prod_02!$G$11,Input_Prod_02!$C$14,$M$1,$B23,$K$1)</f>
        <v>0</v>
      </c>
      <c r="I23" s="40">
        <f>_xll.DBRW($C$2,Input_Prod_02!$G$11,Input_Prod_02!$C$14,$M$1,$B23,$K$1)</f>
        <v>0</v>
      </c>
      <c r="J23" s="40">
        <f>_xll.DBRW($C$2,Input_Prod_02!$G$11,Input_Prod_02!$C$14,$M$1,$B23,$K$1)</f>
        <v>0</v>
      </c>
      <c r="K23" s="40">
        <f>_xll.DBRW($C$2,Input_Prod_02!$G$11,Input_Prod_02!$C$14,$M$1,$B23,$K$1)</f>
        <v>0</v>
      </c>
      <c r="L23" s="40">
        <f>_xll.DBRW($C$2,Input_Prod_02!$G$11,Input_Prod_02!$C$14,$M$1,$B23,$K$1)</f>
        <v>0</v>
      </c>
      <c r="M23" s="40">
        <f>_xll.DBRW($C$2,Input_Prod_02!$G$11,Input_Prod_02!$C$14,$M$1,$B23,$K$1)</f>
        <v>0</v>
      </c>
      <c r="N23" s="40">
        <f>_xll.DBRW($C$2,Input_Prod_02!$G$11,Input_Prod_02!$C$14,$M$1,$B23,$K$1)</f>
        <v>0</v>
      </c>
      <c r="O23" s="40">
        <f>_xll.DBRW($C$2,O$13,$O$15,$M$1,$B23,$K$1)</f>
        <v>0</v>
      </c>
      <c r="P23" s="40">
        <f>_xll.DBRW($C$2,P$13,$O$15,$M$1,$B23,$K$1)</f>
        <v>0</v>
      </c>
      <c r="Q23" s="40">
        <f>_xll.DBRW($C$2,Q$13,$O$15,$M$1,$B23,$K$1)</f>
        <v>0</v>
      </c>
      <c r="R23" s="40">
        <f>_xll.DBRW($C$2,R$13,$O$15,$M$1,$B23,$K$1)</f>
        <v>0</v>
      </c>
      <c r="S23" s="40">
        <f>_xll.DBRW($C$2,S$13,$O$15,$M$1,$B23,$K$1)</f>
        <v>0</v>
      </c>
    </row>
    <row r="24" spans="1:19" s="29" customFormat="1" ht="15.75" customHeight="1">
      <c r="A24" s="66"/>
      <c r="B24" s="45" t="s">
        <v>8</v>
      </c>
      <c r="C24" s="40">
        <f>_xll.DBRW($C$2,Input_Prod_02!$G$11,Input_Prod_02!$C$14,$M$1,$B24,$K$1)</f>
        <v>0</v>
      </c>
      <c r="D24" s="40">
        <f>_xll.DBRW($C$2,Input_Prod_02!$G$11,Input_Prod_02!$C$14,$M$1,$B24,$K$1)</f>
        <v>0</v>
      </c>
      <c r="E24" s="40">
        <f>_xll.DBRW($C$2,Input_Prod_02!$G$11,Input_Prod_02!$C$14,$M$1,$B24,$K$1)</f>
        <v>0</v>
      </c>
      <c r="F24" s="40">
        <f>_xll.DBRW($C$2,Input_Prod_02!$G$11,Input_Prod_02!$C$14,$M$1,$B24,$K$1)</f>
        <v>0</v>
      </c>
      <c r="G24" s="40">
        <f>_xll.DBRW($C$2,Input_Prod_02!$G$11,Input_Prod_02!$C$14,$M$1,$B24,$K$1)</f>
        <v>0</v>
      </c>
      <c r="H24" s="40">
        <f>_xll.DBRW($C$2,Input_Prod_02!$G$11,Input_Prod_02!$C$14,$M$1,$B24,$K$1)</f>
        <v>0</v>
      </c>
      <c r="I24" s="40">
        <f>_xll.DBRW($C$2,Input_Prod_02!$G$11,Input_Prod_02!$C$14,$M$1,$B24,$K$1)</f>
        <v>0</v>
      </c>
      <c r="J24" s="40">
        <f>_xll.DBRW($C$2,Input_Prod_02!$G$11,Input_Prod_02!$C$14,$M$1,$B24,$K$1)</f>
        <v>0</v>
      </c>
      <c r="K24" s="40">
        <f>_xll.DBRW($C$2,Input_Prod_02!$G$11,Input_Prod_02!$C$14,$M$1,$B24,$K$1)</f>
        <v>0</v>
      </c>
      <c r="L24" s="40">
        <f>_xll.DBRW($C$2,Input_Prod_02!$G$11,Input_Prod_02!$C$14,$M$1,$B24,$K$1)</f>
        <v>0</v>
      </c>
      <c r="M24" s="40">
        <f>_xll.DBRW($C$2,Input_Prod_02!$G$11,Input_Prod_02!$C$14,$M$1,$B24,$K$1)</f>
        <v>0</v>
      </c>
      <c r="N24" s="40">
        <f>_xll.DBRW($C$2,Input_Prod_02!$G$11,Input_Prod_02!$C$14,$M$1,$B24,$K$1)</f>
        <v>0</v>
      </c>
      <c r="O24" s="40">
        <f>_xll.DBRW($C$2,O$13,$O$15,$M$1,$B24,$K$1)</f>
        <v>0</v>
      </c>
      <c r="P24" s="40">
        <f>_xll.DBRW($C$2,P$13,$O$15,$M$1,$B24,$K$1)</f>
        <v>0</v>
      </c>
      <c r="Q24" s="40">
        <f>_xll.DBRW($C$2,Q$13,$O$15,$M$1,$B24,$K$1)</f>
        <v>0</v>
      </c>
      <c r="R24" s="40">
        <f>_xll.DBRW($C$2,R$13,$O$15,$M$1,$B24,$K$1)</f>
        <v>0</v>
      </c>
      <c r="S24" s="40">
        <f>_xll.DBRW($C$2,S$13,$O$15,$M$1,$B24,$K$1)</f>
        <v>0</v>
      </c>
    </row>
    <row r="25" spans="1:19" s="29" customFormat="1" ht="15.75" customHeight="1">
      <c r="A25" s="66"/>
      <c r="B25" s="45" t="s">
        <v>9</v>
      </c>
      <c r="C25" s="40">
        <f>_xll.DBRW($C$2,Input_Prod_02!$G$11,Input_Prod_02!$C$14,$M$1,$B25,$K$1)</f>
        <v>0</v>
      </c>
      <c r="D25" s="40">
        <f>_xll.DBRW($C$2,Input_Prod_02!$G$11,Input_Prod_02!$C$14,$M$1,$B25,$K$1)</f>
        <v>0</v>
      </c>
      <c r="E25" s="40">
        <f>_xll.DBRW($C$2,Input_Prod_02!$G$11,Input_Prod_02!$C$14,$M$1,$B25,$K$1)</f>
        <v>0</v>
      </c>
      <c r="F25" s="40">
        <f>_xll.DBRW($C$2,Input_Prod_02!$G$11,Input_Prod_02!$C$14,$M$1,$B25,$K$1)</f>
        <v>0</v>
      </c>
      <c r="G25" s="40">
        <f>_xll.DBRW($C$2,Input_Prod_02!$G$11,Input_Prod_02!$C$14,$M$1,$B25,$K$1)</f>
        <v>0</v>
      </c>
      <c r="H25" s="40">
        <f>_xll.DBRW($C$2,Input_Prod_02!$G$11,Input_Prod_02!$C$14,$M$1,$B25,$K$1)</f>
        <v>0</v>
      </c>
      <c r="I25" s="40">
        <f>_xll.DBRW($C$2,Input_Prod_02!$G$11,Input_Prod_02!$C$14,$M$1,$B25,$K$1)</f>
        <v>0</v>
      </c>
      <c r="J25" s="40">
        <f>_xll.DBRW($C$2,Input_Prod_02!$G$11,Input_Prod_02!$C$14,$M$1,$B25,$K$1)</f>
        <v>0</v>
      </c>
      <c r="K25" s="40">
        <f>_xll.DBRW($C$2,Input_Prod_02!$G$11,Input_Prod_02!$C$14,$M$1,$B25,$K$1)</f>
        <v>0</v>
      </c>
      <c r="L25" s="40">
        <f>_xll.DBRW($C$2,Input_Prod_02!$G$11,Input_Prod_02!$C$14,$M$1,$B25,$K$1)</f>
        <v>0</v>
      </c>
      <c r="M25" s="40">
        <f>_xll.DBRW($C$2,Input_Prod_02!$G$11,Input_Prod_02!$C$14,$M$1,$B25,$K$1)</f>
        <v>0</v>
      </c>
      <c r="N25" s="40">
        <f>_xll.DBRW($C$2,Input_Prod_02!$G$11,Input_Prod_02!$C$14,$M$1,$B25,$K$1)</f>
        <v>0</v>
      </c>
      <c r="O25" s="40">
        <f>_xll.DBRW($C$2,O$13,$O$15,$M$1,$B25,$K$1)</f>
        <v>0</v>
      </c>
      <c r="P25" s="40">
        <f>_xll.DBRW($C$2,P$13,$O$15,$M$1,$B25,$K$1)</f>
        <v>0</v>
      </c>
      <c r="Q25" s="40">
        <f>_xll.DBRW($C$2,Q$13,$O$15,$M$1,$B25,$K$1)</f>
        <v>0</v>
      </c>
      <c r="R25" s="40">
        <f>_xll.DBRW($C$2,R$13,$O$15,$M$1,$B25,$K$1)</f>
        <v>0</v>
      </c>
      <c r="S25" s="40">
        <f>_xll.DBRW($C$2,S$13,$O$15,$M$1,$B25,$K$1)</f>
        <v>0</v>
      </c>
    </row>
    <row r="26" spans="1:19" s="29" customFormat="1" ht="15.75" customHeight="1">
      <c r="A26" s="66"/>
      <c r="B26" s="45" t="s">
        <v>10</v>
      </c>
      <c r="C26" s="40">
        <f>_xll.DBRW($C$2,Input_Prod_02!$G$11,Input_Prod_02!$C$14,$M$1,$B26,$K$1)</f>
        <v>0</v>
      </c>
      <c r="D26" s="40">
        <f>_xll.DBRW($C$2,Input_Prod_02!$G$11,Input_Prod_02!$C$14,$M$1,$B26,$K$1)</f>
        <v>0</v>
      </c>
      <c r="E26" s="40">
        <f>_xll.DBRW($C$2,Input_Prod_02!$G$11,Input_Prod_02!$C$14,$M$1,$B26,$K$1)</f>
        <v>0</v>
      </c>
      <c r="F26" s="40">
        <f>_xll.DBRW($C$2,Input_Prod_02!$G$11,Input_Prod_02!$C$14,$M$1,$B26,$K$1)</f>
        <v>0</v>
      </c>
      <c r="G26" s="40">
        <f>_xll.DBRW($C$2,Input_Prod_02!$G$11,Input_Prod_02!$C$14,$M$1,$B26,$K$1)</f>
        <v>0</v>
      </c>
      <c r="H26" s="40">
        <f>_xll.DBRW($C$2,Input_Prod_02!$G$11,Input_Prod_02!$C$14,$M$1,$B26,$K$1)</f>
        <v>0</v>
      </c>
      <c r="I26" s="40">
        <f>_xll.DBRW($C$2,Input_Prod_02!$G$11,Input_Prod_02!$C$14,$M$1,$B26,$K$1)</f>
        <v>0</v>
      </c>
      <c r="J26" s="40">
        <f>_xll.DBRW($C$2,Input_Prod_02!$G$11,Input_Prod_02!$C$14,$M$1,$B26,$K$1)</f>
        <v>0</v>
      </c>
      <c r="K26" s="40">
        <f>_xll.DBRW($C$2,Input_Prod_02!$G$11,Input_Prod_02!$C$14,$M$1,$B26,$K$1)</f>
        <v>0</v>
      </c>
      <c r="L26" s="40">
        <f>_xll.DBRW($C$2,Input_Prod_02!$G$11,Input_Prod_02!$C$14,$M$1,$B26,$K$1)</f>
        <v>0</v>
      </c>
      <c r="M26" s="40">
        <f>_xll.DBRW($C$2,Input_Prod_02!$G$11,Input_Prod_02!$C$14,$M$1,$B26,$K$1)</f>
        <v>0</v>
      </c>
      <c r="N26" s="40">
        <f>_xll.DBRW($C$2,Input_Prod_02!$G$11,Input_Prod_02!$C$14,$M$1,$B26,$K$1)</f>
        <v>0</v>
      </c>
      <c r="O26" s="40">
        <f>_xll.DBRW($C$2,O$13,$O$15,$M$1,$B26,$K$1)</f>
        <v>0</v>
      </c>
      <c r="P26" s="40">
        <f>_xll.DBRW($C$2,P$13,$O$15,$M$1,$B26,$K$1)</f>
        <v>0</v>
      </c>
      <c r="Q26" s="40">
        <f>_xll.DBRW($C$2,Q$13,$O$15,$M$1,$B26,$K$1)</f>
        <v>0</v>
      </c>
      <c r="R26" s="40">
        <f>_xll.DBRW($C$2,R$13,$O$15,$M$1,$B26,$K$1)</f>
        <v>0</v>
      </c>
      <c r="S26" s="40">
        <f>_xll.DBRW($C$2,S$13,$O$15,$M$1,$B26,$K$1)</f>
        <v>0</v>
      </c>
    </row>
    <row r="27" spans="1:19" s="29" customFormat="1" ht="15.75" customHeight="1">
      <c r="A27" s="66"/>
      <c r="B27" s="45" t="s">
        <v>11</v>
      </c>
      <c r="C27" s="40">
        <f>_xll.DBRW($C$2,Input_Prod_02!$G$11,Input_Prod_02!$C$14,$M$1,$B27,$K$1)</f>
        <v>0</v>
      </c>
      <c r="D27" s="40">
        <f>_xll.DBRW($C$2,Input_Prod_02!$G$11,Input_Prod_02!$C$14,$M$1,$B27,$K$1)</f>
        <v>0</v>
      </c>
      <c r="E27" s="40">
        <f>_xll.DBRW($C$2,Input_Prod_02!$G$11,Input_Prod_02!$C$14,$M$1,$B27,$K$1)</f>
        <v>0</v>
      </c>
      <c r="F27" s="40">
        <f>_xll.DBRW($C$2,Input_Prod_02!$G$11,Input_Prod_02!$C$14,$M$1,$B27,$K$1)</f>
        <v>0</v>
      </c>
      <c r="G27" s="40">
        <f>_xll.DBRW($C$2,Input_Prod_02!$G$11,Input_Prod_02!$C$14,$M$1,$B27,$K$1)</f>
        <v>0</v>
      </c>
      <c r="H27" s="40">
        <f>_xll.DBRW($C$2,Input_Prod_02!$G$11,Input_Prod_02!$C$14,$M$1,$B27,$K$1)</f>
        <v>0</v>
      </c>
      <c r="I27" s="40">
        <f>_xll.DBRW($C$2,Input_Prod_02!$G$11,Input_Prod_02!$C$14,$M$1,$B27,$K$1)</f>
        <v>0</v>
      </c>
      <c r="J27" s="40">
        <f>_xll.DBRW($C$2,Input_Prod_02!$G$11,Input_Prod_02!$C$14,$M$1,$B27,$K$1)</f>
        <v>0</v>
      </c>
      <c r="K27" s="40">
        <f>_xll.DBRW($C$2,Input_Prod_02!$G$11,Input_Prod_02!$C$14,$M$1,$B27,$K$1)</f>
        <v>0</v>
      </c>
      <c r="L27" s="40">
        <f>_xll.DBRW($C$2,Input_Prod_02!$G$11,Input_Prod_02!$C$14,$M$1,$B27,$K$1)</f>
        <v>0</v>
      </c>
      <c r="M27" s="40">
        <f>_xll.DBRW($C$2,Input_Prod_02!$G$11,Input_Prod_02!$C$14,$M$1,$B27,$K$1)</f>
        <v>0</v>
      </c>
      <c r="N27" s="40">
        <f>_xll.DBRW($C$2,Input_Prod_02!$G$11,Input_Prod_02!$C$14,$M$1,$B27,$K$1)</f>
        <v>0</v>
      </c>
      <c r="O27" s="40">
        <f>_xll.DBRW($C$2,O$13,$O$15,$M$1,$B27,$K$1)</f>
        <v>0</v>
      </c>
      <c r="P27" s="40">
        <f>_xll.DBRW($C$2,P$13,$O$15,$M$1,$B27,$K$1)</f>
        <v>0</v>
      </c>
      <c r="Q27" s="40">
        <f>_xll.DBRW($C$2,Q$13,$O$15,$M$1,$B27,$K$1)</f>
        <v>0</v>
      </c>
      <c r="R27" s="40">
        <f>_xll.DBRW($C$2,R$13,$O$15,$M$1,$B27,$K$1)</f>
        <v>0</v>
      </c>
      <c r="S27" s="40">
        <f>_xll.DBRW($C$2,S$13,$O$15,$M$1,$B27,$K$1)</f>
        <v>0</v>
      </c>
    </row>
    <row r="28" spans="1:19" s="29" customFormat="1" ht="15.75" customHeight="1">
      <c r="A28" s="66"/>
      <c r="B28" s="45" t="s">
        <v>12</v>
      </c>
      <c r="C28" s="40">
        <f>_xll.DBRW($C$2,Input_Prod_02!$G$11,Input_Prod_02!$C$14,$M$1,$B28,$K$1)</f>
        <v>0</v>
      </c>
      <c r="D28" s="40">
        <f>_xll.DBRW($C$2,Input_Prod_02!$G$11,Input_Prod_02!$C$14,$M$1,$B28,$K$1)</f>
        <v>0</v>
      </c>
      <c r="E28" s="40">
        <f>_xll.DBRW($C$2,Input_Prod_02!$G$11,Input_Prod_02!$C$14,$M$1,$B28,$K$1)</f>
        <v>0</v>
      </c>
      <c r="F28" s="40">
        <f>_xll.DBRW($C$2,Input_Prod_02!$G$11,Input_Prod_02!$C$14,$M$1,$B28,$K$1)</f>
        <v>0</v>
      </c>
      <c r="G28" s="40">
        <f>_xll.DBRW($C$2,Input_Prod_02!$G$11,Input_Prod_02!$C$14,$M$1,$B28,$K$1)</f>
        <v>0</v>
      </c>
      <c r="H28" s="40">
        <f>_xll.DBRW($C$2,Input_Prod_02!$G$11,Input_Prod_02!$C$14,$M$1,$B28,$K$1)</f>
        <v>0</v>
      </c>
      <c r="I28" s="40">
        <f>_xll.DBRW($C$2,Input_Prod_02!$G$11,Input_Prod_02!$C$14,$M$1,$B28,$K$1)</f>
        <v>0</v>
      </c>
      <c r="J28" s="40">
        <f>_xll.DBRW($C$2,Input_Prod_02!$G$11,Input_Prod_02!$C$14,$M$1,$B28,$K$1)</f>
        <v>0</v>
      </c>
      <c r="K28" s="40">
        <f>_xll.DBRW($C$2,Input_Prod_02!$G$11,Input_Prod_02!$C$14,$M$1,$B28,$K$1)</f>
        <v>0</v>
      </c>
      <c r="L28" s="40">
        <f>_xll.DBRW($C$2,Input_Prod_02!$G$11,Input_Prod_02!$C$14,$M$1,$B28,$K$1)</f>
        <v>0</v>
      </c>
      <c r="M28" s="40">
        <f>_xll.DBRW($C$2,Input_Prod_02!$G$11,Input_Prod_02!$C$14,$M$1,$B28,$K$1)</f>
        <v>0</v>
      </c>
      <c r="N28" s="40">
        <f>_xll.DBRW($C$2,Input_Prod_02!$G$11,Input_Prod_02!$C$14,$M$1,$B28,$K$1)</f>
        <v>0</v>
      </c>
      <c r="O28" s="40">
        <f>_xll.DBRW($C$2,O$13,$O$15,$M$1,$B28,$K$1)</f>
        <v>0</v>
      </c>
      <c r="P28" s="40">
        <f>_xll.DBRW($C$2,P$13,$O$15,$M$1,$B28,$K$1)</f>
        <v>0</v>
      </c>
      <c r="Q28" s="40">
        <f>_xll.DBRW($C$2,Q$13,$O$15,$M$1,$B28,$K$1)</f>
        <v>0</v>
      </c>
      <c r="R28" s="40">
        <f>_xll.DBRW($C$2,R$13,$O$15,$M$1,$B28,$K$1)</f>
        <v>0</v>
      </c>
      <c r="S28" s="40">
        <f>_xll.DBRW($C$2,S$13,$O$15,$M$1,$B28,$K$1)</f>
        <v>0</v>
      </c>
    </row>
    <row r="29" spans="1:19" s="29" customFormat="1" ht="15.75" customHeight="1">
      <c r="A29" s="66"/>
      <c r="B29" s="45" t="s">
        <v>13</v>
      </c>
      <c r="C29" s="40">
        <f>_xll.DBRW($C$2,Input_Prod_02!$G$11,Input_Prod_02!$C$14,$M$1,$B29,$K$1)</f>
        <v>0</v>
      </c>
      <c r="D29" s="40">
        <f>_xll.DBRW($C$2,Input_Prod_02!$G$11,Input_Prod_02!$C$14,$M$1,$B29,$K$1)</f>
        <v>0</v>
      </c>
      <c r="E29" s="40">
        <f>_xll.DBRW($C$2,Input_Prod_02!$G$11,Input_Prod_02!$C$14,$M$1,$B29,$K$1)</f>
        <v>0</v>
      </c>
      <c r="F29" s="40">
        <f>_xll.DBRW($C$2,Input_Prod_02!$G$11,Input_Prod_02!$C$14,$M$1,$B29,$K$1)</f>
        <v>0</v>
      </c>
      <c r="G29" s="40">
        <f>_xll.DBRW($C$2,Input_Prod_02!$G$11,Input_Prod_02!$C$14,$M$1,$B29,$K$1)</f>
        <v>0</v>
      </c>
      <c r="H29" s="40">
        <f>_xll.DBRW($C$2,Input_Prod_02!$G$11,Input_Prod_02!$C$14,$M$1,$B29,$K$1)</f>
        <v>0</v>
      </c>
      <c r="I29" s="40">
        <f>_xll.DBRW($C$2,Input_Prod_02!$G$11,Input_Prod_02!$C$14,$M$1,$B29,$K$1)</f>
        <v>0</v>
      </c>
      <c r="J29" s="40">
        <f>_xll.DBRW($C$2,Input_Prod_02!$G$11,Input_Prod_02!$C$14,$M$1,$B29,$K$1)</f>
        <v>0</v>
      </c>
      <c r="K29" s="40">
        <f>_xll.DBRW($C$2,Input_Prod_02!$G$11,Input_Prod_02!$C$14,$M$1,$B29,$K$1)</f>
        <v>0</v>
      </c>
      <c r="L29" s="40">
        <f>_xll.DBRW($C$2,Input_Prod_02!$G$11,Input_Prod_02!$C$14,$M$1,$B29,$K$1)</f>
        <v>0</v>
      </c>
      <c r="M29" s="40">
        <f>_xll.DBRW($C$2,Input_Prod_02!$G$11,Input_Prod_02!$C$14,$M$1,$B29,$K$1)</f>
        <v>0</v>
      </c>
      <c r="N29" s="40">
        <f>_xll.DBRW($C$2,Input_Prod_02!$G$11,Input_Prod_02!$C$14,$M$1,$B29,$K$1)</f>
        <v>0</v>
      </c>
      <c r="O29" s="40">
        <f>_xll.DBRW($C$2,O$13,$O$15,$M$1,$B29,$K$1)</f>
        <v>0</v>
      </c>
      <c r="P29" s="40">
        <f>_xll.DBRW($C$2,P$13,$O$15,$M$1,$B29,$K$1)</f>
        <v>0</v>
      </c>
      <c r="Q29" s="40">
        <f>_xll.DBRW($C$2,Q$13,$O$15,$M$1,$B29,$K$1)</f>
        <v>0</v>
      </c>
      <c r="R29" s="40">
        <f>_xll.DBRW($C$2,R$13,$O$15,$M$1,$B29,$K$1)</f>
        <v>0</v>
      </c>
      <c r="S29" s="40">
        <f>_xll.DBRW($C$2,S$13,$O$15,$M$1,$B29,$K$1)</f>
        <v>0</v>
      </c>
    </row>
    <row r="30" spans="1:19" s="29" customFormat="1" ht="15.75" customHeight="1">
      <c r="A30" s="66"/>
      <c r="B30" s="45" t="s">
        <v>14</v>
      </c>
      <c r="C30" s="40">
        <f>_xll.DBRW($C$2,Input_Prod_02!$G$11,Input_Prod_02!$C$14,$M$1,$B30,$K$1)</f>
        <v>31</v>
      </c>
      <c r="D30" s="40">
        <f>_xll.DBRW($C$2,Input_Prod_02!$G$11,Input_Prod_02!$C$14,$M$1,$B30,$K$1)</f>
        <v>31</v>
      </c>
      <c r="E30" s="40">
        <f>_xll.DBRW($C$2,Input_Prod_02!$G$11,Input_Prod_02!$C$14,$M$1,$B30,$K$1)</f>
        <v>31</v>
      </c>
      <c r="F30" s="40">
        <f>_xll.DBRW($C$2,Input_Prod_02!$G$11,Input_Prod_02!$C$14,$M$1,$B30,$K$1)</f>
        <v>31</v>
      </c>
      <c r="G30" s="40">
        <f>_xll.DBRW($C$2,Input_Prod_02!$G$11,Input_Prod_02!$C$14,$M$1,$B30,$K$1)</f>
        <v>31</v>
      </c>
      <c r="H30" s="40">
        <f>_xll.DBRW($C$2,Input_Prod_02!$G$11,Input_Prod_02!$C$14,$M$1,$B30,$K$1)</f>
        <v>31</v>
      </c>
      <c r="I30" s="40">
        <f>_xll.DBRW($C$2,Input_Prod_02!$G$11,Input_Prod_02!$C$14,$M$1,$B30,$K$1)</f>
        <v>31</v>
      </c>
      <c r="J30" s="40">
        <f>_xll.DBRW($C$2,Input_Prod_02!$G$11,Input_Prod_02!$C$14,$M$1,$B30,$K$1)</f>
        <v>31</v>
      </c>
      <c r="K30" s="40">
        <f>_xll.DBRW($C$2,Input_Prod_02!$G$11,Input_Prod_02!$C$14,$M$1,$B30,$K$1)</f>
        <v>31</v>
      </c>
      <c r="L30" s="40">
        <f>_xll.DBRW($C$2,Input_Prod_02!$G$11,Input_Prod_02!$C$14,$M$1,$B30,$K$1)</f>
        <v>31</v>
      </c>
      <c r="M30" s="40">
        <f>_xll.DBRW($C$2,Input_Prod_02!$G$11,Input_Prod_02!$C$14,$M$1,$B30,$K$1)</f>
        <v>31</v>
      </c>
      <c r="N30" s="40">
        <f>_xll.DBRW($C$2,Input_Prod_02!$G$11,Input_Prod_02!$C$14,$M$1,$B30,$K$1)</f>
        <v>31</v>
      </c>
      <c r="O30" s="40">
        <f>_xll.DBRW($C$2,O$13,$O$15,$M$1,$B30,$K$1)</f>
        <v>0</v>
      </c>
      <c r="P30" s="40">
        <f>_xll.DBRW($C$2,P$13,$O$15,$M$1,$B30,$K$1)</f>
        <v>0</v>
      </c>
      <c r="Q30" s="40">
        <f>_xll.DBRW($C$2,Q$13,$O$15,$M$1,$B30,$K$1)</f>
        <v>0</v>
      </c>
      <c r="R30" s="40">
        <f>_xll.DBRW($C$2,R$13,$O$15,$M$1,$B30,$K$1)</f>
        <v>0</v>
      </c>
      <c r="S30" s="40">
        <f>_xll.DBRW($C$2,S$13,$O$15,$M$1,$B30,$K$1)</f>
        <v>0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7" t="str">
        <f>_xll.SUBNM("CONS_VC_PRD:ALL.D.Products","Nivel_0","PRODAL010 - Ag. Lime","Código e Descrição")</f>
        <v>PRODAL010 - Ag. Lime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8">
        <f>$G$11+1</f>
        <v>2027</v>
      </c>
      <c r="P35" s="98">
        <f>$G$11+2</f>
        <v>2028</v>
      </c>
      <c r="Q35" s="98">
        <f>$G$11+3</f>
        <v>2029</v>
      </c>
      <c r="R35" s="98">
        <f>$G$11+4</f>
        <v>2030</v>
      </c>
      <c r="S35" s="98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_xll.DBRW($B$1,Input_Prod_02!$G$11,Input_Prod_02!C$14,$M$1,Input_Prod_02!$I$11,$C$11,Input_Prod_02!$E$33,Input_Prod_02!$A37,$L$1,$K$1)</f>
        <v>0</v>
      </c>
      <c r="D37" s="36">
        <f>_xll.DBRW($B$1,Input_Prod_02!$G$11,Input_Prod_02!D$14,$M$1,Input_Prod_02!$I$11,$C$11,Input_Prod_02!$E$33,Input_Prod_02!$A37,$L$1,$K$1)</f>
        <v>0</v>
      </c>
      <c r="E37" s="36">
        <f>_xll.DBRW($B$1,Input_Prod_02!$G$11,Input_Prod_02!E$14,$M$1,Input_Prod_02!$I$11,$C$11,Input_Prod_02!$E$33,Input_Prod_02!$A37,$L$1,$K$1)</f>
        <v>0</v>
      </c>
      <c r="F37" s="36">
        <f>_xll.DBRW($B$1,Input_Prod_02!$G$11,Input_Prod_02!F$14,$M$1,Input_Prod_02!$I$11,$C$11,Input_Prod_02!$E$33,Input_Prod_02!$A37,$L$1,$K$1)</f>
        <v>0</v>
      </c>
      <c r="G37" s="36">
        <f>_xll.DBRW($B$1,Input_Prod_02!$G$11,Input_Prod_02!G$14,$M$1,Input_Prod_02!$I$11,$C$11,Input_Prod_02!$E$33,Input_Prod_02!$A37,$L$1,$K$1)</f>
        <v>0</v>
      </c>
      <c r="H37" s="36">
        <f>_xll.DBRW($B$1,Input_Prod_02!$G$11,Input_Prod_02!H$14,$M$1,Input_Prod_02!$I$11,$C$11,Input_Prod_02!$E$33,Input_Prod_02!$A37,$L$1,$K$1)</f>
        <v>0</v>
      </c>
      <c r="I37" s="36">
        <f>_xll.DBRW($B$1,Input_Prod_02!$G$11,Input_Prod_02!I$14,$M$1,Input_Prod_02!$I$11,$C$11,Input_Prod_02!$E$33,Input_Prod_02!$A37,$L$1,$K$1)</f>
        <v>0</v>
      </c>
      <c r="J37" s="36">
        <f>_xll.DBRW($B$1,Input_Prod_02!$G$11,Input_Prod_02!J$14,$M$1,Input_Prod_02!$I$11,$C$11,Input_Prod_02!$E$33,Input_Prod_02!$A37,$L$1,$K$1)</f>
        <v>0</v>
      </c>
      <c r="K37" s="36">
        <f>_xll.DBRW($B$1,Input_Prod_02!$G$11,Input_Prod_02!K$14,$M$1,Input_Prod_02!$I$11,$C$11,Input_Prod_02!$E$33,Input_Prod_02!$A37,$L$1,$K$1)</f>
        <v>0</v>
      </c>
      <c r="L37" s="36">
        <f>_xll.DBRW($B$1,Input_Prod_02!$G$11,Input_Prod_02!L$14,$M$1,Input_Prod_02!$I$11,$C$11,Input_Prod_02!$E$33,Input_Prod_02!$A37,$L$1,$K$1)</f>
        <v>0</v>
      </c>
      <c r="M37" s="36">
        <f>_xll.DBRW($B$1,Input_Prod_02!$G$11,Input_Prod_02!M$14,$M$1,Input_Prod_02!$I$11,$C$11,Input_Prod_02!$E$33,Input_Prod_02!$A37,$L$1,$K$1)</f>
        <v>0</v>
      </c>
      <c r="N37" s="36">
        <f>_xll.DBRW($B$1,Input_Prod_02!$G$11,Input_Prod_02!N$14,$M$1,Input_Prod_02!$I$11,$C$11,Input_Prod_02!$E$33,Input_Prod_02!$A37,$L$1,$K$1)</f>
        <v>0</v>
      </c>
      <c r="O37" s="36">
        <f>_xll.DBRW($B$1,O$13,O$15,$M$1,Input_Prod_02!$I$11,$C$11,Input_Prod_02!$E$33,Input_Prod_02!$A37,$L$1,$K$1)</f>
        <v>0</v>
      </c>
      <c r="P37" s="36">
        <f>_xll.DBRW($B$1,P$13,P$15,$M$1,Input_Prod_02!$I$11,$C$11,Input_Prod_02!$E$33,Input_Prod_02!$A37,$L$1,$K$1)</f>
        <v>0</v>
      </c>
      <c r="Q37" s="36">
        <f>_xll.DBRW($B$1,Q$13,Q$15,$M$1,Input_Prod_02!$I$11,$C$11,Input_Prod_02!$E$33,Input_Prod_02!$A37,$L$1,$K$1)</f>
        <v>0</v>
      </c>
      <c r="R37" s="36">
        <f>_xll.DBRW($B$1,R$13,R$15,$M$1,Input_Prod_02!$I$11,$C$11,Input_Prod_02!$E$33,Input_Prod_02!$A37,$L$1,$K$1)</f>
        <v>0</v>
      </c>
      <c r="S37" s="36">
        <f>_xll.DBRW($B$1,S$13,S$15,$M$1,Input_Prod_02!$I$11,$C$11,Input_Prod_02!$E$33,Input_Prod_02!$A37,$L$1,$K$1)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_xll.DBRW($B$1,Input_Prod_02!$G$11,Input_Prod_02!C$14,$M$1,Input_Prod_02!$I$11,$C$11,Input_Prod_02!$E$33,Input_Prod_02!$A38,$L$1,$K$1)</f>
        <v>0</v>
      </c>
      <c r="D38" s="36">
        <f>_xll.DBRW($B$1,Input_Prod_02!$G$11,Input_Prod_02!D$14,$M$1,Input_Prod_02!$I$11,$C$11,Input_Prod_02!$E$33,Input_Prod_02!$A38,$L$1,$K$1)</f>
        <v>0</v>
      </c>
      <c r="E38" s="36">
        <f>_xll.DBRW($B$1,Input_Prod_02!$G$11,Input_Prod_02!E$14,$M$1,Input_Prod_02!$I$11,$C$11,Input_Prod_02!$E$33,Input_Prod_02!$A38,$L$1,$K$1)</f>
        <v>0</v>
      </c>
      <c r="F38" s="36">
        <f>_xll.DBRW($B$1,Input_Prod_02!$G$11,Input_Prod_02!F$14,$M$1,Input_Prod_02!$I$11,$C$11,Input_Prod_02!$E$33,Input_Prod_02!$A38,$L$1,$K$1)</f>
        <v>0</v>
      </c>
      <c r="G38" s="36">
        <f>_xll.DBRW($B$1,Input_Prod_02!$G$11,Input_Prod_02!G$14,$M$1,Input_Prod_02!$I$11,$C$11,Input_Prod_02!$E$33,Input_Prod_02!$A38,$L$1,$K$1)</f>
        <v>0</v>
      </c>
      <c r="H38" s="36">
        <f>_xll.DBRW($B$1,Input_Prod_02!$G$11,Input_Prod_02!H$14,$M$1,Input_Prod_02!$I$11,$C$11,Input_Prod_02!$E$33,Input_Prod_02!$A38,$L$1,$K$1)</f>
        <v>0</v>
      </c>
      <c r="I38" s="36">
        <f>_xll.DBRW($B$1,Input_Prod_02!$G$11,Input_Prod_02!I$14,$M$1,Input_Prod_02!$I$11,$C$11,Input_Prod_02!$E$33,Input_Prod_02!$A38,$L$1,$K$1)</f>
        <v>0</v>
      </c>
      <c r="J38" s="36">
        <f>_xll.DBRW($B$1,Input_Prod_02!$G$11,Input_Prod_02!J$14,$M$1,Input_Prod_02!$I$11,$C$11,Input_Prod_02!$E$33,Input_Prod_02!$A38,$L$1,$K$1)</f>
        <v>0</v>
      </c>
      <c r="K38" s="36">
        <f>_xll.DBRW($B$1,Input_Prod_02!$G$11,Input_Prod_02!K$14,$M$1,Input_Prod_02!$I$11,$C$11,Input_Prod_02!$E$33,Input_Prod_02!$A38,$L$1,$K$1)</f>
        <v>0</v>
      </c>
      <c r="L38" s="36">
        <f>_xll.DBRW($B$1,Input_Prod_02!$G$11,Input_Prod_02!L$14,$M$1,Input_Prod_02!$I$11,$C$11,Input_Prod_02!$E$33,Input_Prod_02!$A38,$L$1,$K$1)</f>
        <v>0</v>
      </c>
      <c r="M38" s="36">
        <f>_xll.DBRW($B$1,Input_Prod_02!$G$11,Input_Prod_02!M$14,$M$1,Input_Prod_02!$I$11,$C$11,Input_Prod_02!$E$33,Input_Prod_02!$A38,$L$1,$K$1)</f>
        <v>0</v>
      </c>
      <c r="N38" s="36">
        <f>_xll.DBRW($B$1,Input_Prod_02!$G$11,Input_Prod_02!N$14,$M$1,Input_Prod_02!$I$11,$C$11,Input_Prod_02!$E$33,Input_Prod_02!$A38,$L$1,$K$1)</f>
        <v>0</v>
      </c>
      <c r="O38" s="36">
        <f>_xll.DBRW($B$1,O$13,O$15,$M$1,Input_Prod_02!$I$11,$C$11,Input_Prod_02!$E$33,Input_Prod_02!$A38,$L$1,$K$1)</f>
        <v>0</v>
      </c>
      <c r="P38" s="36">
        <f>_xll.DBRW($B$1,P$13,P$15,$M$1,Input_Prod_02!$I$11,$C$11,Input_Prod_02!$E$33,Input_Prod_02!$A38,$L$1,$K$1)</f>
        <v>0</v>
      </c>
      <c r="Q38" s="36">
        <f>_xll.DBRW($B$1,Q$13,Q$15,$M$1,Input_Prod_02!$I$11,$C$11,Input_Prod_02!$E$33,Input_Prod_02!$A38,$L$1,$K$1)</f>
        <v>0</v>
      </c>
      <c r="R38" s="36">
        <f>_xll.DBRW($B$1,R$13,R$15,$M$1,Input_Prod_02!$I$11,$C$11,Input_Prod_02!$E$33,Input_Prod_02!$A38,$L$1,$K$1)</f>
        <v>0</v>
      </c>
      <c r="S38" s="36">
        <f>_xll.DBRW($B$1,S$13,S$15,$M$1,Input_Prod_02!$I$11,$C$11,Input_Prod_02!$E$33,Input_Prod_02!$A38,$L$1,$K$1)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_xll.DBRW($B$1,Input_Prod_02!$G$11,Input_Prod_02!C$14,$M$1,Input_Prod_02!$I$11,$C$11,Input_Prod_02!$E$33,Input_Prod_02!$A39,$L$1,$K$1)</f>
        <v>0</v>
      </c>
      <c r="D39" s="36">
        <f>_xll.DBRW($B$1,Input_Prod_02!$G$11,Input_Prod_02!D$14,$M$1,Input_Prod_02!$I$11,$C$11,Input_Prod_02!$E$33,Input_Prod_02!$A39,$L$1,$K$1)</f>
        <v>0</v>
      </c>
      <c r="E39" s="36">
        <f>_xll.DBRW($B$1,Input_Prod_02!$G$11,Input_Prod_02!E$14,$M$1,Input_Prod_02!$I$11,$C$11,Input_Prod_02!$E$33,Input_Prod_02!$A39,$L$1,$K$1)</f>
        <v>0</v>
      </c>
      <c r="F39" s="36">
        <f>_xll.DBRW($B$1,Input_Prod_02!$G$11,Input_Prod_02!F$14,$M$1,Input_Prod_02!$I$11,$C$11,Input_Prod_02!$E$33,Input_Prod_02!$A39,$L$1,$K$1)</f>
        <v>0</v>
      </c>
      <c r="G39" s="36">
        <f>_xll.DBRW($B$1,Input_Prod_02!$G$11,Input_Prod_02!G$14,$M$1,Input_Prod_02!$I$11,$C$11,Input_Prod_02!$E$33,Input_Prod_02!$A39,$L$1,$K$1)</f>
        <v>0</v>
      </c>
      <c r="H39" s="36">
        <f>_xll.DBRW($B$1,Input_Prod_02!$G$11,Input_Prod_02!H$14,$M$1,Input_Prod_02!$I$11,$C$11,Input_Prod_02!$E$33,Input_Prod_02!$A39,$L$1,$K$1)</f>
        <v>0</v>
      </c>
      <c r="I39" s="36">
        <f>_xll.DBRW($B$1,Input_Prod_02!$G$11,Input_Prod_02!I$14,$M$1,Input_Prod_02!$I$11,$C$11,Input_Prod_02!$E$33,Input_Prod_02!$A39,$L$1,$K$1)</f>
        <v>0</v>
      </c>
      <c r="J39" s="36">
        <f>_xll.DBRW($B$1,Input_Prod_02!$G$11,Input_Prod_02!J$14,$M$1,Input_Prod_02!$I$11,$C$11,Input_Prod_02!$E$33,Input_Prod_02!$A39,$L$1,$K$1)</f>
        <v>0</v>
      </c>
      <c r="K39" s="36">
        <f>_xll.DBRW($B$1,Input_Prod_02!$G$11,Input_Prod_02!K$14,$M$1,Input_Prod_02!$I$11,$C$11,Input_Prod_02!$E$33,Input_Prod_02!$A39,$L$1,$K$1)</f>
        <v>0</v>
      </c>
      <c r="L39" s="36">
        <f>_xll.DBRW($B$1,Input_Prod_02!$G$11,Input_Prod_02!L$14,$M$1,Input_Prod_02!$I$11,$C$11,Input_Prod_02!$E$33,Input_Prod_02!$A39,$L$1,$K$1)</f>
        <v>0</v>
      </c>
      <c r="M39" s="36">
        <f>_xll.DBRW($B$1,Input_Prod_02!$G$11,Input_Prod_02!M$14,$M$1,Input_Prod_02!$I$11,$C$11,Input_Prod_02!$E$33,Input_Prod_02!$A39,$L$1,$K$1)</f>
        <v>0</v>
      </c>
      <c r="N39" s="36">
        <f>_xll.DBRW($B$1,Input_Prod_02!$G$11,Input_Prod_02!N$14,$M$1,Input_Prod_02!$I$11,$C$11,Input_Prod_02!$E$33,Input_Prod_02!$A39,$L$1,$K$1)</f>
        <v>0</v>
      </c>
      <c r="O39" s="36">
        <f>_xll.DBRW($B$1,O$13,O$15,$M$1,Input_Prod_02!$I$11,$C$11,Input_Prod_02!$E$33,Input_Prod_02!$A39,$L$1,$K$1)</f>
        <v>0</v>
      </c>
      <c r="P39" s="36">
        <f>_xll.DBRW($B$1,P$13,P$15,$M$1,Input_Prod_02!$I$11,$C$11,Input_Prod_02!$E$33,Input_Prod_02!$A39,$L$1,$K$1)</f>
        <v>0</v>
      </c>
      <c r="Q39" s="36">
        <f>_xll.DBRW($B$1,Q$13,Q$15,$M$1,Input_Prod_02!$I$11,$C$11,Input_Prod_02!$E$33,Input_Prod_02!$A39,$L$1,$K$1)</f>
        <v>0</v>
      </c>
      <c r="R39" s="36">
        <f>_xll.DBRW($B$1,R$13,R$15,$M$1,Input_Prod_02!$I$11,$C$11,Input_Prod_02!$E$33,Input_Prod_02!$A39,$L$1,$K$1)</f>
        <v>0</v>
      </c>
      <c r="S39" s="36">
        <f>_xll.DBRW($B$1,S$13,S$15,$M$1,Input_Prod_02!$I$11,$C$11,Input_Prod_02!$E$33,Input_Prod_02!$A39,$L$1,$K$1)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_xll.DBRW($B$1,Input_Prod_02!$G$11,Input_Prod_02!C$14,$M$1,Input_Prod_02!$I$11,$C$11,Input_Prod_02!$E$33,Input_Prod_02!$A40,$L$1,$K$1)</f>
        <v>0</v>
      </c>
      <c r="D40" s="36">
        <f>_xll.DBRW($B$1,Input_Prod_02!$G$11,Input_Prod_02!D$14,$M$1,Input_Prod_02!$I$11,$C$11,Input_Prod_02!$E$33,Input_Prod_02!$A40,$L$1,$K$1)</f>
        <v>0</v>
      </c>
      <c r="E40" s="36">
        <f>_xll.DBRW($B$1,Input_Prod_02!$G$11,Input_Prod_02!E$14,$M$1,Input_Prod_02!$I$11,$C$11,Input_Prod_02!$E$33,Input_Prod_02!$A40,$L$1,$K$1)</f>
        <v>0</v>
      </c>
      <c r="F40" s="36">
        <f>_xll.DBRW($B$1,Input_Prod_02!$G$11,Input_Prod_02!F$14,$M$1,Input_Prod_02!$I$11,$C$11,Input_Prod_02!$E$33,Input_Prod_02!$A40,$L$1,$K$1)</f>
        <v>0</v>
      </c>
      <c r="G40" s="36">
        <f>_xll.DBRW($B$1,Input_Prod_02!$G$11,Input_Prod_02!G$14,$M$1,Input_Prod_02!$I$11,$C$11,Input_Prod_02!$E$33,Input_Prod_02!$A40,$L$1,$K$1)</f>
        <v>0</v>
      </c>
      <c r="H40" s="36">
        <f>_xll.DBRW($B$1,Input_Prod_02!$G$11,Input_Prod_02!H$14,$M$1,Input_Prod_02!$I$11,$C$11,Input_Prod_02!$E$33,Input_Prod_02!$A40,$L$1,$K$1)</f>
        <v>0</v>
      </c>
      <c r="I40" s="36">
        <f>_xll.DBRW($B$1,Input_Prod_02!$G$11,Input_Prod_02!I$14,$M$1,Input_Prod_02!$I$11,$C$11,Input_Prod_02!$E$33,Input_Prod_02!$A40,$L$1,$K$1)</f>
        <v>0</v>
      </c>
      <c r="J40" s="36">
        <f>_xll.DBRW($B$1,Input_Prod_02!$G$11,Input_Prod_02!J$14,$M$1,Input_Prod_02!$I$11,$C$11,Input_Prod_02!$E$33,Input_Prod_02!$A40,$L$1,$K$1)</f>
        <v>0</v>
      </c>
      <c r="K40" s="36">
        <f>_xll.DBRW($B$1,Input_Prod_02!$G$11,Input_Prod_02!K$14,$M$1,Input_Prod_02!$I$11,$C$11,Input_Prod_02!$E$33,Input_Prod_02!$A40,$L$1,$K$1)</f>
        <v>0</v>
      </c>
      <c r="L40" s="36">
        <f>_xll.DBRW($B$1,Input_Prod_02!$G$11,Input_Prod_02!L$14,$M$1,Input_Prod_02!$I$11,$C$11,Input_Prod_02!$E$33,Input_Prod_02!$A40,$L$1,$K$1)</f>
        <v>0</v>
      </c>
      <c r="M40" s="36">
        <f>_xll.DBRW($B$1,Input_Prod_02!$G$11,Input_Prod_02!M$14,$M$1,Input_Prod_02!$I$11,$C$11,Input_Prod_02!$E$33,Input_Prod_02!$A40,$L$1,$K$1)</f>
        <v>0</v>
      </c>
      <c r="N40" s="36">
        <f>_xll.DBRW($B$1,Input_Prod_02!$G$11,Input_Prod_02!N$14,$M$1,Input_Prod_02!$I$11,$C$11,Input_Prod_02!$E$33,Input_Prod_02!$A40,$L$1,$K$1)</f>
        <v>0</v>
      </c>
      <c r="O40" s="36">
        <f>_xll.DBRW($B$1,O$13,O$15,$M$1,Input_Prod_02!$I$11,$C$11,Input_Prod_02!$E$33,Input_Prod_02!$A40,$L$1,$K$1)</f>
        <v>0</v>
      </c>
      <c r="P40" s="36">
        <f>_xll.DBRW($B$1,P$13,P$15,$M$1,Input_Prod_02!$I$11,$C$11,Input_Prod_02!$E$33,Input_Prod_02!$A40,$L$1,$K$1)</f>
        <v>0</v>
      </c>
      <c r="Q40" s="36">
        <f>_xll.DBRW($B$1,Q$13,Q$15,$M$1,Input_Prod_02!$I$11,$C$11,Input_Prod_02!$E$33,Input_Prod_02!$A40,$L$1,$K$1)</f>
        <v>0</v>
      </c>
      <c r="R40" s="36">
        <f>_xll.DBRW($B$1,R$13,R$15,$M$1,Input_Prod_02!$I$11,$C$11,Input_Prod_02!$E$33,Input_Prod_02!$A40,$L$1,$K$1)</f>
        <v>0</v>
      </c>
      <c r="S40" s="36">
        <f>_xll.DBRW($B$1,S$13,S$15,$M$1,Input_Prod_02!$I$11,$C$11,Input_Prod_02!$E$33,Input_Prod_02!$A40,$L$1,$K$1)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_xll.DBRW($B$1,Input_Prod_02!$G$11,Input_Prod_02!C$14,$M$1,Input_Prod_02!$I$11,$C$11,Input_Prod_02!$E$33,Input_Prod_02!$A41,$L$1,$K$1)</f>
        <v>0</v>
      </c>
      <c r="D41" s="36">
        <f>_xll.DBRW($B$1,Input_Prod_02!$G$11,Input_Prod_02!D$14,$M$1,Input_Prod_02!$I$11,$C$11,Input_Prod_02!$E$33,Input_Prod_02!$A41,$L$1,$K$1)</f>
        <v>0</v>
      </c>
      <c r="E41" s="36">
        <f>_xll.DBRW($B$1,Input_Prod_02!$G$11,Input_Prod_02!E$14,$M$1,Input_Prod_02!$I$11,$C$11,Input_Prod_02!$E$33,Input_Prod_02!$A41,$L$1,$K$1)</f>
        <v>0</v>
      </c>
      <c r="F41" s="36">
        <f>_xll.DBRW($B$1,Input_Prod_02!$G$11,Input_Prod_02!F$14,$M$1,Input_Prod_02!$I$11,$C$11,Input_Prod_02!$E$33,Input_Prod_02!$A41,$L$1,$K$1)</f>
        <v>0</v>
      </c>
      <c r="G41" s="36">
        <f>_xll.DBRW($B$1,Input_Prod_02!$G$11,Input_Prod_02!G$14,$M$1,Input_Prod_02!$I$11,$C$11,Input_Prod_02!$E$33,Input_Prod_02!$A41,$L$1,$K$1)</f>
        <v>0</v>
      </c>
      <c r="H41" s="36">
        <f>_xll.DBRW($B$1,Input_Prod_02!$G$11,Input_Prod_02!H$14,$M$1,Input_Prod_02!$I$11,$C$11,Input_Prod_02!$E$33,Input_Prod_02!$A41,$L$1,$K$1)</f>
        <v>0</v>
      </c>
      <c r="I41" s="36">
        <f>_xll.DBRW($B$1,Input_Prod_02!$G$11,Input_Prod_02!I$14,$M$1,Input_Prod_02!$I$11,$C$11,Input_Prod_02!$E$33,Input_Prod_02!$A41,$L$1,$K$1)</f>
        <v>0</v>
      </c>
      <c r="J41" s="36">
        <f>_xll.DBRW($B$1,Input_Prod_02!$G$11,Input_Prod_02!J$14,$M$1,Input_Prod_02!$I$11,$C$11,Input_Prod_02!$E$33,Input_Prod_02!$A41,$L$1,$K$1)</f>
        <v>0</v>
      </c>
      <c r="K41" s="36">
        <f>_xll.DBRW($B$1,Input_Prod_02!$G$11,Input_Prod_02!K$14,$M$1,Input_Prod_02!$I$11,$C$11,Input_Prod_02!$E$33,Input_Prod_02!$A41,$L$1,$K$1)</f>
        <v>0</v>
      </c>
      <c r="L41" s="36">
        <f>_xll.DBRW($B$1,Input_Prod_02!$G$11,Input_Prod_02!L$14,$M$1,Input_Prod_02!$I$11,$C$11,Input_Prod_02!$E$33,Input_Prod_02!$A41,$L$1,$K$1)</f>
        <v>0</v>
      </c>
      <c r="M41" s="36">
        <f>_xll.DBRW($B$1,Input_Prod_02!$G$11,Input_Prod_02!M$14,$M$1,Input_Prod_02!$I$11,$C$11,Input_Prod_02!$E$33,Input_Prod_02!$A41,$L$1,$K$1)</f>
        <v>0</v>
      </c>
      <c r="N41" s="36">
        <f>_xll.DBRW($B$1,Input_Prod_02!$G$11,Input_Prod_02!N$14,$M$1,Input_Prod_02!$I$11,$C$11,Input_Prod_02!$E$33,Input_Prod_02!$A41,$L$1,$K$1)</f>
        <v>0</v>
      </c>
      <c r="O41" s="36">
        <f>_xll.DBRW($B$1,O$13,O$15,$M$1,Input_Prod_02!$I$11,$C$11,Input_Prod_02!$E$33,Input_Prod_02!$A41,$L$1,$K$1)</f>
        <v>0</v>
      </c>
      <c r="P41" s="36">
        <f>_xll.DBRW($B$1,P$13,P$15,$M$1,Input_Prod_02!$I$11,$C$11,Input_Prod_02!$E$33,Input_Prod_02!$A41,$L$1,$K$1)</f>
        <v>0</v>
      </c>
      <c r="Q41" s="36">
        <f>_xll.DBRW($B$1,Q$13,Q$15,$M$1,Input_Prod_02!$I$11,$C$11,Input_Prod_02!$E$33,Input_Prod_02!$A41,$L$1,$K$1)</f>
        <v>0</v>
      </c>
      <c r="R41" s="36">
        <f>_xll.DBRW($B$1,R$13,R$15,$M$1,Input_Prod_02!$I$11,$C$11,Input_Prod_02!$E$33,Input_Prod_02!$A41,$L$1,$K$1)</f>
        <v>0</v>
      </c>
      <c r="S41" s="36">
        <f>_xll.DBRW($B$1,S$13,S$15,$M$1,Input_Prod_02!$I$11,$C$11,Input_Prod_02!$E$33,Input_Prod_02!$A41,$L$1,$K$1)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_xll.DBRW($B$1,Input_Prod_02!$G$11,Input_Prod_02!C$14,$M$1,Input_Prod_02!$I$11,$C$11,Input_Prod_02!$E$33,Input_Prod_02!$A42,$L$1,$K$1)</f>
        <v>0</v>
      </c>
      <c r="D42" s="36">
        <f>_xll.DBRW($B$1,Input_Prod_02!$G$11,Input_Prod_02!D$14,$M$1,Input_Prod_02!$I$11,$C$11,Input_Prod_02!$E$33,Input_Prod_02!$A42,$L$1,$K$1)</f>
        <v>0</v>
      </c>
      <c r="E42" s="36">
        <f>_xll.DBRW($B$1,Input_Prod_02!$G$11,Input_Prod_02!E$14,$M$1,Input_Prod_02!$I$11,$C$11,Input_Prod_02!$E$33,Input_Prod_02!$A42,$L$1,$K$1)</f>
        <v>0</v>
      </c>
      <c r="F42" s="36">
        <f>_xll.DBRW($B$1,Input_Prod_02!$G$11,Input_Prod_02!F$14,$M$1,Input_Prod_02!$I$11,$C$11,Input_Prod_02!$E$33,Input_Prod_02!$A42,$L$1,$K$1)</f>
        <v>0</v>
      </c>
      <c r="G42" s="36">
        <f>_xll.DBRW($B$1,Input_Prod_02!$G$11,Input_Prod_02!G$14,$M$1,Input_Prod_02!$I$11,$C$11,Input_Prod_02!$E$33,Input_Prod_02!$A42,$L$1,$K$1)</f>
        <v>0</v>
      </c>
      <c r="H42" s="36">
        <f>_xll.DBRW($B$1,Input_Prod_02!$G$11,Input_Prod_02!H$14,$M$1,Input_Prod_02!$I$11,$C$11,Input_Prod_02!$E$33,Input_Prod_02!$A42,$L$1,$K$1)</f>
        <v>0</v>
      </c>
      <c r="I42" s="36">
        <f>_xll.DBRW($B$1,Input_Prod_02!$G$11,Input_Prod_02!I$14,$M$1,Input_Prod_02!$I$11,$C$11,Input_Prod_02!$E$33,Input_Prod_02!$A42,$L$1,$K$1)</f>
        <v>0</v>
      </c>
      <c r="J42" s="36">
        <f>_xll.DBRW($B$1,Input_Prod_02!$G$11,Input_Prod_02!J$14,$M$1,Input_Prod_02!$I$11,$C$11,Input_Prod_02!$E$33,Input_Prod_02!$A42,$L$1,$K$1)</f>
        <v>0</v>
      </c>
      <c r="K42" s="36">
        <f>_xll.DBRW($B$1,Input_Prod_02!$G$11,Input_Prod_02!K$14,$M$1,Input_Prod_02!$I$11,$C$11,Input_Prod_02!$E$33,Input_Prod_02!$A42,$L$1,$K$1)</f>
        <v>0</v>
      </c>
      <c r="L42" s="36">
        <f>_xll.DBRW($B$1,Input_Prod_02!$G$11,Input_Prod_02!L$14,$M$1,Input_Prod_02!$I$11,$C$11,Input_Prod_02!$E$33,Input_Prod_02!$A42,$L$1,$K$1)</f>
        <v>0</v>
      </c>
      <c r="M42" s="36">
        <f>_xll.DBRW($B$1,Input_Prod_02!$G$11,Input_Prod_02!M$14,$M$1,Input_Prod_02!$I$11,$C$11,Input_Prod_02!$E$33,Input_Prod_02!$A42,$L$1,$K$1)</f>
        <v>0</v>
      </c>
      <c r="N42" s="36">
        <f>_xll.DBRW($B$1,Input_Prod_02!$G$11,Input_Prod_02!N$14,$M$1,Input_Prod_02!$I$11,$C$11,Input_Prod_02!$E$33,Input_Prod_02!$A42,$L$1,$K$1)</f>
        <v>0</v>
      </c>
      <c r="O42" s="36">
        <f>_xll.DBRW($B$1,O$13,O$15,$M$1,Input_Prod_02!$I$11,$C$11,Input_Prod_02!$E$33,Input_Prod_02!$A42,$L$1,$K$1)</f>
        <v>0</v>
      </c>
      <c r="P42" s="36">
        <f>_xll.DBRW($B$1,P$13,P$15,$M$1,Input_Prod_02!$I$11,$C$11,Input_Prod_02!$E$33,Input_Prod_02!$A42,$L$1,$K$1)</f>
        <v>0</v>
      </c>
      <c r="Q42" s="36">
        <f>_xll.DBRW($B$1,Q$13,Q$15,$M$1,Input_Prod_02!$I$11,$C$11,Input_Prod_02!$E$33,Input_Prod_02!$A42,$L$1,$K$1)</f>
        <v>0</v>
      </c>
      <c r="R42" s="36">
        <f>_xll.DBRW($B$1,R$13,R$15,$M$1,Input_Prod_02!$I$11,$C$11,Input_Prod_02!$E$33,Input_Prod_02!$A42,$L$1,$K$1)</f>
        <v>0</v>
      </c>
      <c r="S42" s="36">
        <f>_xll.DBRW($B$1,S$13,S$15,$M$1,Input_Prod_02!$I$11,$C$11,Input_Prod_02!$E$33,Input_Prod_02!$A42,$L$1,$K$1)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_xll.DBRW($B$1,Input_Prod_02!$G$11,Input_Prod_02!C$14,$M$1,Input_Prod_02!$I$11,$C$11,Input_Prod_02!$E$33,Input_Prod_02!$A43,$L$1,$K$1)</f>
        <v>0</v>
      </c>
      <c r="D43" s="36">
        <f>_xll.DBRW($B$1,Input_Prod_02!$G$11,Input_Prod_02!D$14,$M$1,Input_Prod_02!$I$11,$C$11,Input_Prod_02!$E$33,Input_Prod_02!$A43,$L$1,$K$1)</f>
        <v>0</v>
      </c>
      <c r="E43" s="36">
        <f>_xll.DBRW($B$1,Input_Prod_02!$G$11,Input_Prod_02!E$14,$M$1,Input_Prod_02!$I$11,$C$11,Input_Prod_02!$E$33,Input_Prod_02!$A43,$L$1,$K$1)</f>
        <v>0</v>
      </c>
      <c r="F43" s="36">
        <f>_xll.DBRW($B$1,Input_Prod_02!$G$11,Input_Prod_02!F$14,$M$1,Input_Prod_02!$I$11,$C$11,Input_Prod_02!$E$33,Input_Prod_02!$A43,$L$1,$K$1)</f>
        <v>0</v>
      </c>
      <c r="G43" s="36">
        <f>_xll.DBRW($B$1,Input_Prod_02!$G$11,Input_Prod_02!G$14,$M$1,Input_Prod_02!$I$11,$C$11,Input_Prod_02!$E$33,Input_Prod_02!$A43,$L$1,$K$1)</f>
        <v>0</v>
      </c>
      <c r="H43" s="36">
        <f>_xll.DBRW($B$1,Input_Prod_02!$G$11,Input_Prod_02!H$14,$M$1,Input_Prod_02!$I$11,$C$11,Input_Prod_02!$E$33,Input_Prod_02!$A43,$L$1,$K$1)</f>
        <v>0</v>
      </c>
      <c r="I43" s="36">
        <f>_xll.DBRW($B$1,Input_Prod_02!$G$11,Input_Prod_02!I$14,$M$1,Input_Prod_02!$I$11,$C$11,Input_Prod_02!$E$33,Input_Prod_02!$A43,$L$1,$K$1)</f>
        <v>0</v>
      </c>
      <c r="J43" s="36">
        <f>_xll.DBRW($B$1,Input_Prod_02!$G$11,Input_Prod_02!J$14,$M$1,Input_Prod_02!$I$11,$C$11,Input_Prod_02!$E$33,Input_Prod_02!$A43,$L$1,$K$1)</f>
        <v>0</v>
      </c>
      <c r="K43" s="36">
        <f>_xll.DBRW($B$1,Input_Prod_02!$G$11,Input_Prod_02!K$14,$M$1,Input_Prod_02!$I$11,$C$11,Input_Prod_02!$E$33,Input_Prod_02!$A43,$L$1,$K$1)</f>
        <v>0</v>
      </c>
      <c r="L43" s="36">
        <f>_xll.DBRW($B$1,Input_Prod_02!$G$11,Input_Prod_02!L$14,$M$1,Input_Prod_02!$I$11,$C$11,Input_Prod_02!$E$33,Input_Prod_02!$A43,$L$1,$K$1)</f>
        <v>0</v>
      </c>
      <c r="M43" s="36">
        <f>_xll.DBRW($B$1,Input_Prod_02!$G$11,Input_Prod_02!M$14,$M$1,Input_Prod_02!$I$11,$C$11,Input_Prod_02!$E$33,Input_Prod_02!$A43,$L$1,$K$1)</f>
        <v>0</v>
      </c>
      <c r="N43" s="36">
        <f>_xll.DBRW($B$1,Input_Prod_02!$G$11,Input_Prod_02!N$14,$M$1,Input_Prod_02!$I$11,$C$11,Input_Prod_02!$E$33,Input_Prod_02!$A43,$L$1,$K$1)</f>
        <v>0</v>
      </c>
      <c r="O43" s="36">
        <f>_xll.DBRW($B$1,O$13,O$15,$M$1,Input_Prod_02!$I$11,$C$11,Input_Prod_02!$E$33,Input_Prod_02!$A43,$L$1,$K$1)</f>
        <v>0</v>
      </c>
      <c r="P43" s="36">
        <f>_xll.DBRW($B$1,P$13,P$15,$M$1,Input_Prod_02!$I$11,$C$11,Input_Prod_02!$E$33,Input_Prod_02!$A43,$L$1,$K$1)</f>
        <v>0</v>
      </c>
      <c r="Q43" s="36">
        <f>_xll.DBRW($B$1,Q$13,Q$15,$M$1,Input_Prod_02!$I$11,$C$11,Input_Prod_02!$E$33,Input_Prod_02!$A43,$L$1,$K$1)</f>
        <v>0</v>
      </c>
      <c r="R43" s="36">
        <f>_xll.DBRW($B$1,R$13,R$15,$M$1,Input_Prod_02!$I$11,$C$11,Input_Prod_02!$E$33,Input_Prod_02!$A43,$L$1,$K$1)</f>
        <v>0</v>
      </c>
      <c r="S43" s="36">
        <f>_xll.DBRW($B$1,S$13,S$15,$M$1,Input_Prod_02!$I$11,$C$11,Input_Prod_02!$E$33,Input_Prod_02!$A43,$L$1,$K$1)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_xll.DBRW($B$2,Input_Prod_02!$G$11,Input_Prod_02!C$14,$M$1,Input_Prod_02!$I$11,$C$11,$E$33,$K$2,$B$44)</f>
        <v>0</v>
      </c>
      <c r="D44" s="48">
        <f>_xll.DBRW($B$2,Input_Prod_02!$G$11,Input_Prod_02!D$14,$M$1,Input_Prod_02!$I$11,$C$11,$E$33,$K$2,$B$44)</f>
        <v>0</v>
      </c>
      <c r="E44" s="48">
        <f>_xll.DBRW($B$2,Input_Prod_02!$G$11,Input_Prod_02!E$14,$M$1,Input_Prod_02!$I$11,$C$11,$E$33,$K$2,$B$44)</f>
        <v>0</v>
      </c>
      <c r="F44" s="48">
        <f>_xll.DBRW($B$2,Input_Prod_02!$G$11,Input_Prod_02!F$14,$M$1,Input_Prod_02!$I$11,$C$11,$E$33,$K$2,$B$44)</f>
        <v>0</v>
      </c>
      <c r="G44" s="48">
        <f>_xll.DBRW($B$2,Input_Prod_02!$G$11,Input_Prod_02!G$14,$M$1,Input_Prod_02!$I$11,$C$11,$E$33,$K$2,$B$44)</f>
        <v>0</v>
      </c>
      <c r="H44" s="48">
        <f>_xll.DBRW($B$2,Input_Prod_02!$G$11,Input_Prod_02!H$14,$M$1,Input_Prod_02!$I$11,$C$11,$E$33,$K$2,$B$44)</f>
        <v>0</v>
      </c>
      <c r="I44" s="48">
        <f>_xll.DBRW($B$2,Input_Prod_02!$G$11,Input_Prod_02!I$14,$M$1,Input_Prod_02!$I$11,$C$11,$E$33,$K$2,$B$44)</f>
        <v>0</v>
      </c>
      <c r="J44" s="48">
        <f>_xll.DBRW($B$2,Input_Prod_02!$G$11,Input_Prod_02!J$14,$M$1,Input_Prod_02!$I$11,$C$11,$E$33,$K$2,$B$44)</f>
        <v>0</v>
      </c>
      <c r="K44" s="48">
        <f>_xll.DBRW($B$2,Input_Prod_02!$G$11,Input_Prod_02!K$14,$M$1,Input_Prod_02!$I$11,$C$11,$E$33,$K$2,$B$44)</f>
        <v>0</v>
      </c>
      <c r="L44" s="48">
        <f>_xll.DBRW($B$2,Input_Prod_02!$G$11,Input_Prod_02!L$14,$M$1,Input_Prod_02!$I$11,$C$11,$E$33,$K$2,$B$44)</f>
        <v>0</v>
      </c>
      <c r="M44" s="48">
        <f>_xll.DBRW($B$2,Input_Prod_02!$G$11,Input_Prod_02!M$14,$M$1,Input_Prod_02!$I$11,$C$11,$E$33,$K$2,$B$44)</f>
        <v>0</v>
      </c>
      <c r="N44" s="48">
        <f>_xll.DBRW($B$2,Input_Prod_02!$G$11,Input_Prod_02!N$14,$M$1,Input_Prod_02!$I$11,$C$11,$E$33,$K$2,$B$44)</f>
        <v>0</v>
      </c>
      <c r="O44" s="48">
        <f>_xll.DBRW($B$2,O$13,$O$15,$M$1,Input_Prod_02!$I$11,$C$11,$E$33,$K$2,$B$44)</f>
        <v>0</v>
      </c>
      <c r="P44" s="48">
        <f>_xll.DBRW($B$2,P$13,$O$15,$M$1,Input_Prod_02!$I$11,$C$11,$E$33,$K$2,$B$44)</f>
        <v>0</v>
      </c>
      <c r="Q44" s="48">
        <f>_xll.DBRW($B$2,Q$13,$O$15,$M$1,Input_Prod_02!$I$11,$C$11,$E$33,$K$2,$B$44)</f>
        <v>0</v>
      </c>
      <c r="R44" s="48">
        <f>_xll.DBRW($B$2,R$13,$O$15,$M$1,Input_Prod_02!$I$11,$C$11,$E$33,$K$2,$B$44)</f>
        <v>0</v>
      </c>
      <c r="S44" s="48">
        <f>_xll.DBRW($B$2,S$13,$O$15,$M$1,Input_Prod_02!$I$11,$C$11,$E$33,$K$2,$B$44)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_xll.DBRW($B$2,Input_Prod_02!$G$11,Input_Prod_02!C$14,$M$1,Input_Prod_02!$I$11,$C$11,$E$33,$K$2,$B$45)</f>
        <v>0</v>
      </c>
      <c r="D45" s="41">
        <f>_xll.DBRW($B$2,Input_Prod_02!$G$11,Input_Prod_02!D$14,$M$1,Input_Prod_02!$I$11,$C$11,$E$33,$K$2,$B$45)</f>
        <v>0</v>
      </c>
      <c r="E45" s="41">
        <f>_xll.DBRW($B$2,Input_Prod_02!$G$11,Input_Prod_02!E$14,$M$1,Input_Prod_02!$I$11,$C$11,$E$33,$K$2,$B$45)</f>
        <v>0</v>
      </c>
      <c r="F45" s="41">
        <f>_xll.DBRW($B$2,Input_Prod_02!$G$11,Input_Prod_02!F$14,$M$1,Input_Prod_02!$I$11,$C$11,$E$33,$K$2,$B$45)</f>
        <v>0</v>
      </c>
      <c r="G45" s="41">
        <f>_xll.DBRW($B$2,Input_Prod_02!$G$11,Input_Prod_02!G$14,$M$1,Input_Prod_02!$I$11,$C$11,$E$33,$K$2,$B$45)</f>
        <v>0</v>
      </c>
      <c r="H45" s="41">
        <f>_xll.DBRW($B$2,Input_Prod_02!$G$11,Input_Prod_02!H$14,$M$1,Input_Prod_02!$I$11,$C$11,$E$33,$K$2,$B$45)</f>
        <v>0</v>
      </c>
      <c r="I45" s="41">
        <f>_xll.DBRW($B$2,Input_Prod_02!$G$11,Input_Prod_02!I$14,$M$1,Input_Prod_02!$I$11,$C$11,$E$33,$K$2,$B$45)</f>
        <v>0</v>
      </c>
      <c r="J45" s="41">
        <f>_xll.DBRW($B$2,Input_Prod_02!$G$11,Input_Prod_02!J$14,$M$1,Input_Prod_02!$I$11,$C$11,$E$33,$K$2,$B$45)</f>
        <v>0</v>
      </c>
      <c r="K45" s="41">
        <f>_xll.DBRW($B$2,Input_Prod_02!$G$11,Input_Prod_02!K$14,$M$1,Input_Prod_02!$I$11,$C$11,$E$33,$K$2,$B$45)</f>
        <v>0</v>
      </c>
      <c r="L45" s="41">
        <f>_xll.DBRW($B$2,Input_Prod_02!$G$11,Input_Prod_02!L$14,$M$1,Input_Prod_02!$I$11,$C$11,$E$33,$K$2,$B$45)</f>
        <v>0</v>
      </c>
      <c r="M45" s="41">
        <f>_xll.DBRW($B$2,Input_Prod_02!$G$11,Input_Prod_02!M$14,$M$1,Input_Prod_02!$I$11,$C$11,$E$33,$K$2,$B$45)</f>
        <v>0</v>
      </c>
      <c r="N45" s="41">
        <f>_xll.DBRW($B$2,Input_Prod_02!$G$11,Input_Prod_02!N$14,$M$1,Input_Prod_02!$I$11,$C$11,$E$33,$K$2,$B$45)</f>
        <v>0</v>
      </c>
      <c r="O45" s="48">
        <f>_xll.DBRW($B$2,O$13,$O$15,$M$1,Input_Prod_02!$I$11,$C$11,$E$33,$K$2,$B$44)</f>
        <v>0</v>
      </c>
      <c r="P45" s="48">
        <f>_xll.DBRW($B$2,P$13,$O$15,$M$1,Input_Prod_02!$I$11,$C$11,$E$33,$K$2,$B$44)</f>
        <v>0</v>
      </c>
      <c r="Q45" s="48">
        <f>_xll.DBRW($B$2,Q$13,$O$15,$M$1,Input_Prod_02!$I$11,$C$11,$E$33,$K$2,$B$44)</f>
        <v>0</v>
      </c>
      <c r="R45" s="48">
        <f>_xll.DBRW($B$2,R$13,$O$15,$M$1,Input_Prod_02!$I$11,$C$11,$E$33,$K$2,$B$44)</f>
        <v>0</v>
      </c>
      <c r="S45" s="48">
        <f>_xll.DBRW($B$2,S$13,$O$15,$M$1,Input_Prod_02!$I$11,$C$11,$E$33,$K$2,$B$44)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8">
        <f>$G$11+1</f>
        <v>2027</v>
      </c>
      <c r="P51" s="98">
        <f>$G$11+2</f>
        <v>2028</v>
      </c>
      <c r="Q51" s="98">
        <f>$G$11+3</f>
        <v>2029</v>
      </c>
      <c r="R51" s="98">
        <f>$G$11+4</f>
        <v>2030</v>
      </c>
      <c r="S51" s="98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_xll.DBRW($B$1,Input_Prod_02!$G$11,Input_Prod_02!C$14,$M$1,Input_Prod_02!$I$11,$C$11,Input_Prod_02!$E$33,Input_Prod_02!$A53,$L$1,$K$1)</f>
        <v>0</v>
      </c>
      <c r="D53" s="36">
        <f>_xll.DBRW($B$1,Input_Prod_02!$G$11,Input_Prod_02!D$14,$M$1,Input_Prod_02!$I$11,$C$11,Input_Prod_02!$E$33,Input_Prod_02!$A53,$L$1,$K$1)</f>
        <v>0</v>
      </c>
      <c r="E53" s="36">
        <f>_xll.DBRW($B$1,Input_Prod_02!$G$11,Input_Prod_02!E$14,$M$1,Input_Prod_02!$I$11,$C$11,Input_Prod_02!$E$33,Input_Prod_02!$A53,$L$1,$K$1)</f>
        <v>0</v>
      </c>
      <c r="F53" s="36">
        <f>_xll.DBRW($B$1,Input_Prod_02!$G$11,Input_Prod_02!F$14,$M$1,Input_Prod_02!$I$11,$C$11,Input_Prod_02!$E$33,Input_Prod_02!$A53,$L$1,$K$1)</f>
        <v>0</v>
      </c>
      <c r="G53" s="36">
        <f>_xll.DBRW($B$1,Input_Prod_02!$G$11,Input_Prod_02!G$14,$M$1,Input_Prod_02!$I$11,$C$11,Input_Prod_02!$E$33,Input_Prod_02!$A53,$L$1,$K$1)</f>
        <v>0</v>
      </c>
      <c r="H53" s="36">
        <f>_xll.DBRW($B$1,Input_Prod_02!$G$11,Input_Prod_02!H$14,$M$1,Input_Prod_02!$I$11,$C$11,Input_Prod_02!$E$33,Input_Prod_02!$A53,$L$1,$K$1)</f>
        <v>0</v>
      </c>
      <c r="I53" s="36">
        <f>_xll.DBRW($B$1,Input_Prod_02!$G$11,Input_Prod_02!I$14,$M$1,Input_Prod_02!$I$11,$C$11,Input_Prod_02!$E$33,Input_Prod_02!$A53,$L$1,$K$1)</f>
        <v>0</v>
      </c>
      <c r="J53" s="36">
        <f>_xll.DBRW($B$1,Input_Prod_02!$G$11,Input_Prod_02!J$14,$M$1,Input_Prod_02!$I$11,$C$11,Input_Prod_02!$E$33,Input_Prod_02!$A53,$L$1,$K$1)</f>
        <v>0</v>
      </c>
      <c r="K53" s="36">
        <f>_xll.DBRW($B$1,Input_Prod_02!$G$11,Input_Prod_02!K$14,$M$1,Input_Prod_02!$I$11,$C$11,Input_Prod_02!$E$33,Input_Prod_02!$A53,$L$1,$K$1)</f>
        <v>0</v>
      </c>
      <c r="L53" s="36">
        <f>_xll.DBRW($B$1,Input_Prod_02!$G$11,Input_Prod_02!L$14,$M$1,Input_Prod_02!$I$11,$C$11,Input_Prod_02!$E$33,Input_Prod_02!$A53,$L$1,$K$1)</f>
        <v>0</v>
      </c>
      <c r="M53" s="36">
        <f>_xll.DBRW($B$1,Input_Prod_02!$G$11,Input_Prod_02!M$14,$M$1,Input_Prod_02!$I$11,$C$11,Input_Prod_02!$E$33,Input_Prod_02!$A53,$L$1,$K$1)</f>
        <v>0</v>
      </c>
      <c r="N53" s="36">
        <f>_xll.DBRW($B$1,Input_Prod_02!$G$11,Input_Prod_02!N$14,$M$1,Input_Prod_02!$I$11,$C$11,Input_Prod_02!$E$33,Input_Prod_02!$A53,$L$1,$K$1)</f>
        <v>0</v>
      </c>
      <c r="O53" s="36">
        <f>_xll.DBRW($B$1,O$13,O$15,$M$1,Input_Prod_02!$I$11,$C$11,Input_Prod_02!$E$33,Input_Prod_02!$A53,$L$1,$K$1)</f>
        <v>0</v>
      </c>
      <c r="P53" s="36">
        <f>_xll.DBRW($B$1,P$13,P$15,$M$1,Input_Prod_02!$I$11,$C$11,Input_Prod_02!$E$33,Input_Prod_02!$A53,$L$1,$K$1)</f>
        <v>0</v>
      </c>
      <c r="Q53" s="36">
        <f>_xll.DBRW($B$1,Q$13,Q$15,$M$1,Input_Prod_02!$I$11,$C$11,Input_Prod_02!$E$33,Input_Prod_02!$A53,$L$1,$K$1)</f>
        <v>0</v>
      </c>
      <c r="R53" s="36">
        <f>_xll.DBRW($B$1,R$13,R$15,$M$1,Input_Prod_02!$I$11,$C$11,Input_Prod_02!$E$33,Input_Prod_02!$A53,$L$1,$K$1)</f>
        <v>0</v>
      </c>
      <c r="S53" s="36">
        <f>_xll.DBRW($B$1,S$13,S$15,$M$1,Input_Prod_02!$I$11,$C$11,Input_Prod_02!$E$33,Input_Prod_02!$A53,$L$1,$K$1)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_xll.DBRW($B$1,Input_Prod_02!$G$11,Input_Prod_02!C$14,$M$1,Input_Prod_02!$I$11,$C$11,Input_Prod_02!$E$33,Input_Prod_02!$A54,$L$1,$K$1)</f>
        <v>0</v>
      </c>
      <c r="D54" s="36">
        <f>_xll.DBRW($B$1,Input_Prod_02!$G$11,Input_Prod_02!D$14,$M$1,Input_Prod_02!$I$11,$C$11,Input_Prod_02!$E$33,Input_Prod_02!$A54,$L$1,$K$1)</f>
        <v>0</v>
      </c>
      <c r="E54" s="36">
        <f>_xll.DBRW($B$1,Input_Prod_02!$G$11,Input_Prod_02!E$14,$M$1,Input_Prod_02!$I$11,$C$11,Input_Prod_02!$E$33,Input_Prod_02!$A54,$L$1,$K$1)</f>
        <v>0</v>
      </c>
      <c r="F54" s="36">
        <f>_xll.DBRW($B$1,Input_Prod_02!$G$11,Input_Prod_02!F$14,$M$1,Input_Prod_02!$I$11,$C$11,Input_Prod_02!$E$33,Input_Prod_02!$A54,$L$1,$K$1)</f>
        <v>0</v>
      </c>
      <c r="G54" s="36">
        <f>_xll.DBRW($B$1,Input_Prod_02!$G$11,Input_Prod_02!G$14,$M$1,Input_Prod_02!$I$11,$C$11,Input_Prod_02!$E$33,Input_Prod_02!$A54,$L$1,$K$1)</f>
        <v>0</v>
      </c>
      <c r="H54" s="36">
        <f>_xll.DBRW($B$1,Input_Prod_02!$G$11,Input_Prod_02!H$14,$M$1,Input_Prod_02!$I$11,$C$11,Input_Prod_02!$E$33,Input_Prod_02!$A54,$L$1,$K$1)</f>
        <v>0</v>
      </c>
      <c r="I54" s="36">
        <f>_xll.DBRW($B$1,Input_Prod_02!$G$11,Input_Prod_02!I$14,$M$1,Input_Prod_02!$I$11,$C$11,Input_Prod_02!$E$33,Input_Prod_02!$A54,$L$1,$K$1)</f>
        <v>0</v>
      </c>
      <c r="J54" s="36">
        <f>_xll.DBRW($B$1,Input_Prod_02!$G$11,Input_Prod_02!J$14,$M$1,Input_Prod_02!$I$11,$C$11,Input_Prod_02!$E$33,Input_Prod_02!$A54,$L$1,$K$1)</f>
        <v>0</v>
      </c>
      <c r="K54" s="36">
        <f>_xll.DBRW($B$1,Input_Prod_02!$G$11,Input_Prod_02!K$14,$M$1,Input_Prod_02!$I$11,$C$11,Input_Prod_02!$E$33,Input_Prod_02!$A54,$L$1,$K$1)</f>
        <v>0</v>
      </c>
      <c r="L54" s="36">
        <f>_xll.DBRW($B$1,Input_Prod_02!$G$11,Input_Prod_02!L$14,$M$1,Input_Prod_02!$I$11,$C$11,Input_Prod_02!$E$33,Input_Prod_02!$A54,$L$1,$K$1)</f>
        <v>0</v>
      </c>
      <c r="M54" s="36">
        <f>_xll.DBRW($B$1,Input_Prod_02!$G$11,Input_Prod_02!M$14,$M$1,Input_Prod_02!$I$11,$C$11,Input_Prod_02!$E$33,Input_Prod_02!$A54,$L$1,$K$1)</f>
        <v>0</v>
      </c>
      <c r="N54" s="36">
        <f>_xll.DBRW($B$1,Input_Prod_02!$G$11,Input_Prod_02!N$14,$M$1,Input_Prod_02!$I$11,$C$11,Input_Prod_02!$E$33,Input_Prod_02!$A54,$L$1,$K$1)</f>
        <v>0</v>
      </c>
      <c r="O54" s="36">
        <f>_xll.DBRW($B$1,O$13,O$15,$M$1,Input_Prod_02!$I$11,$C$11,Input_Prod_02!$E$33,Input_Prod_02!$A54,$L$1,$K$1)</f>
        <v>0</v>
      </c>
      <c r="P54" s="36">
        <f>_xll.DBRW($B$1,P$13,P$15,$M$1,Input_Prod_02!$I$11,$C$11,Input_Prod_02!$E$33,Input_Prod_02!$A54,$L$1,$K$1)</f>
        <v>0</v>
      </c>
      <c r="Q54" s="36">
        <f>_xll.DBRW($B$1,Q$13,Q$15,$M$1,Input_Prod_02!$I$11,$C$11,Input_Prod_02!$E$33,Input_Prod_02!$A54,$L$1,$K$1)</f>
        <v>0</v>
      </c>
      <c r="R54" s="36">
        <f>_xll.DBRW($B$1,R$13,R$15,$M$1,Input_Prod_02!$I$11,$C$11,Input_Prod_02!$E$33,Input_Prod_02!$A54,$L$1,$K$1)</f>
        <v>0</v>
      </c>
      <c r="S54" s="36">
        <f>_xll.DBRW($B$1,S$13,S$15,$M$1,Input_Prod_02!$I$11,$C$11,Input_Prod_02!$E$33,Input_Prod_02!$A54,$L$1,$K$1)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_xll.DBRW($B$1,Input_Prod_02!$G$11,Input_Prod_02!C$14,$M$1,Input_Prod_02!$I$11,$C$11,Input_Prod_02!$E$33,Input_Prod_02!$A55,$L$1,$K$1)</f>
        <v>0</v>
      </c>
      <c r="D55" s="36">
        <f>_xll.DBRW($B$1,Input_Prod_02!$G$11,Input_Prod_02!D$14,$M$1,Input_Prod_02!$I$11,$C$11,Input_Prod_02!$E$33,Input_Prod_02!$A55,$L$1,$K$1)</f>
        <v>0</v>
      </c>
      <c r="E55" s="36">
        <f>_xll.DBRW($B$1,Input_Prod_02!$G$11,Input_Prod_02!E$14,$M$1,Input_Prod_02!$I$11,$C$11,Input_Prod_02!$E$33,Input_Prod_02!$A55,$L$1,$K$1)</f>
        <v>0</v>
      </c>
      <c r="F55" s="36">
        <f>_xll.DBRW($B$1,Input_Prod_02!$G$11,Input_Prod_02!F$14,$M$1,Input_Prod_02!$I$11,$C$11,Input_Prod_02!$E$33,Input_Prod_02!$A55,$L$1,$K$1)</f>
        <v>0</v>
      </c>
      <c r="G55" s="36">
        <f>_xll.DBRW($B$1,Input_Prod_02!$G$11,Input_Prod_02!G$14,$M$1,Input_Prod_02!$I$11,$C$11,Input_Prod_02!$E$33,Input_Prod_02!$A55,$L$1,$K$1)</f>
        <v>0</v>
      </c>
      <c r="H55" s="36">
        <f>_xll.DBRW($B$1,Input_Prod_02!$G$11,Input_Prod_02!H$14,$M$1,Input_Prod_02!$I$11,$C$11,Input_Prod_02!$E$33,Input_Prod_02!$A55,$L$1,$K$1)</f>
        <v>0</v>
      </c>
      <c r="I55" s="36">
        <f>_xll.DBRW($B$1,Input_Prod_02!$G$11,Input_Prod_02!I$14,$M$1,Input_Prod_02!$I$11,$C$11,Input_Prod_02!$E$33,Input_Prod_02!$A55,$L$1,$K$1)</f>
        <v>0</v>
      </c>
      <c r="J55" s="36">
        <f>_xll.DBRW($B$1,Input_Prod_02!$G$11,Input_Prod_02!J$14,$M$1,Input_Prod_02!$I$11,$C$11,Input_Prod_02!$E$33,Input_Prod_02!$A55,$L$1,$K$1)</f>
        <v>0</v>
      </c>
      <c r="K55" s="36">
        <f>_xll.DBRW($B$1,Input_Prod_02!$G$11,Input_Prod_02!K$14,$M$1,Input_Prod_02!$I$11,$C$11,Input_Prod_02!$E$33,Input_Prod_02!$A55,$L$1,$K$1)</f>
        <v>0</v>
      </c>
      <c r="L55" s="36">
        <f>_xll.DBRW($B$1,Input_Prod_02!$G$11,Input_Prod_02!L$14,$M$1,Input_Prod_02!$I$11,$C$11,Input_Prod_02!$E$33,Input_Prod_02!$A55,$L$1,$K$1)</f>
        <v>0</v>
      </c>
      <c r="M55" s="36">
        <f>_xll.DBRW($B$1,Input_Prod_02!$G$11,Input_Prod_02!M$14,$M$1,Input_Prod_02!$I$11,$C$11,Input_Prod_02!$E$33,Input_Prod_02!$A55,$L$1,$K$1)</f>
        <v>0</v>
      </c>
      <c r="N55" s="36">
        <f>_xll.DBRW($B$1,Input_Prod_02!$G$11,Input_Prod_02!N$14,$M$1,Input_Prod_02!$I$11,$C$11,Input_Prod_02!$E$33,Input_Prod_02!$A55,$L$1,$K$1)</f>
        <v>0</v>
      </c>
      <c r="O55" s="36">
        <f>_xll.DBRW($B$1,O$13,O$15,$M$1,Input_Prod_02!$I$11,$C$11,Input_Prod_02!$E$33,Input_Prod_02!$A55,$L$1,$K$1)</f>
        <v>0</v>
      </c>
      <c r="P55" s="36">
        <f>_xll.DBRW($B$1,P$13,P$15,$M$1,Input_Prod_02!$I$11,$C$11,Input_Prod_02!$E$33,Input_Prod_02!$A55,$L$1,$K$1)</f>
        <v>0</v>
      </c>
      <c r="Q55" s="36">
        <f>_xll.DBRW($B$1,Q$13,Q$15,$M$1,Input_Prod_02!$I$11,$C$11,Input_Prod_02!$E$33,Input_Prod_02!$A55,$L$1,$K$1)</f>
        <v>0</v>
      </c>
      <c r="R55" s="36">
        <f>_xll.DBRW($B$1,R$13,R$15,$M$1,Input_Prod_02!$I$11,$C$11,Input_Prod_02!$E$33,Input_Prod_02!$A55,$L$1,$K$1)</f>
        <v>0</v>
      </c>
      <c r="S55" s="36">
        <f>_xll.DBRW($B$1,S$13,S$15,$M$1,Input_Prod_02!$I$11,$C$11,Input_Prod_02!$E$33,Input_Prod_02!$A55,$L$1,$K$1)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_xll.DBRW($B$1,Input_Prod_02!$G$11,Input_Prod_02!C$14,$M$1,Input_Prod_02!$I$11,$C$11,Input_Prod_02!$E$33,Input_Prod_02!$A56,$L$1,$K$1)</f>
        <v>0</v>
      </c>
      <c r="D56" s="36">
        <f>_xll.DBRW($B$1,Input_Prod_02!$G$11,Input_Prod_02!D$14,$M$1,Input_Prod_02!$I$11,$C$11,Input_Prod_02!$E$33,Input_Prod_02!$A56,$L$1,$K$1)</f>
        <v>0</v>
      </c>
      <c r="E56" s="36">
        <f>_xll.DBRW($B$1,Input_Prod_02!$G$11,Input_Prod_02!E$14,$M$1,Input_Prod_02!$I$11,$C$11,Input_Prod_02!$E$33,Input_Prod_02!$A56,$L$1,$K$1)</f>
        <v>0</v>
      </c>
      <c r="F56" s="36">
        <f>_xll.DBRW($B$1,Input_Prod_02!$G$11,Input_Prod_02!F$14,$M$1,Input_Prod_02!$I$11,$C$11,Input_Prod_02!$E$33,Input_Prod_02!$A56,$L$1,$K$1)</f>
        <v>0</v>
      </c>
      <c r="G56" s="36">
        <f>_xll.DBRW($B$1,Input_Prod_02!$G$11,Input_Prod_02!G$14,$M$1,Input_Prod_02!$I$11,$C$11,Input_Prod_02!$E$33,Input_Prod_02!$A56,$L$1,$K$1)</f>
        <v>0</v>
      </c>
      <c r="H56" s="36">
        <f>_xll.DBRW($B$1,Input_Prod_02!$G$11,Input_Prod_02!H$14,$M$1,Input_Prod_02!$I$11,$C$11,Input_Prod_02!$E$33,Input_Prod_02!$A56,$L$1,$K$1)</f>
        <v>0</v>
      </c>
      <c r="I56" s="36">
        <f>_xll.DBRW($B$1,Input_Prod_02!$G$11,Input_Prod_02!I$14,$M$1,Input_Prod_02!$I$11,$C$11,Input_Prod_02!$E$33,Input_Prod_02!$A56,$L$1,$K$1)</f>
        <v>0</v>
      </c>
      <c r="J56" s="36">
        <f>_xll.DBRW($B$1,Input_Prod_02!$G$11,Input_Prod_02!J$14,$M$1,Input_Prod_02!$I$11,$C$11,Input_Prod_02!$E$33,Input_Prod_02!$A56,$L$1,$K$1)</f>
        <v>0</v>
      </c>
      <c r="K56" s="36">
        <f>_xll.DBRW($B$1,Input_Prod_02!$G$11,Input_Prod_02!K$14,$M$1,Input_Prod_02!$I$11,$C$11,Input_Prod_02!$E$33,Input_Prod_02!$A56,$L$1,$K$1)</f>
        <v>0</v>
      </c>
      <c r="L56" s="36">
        <f>_xll.DBRW($B$1,Input_Prod_02!$G$11,Input_Prod_02!L$14,$M$1,Input_Prod_02!$I$11,$C$11,Input_Prod_02!$E$33,Input_Prod_02!$A56,$L$1,$K$1)</f>
        <v>0</v>
      </c>
      <c r="M56" s="36">
        <f>_xll.DBRW($B$1,Input_Prod_02!$G$11,Input_Prod_02!M$14,$M$1,Input_Prod_02!$I$11,$C$11,Input_Prod_02!$E$33,Input_Prod_02!$A56,$L$1,$K$1)</f>
        <v>0</v>
      </c>
      <c r="N56" s="36">
        <f>_xll.DBRW($B$1,Input_Prod_02!$G$11,Input_Prod_02!N$14,$M$1,Input_Prod_02!$I$11,$C$11,Input_Prod_02!$E$33,Input_Prod_02!$A56,$L$1,$K$1)</f>
        <v>0</v>
      </c>
      <c r="O56" s="36">
        <f>_xll.DBRW($B$1,O$13,O$15,$M$1,Input_Prod_02!$I$11,$C$11,Input_Prod_02!$E$33,Input_Prod_02!$A56,$L$1,$K$1)</f>
        <v>0</v>
      </c>
      <c r="P56" s="36">
        <f>_xll.DBRW($B$1,P$13,P$15,$M$1,Input_Prod_02!$I$11,$C$11,Input_Prod_02!$E$33,Input_Prod_02!$A56,$L$1,$K$1)</f>
        <v>0</v>
      </c>
      <c r="Q56" s="36">
        <f>_xll.DBRW($B$1,Q$13,Q$15,$M$1,Input_Prod_02!$I$11,$C$11,Input_Prod_02!$E$33,Input_Prod_02!$A56,$L$1,$K$1)</f>
        <v>0</v>
      </c>
      <c r="R56" s="36">
        <f>_xll.DBRW($B$1,R$13,R$15,$M$1,Input_Prod_02!$I$11,$C$11,Input_Prod_02!$E$33,Input_Prod_02!$A56,$L$1,$K$1)</f>
        <v>0</v>
      </c>
      <c r="S56" s="36">
        <f>_xll.DBRW($B$1,S$13,S$15,$M$1,Input_Prod_02!$I$11,$C$11,Input_Prod_02!$E$33,Input_Prod_02!$A56,$L$1,$K$1)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_xll.DBRW($B$1,Input_Prod_02!$G$11,Input_Prod_02!C$14,$M$1,Input_Prod_02!$I$11,$C$11,$E$33,$A$57,"Total Accounts Line",$K$1)</f>
        <v>0</v>
      </c>
      <c r="D57" s="48">
        <f>_xll.DBRW($B$1,Input_Prod_02!$G$11,Input_Prod_02!D$14,$M$1,Input_Prod_02!$I$11,$C$11,$E$33,$A$57,"Total Accounts Line",$K$1)</f>
        <v>0</v>
      </c>
      <c r="E57" s="48">
        <f>_xll.DBRW($B$1,Input_Prod_02!$G$11,Input_Prod_02!E$14,$M$1,Input_Prod_02!$I$11,$C$11,$E$33,$A$57,"Total Accounts Line",$K$1)</f>
        <v>0</v>
      </c>
      <c r="F57" s="48">
        <f>_xll.DBRW($B$1,Input_Prod_02!$G$11,Input_Prod_02!F$14,$M$1,Input_Prod_02!$I$11,$C$11,$E$33,$A$57,"Total Accounts Line",$K$1)</f>
        <v>0</v>
      </c>
      <c r="G57" s="48">
        <f>_xll.DBRW($B$1,Input_Prod_02!$G$11,Input_Prod_02!G$14,$M$1,Input_Prod_02!$I$11,$C$11,$E$33,$A$57,"Total Accounts Line",$K$1)</f>
        <v>0</v>
      </c>
      <c r="H57" s="48">
        <f>_xll.DBRW($B$1,Input_Prod_02!$G$11,Input_Prod_02!H$14,$M$1,Input_Prod_02!$I$11,$C$11,$E$33,$A$57,"Total Accounts Line",$K$1)</f>
        <v>0</v>
      </c>
      <c r="I57" s="48">
        <f>_xll.DBRW($B$1,Input_Prod_02!$G$11,Input_Prod_02!I$14,$M$1,Input_Prod_02!$I$11,$C$11,$E$33,$A$57,"Total Accounts Line",$K$1)</f>
        <v>0</v>
      </c>
      <c r="J57" s="48">
        <f>_xll.DBRW($B$1,Input_Prod_02!$G$11,Input_Prod_02!J$14,$M$1,Input_Prod_02!$I$11,$C$11,$E$33,$A$57,"Total Accounts Line",$K$1)</f>
        <v>0</v>
      </c>
      <c r="K57" s="48">
        <f>_xll.DBRW($B$1,Input_Prod_02!$G$11,Input_Prod_02!K$14,$M$1,Input_Prod_02!$I$11,$C$11,$E$33,$A$57,"Total Accounts Line",$K$1)</f>
        <v>0</v>
      </c>
      <c r="L57" s="48">
        <f>_xll.DBRW($B$1,Input_Prod_02!$G$11,Input_Prod_02!L$14,$M$1,Input_Prod_02!$I$11,$C$11,$E$33,$A$57,"Total Accounts Line",$K$1)</f>
        <v>0</v>
      </c>
      <c r="M57" s="48">
        <f>_xll.DBRW($B$1,Input_Prod_02!$G$11,Input_Prod_02!M$14,$M$1,Input_Prod_02!$I$11,$C$11,$E$33,$A$57,"Total Accounts Line",$K$1)</f>
        <v>0</v>
      </c>
      <c r="N57" s="48">
        <f>_xll.DBRW($B$1,Input_Prod_02!$G$11,Input_Prod_02!N$14,$M$1,Input_Prod_02!$I$11,$C$11,$E$33,$A$57,"Total Accounts Line",$K$1)</f>
        <v>0</v>
      </c>
      <c r="O57" s="48">
        <f>_xll.DBRW($B$1,O$13,$O$15,$M$1,Input_Prod_02!$I$11,$C$11,$E$33,$A$57,"Total Accounts Line",$K$1)</f>
        <v>0</v>
      </c>
      <c r="P57" s="48">
        <f>_xll.DBRW($B$1,P$13,$O$15,$M$1,Input_Prod_02!$I$11,$C$11,$E$33,$A$57,"Total Accounts Line",$K$1)</f>
        <v>0</v>
      </c>
      <c r="Q57" s="48">
        <f>_xll.DBRW($B$1,Q$13,$O$15,$M$1,Input_Prod_02!$I$11,$C$11,$E$33,$A$57,"Total Accounts Line",$K$1)</f>
        <v>0</v>
      </c>
      <c r="R57" s="48">
        <f>_xll.DBRW($B$1,R$13,$O$15,$M$1,Input_Prod_02!$I$11,$C$11,$E$33,$A$57,"Total Accounts Line",$K$1)</f>
        <v>0</v>
      </c>
      <c r="S57" s="48">
        <f>_xll.DBRW($B$1,S$13,$O$15,$M$1,Input_Prod_02!$I$11,$C$11,$E$33,$A$57,"Total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_xll.DBRW($B$1,Input_Prod_02!$G$11,Input_Prod_02!C$14,$M$1,Input_Prod_02!$I$11,$C$11,$E$33,$A$57,$A58,$K$1)</f>
        <v>0</v>
      </c>
      <c r="D58" s="36">
        <f>_xll.DBRW($B$1,Input_Prod_02!$G$11,Input_Prod_02!D$14,$M$1,Input_Prod_02!$I$11,$C$11,$E$33,$A$57,$A58,$K$1)</f>
        <v>0</v>
      </c>
      <c r="E58" s="36">
        <f>_xll.DBRW($B$1,Input_Prod_02!$G$11,Input_Prod_02!E$14,$M$1,Input_Prod_02!$I$11,$C$11,$E$33,$A$57,$A58,$K$1)</f>
        <v>0</v>
      </c>
      <c r="F58" s="36">
        <f>_xll.DBRW($B$1,Input_Prod_02!$G$11,Input_Prod_02!F$14,$M$1,Input_Prod_02!$I$11,$C$11,$E$33,$A$57,$A58,$K$1)</f>
        <v>0</v>
      </c>
      <c r="G58" s="36">
        <f>_xll.DBRW($B$1,Input_Prod_02!$G$11,Input_Prod_02!G$14,$M$1,Input_Prod_02!$I$11,$C$11,$E$33,$A$57,$A58,$K$1)</f>
        <v>0</v>
      </c>
      <c r="H58" s="36">
        <f>_xll.DBRW($B$1,Input_Prod_02!$G$11,Input_Prod_02!H$14,$M$1,Input_Prod_02!$I$11,$C$11,$E$33,$A$57,$A58,$K$1)</f>
        <v>0</v>
      </c>
      <c r="I58" s="36">
        <f>_xll.DBRW($B$1,Input_Prod_02!$G$11,Input_Prod_02!I$14,$M$1,Input_Prod_02!$I$11,$C$11,$E$33,$A$57,$A58,$K$1)</f>
        <v>0</v>
      </c>
      <c r="J58" s="36">
        <f>_xll.DBRW($B$1,Input_Prod_02!$G$11,Input_Prod_02!J$14,$M$1,Input_Prod_02!$I$11,$C$11,$E$33,$A$57,$A58,$K$1)</f>
        <v>0</v>
      </c>
      <c r="K58" s="36">
        <f>_xll.DBRW($B$1,Input_Prod_02!$G$11,Input_Prod_02!K$14,$M$1,Input_Prod_02!$I$11,$C$11,$E$33,$A$57,$A58,$K$1)</f>
        <v>0</v>
      </c>
      <c r="L58" s="36">
        <f>_xll.DBRW($B$1,Input_Prod_02!$G$11,Input_Prod_02!L$14,$M$1,Input_Prod_02!$I$11,$C$11,$E$33,$A$57,$A58,$K$1)</f>
        <v>0</v>
      </c>
      <c r="M58" s="36">
        <f>_xll.DBRW($B$1,Input_Prod_02!$G$11,Input_Prod_02!M$14,$M$1,Input_Prod_02!$I$11,$C$11,$E$33,$A$57,$A58,$K$1)</f>
        <v>0</v>
      </c>
      <c r="N58" s="36">
        <f>_xll.DBRW($B$1,Input_Prod_02!$G$11,Input_Prod_02!N$14,$M$1,Input_Prod_02!$I$11,$C$11,$E$33,$A$57,$A58,$K$1)</f>
        <v>0</v>
      </c>
      <c r="O58" s="36">
        <f>_xll.DBRW($B$1,O$13,$O$15,$M$1,Input_Prod_02!$I$11,$C$11,$E$33,$A$57,$A58,$K$1)</f>
        <v>0</v>
      </c>
      <c r="P58" s="36">
        <f>_xll.DBRW($B$1,P$13,$O$15,$M$1,Input_Prod_02!$I$11,$C$11,$E$33,$A$57,$A58,$K$1)</f>
        <v>0</v>
      </c>
      <c r="Q58" s="36">
        <f>_xll.DBRW($B$1,Q$13,$O$15,$M$1,Input_Prod_02!$I$11,$C$11,$E$33,$A$57,$A58,$K$1)</f>
        <v>0</v>
      </c>
      <c r="R58" s="36">
        <f>_xll.DBRW($B$1,R$13,$O$15,$M$1,Input_Prod_02!$I$11,$C$11,$E$33,$A$57,$A58,$K$1)</f>
        <v>0</v>
      </c>
      <c r="S58" s="36">
        <f>_xll.DBRW($B$1,S$13,$O$15,$M$1,Input_Prod_02!$I$11,$C$11,$E$33,$A$57,$A58,$K$1)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_xll.DBRW($B$1,Input_Prod_02!$G$11,Input_Prod_02!C$14,$M$1,Input_Prod_02!$I$11,$C$11,$E$33,$A$57,$A59,$K$1)</f>
        <v>0</v>
      </c>
      <c r="D59" s="36">
        <f>_xll.DBRW($B$1,Input_Prod_02!$G$11,Input_Prod_02!D$14,$M$1,Input_Prod_02!$I$11,$C$11,$E$33,$A$57,$A59,$K$1)</f>
        <v>0</v>
      </c>
      <c r="E59" s="36">
        <f>_xll.DBRW($B$1,Input_Prod_02!$G$11,Input_Prod_02!E$14,$M$1,Input_Prod_02!$I$11,$C$11,$E$33,$A$57,$A59,$K$1)</f>
        <v>0</v>
      </c>
      <c r="F59" s="36">
        <f>_xll.DBRW($B$1,Input_Prod_02!$G$11,Input_Prod_02!F$14,$M$1,Input_Prod_02!$I$11,$C$11,$E$33,$A$57,$A59,$K$1)</f>
        <v>0</v>
      </c>
      <c r="G59" s="36">
        <f>_xll.DBRW($B$1,Input_Prod_02!$G$11,Input_Prod_02!G$14,$M$1,Input_Prod_02!$I$11,$C$11,$E$33,$A$57,$A59,$K$1)</f>
        <v>0</v>
      </c>
      <c r="H59" s="36">
        <f>_xll.DBRW($B$1,Input_Prod_02!$G$11,Input_Prod_02!H$14,$M$1,Input_Prod_02!$I$11,$C$11,$E$33,$A$57,$A59,$K$1)</f>
        <v>0</v>
      </c>
      <c r="I59" s="36">
        <f>_xll.DBRW($B$1,Input_Prod_02!$G$11,Input_Prod_02!I$14,$M$1,Input_Prod_02!$I$11,$C$11,$E$33,$A$57,$A59,$K$1)</f>
        <v>0</v>
      </c>
      <c r="J59" s="36">
        <f>_xll.DBRW($B$1,Input_Prod_02!$G$11,Input_Prod_02!J$14,$M$1,Input_Prod_02!$I$11,$C$11,$E$33,$A$57,$A59,$K$1)</f>
        <v>0</v>
      </c>
      <c r="K59" s="36">
        <f>_xll.DBRW($B$1,Input_Prod_02!$G$11,Input_Prod_02!K$14,$M$1,Input_Prod_02!$I$11,$C$11,$E$33,$A$57,$A59,$K$1)</f>
        <v>0</v>
      </c>
      <c r="L59" s="36">
        <f>_xll.DBRW($B$1,Input_Prod_02!$G$11,Input_Prod_02!L$14,$M$1,Input_Prod_02!$I$11,$C$11,$E$33,$A$57,$A59,$K$1)</f>
        <v>0</v>
      </c>
      <c r="M59" s="36">
        <f>_xll.DBRW($B$1,Input_Prod_02!$G$11,Input_Prod_02!M$14,$M$1,Input_Prod_02!$I$11,$C$11,$E$33,$A$57,$A59,$K$1)</f>
        <v>0</v>
      </c>
      <c r="N59" s="36">
        <f>_xll.DBRW($B$1,Input_Prod_02!$G$11,Input_Prod_02!N$14,$M$1,Input_Prod_02!$I$11,$C$11,$E$33,$A$57,$A59,$K$1)</f>
        <v>0</v>
      </c>
      <c r="O59" s="36">
        <f>_xll.DBRW($B$1,O$13,$O$15,$M$1,Input_Prod_02!$I$11,$C$11,$E$33,$A$57,$A59,$K$1)</f>
        <v>0</v>
      </c>
      <c r="P59" s="36">
        <f>_xll.DBRW($B$1,P$13,$O$15,$M$1,Input_Prod_02!$I$11,$C$11,$E$33,$A$57,$A59,$K$1)</f>
        <v>0</v>
      </c>
      <c r="Q59" s="36">
        <f>_xll.DBRW($B$1,Q$13,$O$15,$M$1,Input_Prod_02!$I$11,$C$11,$E$33,$A$57,$A59,$K$1)</f>
        <v>0</v>
      </c>
      <c r="R59" s="36">
        <f>_xll.DBRW($B$1,R$13,$O$15,$M$1,Input_Prod_02!$I$11,$C$11,$E$33,$A$57,$A59,$K$1)</f>
        <v>0</v>
      </c>
      <c r="S59" s="36">
        <f>_xll.DBRW($B$1,S$13,$O$15,$M$1,Input_Prod_02!$I$11,$C$11,$E$33,$A$57,$A59,$K$1)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_xll.DBRW($B$1,Input_Prod_02!$G$11,Input_Prod_02!C$14,$M$1,Input_Prod_02!$I$11,$C$11,$E$33,$A$57,$A60,$K$1)</f>
        <v>0</v>
      </c>
      <c r="D60" s="36">
        <f>_xll.DBRW($B$1,Input_Prod_02!$G$11,Input_Prod_02!D$14,$M$1,Input_Prod_02!$I$11,$C$11,$E$33,$A$57,$A60,$K$1)</f>
        <v>0</v>
      </c>
      <c r="E60" s="36">
        <f>_xll.DBRW($B$1,Input_Prod_02!$G$11,Input_Prod_02!E$14,$M$1,Input_Prod_02!$I$11,$C$11,$E$33,$A$57,$A60,$K$1)</f>
        <v>0</v>
      </c>
      <c r="F60" s="36">
        <f>_xll.DBRW($B$1,Input_Prod_02!$G$11,Input_Prod_02!F$14,$M$1,Input_Prod_02!$I$11,$C$11,$E$33,$A$57,$A60,$K$1)</f>
        <v>0</v>
      </c>
      <c r="G60" s="36">
        <f>_xll.DBRW($B$1,Input_Prod_02!$G$11,Input_Prod_02!G$14,$M$1,Input_Prod_02!$I$11,$C$11,$E$33,$A$57,$A60,$K$1)</f>
        <v>0</v>
      </c>
      <c r="H60" s="36">
        <f>_xll.DBRW($B$1,Input_Prod_02!$G$11,Input_Prod_02!H$14,$M$1,Input_Prod_02!$I$11,$C$11,$E$33,$A$57,$A60,$K$1)</f>
        <v>0</v>
      </c>
      <c r="I60" s="36">
        <f>_xll.DBRW($B$1,Input_Prod_02!$G$11,Input_Prod_02!I$14,$M$1,Input_Prod_02!$I$11,$C$11,$E$33,$A$57,$A60,$K$1)</f>
        <v>0</v>
      </c>
      <c r="J60" s="36">
        <f>_xll.DBRW($B$1,Input_Prod_02!$G$11,Input_Prod_02!J$14,$M$1,Input_Prod_02!$I$11,$C$11,$E$33,$A$57,$A60,$K$1)</f>
        <v>0</v>
      </c>
      <c r="K60" s="36">
        <f>_xll.DBRW($B$1,Input_Prod_02!$G$11,Input_Prod_02!K$14,$M$1,Input_Prod_02!$I$11,$C$11,$E$33,$A$57,$A60,$K$1)</f>
        <v>0</v>
      </c>
      <c r="L60" s="36">
        <f>_xll.DBRW($B$1,Input_Prod_02!$G$11,Input_Prod_02!L$14,$M$1,Input_Prod_02!$I$11,$C$11,$E$33,$A$57,$A60,$K$1)</f>
        <v>0</v>
      </c>
      <c r="M60" s="36">
        <f>_xll.DBRW($B$1,Input_Prod_02!$G$11,Input_Prod_02!M$14,$M$1,Input_Prod_02!$I$11,$C$11,$E$33,$A$57,$A60,$K$1)</f>
        <v>0</v>
      </c>
      <c r="N60" s="36">
        <f>_xll.DBRW($B$1,Input_Prod_02!$G$11,Input_Prod_02!N$14,$M$1,Input_Prod_02!$I$11,$C$11,$E$33,$A$57,$A60,$K$1)</f>
        <v>0</v>
      </c>
      <c r="O60" s="36">
        <f>_xll.DBRW($B$1,O$13,$O$15,$M$1,Input_Prod_02!$I$11,$C$11,$E$33,$A$57,$A60,$K$1)</f>
        <v>0</v>
      </c>
      <c r="P60" s="36">
        <f>_xll.DBRW($B$1,P$13,$O$15,$M$1,Input_Prod_02!$I$11,$C$11,$E$33,$A$57,$A60,$K$1)</f>
        <v>0</v>
      </c>
      <c r="Q60" s="36">
        <f>_xll.DBRW($B$1,Q$13,$O$15,$M$1,Input_Prod_02!$I$11,$C$11,$E$33,$A$57,$A60,$K$1)</f>
        <v>0</v>
      </c>
      <c r="R60" s="36">
        <f>_xll.DBRW($B$1,R$13,$O$15,$M$1,Input_Prod_02!$I$11,$C$11,$E$33,$A$57,$A60,$K$1)</f>
        <v>0</v>
      </c>
      <c r="S60" s="36">
        <f>_xll.DBRW($B$1,S$13,$O$15,$M$1,Input_Prod_02!$I$11,$C$11,$E$33,$A$57,$A60,$K$1)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_xll.DBRW($B$1,Input_Prod_02!$G$11,Input_Prod_02!C$14,$M$1,Input_Prod_02!$I$11,$C$11,$E$33,$A$57,$A61,$K$1)</f>
        <v>0</v>
      </c>
      <c r="D61" s="36">
        <f>_xll.DBRW($B$1,Input_Prod_02!$G$11,Input_Prod_02!D$14,$M$1,Input_Prod_02!$I$11,$C$11,$E$33,$A$57,$A61,$K$1)</f>
        <v>0</v>
      </c>
      <c r="E61" s="36">
        <f>_xll.DBRW($B$1,Input_Prod_02!$G$11,Input_Prod_02!E$14,$M$1,Input_Prod_02!$I$11,$C$11,$E$33,$A$57,$A61,$K$1)</f>
        <v>0</v>
      </c>
      <c r="F61" s="36">
        <f>_xll.DBRW($B$1,Input_Prod_02!$G$11,Input_Prod_02!F$14,$M$1,Input_Prod_02!$I$11,$C$11,$E$33,$A$57,$A61,$K$1)</f>
        <v>0</v>
      </c>
      <c r="G61" s="36">
        <f>_xll.DBRW($B$1,Input_Prod_02!$G$11,Input_Prod_02!G$14,$M$1,Input_Prod_02!$I$11,$C$11,$E$33,$A$57,$A61,$K$1)</f>
        <v>0</v>
      </c>
      <c r="H61" s="36">
        <f>_xll.DBRW($B$1,Input_Prod_02!$G$11,Input_Prod_02!H$14,$M$1,Input_Prod_02!$I$11,$C$11,$E$33,$A$57,$A61,$K$1)</f>
        <v>0</v>
      </c>
      <c r="I61" s="36">
        <f>_xll.DBRW($B$1,Input_Prod_02!$G$11,Input_Prod_02!I$14,$M$1,Input_Prod_02!$I$11,$C$11,$E$33,$A$57,$A61,$K$1)</f>
        <v>0</v>
      </c>
      <c r="J61" s="36">
        <f>_xll.DBRW($B$1,Input_Prod_02!$G$11,Input_Prod_02!J$14,$M$1,Input_Prod_02!$I$11,$C$11,$E$33,$A$57,$A61,$K$1)</f>
        <v>0</v>
      </c>
      <c r="K61" s="36">
        <f>_xll.DBRW($B$1,Input_Prod_02!$G$11,Input_Prod_02!K$14,$M$1,Input_Prod_02!$I$11,$C$11,$E$33,$A$57,$A61,$K$1)</f>
        <v>0</v>
      </c>
      <c r="L61" s="36">
        <f>_xll.DBRW($B$1,Input_Prod_02!$G$11,Input_Prod_02!L$14,$M$1,Input_Prod_02!$I$11,$C$11,$E$33,$A$57,$A61,$K$1)</f>
        <v>0</v>
      </c>
      <c r="M61" s="36">
        <f>_xll.DBRW($B$1,Input_Prod_02!$G$11,Input_Prod_02!M$14,$M$1,Input_Prod_02!$I$11,$C$11,$E$33,$A$57,$A61,$K$1)</f>
        <v>0</v>
      </c>
      <c r="N61" s="36">
        <f>_xll.DBRW($B$1,Input_Prod_02!$G$11,Input_Prod_02!N$14,$M$1,Input_Prod_02!$I$11,$C$11,$E$33,$A$57,$A61,$K$1)</f>
        <v>0</v>
      </c>
      <c r="O61" s="36">
        <f>_xll.DBRW($B$1,O$13,$O$15,$M$1,Input_Prod_02!$I$11,$C$11,$E$33,$A$57,$A61,$K$1)</f>
        <v>0</v>
      </c>
      <c r="P61" s="36">
        <f>_xll.DBRW($B$1,P$13,$O$15,$M$1,Input_Prod_02!$I$11,$C$11,$E$33,$A$57,$A61,$K$1)</f>
        <v>0</v>
      </c>
      <c r="Q61" s="36">
        <f>_xll.DBRW($B$1,Q$13,$O$15,$M$1,Input_Prod_02!$I$11,$C$11,$E$33,$A$57,$A61,$K$1)</f>
        <v>0</v>
      </c>
      <c r="R61" s="36">
        <f>_xll.DBRW($B$1,R$13,$O$15,$M$1,Input_Prod_02!$I$11,$C$11,$E$33,$A$57,$A61,$K$1)</f>
        <v>0</v>
      </c>
      <c r="S61" s="36">
        <f>_xll.DBRW($B$1,S$13,$O$15,$M$1,Input_Prod_02!$I$11,$C$11,$E$33,$A$57,$A61,$K$1)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_xll.DBRW($B$1,Input_Prod_02!$G$11,Input_Prod_02!C$14,$M$1,Input_Prod_02!$I$11,$C$11,$E$33,$A$57,$A62,$K$1)</f>
        <v>0</v>
      </c>
      <c r="D62" s="36">
        <f>_xll.DBRW($B$1,Input_Prod_02!$G$11,Input_Prod_02!D$14,$M$1,Input_Prod_02!$I$11,$C$11,$E$33,$A$57,$A62,$K$1)</f>
        <v>0</v>
      </c>
      <c r="E62" s="36">
        <f>_xll.DBRW($B$1,Input_Prod_02!$G$11,Input_Prod_02!E$14,$M$1,Input_Prod_02!$I$11,$C$11,$E$33,$A$57,$A62,$K$1)</f>
        <v>0</v>
      </c>
      <c r="F62" s="36">
        <f>_xll.DBRW($B$1,Input_Prod_02!$G$11,Input_Prod_02!F$14,$M$1,Input_Prod_02!$I$11,$C$11,$E$33,$A$57,$A62,$K$1)</f>
        <v>0</v>
      </c>
      <c r="G62" s="36">
        <f>_xll.DBRW($B$1,Input_Prod_02!$G$11,Input_Prod_02!G$14,$M$1,Input_Prod_02!$I$11,$C$11,$E$33,$A$57,$A62,$K$1)</f>
        <v>0</v>
      </c>
      <c r="H62" s="36">
        <f>_xll.DBRW($B$1,Input_Prod_02!$G$11,Input_Prod_02!H$14,$M$1,Input_Prod_02!$I$11,$C$11,$E$33,$A$57,$A62,$K$1)</f>
        <v>0</v>
      </c>
      <c r="I62" s="36">
        <f>_xll.DBRW($B$1,Input_Prod_02!$G$11,Input_Prod_02!I$14,$M$1,Input_Prod_02!$I$11,$C$11,$E$33,$A$57,$A62,$K$1)</f>
        <v>0</v>
      </c>
      <c r="J62" s="36">
        <f>_xll.DBRW($B$1,Input_Prod_02!$G$11,Input_Prod_02!J$14,$M$1,Input_Prod_02!$I$11,$C$11,$E$33,$A$57,$A62,$K$1)</f>
        <v>0</v>
      </c>
      <c r="K62" s="36">
        <f>_xll.DBRW($B$1,Input_Prod_02!$G$11,Input_Prod_02!K$14,$M$1,Input_Prod_02!$I$11,$C$11,$E$33,$A$57,$A62,$K$1)</f>
        <v>0</v>
      </c>
      <c r="L62" s="36">
        <f>_xll.DBRW($B$1,Input_Prod_02!$G$11,Input_Prod_02!L$14,$M$1,Input_Prod_02!$I$11,$C$11,$E$33,$A$57,$A62,$K$1)</f>
        <v>0</v>
      </c>
      <c r="M62" s="36">
        <f>_xll.DBRW($B$1,Input_Prod_02!$G$11,Input_Prod_02!M$14,$M$1,Input_Prod_02!$I$11,$C$11,$E$33,$A$57,$A62,$K$1)</f>
        <v>0</v>
      </c>
      <c r="N62" s="36">
        <f>_xll.DBRW($B$1,Input_Prod_02!$G$11,Input_Prod_02!N$14,$M$1,Input_Prod_02!$I$11,$C$11,$E$33,$A$57,$A62,$K$1)</f>
        <v>0</v>
      </c>
      <c r="O62" s="36">
        <f>_xll.DBRW($B$1,O$13,$O$15,$M$1,Input_Prod_02!$I$11,$C$11,$E$33,$A$57,$A62,$K$1)</f>
        <v>0</v>
      </c>
      <c r="P62" s="36">
        <f>_xll.DBRW($B$1,P$13,$O$15,$M$1,Input_Prod_02!$I$11,$C$11,$E$33,$A$57,$A62,$K$1)</f>
        <v>0</v>
      </c>
      <c r="Q62" s="36">
        <f>_xll.DBRW($B$1,Q$13,$O$15,$M$1,Input_Prod_02!$I$11,$C$11,$E$33,$A$57,$A62,$K$1)</f>
        <v>0</v>
      </c>
      <c r="R62" s="36">
        <f>_xll.DBRW($B$1,R$13,$O$15,$M$1,Input_Prod_02!$I$11,$C$11,$E$33,$A$57,$A62,$K$1)</f>
        <v>0</v>
      </c>
      <c r="S62" s="36">
        <f>_xll.DBRW($B$1,S$13,$O$15,$M$1,Input_Prod_02!$I$11,$C$11,$E$33,$A$57,$A62,$K$1)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_xll.DBRW($B$1,Input_Prod_02!$G$11,Input_Prod_02!C$14,$M$1,Input_Prod_02!$I$11,$C$11,$E$33,$A$57,$A63,$K$1)</f>
        <v>0</v>
      </c>
      <c r="D63" s="36">
        <f>_xll.DBRW($B$1,Input_Prod_02!$G$11,Input_Prod_02!D$14,$M$1,Input_Prod_02!$I$11,$C$11,$E$33,$A$57,$A63,$K$1)</f>
        <v>0</v>
      </c>
      <c r="E63" s="36">
        <f>_xll.DBRW($B$1,Input_Prod_02!$G$11,Input_Prod_02!E$14,$M$1,Input_Prod_02!$I$11,$C$11,$E$33,$A$57,$A63,$K$1)</f>
        <v>0</v>
      </c>
      <c r="F63" s="36">
        <f>_xll.DBRW($B$1,Input_Prod_02!$G$11,Input_Prod_02!F$14,$M$1,Input_Prod_02!$I$11,$C$11,$E$33,$A$57,$A63,$K$1)</f>
        <v>0</v>
      </c>
      <c r="G63" s="36">
        <f>_xll.DBRW($B$1,Input_Prod_02!$G$11,Input_Prod_02!G$14,$M$1,Input_Prod_02!$I$11,$C$11,$E$33,$A$57,$A63,$K$1)</f>
        <v>0</v>
      </c>
      <c r="H63" s="36">
        <f>_xll.DBRW($B$1,Input_Prod_02!$G$11,Input_Prod_02!H$14,$M$1,Input_Prod_02!$I$11,$C$11,$E$33,$A$57,$A63,$K$1)</f>
        <v>0</v>
      </c>
      <c r="I63" s="36">
        <f>_xll.DBRW($B$1,Input_Prod_02!$G$11,Input_Prod_02!I$14,$M$1,Input_Prod_02!$I$11,$C$11,$E$33,$A$57,$A63,$K$1)</f>
        <v>0</v>
      </c>
      <c r="J63" s="36">
        <f>_xll.DBRW($B$1,Input_Prod_02!$G$11,Input_Prod_02!J$14,$M$1,Input_Prod_02!$I$11,$C$11,$E$33,$A$57,$A63,$K$1)</f>
        <v>0</v>
      </c>
      <c r="K63" s="36">
        <f>_xll.DBRW($B$1,Input_Prod_02!$G$11,Input_Prod_02!K$14,$M$1,Input_Prod_02!$I$11,$C$11,$E$33,$A$57,$A63,$K$1)</f>
        <v>0</v>
      </c>
      <c r="L63" s="36">
        <f>_xll.DBRW($B$1,Input_Prod_02!$G$11,Input_Prod_02!L$14,$M$1,Input_Prod_02!$I$11,$C$11,$E$33,$A$57,$A63,$K$1)</f>
        <v>0</v>
      </c>
      <c r="M63" s="36">
        <f>_xll.DBRW($B$1,Input_Prod_02!$G$11,Input_Prod_02!M$14,$M$1,Input_Prod_02!$I$11,$C$11,$E$33,$A$57,$A63,$K$1)</f>
        <v>0</v>
      </c>
      <c r="N63" s="36">
        <f>_xll.DBRW($B$1,Input_Prod_02!$G$11,Input_Prod_02!N$14,$M$1,Input_Prod_02!$I$11,$C$11,$E$33,$A$57,$A63,$K$1)</f>
        <v>0</v>
      </c>
      <c r="O63" s="36">
        <f>_xll.DBRW($B$1,O$13,$O$15,$M$1,Input_Prod_02!$I$11,$C$11,$E$33,$A$57,$A63,$K$1)</f>
        <v>0</v>
      </c>
      <c r="P63" s="36">
        <f>_xll.DBRW($B$1,P$13,$O$15,$M$1,Input_Prod_02!$I$11,$C$11,$E$33,$A$57,$A63,$K$1)</f>
        <v>0</v>
      </c>
      <c r="Q63" s="36">
        <f>_xll.DBRW($B$1,Q$13,$O$15,$M$1,Input_Prod_02!$I$11,$C$11,$E$33,$A$57,$A63,$K$1)</f>
        <v>0</v>
      </c>
      <c r="R63" s="36">
        <f>_xll.DBRW($B$1,R$13,$O$15,$M$1,Input_Prod_02!$I$11,$C$11,$E$33,$A$57,$A63,$K$1)</f>
        <v>0</v>
      </c>
      <c r="S63" s="36">
        <f>_xll.DBRW($B$1,S$13,$O$15,$M$1,Input_Prod_02!$I$11,$C$11,$E$33,$A$57,$A63,$K$1)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_xll.DBRW($B$1,Input_Prod_02!$G$11,Input_Prod_02!C$14,$M$1,Input_Prod_02!$I$11,$C$11,$E$33,$A$57,$A64,$K$1)</f>
        <v>0</v>
      </c>
      <c r="D64" s="36">
        <f>_xll.DBRW($B$1,Input_Prod_02!$G$11,Input_Prod_02!D$14,$M$1,Input_Prod_02!$I$11,$C$11,$E$33,$A$57,$A64,$K$1)</f>
        <v>0</v>
      </c>
      <c r="E64" s="36">
        <f>_xll.DBRW($B$1,Input_Prod_02!$G$11,Input_Prod_02!E$14,$M$1,Input_Prod_02!$I$11,$C$11,$E$33,$A$57,$A64,$K$1)</f>
        <v>0</v>
      </c>
      <c r="F64" s="36">
        <f>_xll.DBRW($B$1,Input_Prod_02!$G$11,Input_Prod_02!F$14,$M$1,Input_Prod_02!$I$11,$C$11,$E$33,$A$57,$A64,$K$1)</f>
        <v>0</v>
      </c>
      <c r="G64" s="36">
        <f>_xll.DBRW($B$1,Input_Prod_02!$G$11,Input_Prod_02!G$14,$M$1,Input_Prod_02!$I$11,$C$11,$E$33,$A$57,$A64,$K$1)</f>
        <v>0</v>
      </c>
      <c r="H64" s="36">
        <f>_xll.DBRW($B$1,Input_Prod_02!$G$11,Input_Prod_02!H$14,$M$1,Input_Prod_02!$I$11,$C$11,$E$33,$A$57,$A64,$K$1)</f>
        <v>0</v>
      </c>
      <c r="I64" s="36">
        <f>_xll.DBRW($B$1,Input_Prod_02!$G$11,Input_Prod_02!I$14,$M$1,Input_Prod_02!$I$11,$C$11,$E$33,$A$57,$A64,$K$1)</f>
        <v>0</v>
      </c>
      <c r="J64" s="36">
        <f>_xll.DBRW($B$1,Input_Prod_02!$G$11,Input_Prod_02!J$14,$M$1,Input_Prod_02!$I$11,$C$11,$E$33,$A$57,$A64,$K$1)</f>
        <v>0</v>
      </c>
      <c r="K64" s="36">
        <f>_xll.DBRW($B$1,Input_Prod_02!$G$11,Input_Prod_02!K$14,$M$1,Input_Prod_02!$I$11,$C$11,$E$33,$A$57,$A64,$K$1)</f>
        <v>0</v>
      </c>
      <c r="L64" s="36">
        <f>_xll.DBRW($B$1,Input_Prod_02!$G$11,Input_Prod_02!L$14,$M$1,Input_Prod_02!$I$11,$C$11,$E$33,$A$57,$A64,$K$1)</f>
        <v>0</v>
      </c>
      <c r="M64" s="36">
        <f>_xll.DBRW($B$1,Input_Prod_02!$G$11,Input_Prod_02!M$14,$M$1,Input_Prod_02!$I$11,$C$11,$E$33,$A$57,$A64,$K$1)</f>
        <v>0</v>
      </c>
      <c r="N64" s="36">
        <f>_xll.DBRW($B$1,Input_Prod_02!$G$11,Input_Prod_02!N$14,$M$1,Input_Prod_02!$I$11,$C$11,$E$33,$A$57,$A64,$K$1)</f>
        <v>0</v>
      </c>
      <c r="O64" s="36">
        <f>_xll.DBRW($B$1,O$13,$O$15,$M$1,Input_Prod_02!$I$11,$C$11,$E$33,$A$57,$A64,$K$1)</f>
        <v>0</v>
      </c>
      <c r="P64" s="36">
        <f>_xll.DBRW($B$1,P$13,$O$15,$M$1,Input_Prod_02!$I$11,$C$11,$E$33,$A$57,$A64,$K$1)</f>
        <v>0</v>
      </c>
      <c r="Q64" s="36">
        <f>_xll.DBRW($B$1,Q$13,$O$15,$M$1,Input_Prod_02!$I$11,$C$11,$E$33,$A$57,$A64,$K$1)</f>
        <v>0</v>
      </c>
      <c r="R64" s="36">
        <f>_xll.DBRW($B$1,R$13,$O$15,$M$1,Input_Prod_02!$I$11,$C$11,$E$33,$A$57,$A64,$K$1)</f>
        <v>0</v>
      </c>
      <c r="S64" s="36">
        <f>_xll.DBRW($B$1,S$13,$O$15,$M$1,Input_Prod_02!$I$11,$C$11,$E$33,$A$57,$A64,$K$1)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_xll.DBRW($B$1,Input_Prod_02!$G$11,Input_Prod_02!C$14,$M$1,Input_Prod_02!$I$11,$C$11,$E$33,$A$57,$A65,$K$1)</f>
        <v>0</v>
      </c>
      <c r="D65" s="36">
        <f>_xll.DBRW($B$1,Input_Prod_02!$G$11,Input_Prod_02!D$14,$M$1,Input_Prod_02!$I$11,$C$11,$E$33,$A$57,$A65,$K$1)</f>
        <v>0</v>
      </c>
      <c r="E65" s="36">
        <f>_xll.DBRW($B$1,Input_Prod_02!$G$11,Input_Prod_02!E$14,$M$1,Input_Prod_02!$I$11,$C$11,$E$33,$A$57,$A65,$K$1)</f>
        <v>0</v>
      </c>
      <c r="F65" s="36">
        <f>_xll.DBRW($B$1,Input_Prod_02!$G$11,Input_Prod_02!F$14,$M$1,Input_Prod_02!$I$11,$C$11,$E$33,$A$57,$A65,$K$1)</f>
        <v>0</v>
      </c>
      <c r="G65" s="36">
        <f>_xll.DBRW($B$1,Input_Prod_02!$G$11,Input_Prod_02!G$14,$M$1,Input_Prod_02!$I$11,$C$11,$E$33,$A$57,$A65,$K$1)</f>
        <v>0</v>
      </c>
      <c r="H65" s="36">
        <f>_xll.DBRW($B$1,Input_Prod_02!$G$11,Input_Prod_02!H$14,$M$1,Input_Prod_02!$I$11,$C$11,$E$33,$A$57,$A65,$K$1)</f>
        <v>0</v>
      </c>
      <c r="I65" s="36">
        <f>_xll.DBRW($B$1,Input_Prod_02!$G$11,Input_Prod_02!I$14,$M$1,Input_Prod_02!$I$11,$C$11,$E$33,$A$57,$A65,$K$1)</f>
        <v>0</v>
      </c>
      <c r="J65" s="36">
        <f>_xll.DBRW($B$1,Input_Prod_02!$G$11,Input_Prod_02!J$14,$M$1,Input_Prod_02!$I$11,$C$11,$E$33,$A$57,$A65,$K$1)</f>
        <v>0</v>
      </c>
      <c r="K65" s="36">
        <f>_xll.DBRW($B$1,Input_Prod_02!$G$11,Input_Prod_02!K$14,$M$1,Input_Prod_02!$I$11,$C$11,$E$33,$A$57,$A65,$K$1)</f>
        <v>0</v>
      </c>
      <c r="L65" s="36">
        <f>_xll.DBRW($B$1,Input_Prod_02!$G$11,Input_Prod_02!L$14,$M$1,Input_Prod_02!$I$11,$C$11,$E$33,$A$57,$A65,$K$1)</f>
        <v>0</v>
      </c>
      <c r="M65" s="36">
        <f>_xll.DBRW($B$1,Input_Prod_02!$G$11,Input_Prod_02!M$14,$M$1,Input_Prod_02!$I$11,$C$11,$E$33,$A$57,$A65,$K$1)</f>
        <v>0</v>
      </c>
      <c r="N65" s="36">
        <f>_xll.DBRW($B$1,Input_Prod_02!$G$11,Input_Prod_02!N$14,$M$1,Input_Prod_02!$I$11,$C$11,$E$33,$A$57,$A65,$K$1)</f>
        <v>0</v>
      </c>
      <c r="O65" s="36">
        <f>_xll.DBRW($B$1,O$13,$O$15,$M$1,Input_Prod_02!$I$11,$C$11,$E$33,$A$57,$A65,$K$1)</f>
        <v>0</v>
      </c>
      <c r="P65" s="36">
        <f>_xll.DBRW($B$1,P$13,$O$15,$M$1,Input_Prod_02!$I$11,$C$11,$E$33,$A$57,$A65,$K$1)</f>
        <v>0</v>
      </c>
      <c r="Q65" s="36">
        <f>_xll.DBRW($B$1,Q$13,$O$15,$M$1,Input_Prod_02!$I$11,$C$11,$E$33,$A$57,$A65,$K$1)</f>
        <v>0</v>
      </c>
      <c r="R65" s="36">
        <f>_xll.DBRW($B$1,R$13,$O$15,$M$1,Input_Prod_02!$I$11,$C$11,$E$33,$A$57,$A65,$K$1)</f>
        <v>0</v>
      </c>
      <c r="S65" s="36">
        <f>_xll.DBRW($B$1,S$13,$O$15,$M$1,Input_Prod_02!$I$11,$C$11,$E$33,$A$57,$A65,$K$1)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_xll.DBRW($B$1,Input_Prod_02!$G$11,Input_Prod_02!C$14,$M$1,Input_Prod_02!$I$11,$C$11,$E$33,$A$57,$A66,$K$1)</f>
        <v>0</v>
      </c>
      <c r="D66" s="36">
        <f>_xll.DBRW($B$1,Input_Prod_02!$G$11,Input_Prod_02!D$14,$M$1,Input_Prod_02!$I$11,$C$11,$E$33,$A$57,$A66,$K$1)</f>
        <v>0</v>
      </c>
      <c r="E66" s="36">
        <f>_xll.DBRW($B$1,Input_Prod_02!$G$11,Input_Prod_02!E$14,$M$1,Input_Prod_02!$I$11,$C$11,$E$33,$A$57,$A66,$K$1)</f>
        <v>0</v>
      </c>
      <c r="F66" s="36">
        <f>_xll.DBRW($B$1,Input_Prod_02!$G$11,Input_Prod_02!F$14,$M$1,Input_Prod_02!$I$11,$C$11,$E$33,$A$57,$A66,$K$1)</f>
        <v>0</v>
      </c>
      <c r="G66" s="36">
        <f>_xll.DBRW($B$1,Input_Prod_02!$G$11,Input_Prod_02!G$14,$M$1,Input_Prod_02!$I$11,$C$11,$E$33,$A$57,$A66,$K$1)</f>
        <v>0</v>
      </c>
      <c r="H66" s="36">
        <f>_xll.DBRW($B$1,Input_Prod_02!$G$11,Input_Prod_02!H$14,$M$1,Input_Prod_02!$I$11,$C$11,$E$33,$A$57,$A66,$K$1)</f>
        <v>0</v>
      </c>
      <c r="I66" s="36">
        <f>_xll.DBRW($B$1,Input_Prod_02!$G$11,Input_Prod_02!I$14,$M$1,Input_Prod_02!$I$11,$C$11,$E$33,$A$57,$A66,$K$1)</f>
        <v>0</v>
      </c>
      <c r="J66" s="36">
        <f>_xll.DBRW($B$1,Input_Prod_02!$G$11,Input_Prod_02!J$14,$M$1,Input_Prod_02!$I$11,$C$11,$E$33,$A$57,$A66,$K$1)</f>
        <v>0</v>
      </c>
      <c r="K66" s="36">
        <f>_xll.DBRW($B$1,Input_Prod_02!$G$11,Input_Prod_02!K$14,$M$1,Input_Prod_02!$I$11,$C$11,$E$33,$A$57,$A66,$K$1)</f>
        <v>0</v>
      </c>
      <c r="L66" s="36">
        <f>_xll.DBRW($B$1,Input_Prod_02!$G$11,Input_Prod_02!L$14,$M$1,Input_Prod_02!$I$11,$C$11,$E$33,$A$57,$A66,$K$1)</f>
        <v>0</v>
      </c>
      <c r="M66" s="36">
        <f>_xll.DBRW($B$1,Input_Prod_02!$G$11,Input_Prod_02!M$14,$M$1,Input_Prod_02!$I$11,$C$11,$E$33,$A$57,$A66,$K$1)</f>
        <v>0</v>
      </c>
      <c r="N66" s="36">
        <f>_xll.DBRW($B$1,Input_Prod_02!$G$11,Input_Prod_02!N$14,$M$1,Input_Prod_02!$I$11,$C$11,$E$33,$A$57,$A66,$K$1)</f>
        <v>0</v>
      </c>
      <c r="O66" s="36">
        <f>_xll.DBRW($B$1,O$13,$O$15,$M$1,Input_Prod_02!$I$11,$C$11,$E$33,$A$57,$A66,$K$1)</f>
        <v>0</v>
      </c>
      <c r="P66" s="36">
        <f>_xll.DBRW($B$1,P$13,$O$15,$M$1,Input_Prod_02!$I$11,$C$11,$E$33,$A$57,$A66,$K$1)</f>
        <v>0</v>
      </c>
      <c r="Q66" s="36">
        <f>_xll.DBRW($B$1,Q$13,$O$15,$M$1,Input_Prod_02!$I$11,$C$11,$E$33,$A$57,$A66,$K$1)</f>
        <v>0</v>
      </c>
      <c r="R66" s="36">
        <f>_xll.DBRW($B$1,R$13,$O$15,$M$1,Input_Prod_02!$I$11,$C$11,$E$33,$A$57,$A66,$K$1)</f>
        <v>0</v>
      </c>
      <c r="S66" s="36">
        <f>_xll.DBRW($B$1,S$13,$O$15,$M$1,Input_Prod_02!$I$11,$C$11,$E$33,$A$57,$A66,$K$1)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_xll.DBRW($B$1,Input_Prod_02!$G$11,Input_Prod_02!C$14,$M$1,Input_Prod_02!$I$11,$C$11,$E$33,$A$57,$A67,$K$1)</f>
        <v>0</v>
      </c>
      <c r="D67" s="36">
        <f>_xll.DBRW($B$1,Input_Prod_02!$G$11,Input_Prod_02!D$14,$M$1,Input_Prod_02!$I$11,$C$11,$E$33,$A$57,$A67,$K$1)</f>
        <v>0</v>
      </c>
      <c r="E67" s="36">
        <f>_xll.DBRW($B$1,Input_Prod_02!$G$11,Input_Prod_02!E$14,$M$1,Input_Prod_02!$I$11,$C$11,$E$33,$A$57,$A67,$K$1)</f>
        <v>0</v>
      </c>
      <c r="F67" s="36">
        <f>_xll.DBRW($B$1,Input_Prod_02!$G$11,Input_Prod_02!F$14,$M$1,Input_Prod_02!$I$11,$C$11,$E$33,$A$57,$A67,$K$1)</f>
        <v>0</v>
      </c>
      <c r="G67" s="36">
        <f>_xll.DBRW($B$1,Input_Prod_02!$G$11,Input_Prod_02!G$14,$M$1,Input_Prod_02!$I$11,$C$11,$E$33,$A$57,$A67,$K$1)</f>
        <v>0</v>
      </c>
      <c r="H67" s="36">
        <f>_xll.DBRW($B$1,Input_Prod_02!$G$11,Input_Prod_02!H$14,$M$1,Input_Prod_02!$I$11,$C$11,$E$33,$A$57,$A67,$K$1)</f>
        <v>0</v>
      </c>
      <c r="I67" s="36">
        <f>_xll.DBRW($B$1,Input_Prod_02!$G$11,Input_Prod_02!I$14,$M$1,Input_Prod_02!$I$11,$C$11,$E$33,$A$57,$A67,$K$1)</f>
        <v>0</v>
      </c>
      <c r="J67" s="36">
        <f>_xll.DBRW($B$1,Input_Prod_02!$G$11,Input_Prod_02!J$14,$M$1,Input_Prod_02!$I$11,$C$11,$E$33,$A$57,$A67,$K$1)</f>
        <v>0</v>
      </c>
      <c r="K67" s="36">
        <f>_xll.DBRW($B$1,Input_Prod_02!$G$11,Input_Prod_02!K$14,$M$1,Input_Prod_02!$I$11,$C$11,$E$33,$A$57,$A67,$K$1)</f>
        <v>0</v>
      </c>
      <c r="L67" s="36">
        <f>_xll.DBRW($B$1,Input_Prod_02!$G$11,Input_Prod_02!L$14,$M$1,Input_Prod_02!$I$11,$C$11,$E$33,$A$57,$A67,$K$1)</f>
        <v>0</v>
      </c>
      <c r="M67" s="36">
        <f>_xll.DBRW($B$1,Input_Prod_02!$G$11,Input_Prod_02!M$14,$M$1,Input_Prod_02!$I$11,$C$11,$E$33,$A$57,$A67,$K$1)</f>
        <v>0</v>
      </c>
      <c r="N67" s="36">
        <f>_xll.DBRW($B$1,Input_Prod_02!$G$11,Input_Prod_02!N$14,$M$1,Input_Prod_02!$I$11,$C$11,$E$33,$A$57,$A67,$K$1)</f>
        <v>0</v>
      </c>
      <c r="O67" s="36">
        <f>_xll.DBRW($B$1,O$13,$O$15,$M$1,Input_Prod_02!$I$11,$C$11,$E$33,$A$57,$A67,$K$1)</f>
        <v>0</v>
      </c>
      <c r="P67" s="36">
        <f>_xll.DBRW($B$1,P$13,$O$15,$M$1,Input_Prod_02!$I$11,$C$11,$E$33,$A$57,$A67,$K$1)</f>
        <v>0</v>
      </c>
      <c r="Q67" s="36">
        <f>_xll.DBRW($B$1,Q$13,$O$15,$M$1,Input_Prod_02!$I$11,$C$11,$E$33,$A$57,$A67,$K$1)</f>
        <v>0</v>
      </c>
      <c r="R67" s="36">
        <f>_xll.DBRW($B$1,R$13,$O$15,$M$1,Input_Prod_02!$I$11,$C$11,$E$33,$A$57,$A67,$K$1)</f>
        <v>0</v>
      </c>
      <c r="S67" s="36">
        <f>_xll.DBRW($B$1,S$13,$O$15,$M$1,Input_Prod_02!$I$11,$C$11,$E$33,$A$57,$A67,$K$1)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_xll.DBRW($B$1,Input_Prod_02!$G$11,Input_Prod_02!C$14,$M$1,Input_Prod_02!$I$11,$C$11,$E$33,$A$57,$A68,$K$1)</f>
        <v>0</v>
      </c>
      <c r="D68" s="36">
        <f>_xll.DBRW($B$1,Input_Prod_02!$G$11,Input_Prod_02!D$14,$M$1,Input_Prod_02!$I$11,$C$11,$E$33,$A$57,$A68,$K$1)</f>
        <v>0</v>
      </c>
      <c r="E68" s="36">
        <f>_xll.DBRW($B$1,Input_Prod_02!$G$11,Input_Prod_02!E$14,$M$1,Input_Prod_02!$I$11,$C$11,$E$33,$A$57,$A68,$K$1)</f>
        <v>0</v>
      </c>
      <c r="F68" s="36">
        <f>_xll.DBRW($B$1,Input_Prod_02!$G$11,Input_Prod_02!F$14,$M$1,Input_Prod_02!$I$11,$C$11,$E$33,$A$57,$A68,$K$1)</f>
        <v>0</v>
      </c>
      <c r="G68" s="36">
        <f>_xll.DBRW($B$1,Input_Prod_02!$G$11,Input_Prod_02!G$14,$M$1,Input_Prod_02!$I$11,$C$11,$E$33,$A$57,$A68,$K$1)</f>
        <v>0</v>
      </c>
      <c r="H68" s="36">
        <f>_xll.DBRW($B$1,Input_Prod_02!$G$11,Input_Prod_02!H$14,$M$1,Input_Prod_02!$I$11,$C$11,$E$33,$A$57,$A68,$K$1)</f>
        <v>0</v>
      </c>
      <c r="I68" s="36">
        <f>_xll.DBRW($B$1,Input_Prod_02!$G$11,Input_Prod_02!I$14,$M$1,Input_Prod_02!$I$11,$C$11,$E$33,$A$57,$A68,$K$1)</f>
        <v>0</v>
      </c>
      <c r="J68" s="36">
        <f>_xll.DBRW($B$1,Input_Prod_02!$G$11,Input_Prod_02!J$14,$M$1,Input_Prod_02!$I$11,$C$11,$E$33,$A$57,$A68,$K$1)</f>
        <v>0</v>
      </c>
      <c r="K68" s="36">
        <f>_xll.DBRW($B$1,Input_Prod_02!$G$11,Input_Prod_02!K$14,$M$1,Input_Prod_02!$I$11,$C$11,$E$33,$A$57,$A68,$K$1)</f>
        <v>0</v>
      </c>
      <c r="L68" s="36">
        <f>_xll.DBRW($B$1,Input_Prod_02!$G$11,Input_Prod_02!L$14,$M$1,Input_Prod_02!$I$11,$C$11,$E$33,$A$57,$A68,$K$1)</f>
        <v>0</v>
      </c>
      <c r="M68" s="36">
        <f>_xll.DBRW($B$1,Input_Prod_02!$G$11,Input_Prod_02!M$14,$M$1,Input_Prod_02!$I$11,$C$11,$E$33,$A$57,$A68,$K$1)</f>
        <v>0</v>
      </c>
      <c r="N68" s="36">
        <f>_xll.DBRW($B$1,Input_Prod_02!$G$11,Input_Prod_02!N$14,$M$1,Input_Prod_02!$I$11,$C$11,$E$33,$A$57,$A68,$K$1)</f>
        <v>0</v>
      </c>
      <c r="O68" s="36">
        <f>_xll.DBRW($B$1,O$13,$O$15,$M$1,Input_Prod_02!$I$11,$C$11,$E$33,$A$57,$A68,$K$1)</f>
        <v>0</v>
      </c>
      <c r="P68" s="36">
        <f>_xll.DBRW($B$1,P$13,$O$15,$M$1,Input_Prod_02!$I$11,$C$11,$E$33,$A$57,$A68,$K$1)</f>
        <v>0</v>
      </c>
      <c r="Q68" s="36">
        <f>_xll.DBRW($B$1,Q$13,$O$15,$M$1,Input_Prod_02!$I$11,$C$11,$E$33,$A$57,$A68,$K$1)</f>
        <v>0</v>
      </c>
      <c r="R68" s="36">
        <f>_xll.DBRW($B$1,R$13,$O$15,$M$1,Input_Prod_02!$I$11,$C$11,$E$33,$A$57,$A68,$K$1)</f>
        <v>0</v>
      </c>
      <c r="S68" s="36">
        <f>_xll.DBRW($B$1,S$13,$O$15,$M$1,Input_Prod_02!$I$11,$C$11,$E$33,$A$57,$A68,$K$1)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_xll.DBRW($B$1,Input_Prod_02!$G$11,Input_Prod_02!C$14,$M$1,Input_Prod_02!$I$11,$C$11,$E$33,$A$57,$A69,$K$1)</f>
        <v>0</v>
      </c>
      <c r="D69" s="36">
        <f>_xll.DBRW($B$1,Input_Prod_02!$G$11,Input_Prod_02!D$14,$M$1,Input_Prod_02!$I$11,$C$11,$E$33,$A$57,$A69,$K$1)</f>
        <v>0</v>
      </c>
      <c r="E69" s="36">
        <f>_xll.DBRW($B$1,Input_Prod_02!$G$11,Input_Prod_02!E$14,$M$1,Input_Prod_02!$I$11,$C$11,$E$33,$A$57,$A69,$K$1)</f>
        <v>0</v>
      </c>
      <c r="F69" s="36">
        <f>_xll.DBRW($B$1,Input_Prod_02!$G$11,Input_Prod_02!F$14,$M$1,Input_Prod_02!$I$11,$C$11,$E$33,$A$57,$A69,$K$1)</f>
        <v>0</v>
      </c>
      <c r="G69" s="36">
        <f>_xll.DBRW($B$1,Input_Prod_02!$G$11,Input_Prod_02!G$14,$M$1,Input_Prod_02!$I$11,$C$11,$E$33,$A$57,$A69,$K$1)</f>
        <v>0</v>
      </c>
      <c r="H69" s="36">
        <f>_xll.DBRW($B$1,Input_Prod_02!$G$11,Input_Prod_02!H$14,$M$1,Input_Prod_02!$I$11,$C$11,$E$33,$A$57,$A69,$K$1)</f>
        <v>0</v>
      </c>
      <c r="I69" s="36">
        <f>_xll.DBRW($B$1,Input_Prod_02!$G$11,Input_Prod_02!I$14,$M$1,Input_Prod_02!$I$11,$C$11,$E$33,$A$57,$A69,$K$1)</f>
        <v>0</v>
      </c>
      <c r="J69" s="36">
        <f>_xll.DBRW($B$1,Input_Prod_02!$G$11,Input_Prod_02!J$14,$M$1,Input_Prod_02!$I$11,$C$11,$E$33,$A$57,$A69,$K$1)</f>
        <v>0</v>
      </c>
      <c r="K69" s="36">
        <f>_xll.DBRW($B$1,Input_Prod_02!$G$11,Input_Prod_02!K$14,$M$1,Input_Prod_02!$I$11,$C$11,$E$33,$A$57,$A69,$K$1)</f>
        <v>0</v>
      </c>
      <c r="L69" s="36">
        <f>_xll.DBRW($B$1,Input_Prod_02!$G$11,Input_Prod_02!L$14,$M$1,Input_Prod_02!$I$11,$C$11,$E$33,$A$57,$A69,$K$1)</f>
        <v>0</v>
      </c>
      <c r="M69" s="36">
        <f>_xll.DBRW($B$1,Input_Prod_02!$G$11,Input_Prod_02!M$14,$M$1,Input_Prod_02!$I$11,$C$11,$E$33,$A$57,$A69,$K$1)</f>
        <v>0</v>
      </c>
      <c r="N69" s="36">
        <f>_xll.DBRW($B$1,Input_Prod_02!$G$11,Input_Prod_02!N$14,$M$1,Input_Prod_02!$I$11,$C$11,$E$33,$A$57,$A69,$K$1)</f>
        <v>0</v>
      </c>
      <c r="O69" s="36">
        <f>_xll.DBRW($B$1,O$13,$O$15,$M$1,Input_Prod_02!$I$11,$C$11,$E$33,$A$57,$A69,$K$1)</f>
        <v>0</v>
      </c>
      <c r="P69" s="36">
        <f>_xll.DBRW($B$1,P$13,$O$15,$M$1,Input_Prod_02!$I$11,$C$11,$E$33,$A$57,$A69,$K$1)</f>
        <v>0</v>
      </c>
      <c r="Q69" s="36">
        <f>_xll.DBRW($B$1,Q$13,$O$15,$M$1,Input_Prod_02!$I$11,$C$11,$E$33,$A$57,$A69,$K$1)</f>
        <v>0</v>
      </c>
      <c r="R69" s="36">
        <f>_xll.DBRW($B$1,R$13,$O$15,$M$1,Input_Prod_02!$I$11,$C$11,$E$33,$A$57,$A69,$K$1)</f>
        <v>0</v>
      </c>
      <c r="S69" s="36">
        <f>_xll.DBRW($B$1,S$13,$O$15,$M$1,Input_Prod_02!$I$11,$C$11,$E$33,$A$57,$A69,$K$1)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_xll.DBRW($B$1,Input_Prod_02!$G$11,Input_Prod_02!C$14,$M$1,Input_Prod_02!$I$11,$C$11,$E$33,$A$57,$A70,$K$1)</f>
        <v>0</v>
      </c>
      <c r="D70" s="36">
        <f>_xll.DBRW($B$1,Input_Prod_02!$G$11,Input_Prod_02!D$14,$M$1,Input_Prod_02!$I$11,$C$11,$E$33,$A$57,$A70,$K$1)</f>
        <v>0</v>
      </c>
      <c r="E70" s="36">
        <f>_xll.DBRW($B$1,Input_Prod_02!$G$11,Input_Prod_02!E$14,$M$1,Input_Prod_02!$I$11,$C$11,$E$33,$A$57,$A70,$K$1)</f>
        <v>0</v>
      </c>
      <c r="F70" s="36">
        <f>_xll.DBRW($B$1,Input_Prod_02!$G$11,Input_Prod_02!F$14,$M$1,Input_Prod_02!$I$11,$C$11,$E$33,$A$57,$A70,$K$1)</f>
        <v>0</v>
      </c>
      <c r="G70" s="36">
        <f>_xll.DBRW($B$1,Input_Prod_02!$G$11,Input_Prod_02!G$14,$M$1,Input_Prod_02!$I$11,$C$11,$E$33,$A$57,$A70,$K$1)</f>
        <v>0</v>
      </c>
      <c r="H70" s="36">
        <f>_xll.DBRW($B$1,Input_Prod_02!$G$11,Input_Prod_02!H$14,$M$1,Input_Prod_02!$I$11,$C$11,$E$33,$A$57,$A70,$K$1)</f>
        <v>0</v>
      </c>
      <c r="I70" s="36">
        <f>_xll.DBRW($B$1,Input_Prod_02!$G$11,Input_Prod_02!I$14,$M$1,Input_Prod_02!$I$11,$C$11,$E$33,$A$57,$A70,$K$1)</f>
        <v>0</v>
      </c>
      <c r="J70" s="36">
        <f>_xll.DBRW($B$1,Input_Prod_02!$G$11,Input_Prod_02!J$14,$M$1,Input_Prod_02!$I$11,$C$11,$E$33,$A$57,$A70,$K$1)</f>
        <v>0</v>
      </c>
      <c r="K70" s="36">
        <f>_xll.DBRW($B$1,Input_Prod_02!$G$11,Input_Prod_02!K$14,$M$1,Input_Prod_02!$I$11,$C$11,$E$33,$A$57,$A70,$K$1)</f>
        <v>0</v>
      </c>
      <c r="L70" s="36">
        <f>_xll.DBRW($B$1,Input_Prod_02!$G$11,Input_Prod_02!L$14,$M$1,Input_Prod_02!$I$11,$C$11,$E$33,$A$57,$A70,$K$1)</f>
        <v>0</v>
      </c>
      <c r="M70" s="36">
        <f>_xll.DBRW($B$1,Input_Prod_02!$G$11,Input_Prod_02!M$14,$M$1,Input_Prod_02!$I$11,$C$11,$E$33,$A$57,$A70,$K$1)</f>
        <v>0</v>
      </c>
      <c r="N70" s="36">
        <f>_xll.DBRW($B$1,Input_Prod_02!$G$11,Input_Prod_02!N$14,$M$1,Input_Prod_02!$I$11,$C$11,$E$33,$A$57,$A70,$K$1)</f>
        <v>0</v>
      </c>
      <c r="O70" s="36">
        <f>_xll.DBRW($B$1,O$13,$O$15,$M$1,Input_Prod_02!$I$11,$C$11,$E$33,$A$57,$A70,$K$1)</f>
        <v>0</v>
      </c>
      <c r="P70" s="36">
        <f>_xll.DBRW($B$1,P$13,$O$15,$M$1,Input_Prod_02!$I$11,$C$11,$E$33,$A$57,$A70,$K$1)</f>
        <v>0</v>
      </c>
      <c r="Q70" s="36">
        <f>_xll.DBRW($B$1,Q$13,$O$15,$M$1,Input_Prod_02!$I$11,$C$11,$E$33,$A$57,$A70,$K$1)</f>
        <v>0</v>
      </c>
      <c r="R70" s="36">
        <f>_xll.DBRW($B$1,R$13,$O$15,$M$1,Input_Prod_02!$I$11,$C$11,$E$33,$A$57,$A70,$K$1)</f>
        <v>0</v>
      </c>
      <c r="S70" s="36">
        <f>_xll.DBRW($B$1,S$13,$O$15,$M$1,Input_Prod_02!$I$11,$C$11,$E$33,$A$57,$A70,$K$1)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_xll.DBRW($B$1,Input_Prod_02!$G$11,Input_Prod_02!C$14,$M$1,Input_Prod_02!$I$11,$C$11,$E$33,$A$57,$A71,$K$1)</f>
        <v>0</v>
      </c>
      <c r="D71" s="36">
        <f>_xll.DBRW($B$1,Input_Prod_02!$G$11,Input_Prod_02!D$14,$M$1,Input_Prod_02!$I$11,$C$11,$E$33,$A$57,$A71,$K$1)</f>
        <v>0</v>
      </c>
      <c r="E71" s="36">
        <f>_xll.DBRW($B$1,Input_Prod_02!$G$11,Input_Prod_02!E$14,$M$1,Input_Prod_02!$I$11,$C$11,$E$33,$A$57,$A71,$K$1)</f>
        <v>0</v>
      </c>
      <c r="F71" s="36">
        <f>_xll.DBRW($B$1,Input_Prod_02!$G$11,Input_Prod_02!F$14,$M$1,Input_Prod_02!$I$11,$C$11,$E$33,$A$57,$A71,$K$1)</f>
        <v>0</v>
      </c>
      <c r="G71" s="36">
        <f>_xll.DBRW($B$1,Input_Prod_02!$G$11,Input_Prod_02!G$14,$M$1,Input_Prod_02!$I$11,$C$11,$E$33,$A$57,$A71,$K$1)</f>
        <v>0</v>
      </c>
      <c r="H71" s="36">
        <f>_xll.DBRW($B$1,Input_Prod_02!$G$11,Input_Prod_02!H$14,$M$1,Input_Prod_02!$I$11,$C$11,$E$33,$A$57,$A71,$K$1)</f>
        <v>0</v>
      </c>
      <c r="I71" s="36">
        <f>_xll.DBRW($B$1,Input_Prod_02!$G$11,Input_Prod_02!I$14,$M$1,Input_Prod_02!$I$11,$C$11,$E$33,$A$57,$A71,$K$1)</f>
        <v>0</v>
      </c>
      <c r="J71" s="36">
        <f>_xll.DBRW($B$1,Input_Prod_02!$G$11,Input_Prod_02!J$14,$M$1,Input_Prod_02!$I$11,$C$11,$E$33,$A$57,$A71,$K$1)</f>
        <v>0</v>
      </c>
      <c r="K71" s="36">
        <f>_xll.DBRW($B$1,Input_Prod_02!$G$11,Input_Prod_02!K$14,$M$1,Input_Prod_02!$I$11,$C$11,$E$33,$A$57,$A71,$K$1)</f>
        <v>0</v>
      </c>
      <c r="L71" s="36">
        <f>_xll.DBRW($B$1,Input_Prod_02!$G$11,Input_Prod_02!L$14,$M$1,Input_Prod_02!$I$11,$C$11,$E$33,$A$57,$A71,$K$1)</f>
        <v>0</v>
      </c>
      <c r="M71" s="36">
        <f>_xll.DBRW($B$1,Input_Prod_02!$G$11,Input_Prod_02!M$14,$M$1,Input_Prod_02!$I$11,$C$11,$E$33,$A$57,$A71,$K$1)</f>
        <v>0</v>
      </c>
      <c r="N71" s="36">
        <f>_xll.DBRW($B$1,Input_Prod_02!$G$11,Input_Prod_02!N$14,$M$1,Input_Prod_02!$I$11,$C$11,$E$33,$A$57,$A71,$K$1)</f>
        <v>0</v>
      </c>
      <c r="O71" s="36">
        <f>_xll.DBRW($B$1,O$13,$O$15,$M$1,Input_Prod_02!$I$11,$C$11,$E$33,$A$57,$A71,$K$1)</f>
        <v>0</v>
      </c>
      <c r="P71" s="36">
        <f>_xll.DBRW($B$1,P$13,$O$15,$M$1,Input_Prod_02!$I$11,$C$11,$E$33,$A$57,$A71,$K$1)</f>
        <v>0</v>
      </c>
      <c r="Q71" s="36">
        <f>_xll.DBRW($B$1,Q$13,$O$15,$M$1,Input_Prod_02!$I$11,$C$11,$E$33,$A$57,$A71,$K$1)</f>
        <v>0</v>
      </c>
      <c r="R71" s="36">
        <f>_xll.DBRW($B$1,R$13,$O$15,$M$1,Input_Prod_02!$I$11,$C$11,$E$33,$A$57,$A71,$K$1)</f>
        <v>0</v>
      </c>
      <c r="S71" s="36">
        <f>_xll.DBRW($B$1,S$13,$O$15,$M$1,Input_Prod_02!$I$11,$C$11,$E$33,$A$57,$A71,$K$1)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_xll.DBRW($B$1,Input_Prod_02!$G$11,Input_Prod_02!C$14,$M$1,Input_Prod_02!$I$11,$C$11,$E$33,$A$57,$A72,$K$1)</f>
        <v>0</v>
      </c>
      <c r="D72" s="36">
        <f>_xll.DBRW($B$1,Input_Prod_02!$G$11,Input_Prod_02!D$14,$M$1,Input_Prod_02!$I$11,$C$11,$E$33,$A$57,$A72,$K$1)</f>
        <v>0</v>
      </c>
      <c r="E72" s="36">
        <f>_xll.DBRW($B$1,Input_Prod_02!$G$11,Input_Prod_02!E$14,$M$1,Input_Prod_02!$I$11,$C$11,$E$33,$A$57,$A72,$K$1)</f>
        <v>0</v>
      </c>
      <c r="F72" s="36">
        <f>_xll.DBRW($B$1,Input_Prod_02!$G$11,Input_Prod_02!F$14,$M$1,Input_Prod_02!$I$11,$C$11,$E$33,$A$57,$A72,$K$1)</f>
        <v>0</v>
      </c>
      <c r="G72" s="36">
        <f>_xll.DBRW($B$1,Input_Prod_02!$G$11,Input_Prod_02!G$14,$M$1,Input_Prod_02!$I$11,$C$11,$E$33,$A$57,$A72,$K$1)</f>
        <v>0</v>
      </c>
      <c r="H72" s="36">
        <f>_xll.DBRW($B$1,Input_Prod_02!$G$11,Input_Prod_02!H$14,$M$1,Input_Prod_02!$I$11,$C$11,$E$33,$A$57,$A72,$K$1)</f>
        <v>0</v>
      </c>
      <c r="I72" s="36">
        <f>_xll.DBRW($B$1,Input_Prod_02!$G$11,Input_Prod_02!I$14,$M$1,Input_Prod_02!$I$11,$C$11,$E$33,$A$57,$A72,$K$1)</f>
        <v>0</v>
      </c>
      <c r="J72" s="36">
        <f>_xll.DBRW($B$1,Input_Prod_02!$G$11,Input_Prod_02!J$14,$M$1,Input_Prod_02!$I$11,$C$11,$E$33,$A$57,$A72,$K$1)</f>
        <v>0</v>
      </c>
      <c r="K72" s="36">
        <f>_xll.DBRW($B$1,Input_Prod_02!$G$11,Input_Prod_02!K$14,$M$1,Input_Prod_02!$I$11,$C$11,$E$33,$A$57,$A72,$K$1)</f>
        <v>0</v>
      </c>
      <c r="L72" s="36">
        <f>_xll.DBRW($B$1,Input_Prod_02!$G$11,Input_Prod_02!L$14,$M$1,Input_Prod_02!$I$11,$C$11,$E$33,$A$57,$A72,$K$1)</f>
        <v>0</v>
      </c>
      <c r="M72" s="36">
        <f>_xll.DBRW($B$1,Input_Prod_02!$G$11,Input_Prod_02!M$14,$M$1,Input_Prod_02!$I$11,$C$11,$E$33,$A$57,$A72,$K$1)</f>
        <v>0</v>
      </c>
      <c r="N72" s="36">
        <f>_xll.DBRW($B$1,Input_Prod_02!$G$11,Input_Prod_02!N$14,$M$1,Input_Prod_02!$I$11,$C$11,$E$33,$A$57,$A72,$K$1)</f>
        <v>0</v>
      </c>
      <c r="O72" s="36">
        <f>_xll.DBRW($B$1,O$13,$O$15,$M$1,Input_Prod_02!$I$11,$C$11,$E$33,$A$57,$A72,$K$1)</f>
        <v>0</v>
      </c>
      <c r="P72" s="36">
        <f>_xll.DBRW($B$1,P$13,$O$15,$M$1,Input_Prod_02!$I$11,$C$11,$E$33,$A$57,$A72,$K$1)</f>
        <v>0</v>
      </c>
      <c r="Q72" s="36">
        <f>_xll.DBRW($B$1,Q$13,$O$15,$M$1,Input_Prod_02!$I$11,$C$11,$E$33,$A$57,$A72,$K$1)</f>
        <v>0</v>
      </c>
      <c r="R72" s="36">
        <f>_xll.DBRW($B$1,R$13,$O$15,$M$1,Input_Prod_02!$I$11,$C$11,$E$33,$A$57,$A72,$K$1)</f>
        <v>0</v>
      </c>
      <c r="S72" s="36">
        <f>_xll.DBRW($B$1,S$13,$O$15,$M$1,Input_Prod_02!$I$11,$C$11,$E$33,$A$57,$A72,$K$1)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_xll.DBRW($B$1,Input_Prod_02!$G$11,Input_Prod_02!C$14,$M$1,Input_Prod_02!$I$11,$C$11,$E$33,$A$57,$A73,$K$1)</f>
        <v>0</v>
      </c>
      <c r="D73" s="36">
        <f>_xll.DBRW($B$1,Input_Prod_02!$G$11,Input_Prod_02!D$14,$M$1,Input_Prod_02!$I$11,$C$11,$E$33,$A$57,$A73,$K$1)</f>
        <v>0</v>
      </c>
      <c r="E73" s="36">
        <f>_xll.DBRW($B$1,Input_Prod_02!$G$11,Input_Prod_02!E$14,$M$1,Input_Prod_02!$I$11,$C$11,$E$33,$A$57,$A73,$K$1)</f>
        <v>0</v>
      </c>
      <c r="F73" s="36">
        <f>_xll.DBRW($B$1,Input_Prod_02!$G$11,Input_Prod_02!F$14,$M$1,Input_Prod_02!$I$11,$C$11,$E$33,$A$57,$A73,$K$1)</f>
        <v>0</v>
      </c>
      <c r="G73" s="36">
        <f>_xll.DBRW($B$1,Input_Prod_02!$G$11,Input_Prod_02!G$14,$M$1,Input_Prod_02!$I$11,$C$11,$E$33,$A$57,$A73,$K$1)</f>
        <v>0</v>
      </c>
      <c r="H73" s="36">
        <f>_xll.DBRW($B$1,Input_Prod_02!$G$11,Input_Prod_02!H$14,$M$1,Input_Prod_02!$I$11,$C$11,$E$33,$A$57,$A73,$K$1)</f>
        <v>0</v>
      </c>
      <c r="I73" s="36">
        <f>_xll.DBRW($B$1,Input_Prod_02!$G$11,Input_Prod_02!I$14,$M$1,Input_Prod_02!$I$11,$C$11,$E$33,$A$57,$A73,$K$1)</f>
        <v>0</v>
      </c>
      <c r="J73" s="36">
        <f>_xll.DBRW($B$1,Input_Prod_02!$G$11,Input_Prod_02!J$14,$M$1,Input_Prod_02!$I$11,$C$11,$E$33,$A$57,$A73,$K$1)</f>
        <v>0</v>
      </c>
      <c r="K73" s="36">
        <f>_xll.DBRW($B$1,Input_Prod_02!$G$11,Input_Prod_02!K$14,$M$1,Input_Prod_02!$I$11,$C$11,$E$33,$A$57,$A73,$K$1)</f>
        <v>0</v>
      </c>
      <c r="L73" s="36">
        <f>_xll.DBRW($B$1,Input_Prod_02!$G$11,Input_Prod_02!L$14,$M$1,Input_Prod_02!$I$11,$C$11,$E$33,$A$57,$A73,$K$1)</f>
        <v>0</v>
      </c>
      <c r="M73" s="36">
        <f>_xll.DBRW($B$1,Input_Prod_02!$G$11,Input_Prod_02!M$14,$M$1,Input_Prod_02!$I$11,$C$11,$E$33,$A$57,$A73,$K$1)</f>
        <v>0</v>
      </c>
      <c r="N73" s="36">
        <f>_xll.DBRW($B$1,Input_Prod_02!$G$11,Input_Prod_02!N$14,$M$1,Input_Prod_02!$I$11,$C$11,$E$33,$A$57,$A73,$K$1)</f>
        <v>0</v>
      </c>
      <c r="O73" s="36">
        <f>_xll.DBRW($B$1,O$13,$O$15,$M$1,Input_Prod_02!$I$11,$C$11,$E$33,$A$57,$A73,$K$1)</f>
        <v>0</v>
      </c>
      <c r="P73" s="36">
        <f>_xll.DBRW($B$1,P$13,$O$15,$M$1,Input_Prod_02!$I$11,$C$11,$E$33,$A$57,$A73,$K$1)</f>
        <v>0</v>
      </c>
      <c r="Q73" s="36">
        <f>_xll.DBRW($B$1,Q$13,$O$15,$M$1,Input_Prod_02!$I$11,$C$11,$E$33,$A$57,$A73,$K$1)</f>
        <v>0</v>
      </c>
      <c r="R73" s="36">
        <f>_xll.DBRW($B$1,R$13,$O$15,$M$1,Input_Prod_02!$I$11,$C$11,$E$33,$A$57,$A73,$K$1)</f>
        <v>0</v>
      </c>
      <c r="S73" s="36">
        <f>_xll.DBRW($B$1,S$13,$O$15,$M$1,Input_Prod_02!$I$11,$C$11,$E$33,$A$57,$A73,$K$1)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_xll.DBRW($B$3,Input_Prod_02!$G$11,Input_Prod_02!C$14,$M$1,Input_Prod_02!$I$11,$C$11,$E$33,$A74,$K$1)</f>
        <v>0</v>
      </c>
      <c r="D74" s="48">
        <f>_xll.DBRW($B$3,Input_Prod_02!$G$11,Input_Prod_02!D$14,$M$1,Input_Prod_02!$I$11,$C$11,$E$33,$A74,$K$1)</f>
        <v>0</v>
      </c>
      <c r="E74" s="48">
        <f>_xll.DBRW($B$3,Input_Prod_02!$G$11,Input_Prod_02!E$14,$M$1,Input_Prod_02!$I$11,$C$11,$E$33,$A74,$K$1)</f>
        <v>0</v>
      </c>
      <c r="F74" s="48">
        <f>_xll.DBRW($B$3,Input_Prod_02!$G$11,Input_Prod_02!F$14,$M$1,Input_Prod_02!$I$11,$C$11,$E$33,$A74,$K$1)</f>
        <v>0</v>
      </c>
      <c r="G74" s="48">
        <f>_xll.DBRW($B$3,Input_Prod_02!$G$11,Input_Prod_02!G$14,$M$1,Input_Prod_02!$I$11,$C$11,$E$33,$A74,$K$1)</f>
        <v>0</v>
      </c>
      <c r="H74" s="48">
        <f>_xll.DBRW($B$3,Input_Prod_02!$G$11,Input_Prod_02!H$14,$M$1,Input_Prod_02!$I$11,$C$11,$E$33,$A74,$K$1)</f>
        <v>0</v>
      </c>
      <c r="I74" s="48">
        <f>_xll.DBRW($B$3,Input_Prod_02!$G$11,Input_Prod_02!I$14,$M$1,Input_Prod_02!$I$11,$C$11,$E$33,$A74,$K$1)</f>
        <v>0</v>
      </c>
      <c r="J74" s="48">
        <f>_xll.DBRW($B$3,Input_Prod_02!$G$11,Input_Prod_02!J$14,$M$1,Input_Prod_02!$I$11,$C$11,$E$33,$A74,$K$1)</f>
        <v>0</v>
      </c>
      <c r="K74" s="48">
        <f>_xll.DBRW($B$3,Input_Prod_02!$G$11,Input_Prod_02!K$14,$M$1,Input_Prod_02!$I$11,$C$11,$E$33,$A74,$K$1)</f>
        <v>0</v>
      </c>
      <c r="L74" s="48">
        <f>_xll.DBRW($B$3,Input_Prod_02!$G$11,Input_Prod_02!L$14,$M$1,Input_Prod_02!$I$11,$C$11,$E$33,$A74,$K$1)</f>
        <v>0</v>
      </c>
      <c r="M74" s="48">
        <f>_xll.DBRW($B$3,Input_Prod_02!$G$11,Input_Prod_02!M$14,$M$1,Input_Prod_02!$I$11,$C$11,$E$33,$A74,$K$1)</f>
        <v>0</v>
      </c>
      <c r="N74" s="48">
        <f>_xll.DBRW($B$3,Input_Prod_02!$G$11,Input_Prod_02!N$14,$M$1,Input_Prod_02!$I$11,$C$11,$E$33,$A74,$K$1)</f>
        <v>0</v>
      </c>
      <c r="O74" s="48">
        <f>_xll.DBRW($B$3,O$13,$O$15,$M$1,Input_Prod_02!$I$11,$C$11,$E$33,$A74,$K$1)</f>
        <v>0</v>
      </c>
      <c r="P74" s="48">
        <f>_xll.DBRW($B$3,P$13,$O$15,$M$1,Input_Prod_02!$I$11,$C$11,$E$33,$A74,$K$1)</f>
        <v>0</v>
      </c>
      <c r="Q74" s="48">
        <f>_xll.DBRW($B$3,Q$13,$O$15,$M$1,Input_Prod_02!$I$11,$C$11,$E$33,$A74,$K$1)</f>
        <v>0</v>
      </c>
      <c r="R74" s="48">
        <f>_xll.DBRW($B$3,R$13,$O$15,$M$1,Input_Prod_02!$I$11,$C$11,$E$33,$A74,$K$1)</f>
        <v>0</v>
      </c>
      <c r="S74" s="48">
        <f>_xll.DBRW($B$3,S$13,$O$15,$M$1,Input_Prod_02!$I$11,$C$11,$E$33,$A74,$K$1)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8">
        <f>$G$11+1</f>
        <v>2027</v>
      </c>
      <c r="P78" s="98">
        <f>$G$11+2</f>
        <v>2028</v>
      </c>
      <c r="Q78" s="98">
        <f>$G$11+3</f>
        <v>2029</v>
      </c>
      <c r="R78" s="98">
        <f>$G$11+4</f>
        <v>2030</v>
      </c>
      <c r="S78" s="98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_xll.DBRW($B$1,Input_Prod_02!$G$11,Input_Prod_02!C$14,$M$1,Input_Prod_02!$I$11,$C$11,$E$33,Input_Prod_02!$A80,$L$1,$K$1)</f>
        <v>0</v>
      </c>
      <c r="D80" s="65">
        <f>_xll.DBRW($B$1,Input_Prod_02!$G$11,Input_Prod_02!D$14,$M$1,Input_Prod_02!$I$11,$C$11,$E$33,Input_Prod_02!$A80,$L$1,$K$1)</f>
        <v>0</v>
      </c>
      <c r="E80" s="65">
        <f>_xll.DBRW($B$1,Input_Prod_02!$G$11,Input_Prod_02!E$14,$M$1,Input_Prod_02!$I$11,$C$11,$E$33,Input_Prod_02!$A80,$L$1,$K$1)</f>
        <v>0</v>
      </c>
      <c r="F80" s="65">
        <f>_xll.DBRW($B$1,Input_Prod_02!$G$11,Input_Prod_02!F$14,$M$1,Input_Prod_02!$I$11,$C$11,$E$33,Input_Prod_02!$A80,$L$1,$K$1)</f>
        <v>0</v>
      </c>
      <c r="G80" s="65">
        <f>_xll.DBRW($B$1,Input_Prod_02!$G$11,Input_Prod_02!G$14,$M$1,Input_Prod_02!$I$11,$C$11,$E$33,Input_Prod_02!$A80,$L$1,$K$1)</f>
        <v>0</v>
      </c>
      <c r="H80" s="65">
        <f>_xll.DBRW($B$1,Input_Prod_02!$G$11,Input_Prod_02!H$14,$M$1,Input_Prod_02!$I$11,$C$11,$E$33,Input_Prod_02!$A80,$L$1,$K$1)</f>
        <v>0</v>
      </c>
      <c r="I80" s="65">
        <f>_xll.DBRW($B$1,Input_Prod_02!$G$11,Input_Prod_02!I$14,$M$1,Input_Prod_02!$I$11,$C$11,$E$33,Input_Prod_02!$A80,$L$1,$K$1)</f>
        <v>0</v>
      </c>
      <c r="J80" s="65">
        <f>_xll.DBRW($B$1,Input_Prod_02!$G$11,Input_Prod_02!J$14,$M$1,Input_Prod_02!$I$11,$C$11,$E$33,Input_Prod_02!$A80,$L$1,$K$1)</f>
        <v>0</v>
      </c>
      <c r="K80" s="65">
        <f>_xll.DBRW($B$1,Input_Prod_02!$G$11,Input_Prod_02!K$14,$M$1,Input_Prod_02!$I$11,$C$11,$E$33,Input_Prod_02!$A80,$L$1,$K$1)</f>
        <v>0</v>
      </c>
      <c r="L80" s="65">
        <f>_xll.DBRW($B$1,Input_Prod_02!$G$11,Input_Prod_02!L$14,$M$1,Input_Prod_02!$I$11,$C$11,$E$33,Input_Prod_02!$A80,$L$1,$K$1)</f>
        <v>0</v>
      </c>
      <c r="M80" s="65">
        <f>_xll.DBRW($B$1,Input_Prod_02!$G$11,Input_Prod_02!M$14,$M$1,Input_Prod_02!$I$11,$C$11,$E$33,Input_Prod_02!$A80,$L$1,$K$1)</f>
        <v>0</v>
      </c>
      <c r="N80" s="65">
        <f>_xll.DBRW($B$1,Input_Prod_02!$G$11,Input_Prod_02!N$14,$M$1,Input_Prod_02!$I$11,$C$11,$E$33,Input_Prod_02!$A80,$L$1,$K$1)</f>
        <v>0</v>
      </c>
      <c r="O80" s="65">
        <f>_xll.DBRW($B$1,O$13,$O$15,$M$1,Input_Prod_02!$I$11,$C$11,$E$33,Input_Prod_02!$A80,$L$1,$K$1)</f>
        <v>0</v>
      </c>
      <c r="P80" s="65">
        <f>_xll.DBRW($B$1,P$13,$O$15,$M$1,Input_Prod_02!$I$11,$C$11,$E$33,Input_Prod_02!$A80,$L$1,$K$1)</f>
        <v>0</v>
      </c>
      <c r="Q80" s="65">
        <f>_xll.DBRW($B$1,Q$13,$O$15,$M$1,Input_Prod_02!$I$11,$C$11,$E$33,Input_Prod_02!$A80,$L$1,$K$1)</f>
        <v>0</v>
      </c>
      <c r="R80" s="65">
        <f>_xll.DBRW($B$1,R$13,$O$15,$M$1,Input_Prod_02!$I$11,$C$11,$E$33,Input_Prod_02!$A80,$L$1,$K$1)</f>
        <v>0</v>
      </c>
      <c r="S80" s="65">
        <f>_xll.DBRW($B$1,S$13,$O$15,$M$1,Input_Prod_02!$I$11,$C$11,$E$33,Input_Prod_02!$A80,$L$1,$K$1)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_xll.DBRW($B$3,Input_Prod_02!$G$11,Input_Prod_02!C$14,$M$1,Input_Prod_02!$I$11,$C$11,$E$33,Input_Prod_02!$B81,$K$1)</f>
        <v>0</v>
      </c>
      <c r="D81" s="48">
        <f>_xll.DBRW($B$3,Input_Prod_02!$G$11,Input_Prod_02!D$14,$M$1,Input_Prod_02!$I$11,$C$11,$E$33,Input_Prod_02!$B81,$K$1)</f>
        <v>0</v>
      </c>
      <c r="E81" s="48">
        <f>_xll.DBRW($B$3,Input_Prod_02!$G$11,Input_Prod_02!E$14,$M$1,Input_Prod_02!$I$11,$C$11,$E$33,Input_Prod_02!$B81,$K$1)</f>
        <v>0</v>
      </c>
      <c r="F81" s="48">
        <f>_xll.DBRW($B$3,Input_Prod_02!$G$11,Input_Prod_02!F$14,$M$1,Input_Prod_02!$I$11,$C$11,$E$33,Input_Prod_02!$B81,$K$1)</f>
        <v>0</v>
      </c>
      <c r="G81" s="48">
        <f>_xll.DBRW($B$3,Input_Prod_02!$G$11,Input_Prod_02!G$14,$M$1,Input_Prod_02!$I$11,$C$11,$E$33,Input_Prod_02!$B81,$K$1)</f>
        <v>0</v>
      </c>
      <c r="H81" s="48">
        <f>_xll.DBRW($B$3,Input_Prod_02!$G$11,Input_Prod_02!H$14,$M$1,Input_Prod_02!$I$11,$C$11,$E$33,Input_Prod_02!$B81,$K$1)</f>
        <v>0</v>
      </c>
      <c r="I81" s="48">
        <f>_xll.DBRW($B$3,Input_Prod_02!$G$11,Input_Prod_02!I$14,$M$1,Input_Prod_02!$I$11,$C$11,$E$33,Input_Prod_02!$B81,$K$1)</f>
        <v>0</v>
      </c>
      <c r="J81" s="48">
        <f>_xll.DBRW($B$3,Input_Prod_02!$G$11,Input_Prod_02!J$14,$M$1,Input_Prod_02!$I$11,$C$11,$E$33,Input_Prod_02!$B81,$K$1)</f>
        <v>0</v>
      </c>
      <c r="K81" s="48">
        <f>_xll.DBRW($B$3,Input_Prod_02!$G$11,Input_Prod_02!K$14,$M$1,Input_Prod_02!$I$11,$C$11,$E$33,Input_Prod_02!$B81,$K$1)</f>
        <v>0</v>
      </c>
      <c r="L81" s="48">
        <f>_xll.DBRW($B$3,Input_Prod_02!$G$11,Input_Prod_02!L$14,$M$1,Input_Prod_02!$I$11,$C$11,$E$33,Input_Prod_02!$B81,$K$1)</f>
        <v>0</v>
      </c>
      <c r="M81" s="48">
        <f>_xll.DBRW($B$3,Input_Prod_02!$G$11,Input_Prod_02!M$14,$M$1,Input_Prod_02!$I$11,$C$11,$E$33,Input_Prod_02!$B81,$K$1)</f>
        <v>0</v>
      </c>
      <c r="N81" s="48">
        <f>_xll.DBRW($B$3,Input_Prod_02!$G$11,Input_Prod_02!N$14,$M$1,Input_Prod_02!$I$11,$C$11,$E$33,Input_Prod_02!$B81,$K$1)</f>
        <v>0</v>
      </c>
      <c r="O81" s="48">
        <f>_xll.DBRW($B$3,O$13,$O$15,$M$1,Input_Prod_02!$I$11,$C$11,$E$33,Input_Prod_02!$B81,$K$1)</f>
        <v>0</v>
      </c>
      <c r="P81" s="48">
        <f>_xll.DBRW($B$3,P$13,$O$15,$M$1,Input_Prod_02!$I$11,$C$11,$E$33,Input_Prod_02!$B81,$K$1)</f>
        <v>0</v>
      </c>
      <c r="Q81" s="48">
        <f>_xll.DBRW($B$3,Q$13,$O$15,$M$1,Input_Prod_02!$I$11,$C$11,$E$33,Input_Prod_02!$B81,$K$1)</f>
        <v>0</v>
      </c>
      <c r="R81" s="48">
        <f>_xll.DBRW($B$3,R$13,$O$15,$M$1,Input_Prod_02!$I$11,$C$11,$E$33,Input_Prod_02!$B81,$K$1)</f>
        <v>0</v>
      </c>
      <c r="S81" s="48">
        <f>_xll.DBRW($B$3,S$13,$O$15,$M$1,Input_Prod_02!$I$11,$C$11,$E$33,Input_Prod_02!$B81,$K$1)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_xll.DBRW($B$3,Input_Prod_02!$G$11,Input_Prod_02!C$14,$M$1,Input_Prod_02!$I$11,Input_Prod_02!$C$11,$E$33,$A82,$K$1)</f>
        <v>0</v>
      </c>
      <c r="D82" s="40">
        <f>_xll.DBRW($B$3,Input_Prod_02!$G$11,Input_Prod_02!D$14,$M$1,Input_Prod_02!$I$11,Input_Prod_02!$C$11,$E$33,$A82,$K$1)</f>
        <v>0</v>
      </c>
      <c r="E82" s="40">
        <f>_xll.DBRW($B$3,Input_Prod_02!$G$11,Input_Prod_02!E$14,$M$1,Input_Prod_02!$I$11,Input_Prod_02!$C$11,$E$33,$A82,$K$1)</f>
        <v>0</v>
      </c>
      <c r="F82" s="40">
        <f>_xll.DBRW($B$3,Input_Prod_02!$G$11,Input_Prod_02!F$14,$M$1,Input_Prod_02!$I$11,Input_Prod_02!$C$11,$E$33,$A82,$K$1)</f>
        <v>0</v>
      </c>
      <c r="G82" s="40">
        <f>_xll.DBRW($B$3,Input_Prod_02!$G$11,Input_Prod_02!G$14,$M$1,Input_Prod_02!$I$11,Input_Prod_02!$C$11,$E$33,$A82,$K$1)</f>
        <v>0</v>
      </c>
      <c r="H82" s="40">
        <f>_xll.DBRW($B$3,Input_Prod_02!$G$11,Input_Prod_02!H$14,$M$1,Input_Prod_02!$I$11,Input_Prod_02!$C$11,$E$33,$A82,$K$1)</f>
        <v>0</v>
      </c>
      <c r="I82" s="40">
        <f>_xll.DBRW($B$3,Input_Prod_02!$G$11,Input_Prod_02!I$14,$M$1,Input_Prod_02!$I$11,Input_Prod_02!$C$11,$E$33,$A82,$K$1)</f>
        <v>0</v>
      </c>
      <c r="J82" s="40">
        <f>_xll.DBRW($B$3,Input_Prod_02!$G$11,Input_Prod_02!J$14,$M$1,Input_Prod_02!$I$11,Input_Prod_02!$C$11,$E$33,$A82,$K$1)</f>
        <v>0</v>
      </c>
      <c r="K82" s="40">
        <f>_xll.DBRW($B$3,Input_Prod_02!$G$11,Input_Prod_02!K$14,$M$1,Input_Prod_02!$I$11,Input_Prod_02!$C$11,$E$33,$A82,$K$1)</f>
        <v>0</v>
      </c>
      <c r="L82" s="40">
        <f>_xll.DBRW($B$3,Input_Prod_02!$G$11,Input_Prod_02!L$14,$M$1,Input_Prod_02!$I$11,Input_Prod_02!$C$11,$E$33,$A82,$K$1)</f>
        <v>0</v>
      </c>
      <c r="M82" s="40">
        <f>_xll.DBRW($B$3,Input_Prod_02!$G$11,Input_Prod_02!M$14,$M$1,Input_Prod_02!$I$11,Input_Prod_02!$C$11,$E$33,$A82,$K$1)</f>
        <v>0</v>
      </c>
      <c r="N82" s="40">
        <f>_xll.DBRW($B$3,Input_Prod_02!$G$11,Input_Prod_02!N$14,$M$1,Input_Prod_02!$I$11,Input_Prod_02!$C$11,$E$33,$A82,$K$1)</f>
        <v>0</v>
      </c>
      <c r="O82" s="48">
        <f>_xll.DBRW($B$3,O$13,$O$15,$M$1,Input_Prod_02!$I$11,$C$11,$E$33,$A82,$K$1)</f>
        <v>0</v>
      </c>
      <c r="P82" s="48">
        <f>_xll.DBRW($B$3,P$13,$O$15,$M$1,Input_Prod_02!$I$11,$C$11,$E$33,$A82,$K$1)</f>
        <v>0</v>
      </c>
      <c r="Q82" s="48">
        <f>_xll.DBRW($B$3,Q$13,$O$15,$M$1,Input_Prod_02!$I$11,$C$11,$E$33,$A82,$K$1)</f>
        <v>0</v>
      </c>
      <c r="R82" s="48">
        <f>_xll.DBRW($B$3,R$13,$O$15,$M$1,Input_Prod_02!$I$11,$C$11,$E$33,$A82,$K$1)</f>
        <v>0</v>
      </c>
      <c r="S82" s="48">
        <f>_xll.DBRW($B$3,S$13,$O$15,$M$1,Input_Prod_02!$I$11,$C$11,$E$33,$A82,$K$1)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23" priority="3">
      <formula>C$5="ACTUAL"</formula>
    </cfRule>
  </conditionalFormatting>
  <conditionalFormatting sqref="C53:S56">
    <cfRule type="expression" dxfId="22" priority="2">
      <formula>C$5="ACTUAL"</formula>
    </cfRule>
  </conditionalFormatting>
  <conditionalFormatting sqref="C58:S73">
    <cfRule type="expression" dxfId="21" priority="1">
      <formula>C$5="ACTUAL"</formula>
    </cfRule>
  </conditionalFormatting>
  <conditionalFormatting sqref="C80:S80">
    <cfRule type="expression" dxfId="20" priority="6">
      <formula>C$5="ACTUAL"</formula>
    </cfRule>
  </conditionalFormatting>
  <conditionalFormatting sqref="L11">
    <cfRule type="cellIs" dxfId="19" priority="4" operator="equal">
      <formula>"Open"</formula>
    </cfRule>
    <cfRule type="cellIs" dxfId="18" priority="5" operator="equal">
      <formula>"Closed"</formula>
    </cfRule>
  </conditionalFormatting>
  <dataValidations count="1">
    <dataValidation type="list" errorStyle="information" allowBlank="1" showInputMessage="1" sqref="D5:N5" xr:uid="{13890CFB-8DA0-499C-A05B-A16B548F83D3}">
      <formula1>cafe_validation_temp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E73C-0E56-4E33-AEA2-5391C77AAA0B}">
  <dimension ref="A1:X84"/>
  <sheetViews>
    <sheetView showGridLines="0" topLeftCell="A6" zoomScaleNormal="100" workbookViewId="0">
      <selection activeCell="M7" sqref="M7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CONS_VC_PRD:STG.100.DataBase_Uploads:1238482367-222584408</v>
      </c>
      <c r="C1" s="29" t="str">
        <f>_xll.VIEW("CONS_VC_PRD:ALL.015.Region_Assumptions")</f>
        <v>CONS_VC_PRD:ALL.015.Region_Assumptions:12384823671745260440</v>
      </c>
      <c r="D1" s="29" t="str">
        <f>_xll.VIEW("CONS_VC_PRD:DFS.120.Financial_Results")</f>
        <v>CONS_VC_PRD:DFS.120.Financial_Results:12384823671033490317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CONS_VC_PRD:REV.100.Revenue_Consolidated:12384823671281426212</v>
      </c>
      <c r="C2" s="29" t="str">
        <f>_xll.VIEW("CONS_VC_PRD:ALL.010.Economic_Assumptions")</f>
        <v>CONS_VC_PRD:ALL.010.Economic_Assumptions:1238482367-889714635</v>
      </c>
      <c r="D2" s="29" t="str">
        <f>_xll.VIEW("CONS_VC_PRD:DFS.140.Indirect_Cash_Flow")</f>
        <v>CONS_VC_PRD:DFS.140.Indirect_Cash_Flow:1238482367-969150297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CONS_VC_PRD:DFS.100.Profit_and_Loss:12384823672135803940</v>
      </c>
      <c r="C3" s="29" t="str">
        <f>_xll.VIEW("CONS_VC_PRD:DFS.160.Working_Capital")</f>
        <v>CONS_VC_PRD:DFS.160.Working_Capital:1238482367-1756437723</v>
      </c>
      <c r="D3" s="29" t="str">
        <f>_xll.VIEW("CONS_VC_PRD:ALL.004.Uploads_Status_Planning")</f>
        <v>CONS_VC_PRD:ALL.004.Uploads_Status_Planning:12384823671242304206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CONS_VC_PRD:ALL.001.Actual_Control:1238482367-1000490555</v>
      </c>
      <c r="C4" s="29" t="str">
        <f>_xll.VIEW("CONS_VC_PRD:DFS.180.Gross_Debt")</f>
        <v>CONS_VC_PRD:DFS.180.Gross_Debt:1238482367-25470681</v>
      </c>
      <c r="D4" s="29" t="str">
        <f>_xll.VIEW("CONS_VC_PRD:}ElementAttributes_ALL.D.Accounts")</f>
        <v>CONS_VC_PRD:}ElementAttributes_ALL.D.Accounts:12384823671203211997</v>
      </c>
    </row>
    <row r="5" spans="1:19" s="29" customFormat="1" ht="30" hidden="1" customHeight="1">
      <c r="A5" s="66"/>
      <c r="C5" t="str">
        <f>_xll.DBRW(Input_Prod_03!$B$4,Input_Prod_03!$G$11,Input_Prod_03!C14,$M$1,$G$3)</f>
        <v>ACTUAL</v>
      </c>
      <c r="D5" t="str">
        <f>_xll.DBRW(Input_Prod_03!$B$4,Input_Prod_03!$G$11,Input_Prod_03!D14,$M$1,$G$3)</f>
        <v/>
      </c>
      <c r="E5" t="str">
        <f>_xll.DBRW(Input_Prod_03!$B$4,Input_Prod_03!$G$11,Input_Prod_03!E14,$M$1,$G$3)</f>
        <v/>
      </c>
      <c r="F5" t="str">
        <f>_xll.DBRW(Input_Prod_03!$B$4,Input_Prod_03!$G$11,Input_Prod_03!F14,$M$1,$G$3)</f>
        <v/>
      </c>
      <c r="G5" t="str">
        <f>_xll.DBRW(Input_Prod_03!$B$4,Input_Prod_03!$G$11,Input_Prod_03!G14,$M$1,$G$3)</f>
        <v/>
      </c>
      <c r="H5" t="str">
        <f>_xll.DBRW(Input_Prod_03!$B$4,Input_Prod_03!$G$11,Input_Prod_03!H14,$M$1,$G$3)</f>
        <v/>
      </c>
      <c r="I5" t="str">
        <f>_xll.DBRW(Input_Prod_03!$B$4,Input_Prod_03!$G$11,Input_Prod_03!I14,$M$1,$G$3)</f>
        <v/>
      </c>
      <c r="J5" t="str">
        <f>_xll.DBRW(Input_Prod_03!$B$4,Input_Prod_03!$G$11,Input_Prod_03!J14,$M$1,$G$3)</f>
        <v/>
      </c>
      <c r="K5" t="str">
        <f>_xll.DBRW(Input_Prod_03!$B$4,Input_Prod_03!$G$11,Input_Prod_03!K14,$M$1,$G$3)</f>
        <v/>
      </c>
      <c r="L5" t="str">
        <f>_xll.DBRW(Input_Prod_03!$B$4,Input_Prod_03!$G$11,Input_Prod_03!L14,$M$1,$G$3)</f>
        <v/>
      </c>
      <c r="M5" t="str">
        <f>_xll.DBRW(Input_Prod_03!$B$4,Input_Prod_03!$G$11,Input_Prod_03!M14,$M$1,$G$3)</f>
        <v/>
      </c>
      <c r="N5" t="str">
        <f>_xll.DBRW(Input_Prod_03!$B$4,Input_Prod_03!$G$11,Input_Prod_03!N14,$M$1,$G$3)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9" s="29" customFormat="1" ht="15.6" customHeight="1">
      <c r="A10" s="66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s="29" customFormat="1" ht="21.6" customHeight="1">
      <c r="A11" s="66"/>
      <c r="B11" s="91"/>
      <c r="C11" s="104" t="str">
        <f>Cons_Region!$C$12</f>
        <v>VCBR</v>
      </c>
      <c r="D11" s="104"/>
      <c r="E11" s="99"/>
      <c r="F11" s="100"/>
      <c r="G11" s="101" t="str">
        <f>Cons_Region!$F$12</f>
        <v>2026</v>
      </c>
      <c r="H11" s="100"/>
      <c r="I11" s="101" t="str">
        <f>Cons_Region!$H$12</f>
        <v>BRL</v>
      </c>
      <c r="J11" s="102"/>
      <c r="K11" s="103" t="s">
        <v>523</v>
      </c>
      <c r="L11" s="101" t="str">
        <f>_xll.DBRW($D$3,$M$1,$C$11,"Financial_Planning","Status")</f>
        <v>Open</v>
      </c>
      <c r="M11" s="92"/>
      <c r="N11" s="90"/>
      <c r="O11" s="90"/>
      <c r="P11" s="90"/>
      <c r="Q11" s="90"/>
      <c r="R11" s="90"/>
      <c r="S11" s="90"/>
    </row>
    <row r="12" spans="1:19" s="29" customFormat="1" ht="14.4" customHeight="1">
      <c r="A12" s="66"/>
      <c r="B12" s="93"/>
      <c r="C12" s="94"/>
      <c r="D12" s="93"/>
      <c r="E12" s="93"/>
      <c r="F12" s="94"/>
      <c r="G12" s="93"/>
      <c r="H12" s="93"/>
      <c r="I12" s="94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spans="1:19" s="29" customFormat="1" ht="14.4" customHeight="1">
      <c r="A13" s="66"/>
      <c r="B13" s="86"/>
      <c r="C13" s="87"/>
      <c r="D13" s="88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97">
        <f>$G$11+1</f>
        <v>2027</v>
      </c>
      <c r="P13" s="98">
        <f>$G$11+2</f>
        <v>2028</v>
      </c>
      <c r="Q13" s="98">
        <f>$G$11+3</f>
        <v>2029</v>
      </c>
      <c r="R13" s="98">
        <f>$G$11+4</f>
        <v>2030</v>
      </c>
      <c r="S13" s="98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_xll.DBRW($C$2,Input_Prod_03!$G$11,Input_Prod_03!$C$14,$M$1,$B16,$K$1)</f>
        <v>0</v>
      </c>
      <c r="D16" s="40">
        <f>_xll.DBRW($C$2,Input_Prod_03!$G$11,Input_Prod_03!$C$14,$M$1,$B16,$K$1)</f>
        <v>0</v>
      </c>
      <c r="E16" s="40">
        <f>_xll.DBRW($C$2,Input_Prod_03!$G$11,Input_Prod_03!$C$14,$M$1,$B16,$K$1)</f>
        <v>0</v>
      </c>
      <c r="F16" s="40">
        <f>_xll.DBRW($C$2,Input_Prod_03!$G$11,Input_Prod_03!$C$14,$M$1,$B16,$K$1)</f>
        <v>0</v>
      </c>
      <c r="G16" s="40">
        <f>_xll.DBRW($C$2,Input_Prod_03!$G$11,Input_Prod_03!$C$14,$M$1,$B16,$K$1)</f>
        <v>0</v>
      </c>
      <c r="H16" s="40">
        <f>_xll.DBRW($C$2,Input_Prod_03!$G$11,Input_Prod_03!$C$14,$M$1,$B16,$K$1)</f>
        <v>0</v>
      </c>
      <c r="I16" s="40">
        <f>_xll.DBRW($C$2,Input_Prod_03!$G$11,Input_Prod_03!$C$14,$M$1,$B16,$K$1)</f>
        <v>0</v>
      </c>
      <c r="J16" s="40">
        <f>_xll.DBRW($C$2,Input_Prod_03!$G$11,Input_Prod_03!$C$14,$M$1,$B16,$K$1)</f>
        <v>0</v>
      </c>
      <c r="K16" s="40">
        <f>_xll.DBRW($C$2,Input_Prod_03!$G$11,Input_Prod_03!$C$14,$M$1,$B16,$K$1)</f>
        <v>0</v>
      </c>
      <c r="L16" s="40">
        <f>_xll.DBRW($C$2,Input_Prod_03!$G$11,Input_Prod_03!$C$14,$M$1,$B16,$K$1)</f>
        <v>0</v>
      </c>
      <c r="M16" s="40">
        <f>_xll.DBRW($C$2,Input_Prod_03!$G$11,Input_Prod_03!$C$14,$M$1,$B16,$K$1)</f>
        <v>0</v>
      </c>
      <c r="N16" s="40">
        <f>_xll.DBRW($C$2,Input_Prod_03!$G$11,Input_Prod_03!$C$14,$M$1,$B16,$K$1)</f>
        <v>0</v>
      </c>
      <c r="O16" s="40">
        <f>_xll.DBRW($C$2,O$13,$O$15,$M$1,$B16,$K$1)</f>
        <v>0</v>
      </c>
      <c r="P16" s="40">
        <f>_xll.DBRW($C$2,P$13,$O$15,$M$1,$B16,$K$1)</f>
        <v>0</v>
      </c>
      <c r="Q16" s="40">
        <f>_xll.DBRW($C$2,Q$13,$O$15,$M$1,$B16,$K$1)</f>
        <v>0</v>
      </c>
      <c r="R16" s="40">
        <f>_xll.DBRW($C$2,R$13,$O$15,$M$1,$B16,$K$1)</f>
        <v>0</v>
      </c>
      <c r="S16" s="40">
        <f>_xll.DBRW($C$2,S$13,$O$15,$M$1,$B16,$K$1)</f>
        <v>0</v>
      </c>
    </row>
    <row r="17" spans="1:19" s="29" customFormat="1" ht="15.75" customHeight="1">
      <c r="A17" s="66"/>
      <c r="B17" s="45" t="s">
        <v>1</v>
      </c>
      <c r="C17" s="40">
        <f>_xll.DBRW($C$2,Input_Prod_03!$G$11,Input_Prod_03!$C$14,$M$1,$B17,$K$1)</f>
        <v>0</v>
      </c>
      <c r="D17" s="40">
        <f>_xll.DBRW($C$2,Input_Prod_03!$G$11,Input_Prod_03!$C$14,$M$1,$B17,$K$1)</f>
        <v>0</v>
      </c>
      <c r="E17" s="40">
        <f>_xll.DBRW($C$2,Input_Prod_03!$G$11,Input_Prod_03!$C$14,$M$1,$B17,$K$1)</f>
        <v>0</v>
      </c>
      <c r="F17" s="40">
        <f>_xll.DBRW($C$2,Input_Prod_03!$G$11,Input_Prod_03!$C$14,$M$1,$B17,$K$1)</f>
        <v>0</v>
      </c>
      <c r="G17" s="40">
        <f>_xll.DBRW($C$2,Input_Prod_03!$G$11,Input_Prod_03!$C$14,$M$1,$B17,$K$1)</f>
        <v>0</v>
      </c>
      <c r="H17" s="40">
        <f>_xll.DBRW($C$2,Input_Prod_03!$G$11,Input_Prod_03!$C$14,$M$1,$B17,$K$1)</f>
        <v>0</v>
      </c>
      <c r="I17" s="40">
        <f>_xll.DBRW($C$2,Input_Prod_03!$G$11,Input_Prod_03!$C$14,$M$1,$B17,$K$1)</f>
        <v>0</v>
      </c>
      <c r="J17" s="40">
        <f>_xll.DBRW($C$2,Input_Prod_03!$G$11,Input_Prod_03!$C$14,$M$1,$B17,$K$1)</f>
        <v>0</v>
      </c>
      <c r="K17" s="40">
        <f>_xll.DBRW($C$2,Input_Prod_03!$G$11,Input_Prod_03!$C$14,$M$1,$B17,$K$1)</f>
        <v>0</v>
      </c>
      <c r="L17" s="40">
        <f>_xll.DBRW($C$2,Input_Prod_03!$G$11,Input_Prod_03!$C$14,$M$1,$B17,$K$1)</f>
        <v>0</v>
      </c>
      <c r="M17" s="40">
        <f>_xll.DBRW($C$2,Input_Prod_03!$G$11,Input_Prod_03!$C$14,$M$1,$B17,$K$1)</f>
        <v>0</v>
      </c>
      <c r="N17" s="40">
        <f>_xll.DBRW($C$2,Input_Prod_03!$G$11,Input_Prod_03!$C$14,$M$1,$B17,$K$1)</f>
        <v>0</v>
      </c>
      <c r="O17" s="40">
        <f>_xll.DBRW($C$2,O$13,$O$15,$M$1,$B17,$K$1)</f>
        <v>0</v>
      </c>
      <c r="P17" s="40">
        <f>_xll.DBRW($C$2,P$13,$O$15,$M$1,$B17,$K$1)</f>
        <v>0</v>
      </c>
      <c r="Q17" s="40">
        <f>_xll.DBRW($C$2,Q$13,$O$15,$M$1,$B17,$K$1)</f>
        <v>0</v>
      </c>
      <c r="R17" s="40">
        <f>_xll.DBRW($C$2,R$13,$O$15,$M$1,$B17,$K$1)</f>
        <v>0</v>
      </c>
      <c r="S17" s="40">
        <f>_xll.DBRW($C$2,S$13,$O$15,$M$1,$B17,$K$1)</f>
        <v>0</v>
      </c>
    </row>
    <row r="18" spans="1:19" s="29" customFormat="1" ht="15.75" customHeight="1">
      <c r="A18" s="66"/>
      <c r="B18" s="45" t="s">
        <v>2</v>
      </c>
      <c r="C18" s="40">
        <f>_xll.DBRW($C$2,Input_Prod_03!$G$11,Input_Prod_03!$C$14,$M$1,$B18,$K$1)</f>
        <v>0</v>
      </c>
      <c r="D18" s="40">
        <f>_xll.DBRW($C$2,Input_Prod_03!$G$11,Input_Prod_03!$C$14,$M$1,$B18,$K$1)</f>
        <v>0</v>
      </c>
      <c r="E18" s="40">
        <f>_xll.DBRW($C$2,Input_Prod_03!$G$11,Input_Prod_03!$C$14,$M$1,$B18,$K$1)</f>
        <v>0</v>
      </c>
      <c r="F18" s="40">
        <f>_xll.DBRW($C$2,Input_Prod_03!$G$11,Input_Prod_03!$C$14,$M$1,$B18,$K$1)</f>
        <v>0</v>
      </c>
      <c r="G18" s="40">
        <f>_xll.DBRW($C$2,Input_Prod_03!$G$11,Input_Prod_03!$C$14,$M$1,$B18,$K$1)</f>
        <v>0</v>
      </c>
      <c r="H18" s="40">
        <f>_xll.DBRW($C$2,Input_Prod_03!$G$11,Input_Prod_03!$C$14,$M$1,$B18,$K$1)</f>
        <v>0</v>
      </c>
      <c r="I18" s="40">
        <f>_xll.DBRW($C$2,Input_Prod_03!$G$11,Input_Prod_03!$C$14,$M$1,$B18,$K$1)</f>
        <v>0</v>
      </c>
      <c r="J18" s="40">
        <f>_xll.DBRW($C$2,Input_Prod_03!$G$11,Input_Prod_03!$C$14,$M$1,$B18,$K$1)</f>
        <v>0</v>
      </c>
      <c r="K18" s="40">
        <f>_xll.DBRW($C$2,Input_Prod_03!$G$11,Input_Prod_03!$C$14,$M$1,$B18,$K$1)</f>
        <v>0</v>
      </c>
      <c r="L18" s="40">
        <f>_xll.DBRW($C$2,Input_Prod_03!$G$11,Input_Prod_03!$C$14,$M$1,$B18,$K$1)</f>
        <v>0</v>
      </c>
      <c r="M18" s="40">
        <f>_xll.DBRW($C$2,Input_Prod_03!$G$11,Input_Prod_03!$C$14,$M$1,$B18,$K$1)</f>
        <v>0</v>
      </c>
      <c r="N18" s="40">
        <f>_xll.DBRW($C$2,Input_Prod_03!$G$11,Input_Prod_03!$C$14,$M$1,$B18,$K$1)</f>
        <v>0</v>
      </c>
      <c r="O18" s="40">
        <f>_xll.DBRW($C$2,O$13,$O$15,$M$1,$B18,$K$1)</f>
        <v>0</v>
      </c>
      <c r="P18" s="40">
        <f>_xll.DBRW($C$2,P$13,$O$15,$M$1,$B18,$K$1)</f>
        <v>0</v>
      </c>
      <c r="Q18" s="40">
        <f>_xll.DBRW($C$2,Q$13,$O$15,$M$1,$B18,$K$1)</f>
        <v>0</v>
      </c>
      <c r="R18" s="40">
        <f>_xll.DBRW($C$2,R$13,$O$15,$M$1,$B18,$K$1)</f>
        <v>0</v>
      </c>
      <c r="S18" s="40">
        <f>_xll.DBRW($C$2,S$13,$O$15,$M$1,$B18,$K$1)</f>
        <v>0</v>
      </c>
    </row>
    <row r="19" spans="1:19" s="29" customFormat="1" ht="15.75" customHeight="1">
      <c r="A19" s="66"/>
      <c r="B19" s="45" t="s">
        <v>3</v>
      </c>
      <c r="C19" s="40">
        <f>_xll.DBRW($C$2,Input_Prod_03!$G$11,Input_Prod_03!$C$14,$M$1,$B19,$K$1)</f>
        <v>0</v>
      </c>
      <c r="D19" s="40">
        <f>_xll.DBRW($C$2,Input_Prod_03!$G$11,Input_Prod_03!$C$14,$M$1,$B19,$K$1)</f>
        <v>0</v>
      </c>
      <c r="E19" s="40">
        <f>_xll.DBRW($C$2,Input_Prod_03!$G$11,Input_Prod_03!$C$14,$M$1,$B19,$K$1)</f>
        <v>0</v>
      </c>
      <c r="F19" s="40">
        <f>_xll.DBRW($C$2,Input_Prod_03!$G$11,Input_Prod_03!$C$14,$M$1,$B19,$K$1)</f>
        <v>0</v>
      </c>
      <c r="G19" s="40">
        <f>_xll.DBRW($C$2,Input_Prod_03!$G$11,Input_Prod_03!$C$14,$M$1,$B19,$K$1)</f>
        <v>0</v>
      </c>
      <c r="H19" s="40">
        <f>_xll.DBRW($C$2,Input_Prod_03!$G$11,Input_Prod_03!$C$14,$M$1,$B19,$K$1)</f>
        <v>0</v>
      </c>
      <c r="I19" s="40">
        <f>_xll.DBRW($C$2,Input_Prod_03!$G$11,Input_Prod_03!$C$14,$M$1,$B19,$K$1)</f>
        <v>0</v>
      </c>
      <c r="J19" s="40">
        <f>_xll.DBRW($C$2,Input_Prod_03!$G$11,Input_Prod_03!$C$14,$M$1,$B19,$K$1)</f>
        <v>0</v>
      </c>
      <c r="K19" s="40">
        <f>_xll.DBRW($C$2,Input_Prod_03!$G$11,Input_Prod_03!$C$14,$M$1,$B19,$K$1)</f>
        <v>0</v>
      </c>
      <c r="L19" s="40">
        <f>_xll.DBRW($C$2,Input_Prod_03!$G$11,Input_Prod_03!$C$14,$M$1,$B19,$K$1)</f>
        <v>0</v>
      </c>
      <c r="M19" s="40">
        <f>_xll.DBRW($C$2,Input_Prod_03!$G$11,Input_Prod_03!$C$14,$M$1,$B19,$K$1)</f>
        <v>0</v>
      </c>
      <c r="N19" s="40">
        <f>_xll.DBRW($C$2,Input_Prod_03!$G$11,Input_Prod_03!$C$14,$M$1,$B19,$K$1)</f>
        <v>0</v>
      </c>
      <c r="O19" s="40">
        <f>_xll.DBRW($C$2,O$13,$O$15,$M$1,$B19,$K$1)</f>
        <v>0</v>
      </c>
      <c r="P19" s="40">
        <f>_xll.DBRW($C$2,P$13,$O$15,$M$1,$B19,$K$1)</f>
        <v>0</v>
      </c>
      <c r="Q19" s="40">
        <f>_xll.DBRW($C$2,Q$13,$O$15,$M$1,$B19,$K$1)</f>
        <v>0</v>
      </c>
      <c r="R19" s="40">
        <f>_xll.DBRW($C$2,R$13,$O$15,$M$1,$B19,$K$1)</f>
        <v>0</v>
      </c>
      <c r="S19" s="40">
        <f>_xll.DBRW($C$2,S$13,$O$15,$M$1,$B19,$K$1)</f>
        <v>0</v>
      </c>
    </row>
    <row r="20" spans="1:19" s="29" customFormat="1" ht="15.75" customHeight="1">
      <c r="A20" s="66"/>
      <c r="B20" s="45" t="s">
        <v>4</v>
      </c>
      <c r="C20" s="40">
        <f>_xll.DBRW($C$2,Input_Prod_03!$G$11,Input_Prod_03!$C$14,$M$1,$B20,$K$1)</f>
        <v>5</v>
      </c>
      <c r="D20" s="40">
        <f>_xll.DBRW($C$2,Input_Prod_03!$G$11,Input_Prod_03!$C$14,$M$1,$B20,$K$1)</f>
        <v>5</v>
      </c>
      <c r="E20" s="40">
        <f>_xll.DBRW($C$2,Input_Prod_03!$G$11,Input_Prod_03!$C$14,$M$1,$B20,$K$1)</f>
        <v>5</v>
      </c>
      <c r="F20" s="40">
        <f>_xll.DBRW($C$2,Input_Prod_03!$G$11,Input_Prod_03!$C$14,$M$1,$B20,$K$1)</f>
        <v>5</v>
      </c>
      <c r="G20" s="40">
        <f>_xll.DBRW($C$2,Input_Prod_03!$G$11,Input_Prod_03!$C$14,$M$1,$B20,$K$1)</f>
        <v>5</v>
      </c>
      <c r="H20" s="40">
        <f>_xll.DBRW($C$2,Input_Prod_03!$G$11,Input_Prod_03!$C$14,$M$1,$B20,$K$1)</f>
        <v>5</v>
      </c>
      <c r="I20" s="40">
        <f>_xll.DBRW($C$2,Input_Prod_03!$G$11,Input_Prod_03!$C$14,$M$1,$B20,$K$1)</f>
        <v>5</v>
      </c>
      <c r="J20" s="40">
        <f>_xll.DBRW($C$2,Input_Prod_03!$G$11,Input_Prod_03!$C$14,$M$1,$B20,$K$1)</f>
        <v>5</v>
      </c>
      <c r="K20" s="40">
        <f>_xll.DBRW($C$2,Input_Prod_03!$G$11,Input_Prod_03!$C$14,$M$1,$B20,$K$1)</f>
        <v>5</v>
      </c>
      <c r="L20" s="40">
        <f>_xll.DBRW($C$2,Input_Prod_03!$G$11,Input_Prod_03!$C$14,$M$1,$B20,$K$1)</f>
        <v>5</v>
      </c>
      <c r="M20" s="40">
        <f>_xll.DBRW($C$2,Input_Prod_03!$G$11,Input_Prod_03!$C$14,$M$1,$B20,$K$1)</f>
        <v>5</v>
      </c>
      <c r="N20" s="40">
        <f>_xll.DBRW($C$2,Input_Prod_03!$G$11,Input_Prod_03!$C$14,$M$1,$B20,$K$1)</f>
        <v>5</v>
      </c>
      <c r="O20" s="40">
        <f>_xll.DBRW($C$2,O$13,$O$15,$M$1,$B20,$K$1)</f>
        <v>0</v>
      </c>
      <c r="P20" s="40">
        <f>_xll.DBRW($C$2,P$13,$O$15,$M$1,$B20,$K$1)</f>
        <v>0</v>
      </c>
      <c r="Q20" s="40">
        <f>_xll.DBRW($C$2,Q$13,$O$15,$M$1,$B20,$K$1)</f>
        <v>0</v>
      </c>
      <c r="R20" s="40">
        <f>_xll.DBRW($C$2,R$13,$O$15,$M$1,$B20,$K$1)</f>
        <v>0</v>
      </c>
      <c r="S20" s="40">
        <f>_xll.DBRW($C$2,S$13,$O$15,$M$1,$B20,$K$1)</f>
        <v>0</v>
      </c>
    </row>
    <row r="21" spans="1:19" s="29" customFormat="1" ht="15.75" customHeight="1">
      <c r="A21" s="66"/>
      <c r="B21" s="45" t="s">
        <v>5</v>
      </c>
      <c r="C21" s="40">
        <f>_xll.DBRW($C$2,Input_Prod_03!$G$11,Input_Prod_03!$C$14,$M$1,$B21,$K$1)</f>
        <v>0</v>
      </c>
      <c r="D21" s="40">
        <f>_xll.DBRW($C$2,Input_Prod_03!$G$11,Input_Prod_03!$C$14,$M$1,$B21,$K$1)</f>
        <v>0</v>
      </c>
      <c r="E21" s="40">
        <f>_xll.DBRW($C$2,Input_Prod_03!$G$11,Input_Prod_03!$C$14,$M$1,$B21,$K$1)</f>
        <v>0</v>
      </c>
      <c r="F21" s="40">
        <f>_xll.DBRW($C$2,Input_Prod_03!$G$11,Input_Prod_03!$C$14,$M$1,$B21,$K$1)</f>
        <v>0</v>
      </c>
      <c r="G21" s="40">
        <f>_xll.DBRW($C$2,Input_Prod_03!$G$11,Input_Prod_03!$C$14,$M$1,$B21,$K$1)</f>
        <v>0</v>
      </c>
      <c r="H21" s="40">
        <f>_xll.DBRW($C$2,Input_Prod_03!$G$11,Input_Prod_03!$C$14,$M$1,$B21,$K$1)</f>
        <v>0</v>
      </c>
      <c r="I21" s="40">
        <f>_xll.DBRW($C$2,Input_Prod_03!$G$11,Input_Prod_03!$C$14,$M$1,$B21,$K$1)</f>
        <v>0</v>
      </c>
      <c r="J21" s="40">
        <f>_xll.DBRW($C$2,Input_Prod_03!$G$11,Input_Prod_03!$C$14,$M$1,$B21,$K$1)</f>
        <v>0</v>
      </c>
      <c r="K21" s="40">
        <f>_xll.DBRW($C$2,Input_Prod_03!$G$11,Input_Prod_03!$C$14,$M$1,$B21,$K$1)</f>
        <v>0</v>
      </c>
      <c r="L21" s="40">
        <f>_xll.DBRW($C$2,Input_Prod_03!$G$11,Input_Prod_03!$C$14,$M$1,$B21,$K$1)</f>
        <v>0</v>
      </c>
      <c r="M21" s="40">
        <f>_xll.DBRW($C$2,Input_Prod_03!$G$11,Input_Prod_03!$C$14,$M$1,$B21,$K$1)</f>
        <v>0</v>
      </c>
      <c r="N21" s="40">
        <f>_xll.DBRW($C$2,Input_Prod_03!$G$11,Input_Prod_03!$C$14,$M$1,$B21,$K$1)</f>
        <v>0</v>
      </c>
      <c r="O21" s="40">
        <f>_xll.DBRW($C$2,O$13,$O$15,$M$1,$B21,$K$1)</f>
        <v>0</v>
      </c>
      <c r="P21" s="40">
        <f>_xll.DBRW($C$2,P$13,$O$15,$M$1,$B21,$K$1)</f>
        <v>0</v>
      </c>
      <c r="Q21" s="40">
        <f>_xll.DBRW($C$2,Q$13,$O$15,$M$1,$B21,$K$1)</f>
        <v>0</v>
      </c>
      <c r="R21" s="40">
        <f>_xll.DBRW($C$2,R$13,$O$15,$M$1,$B21,$K$1)</f>
        <v>0</v>
      </c>
      <c r="S21" s="40">
        <f>_xll.DBRW($C$2,S$13,$O$15,$M$1,$B21,$K$1)</f>
        <v>0</v>
      </c>
    </row>
    <row r="22" spans="1:19" s="29" customFormat="1" ht="15.75" customHeight="1">
      <c r="A22" s="66"/>
      <c r="B22" s="45" t="s">
        <v>6</v>
      </c>
      <c r="C22" s="40">
        <f>_xll.DBRW($C$2,Input_Prod_03!$G$11,Input_Prod_03!$C$14,$M$1,$B22,$K$1)</f>
        <v>0</v>
      </c>
      <c r="D22" s="40">
        <f>_xll.DBRW($C$2,Input_Prod_03!$G$11,Input_Prod_03!$C$14,$M$1,$B22,$K$1)</f>
        <v>0</v>
      </c>
      <c r="E22" s="40">
        <f>_xll.DBRW($C$2,Input_Prod_03!$G$11,Input_Prod_03!$C$14,$M$1,$B22,$K$1)</f>
        <v>0</v>
      </c>
      <c r="F22" s="40">
        <f>_xll.DBRW($C$2,Input_Prod_03!$G$11,Input_Prod_03!$C$14,$M$1,$B22,$K$1)</f>
        <v>0</v>
      </c>
      <c r="G22" s="40">
        <f>_xll.DBRW($C$2,Input_Prod_03!$G$11,Input_Prod_03!$C$14,$M$1,$B22,$K$1)</f>
        <v>0</v>
      </c>
      <c r="H22" s="40">
        <f>_xll.DBRW($C$2,Input_Prod_03!$G$11,Input_Prod_03!$C$14,$M$1,$B22,$K$1)</f>
        <v>0</v>
      </c>
      <c r="I22" s="40">
        <f>_xll.DBRW($C$2,Input_Prod_03!$G$11,Input_Prod_03!$C$14,$M$1,$B22,$K$1)</f>
        <v>0</v>
      </c>
      <c r="J22" s="40">
        <f>_xll.DBRW($C$2,Input_Prod_03!$G$11,Input_Prod_03!$C$14,$M$1,$B22,$K$1)</f>
        <v>0</v>
      </c>
      <c r="K22" s="40">
        <f>_xll.DBRW($C$2,Input_Prod_03!$G$11,Input_Prod_03!$C$14,$M$1,$B22,$K$1)</f>
        <v>0</v>
      </c>
      <c r="L22" s="40">
        <f>_xll.DBRW($C$2,Input_Prod_03!$G$11,Input_Prod_03!$C$14,$M$1,$B22,$K$1)</f>
        <v>0</v>
      </c>
      <c r="M22" s="40">
        <f>_xll.DBRW($C$2,Input_Prod_03!$G$11,Input_Prod_03!$C$14,$M$1,$B22,$K$1)</f>
        <v>0</v>
      </c>
      <c r="N22" s="40">
        <f>_xll.DBRW($C$2,Input_Prod_03!$G$11,Input_Prod_03!$C$14,$M$1,$B22,$K$1)</f>
        <v>0</v>
      </c>
      <c r="O22" s="40">
        <f>_xll.DBRW($C$2,O$13,$O$15,$M$1,$B22,$K$1)</f>
        <v>0</v>
      </c>
      <c r="P22" s="40">
        <f>_xll.DBRW($C$2,P$13,$O$15,$M$1,$B22,$K$1)</f>
        <v>0</v>
      </c>
      <c r="Q22" s="40">
        <f>_xll.DBRW($C$2,Q$13,$O$15,$M$1,$B22,$K$1)</f>
        <v>0</v>
      </c>
      <c r="R22" s="40">
        <f>_xll.DBRW($C$2,R$13,$O$15,$M$1,$B22,$K$1)</f>
        <v>0</v>
      </c>
      <c r="S22" s="40">
        <f>_xll.DBRW($C$2,S$13,$O$15,$M$1,$B22,$K$1)</f>
        <v>0</v>
      </c>
    </row>
    <row r="23" spans="1:19" s="29" customFormat="1" ht="15.75" customHeight="1">
      <c r="A23" s="66"/>
      <c r="B23" s="45" t="s">
        <v>7</v>
      </c>
      <c r="C23" s="40">
        <f>_xll.DBRW($C$2,Input_Prod_03!$G$11,Input_Prod_03!$C$14,$M$1,$B23,$K$1)</f>
        <v>0</v>
      </c>
      <c r="D23" s="40">
        <f>_xll.DBRW($C$2,Input_Prod_03!$G$11,Input_Prod_03!$C$14,$M$1,$B23,$K$1)</f>
        <v>0</v>
      </c>
      <c r="E23" s="40">
        <f>_xll.DBRW($C$2,Input_Prod_03!$G$11,Input_Prod_03!$C$14,$M$1,$B23,$K$1)</f>
        <v>0</v>
      </c>
      <c r="F23" s="40">
        <f>_xll.DBRW($C$2,Input_Prod_03!$G$11,Input_Prod_03!$C$14,$M$1,$B23,$K$1)</f>
        <v>0</v>
      </c>
      <c r="G23" s="40">
        <f>_xll.DBRW($C$2,Input_Prod_03!$G$11,Input_Prod_03!$C$14,$M$1,$B23,$K$1)</f>
        <v>0</v>
      </c>
      <c r="H23" s="40">
        <f>_xll.DBRW($C$2,Input_Prod_03!$G$11,Input_Prod_03!$C$14,$M$1,$B23,$K$1)</f>
        <v>0</v>
      </c>
      <c r="I23" s="40">
        <f>_xll.DBRW($C$2,Input_Prod_03!$G$11,Input_Prod_03!$C$14,$M$1,$B23,$K$1)</f>
        <v>0</v>
      </c>
      <c r="J23" s="40">
        <f>_xll.DBRW($C$2,Input_Prod_03!$G$11,Input_Prod_03!$C$14,$M$1,$B23,$K$1)</f>
        <v>0</v>
      </c>
      <c r="K23" s="40">
        <f>_xll.DBRW($C$2,Input_Prod_03!$G$11,Input_Prod_03!$C$14,$M$1,$B23,$K$1)</f>
        <v>0</v>
      </c>
      <c r="L23" s="40">
        <f>_xll.DBRW($C$2,Input_Prod_03!$G$11,Input_Prod_03!$C$14,$M$1,$B23,$K$1)</f>
        <v>0</v>
      </c>
      <c r="M23" s="40">
        <f>_xll.DBRW($C$2,Input_Prod_03!$G$11,Input_Prod_03!$C$14,$M$1,$B23,$K$1)</f>
        <v>0</v>
      </c>
      <c r="N23" s="40">
        <f>_xll.DBRW($C$2,Input_Prod_03!$G$11,Input_Prod_03!$C$14,$M$1,$B23,$K$1)</f>
        <v>0</v>
      </c>
      <c r="O23" s="40">
        <f>_xll.DBRW($C$2,O$13,$O$15,$M$1,$B23,$K$1)</f>
        <v>0</v>
      </c>
      <c r="P23" s="40">
        <f>_xll.DBRW($C$2,P$13,$O$15,$M$1,$B23,$K$1)</f>
        <v>0</v>
      </c>
      <c r="Q23" s="40">
        <f>_xll.DBRW($C$2,Q$13,$O$15,$M$1,$B23,$K$1)</f>
        <v>0</v>
      </c>
      <c r="R23" s="40">
        <f>_xll.DBRW($C$2,R$13,$O$15,$M$1,$B23,$K$1)</f>
        <v>0</v>
      </c>
      <c r="S23" s="40">
        <f>_xll.DBRW($C$2,S$13,$O$15,$M$1,$B23,$K$1)</f>
        <v>0</v>
      </c>
    </row>
    <row r="24" spans="1:19" s="29" customFormat="1" ht="15.75" customHeight="1">
      <c r="A24" s="66"/>
      <c r="B24" s="45" t="s">
        <v>8</v>
      </c>
      <c r="C24" s="40">
        <f>_xll.DBRW($C$2,Input_Prod_03!$G$11,Input_Prod_03!$C$14,$M$1,$B24,$K$1)</f>
        <v>0</v>
      </c>
      <c r="D24" s="40">
        <f>_xll.DBRW($C$2,Input_Prod_03!$G$11,Input_Prod_03!$C$14,$M$1,$B24,$K$1)</f>
        <v>0</v>
      </c>
      <c r="E24" s="40">
        <f>_xll.DBRW($C$2,Input_Prod_03!$G$11,Input_Prod_03!$C$14,$M$1,$B24,$K$1)</f>
        <v>0</v>
      </c>
      <c r="F24" s="40">
        <f>_xll.DBRW($C$2,Input_Prod_03!$G$11,Input_Prod_03!$C$14,$M$1,$B24,$K$1)</f>
        <v>0</v>
      </c>
      <c r="G24" s="40">
        <f>_xll.DBRW($C$2,Input_Prod_03!$G$11,Input_Prod_03!$C$14,$M$1,$B24,$K$1)</f>
        <v>0</v>
      </c>
      <c r="H24" s="40">
        <f>_xll.DBRW($C$2,Input_Prod_03!$G$11,Input_Prod_03!$C$14,$M$1,$B24,$K$1)</f>
        <v>0</v>
      </c>
      <c r="I24" s="40">
        <f>_xll.DBRW($C$2,Input_Prod_03!$G$11,Input_Prod_03!$C$14,$M$1,$B24,$K$1)</f>
        <v>0</v>
      </c>
      <c r="J24" s="40">
        <f>_xll.DBRW($C$2,Input_Prod_03!$G$11,Input_Prod_03!$C$14,$M$1,$B24,$K$1)</f>
        <v>0</v>
      </c>
      <c r="K24" s="40">
        <f>_xll.DBRW($C$2,Input_Prod_03!$G$11,Input_Prod_03!$C$14,$M$1,$B24,$K$1)</f>
        <v>0</v>
      </c>
      <c r="L24" s="40">
        <f>_xll.DBRW($C$2,Input_Prod_03!$G$11,Input_Prod_03!$C$14,$M$1,$B24,$K$1)</f>
        <v>0</v>
      </c>
      <c r="M24" s="40">
        <f>_xll.DBRW($C$2,Input_Prod_03!$G$11,Input_Prod_03!$C$14,$M$1,$B24,$K$1)</f>
        <v>0</v>
      </c>
      <c r="N24" s="40">
        <f>_xll.DBRW($C$2,Input_Prod_03!$G$11,Input_Prod_03!$C$14,$M$1,$B24,$K$1)</f>
        <v>0</v>
      </c>
      <c r="O24" s="40">
        <f>_xll.DBRW($C$2,O$13,$O$15,$M$1,$B24,$K$1)</f>
        <v>0</v>
      </c>
      <c r="P24" s="40">
        <f>_xll.DBRW($C$2,P$13,$O$15,$M$1,$B24,$K$1)</f>
        <v>0</v>
      </c>
      <c r="Q24" s="40">
        <f>_xll.DBRW($C$2,Q$13,$O$15,$M$1,$B24,$K$1)</f>
        <v>0</v>
      </c>
      <c r="R24" s="40">
        <f>_xll.DBRW($C$2,R$13,$O$15,$M$1,$B24,$K$1)</f>
        <v>0</v>
      </c>
      <c r="S24" s="40">
        <f>_xll.DBRW($C$2,S$13,$O$15,$M$1,$B24,$K$1)</f>
        <v>0</v>
      </c>
    </row>
    <row r="25" spans="1:19" s="29" customFormat="1" ht="15.75" customHeight="1">
      <c r="A25" s="66"/>
      <c r="B25" s="45" t="s">
        <v>9</v>
      </c>
      <c r="C25" s="40">
        <f>_xll.DBRW($C$2,Input_Prod_03!$G$11,Input_Prod_03!$C$14,$M$1,$B25,$K$1)</f>
        <v>0</v>
      </c>
      <c r="D25" s="40">
        <f>_xll.DBRW($C$2,Input_Prod_03!$G$11,Input_Prod_03!$C$14,$M$1,$B25,$K$1)</f>
        <v>0</v>
      </c>
      <c r="E25" s="40">
        <f>_xll.DBRW($C$2,Input_Prod_03!$G$11,Input_Prod_03!$C$14,$M$1,$B25,$K$1)</f>
        <v>0</v>
      </c>
      <c r="F25" s="40">
        <f>_xll.DBRW($C$2,Input_Prod_03!$G$11,Input_Prod_03!$C$14,$M$1,$B25,$K$1)</f>
        <v>0</v>
      </c>
      <c r="G25" s="40">
        <f>_xll.DBRW($C$2,Input_Prod_03!$G$11,Input_Prod_03!$C$14,$M$1,$B25,$K$1)</f>
        <v>0</v>
      </c>
      <c r="H25" s="40">
        <f>_xll.DBRW($C$2,Input_Prod_03!$G$11,Input_Prod_03!$C$14,$M$1,$B25,$K$1)</f>
        <v>0</v>
      </c>
      <c r="I25" s="40">
        <f>_xll.DBRW($C$2,Input_Prod_03!$G$11,Input_Prod_03!$C$14,$M$1,$B25,$K$1)</f>
        <v>0</v>
      </c>
      <c r="J25" s="40">
        <f>_xll.DBRW($C$2,Input_Prod_03!$G$11,Input_Prod_03!$C$14,$M$1,$B25,$K$1)</f>
        <v>0</v>
      </c>
      <c r="K25" s="40">
        <f>_xll.DBRW($C$2,Input_Prod_03!$G$11,Input_Prod_03!$C$14,$M$1,$B25,$K$1)</f>
        <v>0</v>
      </c>
      <c r="L25" s="40">
        <f>_xll.DBRW($C$2,Input_Prod_03!$G$11,Input_Prod_03!$C$14,$M$1,$B25,$K$1)</f>
        <v>0</v>
      </c>
      <c r="M25" s="40">
        <f>_xll.DBRW($C$2,Input_Prod_03!$G$11,Input_Prod_03!$C$14,$M$1,$B25,$K$1)</f>
        <v>0</v>
      </c>
      <c r="N25" s="40">
        <f>_xll.DBRW($C$2,Input_Prod_03!$G$11,Input_Prod_03!$C$14,$M$1,$B25,$K$1)</f>
        <v>0</v>
      </c>
      <c r="O25" s="40">
        <f>_xll.DBRW($C$2,O$13,$O$15,$M$1,$B25,$K$1)</f>
        <v>0</v>
      </c>
      <c r="P25" s="40">
        <f>_xll.DBRW($C$2,P$13,$O$15,$M$1,$B25,$K$1)</f>
        <v>0</v>
      </c>
      <c r="Q25" s="40">
        <f>_xll.DBRW($C$2,Q$13,$O$15,$M$1,$B25,$K$1)</f>
        <v>0</v>
      </c>
      <c r="R25" s="40">
        <f>_xll.DBRW($C$2,R$13,$O$15,$M$1,$B25,$K$1)</f>
        <v>0</v>
      </c>
      <c r="S25" s="40">
        <f>_xll.DBRW($C$2,S$13,$O$15,$M$1,$B25,$K$1)</f>
        <v>0</v>
      </c>
    </row>
    <row r="26" spans="1:19" s="29" customFormat="1" ht="15.75" customHeight="1">
      <c r="A26" s="66"/>
      <c r="B26" s="45" t="s">
        <v>10</v>
      </c>
      <c r="C26" s="40">
        <f>_xll.DBRW($C$2,Input_Prod_03!$G$11,Input_Prod_03!$C$14,$M$1,$B26,$K$1)</f>
        <v>0</v>
      </c>
      <c r="D26" s="40">
        <f>_xll.DBRW($C$2,Input_Prod_03!$G$11,Input_Prod_03!$C$14,$M$1,$B26,$K$1)</f>
        <v>0</v>
      </c>
      <c r="E26" s="40">
        <f>_xll.DBRW($C$2,Input_Prod_03!$G$11,Input_Prod_03!$C$14,$M$1,$B26,$K$1)</f>
        <v>0</v>
      </c>
      <c r="F26" s="40">
        <f>_xll.DBRW($C$2,Input_Prod_03!$G$11,Input_Prod_03!$C$14,$M$1,$B26,$K$1)</f>
        <v>0</v>
      </c>
      <c r="G26" s="40">
        <f>_xll.DBRW($C$2,Input_Prod_03!$G$11,Input_Prod_03!$C$14,$M$1,$B26,$K$1)</f>
        <v>0</v>
      </c>
      <c r="H26" s="40">
        <f>_xll.DBRW($C$2,Input_Prod_03!$G$11,Input_Prod_03!$C$14,$M$1,$B26,$K$1)</f>
        <v>0</v>
      </c>
      <c r="I26" s="40">
        <f>_xll.DBRW($C$2,Input_Prod_03!$G$11,Input_Prod_03!$C$14,$M$1,$B26,$K$1)</f>
        <v>0</v>
      </c>
      <c r="J26" s="40">
        <f>_xll.DBRW($C$2,Input_Prod_03!$G$11,Input_Prod_03!$C$14,$M$1,$B26,$K$1)</f>
        <v>0</v>
      </c>
      <c r="K26" s="40">
        <f>_xll.DBRW($C$2,Input_Prod_03!$G$11,Input_Prod_03!$C$14,$M$1,$B26,$K$1)</f>
        <v>0</v>
      </c>
      <c r="L26" s="40">
        <f>_xll.DBRW($C$2,Input_Prod_03!$G$11,Input_Prod_03!$C$14,$M$1,$B26,$K$1)</f>
        <v>0</v>
      </c>
      <c r="M26" s="40">
        <f>_xll.DBRW($C$2,Input_Prod_03!$G$11,Input_Prod_03!$C$14,$M$1,$B26,$K$1)</f>
        <v>0</v>
      </c>
      <c r="N26" s="40">
        <f>_xll.DBRW($C$2,Input_Prod_03!$G$11,Input_Prod_03!$C$14,$M$1,$B26,$K$1)</f>
        <v>0</v>
      </c>
      <c r="O26" s="40">
        <f>_xll.DBRW($C$2,O$13,$O$15,$M$1,$B26,$K$1)</f>
        <v>0</v>
      </c>
      <c r="P26" s="40">
        <f>_xll.DBRW($C$2,P$13,$O$15,$M$1,$B26,$K$1)</f>
        <v>0</v>
      </c>
      <c r="Q26" s="40">
        <f>_xll.DBRW($C$2,Q$13,$O$15,$M$1,$B26,$K$1)</f>
        <v>0</v>
      </c>
      <c r="R26" s="40">
        <f>_xll.DBRW($C$2,R$13,$O$15,$M$1,$B26,$K$1)</f>
        <v>0</v>
      </c>
      <c r="S26" s="40">
        <f>_xll.DBRW($C$2,S$13,$O$15,$M$1,$B26,$K$1)</f>
        <v>0</v>
      </c>
    </row>
    <row r="27" spans="1:19" s="29" customFormat="1" ht="15.75" customHeight="1">
      <c r="A27" s="66"/>
      <c r="B27" s="45" t="s">
        <v>11</v>
      </c>
      <c r="C27" s="40">
        <f>_xll.DBRW($C$2,Input_Prod_03!$G$11,Input_Prod_03!$C$14,$M$1,$B27,$K$1)</f>
        <v>0</v>
      </c>
      <c r="D27" s="40">
        <f>_xll.DBRW($C$2,Input_Prod_03!$G$11,Input_Prod_03!$C$14,$M$1,$B27,$K$1)</f>
        <v>0</v>
      </c>
      <c r="E27" s="40">
        <f>_xll.DBRW($C$2,Input_Prod_03!$G$11,Input_Prod_03!$C$14,$M$1,$B27,$K$1)</f>
        <v>0</v>
      </c>
      <c r="F27" s="40">
        <f>_xll.DBRW($C$2,Input_Prod_03!$G$11,Input_Prod_03!$C$14,$M$1,$B27,$K$1)</f>
        <v>0</v>
      </c>
      <c r="G27" s="40">
        <f>_xll.DBRW($C$2,Input_Prod_03!$G$11,Input_Prod_03!$C$14,$M$1,$B27,$K$1)</f>
        <v>0</v>
      </c>
      <c r="H27" s="40">
        <f>_xll.DBRW($C$2,Input_Prod_03!$G$11,Input_Prod_03!$C$14,$M$1,$B27,$K$1)</f>
        <v>0</v>
      </c>
      <c r="I27" s="40">
        <f>_xll.DBRW($C$2,Input_Prod_03!$G$11,Input_Prod_03!$C$14,$M$1,$B27,$K$1)</f>
        <v>0</v>
      </c>
      <c r="J27" s="40">
        <f>_xll.DBRW($C$2,Input_Prod_03!$G$11,Input_Prod_03!$C$14,$M$1,$B27,$K$1)</f>
        <v>0</v>
      </c>
      <c r="K27" s="40">
        <f>_xll.DBRW($C$2,Input_Prod_03!$G$11,Input_Prod_03!$C$14,$M$1,$B27,$K$1)</f>
        <v>0</v>
      </c>
      <c r="L27" s="40">
        <f>_xll.DBRW($C$2,Input_Prod_03!$G$11,Input_Prod_03!$C$14,$M$1,$B27,$K$1)</f>
        <v>0</v>
      </c>
      <c r="M27" s="40">
        <f>_xll.DBRW($C$2,Input_Prod_03!$G$11,Input_Prod_03!$C$14,$M$1,$B27,$K$1)</f>
        <v>0</v>
      </c>
      <c r="N27" s="40">
        <f>_xll.DBRW($C$2,Input_Prod_03!$G$11,Input_Prod_03!$C$14,$M$1,$B27,$K$1)</f>
        <v>0</v>
      </c>
      <c r="O27" s="40">
        <f>_xll.DBRW($C$2,O$13,$O$15,$M$1,$B27,$K$1)</f>
        <v>0</v>
      </c>
      <c r="P27" s="40">
        <f>_xll.DBRW($C$2,P$13,$O$15,$M$1,$B27,$K$1)</f>
        <v>0</v>
      </c>
      <c r="Q27" s="40">
        <f>_xll.DBRW($C$2,Q$13,$O$15,$M$1,$B27,$K$1)</f>
        <v>0</v>
      </c>
      <c r="R27" s="40">
        <f>_xll.DBRW($C$2,R$13,$O$15,$M$1,$B27,$K$1)</f>
        <v>0</v>
      </c>
      <c r="S27" s="40">
        <f>_xll.DBRW($C$2,S$13,$O$15,$M$1,$B27,$K$1)</f>
        <v>0</v>
      </c>
    </row>
    <row r="28" spans="1:19" s="29" customFormat="1" ht="15.75" customHeight="1">
      <c r="A28" s="66"/>
      <c r="B28" s="45" t="s">
        <v>12</v>
      </c>
      <c r="C28" s="40">
        <f>_xll.DBRW($C$2,Input_Prod_03!$G$11,Input_Prod_03!$C$14,$M$1,$B28,$K$1)</f>
        <v>0</v>
      </c>
      <c r="D28" s="40">
        <f>_xll.DBRW($C$2,Input_Prod_03!$G$11,Input_Prod_03!$C$14,$M$1,$B28,$K$1)</f>
        <v>0</v>
      </c>
      <c r="E28" s="40">
        <f>_xll.DBRW($C$2,Input_Prod_03!$G$11,Input_Prod_03!$C$14,$M$1,$B28,$K$1)</f>
        <v>0</v>
      </c>
      <c r="F28" s="40">
        <f>_xll.DBRW($C$2,Input_Prod_03!$G$11,Input_Prod_03!$C$14,$M$1,$B28,$K$1)</f>
        <v>0</v>
      </c>
      <c r="G28" s="40">
        <f>_xll.DBRW($C$2,Input_Prod_03!$G$11,Input_Prod_03!$C$14,$M$1,$B28,$K$1)</f>
        <v>0</v>
      </c>
      <c r="H28" s="40">
        <f>_xll.DBRW($C$2,Input_Prod_03!$G$11,Input_Prod_03!$C$14,$M$1,$B28,$K$1)</f>
        <v>0</v>
      </c>
      <c r="I28" s="40">
        <f>_xll.DBRW($C$2,Input_Prod_03!$G$11,Input_Prod_03!$C$14,$M$1,$B28,$K$1)</f>
        <v>0</v>
      </c>
      <c r="J28" s="40">
        <f>_xll.DBRW($C$2,Input_Prod_03!$G$11,Input_Prod_03!$C$14,$M$1,$B28,$K$1)</f>
        <v>0</v>
      </c>
      <c r="K28" s="40">
        <f>_xll.DBRW($C$2,Input_Prod_03!$G$11,Input_Prod_03!$C$14,$M$1,$B28,$K$1)</f>
        <v>0</v>
      </c>
      <c r="L28" s="40">
        <f>_xll.DBRW($C$2,Input_Prod_03!$G$11,Input_Prod_03!$C$14,$M$1,$B28,$K$1)</f>
        <v>0</v>
      </c>
      <c r="M28" s="40">
        <f>_xll.DBRW($C$2,Input_Prod_03!$G$11,Input_Prod_03!$C$14,$M$1,$B28,$K$1)</f>
        <v>0</v>
      </c>
      <c r="N28" s="40">
        <f>_xll.DBRW($C$2,Input_Prod_03!$G$11,Input_Prod_03!$C$14,$M$1,$B28,$K$1)</f>
        <v>0</v>
      </c>
      <c r="O28" s="40">
        <f>_xll.DBRW($C$2,O$13,$O$15,$M$1,$B28,$K$1)</f>
        <v>0</v>
      </c>
      <c r="P28" s="40">
        <f>_xll.DBRW($C$2,P$13,$O$15,$M$1,$B28,$K$1)</f>
        <v>0</v>
      </c>
      <c r="Q28" s="40">
        <f>_xll.DBRW($C$2,Q$13,$O$15,$M$1,$B28,$K$1)</f>
        <v>0</v>
      </c>
      <c r="R28" s="40">
        <f>_xll.DBRW($C$2,R$13,$O$15,$M$1,$B28,$K$1)</f>
        <v>0</v>
      </c>
      <c r="S28" s="40">
        <f>_xll.DBRW($C$2,S$13,$O$15,$M$1,$B28,$K$1)</f>
        <v>0</v>
      </c>
    </row>
    <row r="29" spans="1:19" s="29" customFormat="1" ht="15.75" customHeight="1">
      <c r="A29" s="66"/>
      <c r="B29" s="45" t="s">
        <v>13</v>
      </c>
      <c r="C29" s="40">
        <f>_xll.DBRW($C$2,Input_Prod_03!$G$11,Input_Prod_03!$C$14,$M$1,$B29,$K$1)</f>
        <v>0</v>
      </c>
      <c r="D29" s="40">
        <f>_xll.DBRW($C$2,Input_Prod_03!$G$11,Input_Prod_03!$C$14,$M$1,$B29,$K$1)</f>
        <v>0</v>
      </c>
      <c r="E29" s="40">
        <f>_xll.DBRW($C$2,Input_Prod_03!$G$11,Input_Prod_03!$C$14,$M$1,$B29,$K$1)</f>
        <v>0</v>
      </c>
      <c r="F29" s="40">
        <f>_xll.DBRW($C$2,Input_Prod_03!$G$11,Input_Prod_03!$C$14,$M$1,$B29,$K$1)</f>
        <v>0</v>
      </c>
      <c r="G29" s="40">
        <f>_xll.DBRW($C$2,Input_Prod_03!$G$11,Input_Prod_03!$C$14,$M$1,$B29,$K$1)</f>
        <v>0</v>
      </c>
      <c r="H29" s="40">
        <f>_xll.DBRW($C$2,Input_Prod_03!$G$11,Input_Prod_03!$C$14,$M$1,$B29,$K$1)</f>
        <v>0</v>
      </c>
      <c r="I29" s="40">
        <f>_xll.DBRW($C$2,Input_Prod_03!$G$11,Input_Prod_03!$C$14,$M$1,$B29,$K$1)</f>
        <v>0</v>
      </c>
      <c r="J29" s="40">
        <f>_xll.DBRW($C$2,Input_Prod_03!$G$11,Input_Prod_03!$C$14,$M$1,$B29,$K$1)</f>
        <v>0</v>
      </c>
      <c r="K29" s="40">
        <f>_xll.DBRW($C$2,Input_Prod_03!$G$11,Input_Prod_03!$C$14,$M$1,$B29,$K$1)</f>
        <v>0</v>
      </c>
      <c r="L29" s="40">
        <f>_xll.DBRW($C$2,Input_Prod_03!$G$11,Input_Prod_03!$C$14,$M$1,$B29,$K$1)</f>
        <v>0</v>
      </c>
      <c r="M29" s="40">
        <f>_xll.DBRW($C$2,Input_Prod_03!$G$11,Input_Prod_03!$C$14,$M$1,$B29,$K$1)</f>
        <v>0</v>
      </c>
      <c r="N29" s="40">
        <f>_xll.DBRW($C$2,Input_Prod_03!$G$11,Input_Prod_03!$C$14,$M$1,$B29,$K$1)</f>
        <v>0</v>
      </c>
      <c r="O29" s="40">
        <f>_xll.DBRW($C$2,O$13,$O$15,$M$1,$B29,$K$1)</f>
        <v>0</v>
      </c>
      <c r="P29" s="40">
        <f>_xll.DBRW($C$2,P$13,$O$15,$M$1,$B29,$K$1)</f>
        <v>0</v>
      </c>
      <c r="Q29" s="40">
        <f>_xll.DBRW($C$2,Q$13,$O$15,$M$1,$B29,$K$1)</f>
        <v>0</v>
      </c>
      <c r="R29" s="40">
        <f>_xll.DBRW($C$2,R$13,$O$15,$M$1,$B29,$K$1)</f>
        <v>0</v>
      </c>
      <c r="S29" s="40">
        <f>_xll.DBRW($C$2,S$13,$O$15,$M$1,$B29,$K$1)</f>
        <v>0</v>
      </c>
    </row>
    <row r="30" spans="1:19" s="29" customFormat="1" ht="15.75" customHeight="1">
      <c r="A30" s="66"/>
      <c r="B30" s="45" t="s">
        <v>14</v>
      </c>
      <c r="C30" s="40">
        <f>_xll.DBRW($C$2,Input_Prod_03!$G$11,Input_Prod_03!$C$14,$M$1,$B30,$K$1)</f>
        <v>31</v>
      </c>
      <c r="D30" s="40">
        <f>_xll.DBRW($C$2,Input_Prod_03!$G$11,Input_Prod_03!$C$14,$M$1,$B30,$K$1)</f>
        <v>31</v>
      </c>
      <c r="E30" s="40">
        <f>_xll.DBRW($C$2,Input_Prod_03!$G$11,Input_Prod_03!$C$14,$M$1,$B30,$K$1)</f>
        <v>31</v>
      </c>
      <c r="F30" s="40">
        <f>_xll.DBRW($C$2,Input_Prod_03!$G$11,Input_Prod_03!$C$14,$M$1,$B30,$K$1)</f>
        <v>31</v>
      </c>
      <c r="G30" s="40">
        <f>_xll.DBRW($C$2,Input_Prod_03!$G$11,Input_Prod_03!$C$14,$M$1,$B30,$K$1)</f>
        <v>31</v>
      </c>
      <c r="H30" s="40">
        <f>_xll.DBRW($C$2,Input_Prod_03!$G$11,Input_Prod_03!$C$14,$M$1,$B30,$K$1)</f>
        <v>31</v>
      </c>
      <c r="I30" s="40">
        <f>_xll.DBRW($C$2,Input_Prod_03!$G$11,Input_Prod_03!$C$14,$M$1,$B30,$K$1)</f>
        <v>31</v>
      </c>
      <c r="J30" s="40">
        <f>_xll.DBRW($C$2,Input_Prod_03!$G$11,Input_Prod_03!$C$14,$M$1,$B30,$K$1)</f>
        <v>31</v>
      </c>
      <c r="K30" s="40">
        <f>_xll.DBRW($C$2,Input_Prod_03!$G$11,Input_Prod_03!$C$14,$M$1,$B30,$K$1)</f>
        <v>31</v>
      </c>
      <c r="L30" s="40">
        <f>_xll.DBRW($C$2,Input_Prod_03!$G$11,Input_Prod_03!$C$14,$M$1,$B30,$K$1)</f>
        <v>31</v>
      </c>
      <c r="M30" s="40">
        <f>_xll.DBRW($C$2,Input_Prod_03!$G$11,Input_Prod_03!$C$14,$M$1,$B30,$K$1)</f>
        <v>31</v>
      </c>
      <c r="N30" s="40">
        <f>_xll.DBRW($C$2,Input_Prod_03!$G$11,Input_Prod_03!$C$14,$M$1,$B30,$K$1)</f>
        <v>31</v>
      </c>
      <c r="O30" s="40">
        <f>_xll.DBRW($C$2,O$13,$O$15,$M$1,$B30,$K$1)</f>
        <v>0</v>
      </c>
      <c r="P30" s="40">
        <f>_xll.DBRW($C$2,P$13,$O$15,$M$1,$B30,$K$1)</f>
        <v>0</v>
      </c>
      <c r="Q30" s="40">
        <f>_xll.DBRW($C$2,Q$13,$O$15,$M$1,$B30,$K$1)</f>
        <v>0</v>
      </c>
      <c r="R30" s="40">
        <f>_xll.DBRW($C$2,R$13,$O$15,$M$1,$B30,$K$1)</f>
        <v>0</v>
      </c>
      <c r="S30" s="40">
        <f>_xll.DBRW($C$2,S$13,$O$15,$M$1,$B30,$K$1)</f>
        <v>0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7" t="str">
        <f>_xll.SUBNM("CONS_VC_PRD:ALL.D.Products","Nivel_0","PRODAG010 - Aggregates","Código e Descrição")</f>
        <v>PRODAG010 - Aggregates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8">
        <f>$G$11+1</f>
        <v>2027</v>
      </c>
      <c r="P35" s="98">
        <f>$G$11+2</f>
        <v>2028</v>
      </c>
      <c r="Q35" s="98">
        <f>$G$11+3</f>
        <v>2029</v>
      </c>
      <c r="R35" s="98">
        <f>$G$11+4</f>
        <v>2030</v>
      </c>
      <c r="S35" s="98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_xll.DBRW($B$1,Input_Prod_03!$G$11,Input_Prod_03!C$14,$M$1,Input_Prod_03!$I$11,$C$11,Input_Prod_03!$E$33,Input_Prod_03!$A37,$L$1,$K$1)</f>
        <v>0</v>
      </c>
      <c r="D37" s="36">
        <f>_xll.DBRW($B$1,Input_Prod_03!$G$11,Input_Prod_03!D$14,$M$1,Input_Prod_03!$I$11,$C$11,Input_Prod_03!$E$33,Input_Prod_03!$A37,$L$1,$K$1)</f>
        <v>0</v>
      </c>
      <c r="E37" s="36">
        <f>_xll.DBRW($B$1,Input_Prod_03!$G$11,Input_Prod_03!E$14,$M$1,Input_Prod_03!$I$11,$C$11,Input_Prod_03!$E$33,Input_Prod_03!$A37,$L$1,$K$1)</f>
        <v>0</v>
      </c>
      <c r="F37" s="36">
        <f>_xll.DBRW($B$1,Input_Prod_03!$G$11,Input_Prod_03!F$14,$M$1,Input_Prod_03!$I$11,$C$11,Input_Prod_03!$E$33,Input_Prod_03!$A37,$L$1,$K$1)</f>
        <v>0</v>
      </c>
      <c r="G37" s="36">
        <f>_xll.DBRW($B$1,Input_Prod_03!$G$11,Input_Prod_03!G$14,$M$1,Input_Prod_03!$I$11,$C$11,Input_Prod_03!$E$33,Input_Prod_03!$A37,$L$1,$K$1)</f>
        <v>0</v>
      </c>
      <c r="H37" s="36">
        <f>_xll.DBRW($B$1,Input_Prod_03!$G$11,Input_Prod_03!H$14,$M$1,Input_Prod_03!$I$11,$C$11,Input_Prod_03!$E$33,Input_Prod_03!$A37,$L$1,$K$1)</f>
        <v>0</v>
      </c>
      <c r="I37" s="36">
        <f>_xll.DBRW($B$1,Input_Prod_03!$G$11,Input_Prod_03!I$14,$M$1,Input_Prod_03!$I$11,$C$11,Input_Prod_03!$E$33,Input_Prod_03!$A37,$L$1,$K$1)</f>
        <v>0</v>
      </c>
      <c r="J37" s="36">
        <f>_xll.DBRW($B$1,Input_Prod_03!$G$11,Input_Prod_03!J$14,$M$1,Input_Prod_03!$I$11,$C$11,Input_Prod_03!$E$33,Input_Prod_03!$A37,$L$1,$K$1)</f>
        <v>0</v>
      </c>
      <c r="K37" s="36">
        <f>_xll.DBRW($B$1,Input_Prod_03!$G$11,Input_Prod_03!K$14,$M$1,Input_Prod_03!$I$11,$C$11,Input_Prod_03!$E$33,Input_Prod_03!$A37,$L$1,$K$1)</f>
        <v>0</v>
      </c>
      <c r="L37" s="36">
        <f>_xll.DBRW($B$1,Input_Prod_03!$G$11,Input_Prod_03!L$14,$M$1,Input_Prod_03!$I$11,$C$11,Input_Prod_03!$E$33,Input_Prod_03!$A37,$L$1,$K$1)</f>
        <v>0</v>
      </c>
      <c r="M37" s="36">
        <f>_xll.DBRW($B$1,Input_Prod_03!$G$11,Input_Prod_03!M$14,$M$1,Input_Prod_03!$I$11,$C$11,Input_Prod_03!$E$33,Input_Prod_03!$A37,$L$1,$K$1)</f>
        <v>0</v>
      </c>
      <c r="N37" s="36">
        <f>_xll.DBRW($B$1,Input_Prod_03!$G$11,Input_Prod_03!N$14,$M$1,Input_Prod_03!$I$11,$C$11,Input_Prod_03!$E$33,Input_Prod_03!$A37,$L$1,$K$1)</f>
        <v>0</v>
      </c>
      <c r="O37" s="36">
        <f>_xll.DBRW($B$1,O$13,O$15,$M$1,Input_Prod_03!$I$11,$C$11,Input_Prod_03!$E$33,Input_Prod_03!$A37,$L$1,$K$1)</f>
        <v>0</v>
      </c>
      <c r="P37" s="36">
        <f>_xll.DBRW($B$1,P$13,P$15,$M$1,Input_Prod_03!$I$11,$C$11,Input_Prod_03!$E$33,Input_Prod_03!$A37,$L$1,$K$1)</f>
        <v>0</v>
      </c>
      <c r="Q37" s="36">
        <f>_xll.DBRW($B$1,Q$13,Q$15,$M$1,Input_Prod_03!$I$11,$C$11,Input_Prod_03!$E$33,Input_Prod_03!$A37,$L$1,$K$1)</f>
        <v>0</v>
      </c>
      <c r="R37" s="36">
        <f>_xll.DBRW($B$1,R$13,R$15,$M$1,Input_Prod_03!$I$11,$C$11,Input_Prod_03!$E$33,Input_Prod_03!$A37,$L$1,$K$1)</f>
        <v>0</v>
      </c>
      <c r="S37" s="36">
        <f>_xll.DBRW($B$1,S$13,S$15,$M$1,Input_Prod_03!$I$11,$C$11,Input_Prod_03!$E$33,Input_Prod_03!$A37,$L$1,$K$1)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_xll.DBRW($B$1,Input_Prod_03!$G$11,Input_Prod_03!C$14,$M$1,Input_Prod_03!$I$11,$C$11,Input_Prod_03!$E$33,Input_Prod_03!$A38,$L$1,$K$1)</f>
        <v>0</v>
      </c>
      <c r="D38" s="36">
        <f>_xll.DBRW($B$1,Input_Prod_03!$G$11,Input_Prod_03!D$14,$M$1,Input_Prod_03!$I$11,$C$11,Input_Prod_03!$E$33,Input_Prod_03!$A38,$L$1,$K$1)</f>
        <v>425.08819999999997</v>
      </c>
      <c r="E38" s="36">
        <f>_xll.DBRW($B$1,Input_Prod_03!$G$11,Input_Prod_03!E$14,$M$1,Input_Prod_03!$I$11,$C$11,Input_Prod_03!$E$33,Input_Prod_03!$A38,$L$1,$K$1)</f>
        <v>535.83900000000006</v>
      </c>
      <c r="F38" s="36">
        <f>_xll.DBRW($B$1,Input_Prod_03!$G$11,Input_Prod_03!F$14,$M$1,Input_Prod_03!$I$11,$C$11,Input_Prod_03!$E$33,Input_Prod_03!$A38,$L$1,$K$1)</f>
        <v>529.81179999999995</v>
      </c>
      <c r="G38" s="36">
        <f>_xll.DBRW($B$1,Input_Prod_03!$G$11,Input_Prod_03!G$14,$M$1,Input_Prod_03!$I$11,$C$11,Input_Prod_03!$E$33,Input_Prod_03!$A38,$L$1,$K$1)</f>
        <v>569.02470000000005</v>
      </c>
      <c r="H38" s="36">
        <f>_xll.DBRW($B$1,Input_Prod_03!$G$11,Input_Prod_03!H$14,$M$1,Input_Prod_03!$I$11,$C$11,Input_Prod_03!$E$33,Input_Prod_03!$A38,$L$1,$K$1)</f>
        <v>576.12530000000004</v>
      </c>
      <c r="I38" s="36">
        <f>_xll.DBRW($B$1,Input_Prod_03!$G$11,Input_Prod_03!I$14,$M$1,Input_Prod_03!$I$11,$C$11,Input_Prod_03!$E$33,Input_Prod_03!$A38,$L$1,$K$1)</f>
        <v>619.66359999999997</v>
      </c>
      <c r="J38" s="36">
        <f>_xll.DBRW($B$1,Input_Prod_03!$G$11,Input_Prod_03!J$14,$M$1,Input_Prod_03!$I$11,$C$11,Input_Prod_03!$E$33,Input_Prod_03!$A38,$L$1,$K$1)</f>
        <v>612.79269999999997</v>
      </c>
      <c r="K38" s="36">
        <f>_xll.DBRW($B$1,Input_Prod_03!$G$11,Input_Prod_03!K$14,$M$1,Input_Prod_03!$I$11,$C$11,Input_Prod_03!$E$33,Input_Prod_03!$A38,$L$1,$K$1)</f>
        <v>604.5779</v>
      </c>
      <c r="L38" s="36">
        <f>_xll.DBRW($B$1,Input_Prod_03!$G$11,Input_Prod_03!L$14,$M$1,Input_Prod_03!$I$11,$C$11,Input_Prod_03!$E$33,Input_Prod_03!$A38,$L$1,$K$1)</f>
        <v>610.13260000000002</v>
      </c>
      <c r="M38" s="36">
        <f>_xll.DBRW($B$1,Input_Prod_03!$G$11,Input_Prod_03!M$14,$M$1,Input_Prod_03!$I$11,$C$11,Input_Prod_03!$E$33,Input_Prod_03!$A38,$L$1,$K$1)</f>
        <v>546.75260000000003</v>
      </c>
      <c r="N38" s="36">
        <f>_xll.DBRW($B$1,Input_Prod_03!$G$11,Input_Prod_03!N$14,$M$1,Input_Prod_03!$I$11,$C$11,Input_Prod_03!$E$33,Input_Prod_03!$A38,$L$1,$K$1)</f>
        <v>514.43110000000001</v>
      </c>
      <c r="O38" s="36">
        <f>_xll.DBRW($B$1,O$13,O$15,$M$1,Input_Prod_03!$I$11,$C$11,Input_Prod_03!$E$33,Input_Prod_03!$A38,$L$1,$K$1)</f>
        <v>0</v>
      </c>
      <c r="P38" s="36">
        <f>_xll.DBRW($B$1,P$13,P$15,$M$1,Input_Prod_03!$I$11,$C$11,Input_Prod_03!$E$33,Input_Prod_03!$A38,$L$1,$K$1)</f>
        <v>0</v>
      </c>
      <c r="Q38" s="36">
        <f>_xll.DBRW($B$1,Q$13,Q$15,$M$1,Input_Prod_03!$I$11,$C$11,Input_Prod_03!$E$33,Input_Prod_03!$A38,$L$1,$K$1)</f>
        <v>0</v>
      </c>
      <c r="R38" s="36">
        <f>_xll.DBRW($B$1,R$13,R$15,$M$1,Input_Prod_03!$I$11,$C$11,Input_Prod_03!$E$33,Input_Prod_03!$A38,$L$1,$K$1)</f>
        <v>0</v>
      </c>
      <c r="S38" s="36">
        <f>_xll.DBRW($B$1,S$13,S$15,$M$1,Input_Prod_03!$I$11,$C$11,Input_Prod_03!$E$33,Input_Prod_03!$A38,$L$1,$K$1)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_xll.DBRW($B$1,Input_Prod_03!$G$11,Input_Prod_03!C$14,$M$1,Input_Prod_03!$I$11,$C$11,Input_Prod_03!$E$33,Input_Prod_03!$A39,$L$1,$K$1)</f>
        <v>0</v>
      </c>
      <c r="D39" s="36">
        <f>_xll.DBRW($B$1,Input_Prod_03!$G$11,Input_Prod_03!D$14,$M$1,Input_Prod_03!$I$11,$C$11,Input_Prod_03!$E$33,Input_Prod_03!$A39,$L$1,$K$1)</f>
        <v>0</v>
      </c>
      <c r="E39" s="36">
        <f>_xll.DBRW($B$1,Input_Prod_03!$G$11,Input_Prod_03!E$14,$M$1,Input_Prod_03!$I$11,$C$11,Input_Prod_03!$E$33,Input_Prod_03!$A39,$L$1,$K$1)</f>
        <v>0</v>
      </c>
      <c r="F39" s="36">
        <f>_xll.DBRW($B$1,Input_Prod_03!$G$11,Input_Prod_03!F$14,$M$1,Input_Prod_03!$I$11,$C$11,Input_Prod_03!$E$33,Input_Prod_03!$A39,$L$1,$K$1)</f>
        <v>0</v>
      </c>
      <c r="G39" s="36">
        <f>_xll.DBRW($B$1,Input_Prod_03!$G$11,Input_Prod_03!G$14,$M$1,Input_Prod_03!$I$11,$C$11,Input_Prod_03!$E$33,Input_Prod_03!$A39,$L$1,$K$1)</f>
        <v>0</v>
      </c>
      <c r="H39" s="36">
        <f>_xll.DBRW($B$1,Input_Prod_03!$G$11,Input_Prod_03!H$14,$M$1,Input_Prod_03!$I$11,$C$11,Input_Prod_03!$E$33,Input_Prod_03!$A39,$L$1,$K$1)</f>
        <v>0</v>
      </c>
      <c r="I39" s="36">
        <f>_xll.DBRW($B$1,Input_Prod_03!$G$11,Input_Prod_03!I$14,$M$1,Input_Prod_03!$I$11,$C$11,Input_Prod_03!$E$33,Input_Prod_03!$A39,$L$1,$K$1)</f>
        <v>0</v>
      </c>
      <c r="J39" s="36">
        <f>_xll.DBRW($B$1,Input_Prod_03!$G$11,Input_Prod_03!J$14,$M$1,Input_Prod_03!$I$11,$C$11,Input_Prod_03!$E$33,Input_Prod_03!$A39,$L$1,$K$1)</f>
        <v>0</v>
      </c>
      <c r="K39" s="36">
        <f>_xll.DBRW($B$1,Input_Prod_03!$G$11,Input_Prod_03!K$14,$M$1,Input_Prod_03!$I$11,$C$11,Input_Prod_03!$E$33,Input_Prod_03!$A39,$L$1,$K$1)</f>
        <v>0</v>
      </c>
      <c r="L39" s="36">
        <f>_xll.DBRW($B$1,Input_Prod_03!$G$11,Input_Prod_03!L$14,$M$1,Input_Prod_03!$I$11,$C$11,Input_Prod_03!$E$33,Input_Prod_03!$A39,$L$1,$K$1)</f>
        <v>0</v>
      </c>
      <c r="M39" s="36">
        <f>_xll.DBRW($B$1,Input_Prod_03!$G$11,Input_Prod_03!M$14,$M$1,Input_Prod_03!$I$11,$C$11,Input_Prod_03!$E$33,Input_Prod_03!$A39,$L$1,$K$1)</f>
        <v>0</v>
      </c>
      <c r="N39" s="36">
        <f>_xll.DBRW($B$1,Input_Prod_03!$G$11,Input_Prod_03!N$14,$M$1,Input_Prod_03!$I$11,$C$11,Input_Prod_03!$E$33,Input_Prod_03!$A39,$L$1,$K$1)</f>
        <v>0</v>
      </c>
      <c r="O39" s="36">
        <f>_xll.DBRW($B$1,O$13,O$15,$M$1,Input_Prod_03!$I$11,$C$11,Input_Prod_03!$E$33,Input_Prod_03!$A39,$L$1,$K$1)</f>
        <v>0</v>
      </c>
      <c r="P39" s="36">
        <f>_xll.DBRW($B$1,P$13,P$15,$M$1,Input_Prod_03!$I$11,$C$11,Input_Prod_03!$E$33,Input_Prod_03!$A39,$L$1,$K$1)</f>
        <v>0</v>
      </c>
      <c r="Q39" s="36">
        <f>_xll.DBRW($B$1,Q$13,Q$15,$M$1,Input_Prod_03!$I$11,$C$11,Input_Prod_03!$E$33,Input_Prod_03!$A39,$L$1,$K$1)</f>
        <v>0</v>
      </c>
      <c r="R39" s="36">
        <f>_xll.DBRW($B$1,R$13,R$15,$M$1,Input_Prod_03!$I$11,$C$11,Input_Prod_03!$E$33,Input_Prod_03!$A39,$L$1,$K$1)</f>
        <v>0</v>
      </c>
      <c r="S39" s="36">
        <f>_xll.DBRW($B$1,S$13,S$15,$M$1,Input_Prod_03!$I$11,$C$11,Input_Prod_03!$E$33,Input_Prod_03!$A39,$L$1,$K$1)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_xll.DBRW($B$1,Input_Prod_03!$G$11,Input_Prod_03!C$14,$M$1,Input_Prod_03!$I$11,$C$11,Input_Prod_03!$E$33,Input_Prod_03!$A40,$L$1,$K$1)</f>
        <v>0</v>
      </c>
      <c r="D40" s="36">
        <f>_xll.DBRW($B$1,Input_Prod_03!$G$11,Input_Prod_03!D$14,$M$1,Input_Prod_03!$I$11,$C$11,Input_Prod_03!$E$33,Input_Prod_03!$A40,$L$1,$K$1)</f>
        <v>0</v>
      </c>
      <c r="E40" s="36">
        <f>_xll.DBRW($B$1,Input_Prod_03!$G$11,Input_Prod_03!E$14,$M$1,Input_Prod_03!$I$11,$C$11,Input_Prod_03!$E$33,Input_Prod_03!$A40,$L$1,$K$1)</f>
        <v>0</v>
      </c>
      <c r="F40" s="36">
        <f>_xll.DBRW($B$1,Input_Prod_03!$G$11,Input_Prod_03!F$14,$M$1,Input_Prod_03!$I$11,$C$11,Input_Prod_03!$E$33,Input_Prod_03!$A40,$L$1,$K$1)</f>
        <v>0</v>
      </c>
      <c r="G40" s="36">
        <f>_xll.DBRW($B$1,Input_Prod_03!$G$11,Input_Prod_03!G$14,$M$1,Input_Prod_03!$I$11,$C$11,Input_Prod_03!$E$33,Input_Prod_03!$A40,$L$1,$K$1)</f>
        <v>0</v>
      </c>
      <c r="H40" s="36">
        <f>_xll.DBRW($B$1,Input_Prod_03!$G$11,Input_Prod_03!H$14,$M$1,Input_Prod_03!$I$11,$C$11,Input_Prod_03!$E$33,Input_Prod_03!$A40,$L$1,$K$1)</f>
        <v>0</v>
      </c>
      <c r="I40" s="36">
        <f>_xll.DBRW($B$1,Input_Prod_03!$G$11,Input_Prod_03!I$14,$M$1,Input_Prod_03!$I$11,$C$11,Input_Prod_03!$E$33,Input_Prod_03!$A40,$L$1,$K$1)</f>
        <v>0</v>
      </c>
      <c r="J40" s="36">
        <f>_xll.DBRW($B$1,Input_Prod_03!$G$11,Input_Prod_03!J$14,$M$1,Input_Prod_03!$I$11,$C$11,Input_Prod_03!$E$33,Input_Prod_03!$A40,$L$1,$K$1)</f>
        <v>0</v>
      </c>
      <c r="K40" s="36">
        <f>_xll.DBRW($B$1,Input_Prod_03!$G$11,Input_Prod_03!K$14,$M$1,Input_Prod_03!$I$11,$C$11,Input_Prod_03!$E$33,Input_Prod_03!$A40,$L$1,$K$1)</f>
        <v>0</v>
      </c>
      <c r="L40" s="36">
        <f>_xll.DBRW($B$1,Input_Prod_03!$G$11,Input_Prod_03!L$14,$M$1,Input_Prod_03!$I$11,$C$11,Input_Prod_03!$E$33,Input_Prod_03!$A40,$L$1,$K$1)</f>
        <v>0</v>
      </c>
      <c r="M40" s="36">
        <f>_xll.DBRW($B$1,Input_Prod_03!$G$11,Input_Prod_03!M$14,$M$1,Input_Prod_03!$I$11,$C$11,Input_Prod_03!$E$33,Input_Prod_03!$A40,$L$1,$K$1)</f>
        <v>0</v>
      </c>
      <c r="N40" s="36">
        <f>_xll.DBRW($B$1,Input_Prod_03!$G$11,Input_Prod_03!N$14,$M$1,Input_Prod_03!$I$11,$C$11,Input_Prod_03!$E$33,Input_Prod_03!$A40,$L$1,$K$1)</f>
        <v>0</v>
      </c>
      <c r="O40" s="36">
        <f>_xll.DBRW($B$1,O$13,O$15,$M$1,Input_Prod_03!$I$11,$C$11,Input_Prod_03!$E$33,Input_Prod_03!$A40,$L$1,$K$1)</f>
        <v>0</v>
      </c>
      <c r="P40" s="36">
        <f>_xll.DBRW($B$1,P$13,P$15,$M$1,Input_Prod_03!$I$11,$C$11,Input_Prod_03!$E$33,Input_Prod_03!$A40,$L$1,$K$1)</f>
        <v>0</v>
      </c>
      <c r="Q40" s="36">
        <f>_xll.DBRW($B$1,Q$13,Q$15,$M$1,Input_Prod_03!$I$11,$C$11,Input_Prod_03!$E$33,Input_Prod_03!$A40,$L$1,$K$1)</f>
        <v>0</v>
      </c>
      <c r="R40" s="36">
        <f>_xll.DBRW($B$1,R$13,R$15,$M$1,Input_Prod_03!$I$11,$C$11,Input_Prod_03!$E$33,Input_Prod_03!$A40,$L$1,$K$1)</f>
        <v>0</v>
      </c>
      <c r="S40" s="36">
        <f>_xll.DBRW($B$1,S$13,S$15,$M$1,Input_Prod_03!$I$11,$C$11,Input_Prod_03!$E$33,Input_Prod_03!$A40,$L$1,$K$1)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_xll.DBRW($B$1,Input_Prod_03!$G$11,Input_Prod_03!C$14,$M$1,Input_Prod_03!$I$11,$C$11,Input_Prod_03!$E$33,Input_Prod_03!$A41,$L$1,$K$1)</f>
        <v>0</v>
      </c>
      <c r="D41" s="36">
        <f>_xll.DBRW($B$1,Input_Prod_03!$G$11,Input_Prod_03!D$14,$M$1,Input_Prod_03!$I$11,$C$11,Input_Prod_03!$E$33,Input_Prod_03!$A41,$L$1,$K$1)</f>
        <v>34.287399999999998</v>
      </c>
      <c r="E41" s="36">
        <f>_xll.DBRW($B$1,Input_Prod_03!$G$11,Input_Prod_03!E$14,$M$1,Input_Prod_03!$I$11,$C$11,Input_Prod_03!$E$33,Input_Prod_03!$A41,$L$1,$K$1)</f>
        <v>34.988799999999998</v>
      </c>
      <c r="F41" s="36">
        <f>_xll.DBRW($B$1,Input_Prod_03!$G$11,Input_Prod_03!F$14,$M$1,Input_Prod_03!$I$11,$C$11,Input_Prod_03!$E$33,Input_Prod_03!$A41,$L$1,$K$1)</f>
        <v>34.579900000000002</v>
      </c>
      <c r="G41" s="36">
        <f>_xll.DBRW($B$1,Input_Prod_03!$G$11,Input_Prod_03!G$14,$M$1,Input_Prod_03!$I$11,$C$11,Input_Prod_03!$E$33,Input_Prod_03!$A41,$L$1,$K$1)</f>
        <v>35.815899999999999</v>
      </c>
      <c r="H41" s="36">
        <f>_xll.DBRW($B$1,Input_Prod_03!$G$11,Input_Prod_03!H$14,$M$1,Input_Prod_03!$I$11,$C$11,Input_Prod_03!$E$33,Input_Prod_03!$A41,$L$1,$K$1)</f>
        <v>35.339599999999997</v>
      </c>
      <c r="I41" s="36">
        <f>_xll.DBRW($B$1,Input_Prod_03!$G$11,Input_Prod_03!I$14,$M$1,Input_Prod_03!$I$11,$C$11,Input_Prod_03!$E$33,Input_Prod_03!$A41,$L$1,$K$1)</f>
        <v>35.363100000000003</v>
      </c>
      <c r="J41" s="36">
        <f>_xll.DBRW($B$1,Input_Prod_03!$G$11,Input_Prod_03!J$14,$M$1,Input_Prod_03!$I$11,$C$11,Input_Prod_03!$E$33,Input_Prod_03!$A41,$L$1,$K$1)</f>
        <v>36.959699999999998</v>
      </c>
      <c r="K41" s="36">
        <f>_xll.DBRW($B$1,Input_Prod_03!$G$11,Input_Prod_03!K$14,$M$1,Input_Prod_03!$I$11,$C$11,Input_Prod_03!$E$33,Input_Prod_03!$A41,$L$1,$K$1)</f>
        <v>37.555700000000002</v>
      </c>
      <c r="L41" s="36">
        <f>_xll.DBRW($B$1,Input_Prod_03!$G$11,Input_Prod_03!L$14,$M$1,Input_Prod_03!$I$11,$C$11,Input_Prod_03!$E$33,Input_Prod_03!$A41,$L$1,$K$1)</f>
        <v>37.4298</v>
      </c>
      <c r="M41" s="36">
        <f>_xll.DBRW($B$1,Input_Prod_03!$G$11,Input_Prod_03!M$14,$M$1,Input_Prod_03!$I$11,$C$11,Input_Prod_03!$E$33,Input_Prod_03!$A41,$L$1,$K$1)</f>
        <v>36.861800000000002</v>
      </c>
      <c r="N41" s="36">
        <f>_xll.DBRW($B$1,Input_Prod_03!$G$11,Input_Prod_03!N$14,$M$1,Input_Prod_03!$I$11,$C$11,Input_Prod_03!$E$33,Input_Prod_03!$A41,$L$1,$K$1)</f>
        <v>36.510199999999998</v>
      </c>
      <c r="O41" s="36">
        <f>_xll.DBRW($B$1,O$13,O$15,$M$1,Input_Prod_03!$I$11,$C$11,Input_Prod_03!$E$33,Input_Prod_03!$A41,$L$1,$K$1)</f>
        <v>0</v>
      </c>
      <c r="P41" s="36">
        <f>_xll.DBRW($B$1,P$13,P$15,$M$1,Input_Prod_03!$I$11,$C$11,Input_Prod_03!$E$33,Input_Prod_03!$A41,$L$1,$K$1)</f>
        <v>0</v>
      </c>
      <c r="Q41" s="36">
        <f>_xll.DBRW($B$1,Q$13,Q$15,$M$1,Input_Prod_03!$I$11,$C$11,Input_Prod_03!$E$33,Input_Prod_03!$A41,$L$1,$K$1)</f>
        <v>0</v>
      </c>
      <c r="R41" s="36">
        <f>_xll.DBRW($B$1,R$13,R$15,$M$1,Input_Prod_03!$I$11,$C$11,Input_Prod_03!$E$33,Input_Prod_03!$A41,$L$1,$K$1)</f>
        <v>0</v>
      </c>
      <c r="S41" s="36">
        <f>_xll.DBRW($B$1,S$13,S$15,$M$1,Input_Prod_03!$I$11,$C$11,Input_Prod_03!$E$33,Input_Prod_03!$A41,$L$1,$K$1)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_xll.DBRW($B$1,Input_Prod_03!$G$11,Input_Prod_03!C$14,$M$1,Input_Prod_03!$I$11,$C$11,Input_Prod_03!$E$33,Input_Prod_03!$A42,$L$1,$K$1)</f>
        <v>0</v>
      </c>
      <c r="D42" s="36">
        <f>_xll.DBRW($B$1,Input_Prod_03!$G$11,Input_Prod_03!D$14,$M$1,Input_Prod_03!$I$11,$C$11,Input_Prod_03!$E$33,Input_Prod_03!$A42,$L$1,$K$1)</f>
        <v>0</v>
      </c>
      <c r="E42" s="36">
        <f>_xll.DBRW($B$1,Input_Prod_03!$G$11,Input_Prod_03!E$14,$M$1,Input_Prod_03!$I$11,$C$11,Input_Prod_03!$E$33,Input_Prod_03!$A42,$L$1,$K$1)</f>
        <v>0</v>
      </c>
      <c r="F42" s="36">
        <f>_xll.DBRW($B$1,Input_Prod_03!$G$11,Input_Prod_03!F$14,$M$1,Input_Prod_03!$I$11,$C$11,Input_Prod_03!$E$33,Input_Prod_03!$A42,$L$1,$K$1)</f>
        <v>0</v>
      </c>
      <c r="G42" s="36">
        <f>_xll.DBRW($B$1,Input_Prod_03!$G$11,Input_Prod_03!G$14,$M$1,Input_Prod_03!$I$11,$C$11,Input_Prod_03!$E$33,Input_Prod_03!$A42,$L$1,$K$1)</f>
        <v>0</v>
      </c>
      <c r="H42" s="36">
        <f>_xll.DBRW($B$1,Input_Prod_03!$G$11,Input_Prod_03!H$14,$M$1,Input_Prod_03!$I$11,$C$11,Input_Prod_03!$E$33,Input_Prod_03!$A42,$L$1,$K$1)</f>
        <v>0</v>
      </c>
      <c r="I42" s="36">
        <f>_xll.DBRW($B$1,Input_Prod_03!$G$11,Input_Prod_03!I$14,$M$1,Input_Prod_03!$I$11,$C$11,Input_Prod_03!$E$33,Input_Prod_03!$A42,$L$1,$K$1)</f>
        <v>0</v>
      </c>
      <c r="J42" s="36">
        <f>_xll.DBRW($B$1,Input_Prod_03!$G$11,Input_Prod_03!J$14,$M$1,Input_Prod_03!$I$11,$C$11,Input_Prod_03!$E$33,Input_Prod_03!$A42,$L$1,$K$1)</f>
        <v>0</v>
      </c>
      <c r="K42" s="36">
        <f>_xll.DBRW($B$1,Input_Prod_03!$G$11,Input_Prod_03!K$14,$M$1,Input_Prod_03!$I$11,$C$11,Input_Prod_03!$E$33,Input_Prod_03!$A42,$L$1,$K$1)</f>
        <v>0</v>
      </c>
      <c r="L42" s="36">
        <f>_xll.DBRW($B$1,Input_Prod_03!$G$11,Input_Prod_03!L$14,$M$1,Input_Prod_03!$I$11,$C$11,Input_Prod_03!$E$33,Input_Prod_03!$A42,$L$1,$K$1)</f>
        <v>0</v>
      </c>
      <c r="M42" s="36">
        <f>_xll.DBRW($B$1,Input_Prod_03!$G$11,Input_Prod_03!M$14,$M$1,Input_Prod_03!$I$11,$C$11,Input_Prod_03!$E$33,Input_Prod_03!$A42,$L$1,$K$1)</f>
        <v>0</v>
      </c>
      <c r="N42" s="36">
        <f>_xll.DBRW($B$1,Input_Prod_03!$G$11,Input_Prod_03!N$14,$M$1,Input_Prod_03!$I$11,$C$11,Input_Prod_03!$E$33,Input_Prod_03!$A42,$L$1,$K$1)</f>
        <v>0</v>
      </c>
      <c r="O42" s="36">
        <f>_xll.DBRW($B$1,O$13,O$15,$M$1,Input_Prod_03!$I$11,$C$11,Input_Prod_03!$E$33,Input_Prod_03!$A42,$L$1,$K$1)</f>
        <v>0</v>
      </c>
      <c r="P42" s="36">
        <f>_xll.DBRW($B$1,P$13,P$15,$M$1,Input_Prod_03!$I$11,$C$11,Input_Prod_03!$E$33,Input_Prod_03!$A42,$L$1,$K$1)</f>
        <v>0</v>
      </c>
      <c r="Q42" s="36">
        <f>_xll.DBRW($B$1,Q$13,Q$15,$M$1,Input_Prod_03!$I$11,$C$11,Input_Prod_03!$E$33,Input_Prod_03!$A42,$L$1,$K$1)</f>
        <v>0</v>
      </c>
      <c r="R42" s="36">
        <f>_xll.DBRW($B$1,R$13,R$15,$M$1,Input_Prod_03!$I$11,$C$11,Input_Prod_03!$E$33,Input_Prod_03!$A42,$L$1,$K$1)</f>
        <v>0</v>
      </c>
      <c r="S42" s="36">
        <f>_xll.DBRW($B$1,S$13,S$15,$M$1,Input_Prod_03!$I$11,$C$11,Input_Prod_03!$E$33,Input_Prod_03!$A42,$L$1,$K$1)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_xll.DBRW($B$1,Input_Prod_03!$G$11,Input_Prod_03!C$14,$M$1,Input_Prod_03!$I$11,$C$11,Input_Prod_03!$E$33,Input_Prod_03!$A43,$L$1,$K$1)</f>
        <v>0</v>
      </c>
      <c r="D43" s="36">
        <f>_xll.DBRW($B$1,Input_Prod_03!$G$11,Input_Prod_03!D$14,$M$1,Input_Prod_03!$I$11,$C$11,Input_Prod_03!$E$33,Input_Prod_03!$A43,$L$1,$K$1)</f>
        <v>0.3246</v>
      </c>
      <c r="E43" s="36">
        <f>_xll.DBRW($B$1,Input_Prod_03!$G$11,Input_Prod_03!E$14,$M$1,Input_Prod_03!$I$11,$C$11,Input_Prod_03!$E$33,Input_Prod_03!$A43,$L$1,$K$1)</f>
        <v>0.33310000000000001</v>
      </c>
      <c r="F43" s="36">
        <f>_xll.DBRW($B$1,Input_Prod_03!$G$11,Input_Prod_03!F$14,$M$1,Input_Prod_03!$I$11,$C$11,Input_Prod_03!$E$33,Input_Prod_03!$A43,$L$1,$K$1)</f>
        <v>0.33560000000000001</v>
      </c>
      <c r="G43" s="36">
        <f>_xll.DBRW($B$1,Input_Prod_03!$G$11,Input_Prod_03!G$14,$M$1,Input_Prod_03!$I$11,$C$11,Input_Prod_03!$E$33,Input_Prod_03!$A43,$L$1,$K$1)</f>
        <v>0.33489999999999998</v>
      </c>
      <c r="H43" s="36">
        <f>_xll.DBRW($B$1,Input_Prod_03!$G$11,Input_Prod_03!H$14,$M$1,Input_Prod_03!$I$11,$C$11,Input_Prod_03!$E$33,Input_Prod_03!$A43,$L$1,$K$1)</f>
        <v>0.33029999999999998</v>
      </c>
      <c r="I43" s="36">
        <f>_xll.DBRW($B$1,Input_Prod_03!$G$11,Input_Prod_03!I$14,$M$1,Input_Prod_03!$I$11,$C$11,Input_Prod_03!$E$33,Input_Prod_03!$A43,$L$1,$K$1)</f>
        <v>0.33079999999999998</v>
      </c>
      <c r="J43" s="36">
        <f>_xll.DBRW($B$1,Input_Prod_03!$G$11,Input_Prod_03!J$14,$M$1,Input_Prod_03!$I$11,$C$11,Input_Prod_03!$E$33,Input_Prod_03!$A43,$L$1,$K$1)</f>
        <v>0.32690000000000002</v>
      </c>
      <c r="K43" s="36">
        <f>_xll.DBRW($B$1,Input_Prod_03!$G$11,Input_Prod_03!K$14,$M$1,Input_Prod_03!$I$11,$C$11,Input_Prod_03!$E$33,Input_Prod_03!$A43,$L$1,$K$1)</f>
        <v>0.32900000000000001</v>
      </c>
      <c r="L43" s="36">
        <f>_xll.DBRW($B$1,Input_Prod_03!$G$11,Input_Prod_03!L$14,$M$1,Input_Prod_03!$I$11,$C$11,Input_Prod_03!$E$33,Input_Prod_03!$A43,$L$1,$K$1)</f>
        <v>0.33810000000000001</v>
      </c>
      <c r="M43" s="36">
        <f>_xll.DBRW($B$1,Input_Prod_03!$G$11,Input_Prod_03!M$14,$M$1,Input_Prod_03!$I$11,$C$11,Input_Prod_03!$E$33,Input_Prod_03!$A43,$L$1,$K$1)</f>
        <v>0.34660000000000002</v>
      </c>
      <c r="N43" s="36">
        <f>_xll.DBRW($B$1,Input_Prod_03!$G$11,Input_Prod_03!N$14,$M$1,Input_Prod_03!$I$11,$C$11,Input_Prod_03!$E$33,Input_Prod_03!$A43,$L$1,$K$1)</f>
        <v>0.35239999999999999</v>
      </c>
      <c r="O43" s="36">
        <f>_xll.DBRW($B$1,O$13,O$15,$M$1,Input_Prod_03!$I$11,$C$11,Input_Prod_03!$E$33,Input_Prod_03!$A43,$L$1,$K$1)</f>
        <v>0</v>
      </c>
      <c r="P43" s="36">
        <f>_xll.DBRW($B$1,P$13,P$15,$M$1,Input_Prod_03!$I$11,$C$11,Input_Prod_03!$E$33,Input_Prod_03!$A43,$L$1,$K$1)</f>
        <v>0</v>
      </c>
      <c r="Q43" s="36">
        <f>_xll.DBRW($B$1,Q$13,Q$15,$M$1,Input_Prod_03!$I$11,$C$11,Input_Prod_03!$E$33,Input_Prod_03!$A43,$L$1,$K$1)</f>
        <v>0</v>
      </c>
      <c r="R43" s="36">
        <f>_xll.DBRW($B$1,R$13,R$15,$M$1,Input_Prod_03!$I$11,$C$11,Input_Prod_03!$E$33,Input_Prod_03!$A43,$L$1,$K$1)</f>
        <v>0</v>
      </c>
      <c r="S43" s="36">
        <f>_xll.DBRW($B$1,S$13,S$15,$M$1,Input_Prod_03!$I$11,$C$11,Input_Prod_03!$E$33,Input_Prod_03!$A43,$L$1,$K$1)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_xll.DBRW($B$2,Input_Prod_03!$G$11,Input_Prod_03!C$14,$M$1,Input_Prod_03!$I$11,$C$11,$E$33,$K$2,$B$44)</f>
        <v>0</v>
      </c>
      <c r="D44" s="48">
        <f>_xll.DBRW($B$2,Input_Prod_03!$G$11,Input_Prod_03!D$14,$M$1,Input_Prod_03!$I$11,$C$11,$E$33,$K$2,$B$44)</f>
        <v>19.306269054341527</v>
      </c>
      <c r="E44" s="48">
        <f>_xll.DBRW($B$2,Input_Prod_03!$G$11,Input_Prod_03!E$14,$M$1,Input_Prod_03!$I$11,$C$11,$E$33,$K$2,$B$44)</f>
        <v>24.993443519425917</v>
      </c>
      <c r="F44" s="48">
        <f>_xll.DBRW($B$2,Input_Prod_03!$G$11,Input_Prod_03!F$14,$M$1,Input_Prod_03!$I$11,$C$11,$E$33,$K$2,$B$44)</f>
        <v>24.469312652302388</v>
      </c>
      <c r="G44" s="48">
        <f>_xll.DBRW($B$2,Input_Prod_03!$G$11,Input_Prod_03!G$14,$M$1,Input_Prod_03!$I$11,$C$11,$E$33,$K$2,$B$44)</f>
        <v>27.20543787671928</v>
      </c>
      <c r="H44" s="48">
        <f>_xll.DBRW($B$2,Input_Prod_03!$G$11,Input_Prod_03!H$14,$M$1,Input_Prod_03!$I$11,$C$11,$E$33,$K$2,$B$44)</f>
        <v>27.084958088295963</v>
      </c>
      <c r="I44" s="48">
        <f>_xll.DBRW($B$2,Input_Prod_03!$G$11,Input_Prod_03!I$14,$M$1,Input_Prod_03!$I$11,$C$11,$E$33,$K$2,$B$44)</f>
        <v>29.162120965385327</v>
      </c>
      <c r="J44" s="48">
        <f>_xll.DBRW($B$2,Input_Prod_03!$G$11,Input_Prod_03!J$14,$M$1,Input_Prod_03!$I$11,$C$11,$E$33,$K$2,$B$44)</f>
        <v>30.052472924574708</v>
      </c>
      <c r="K44" s="48">
        <f>_xll.DBRW($B$2,Input_Prod_03!$G$11,Input_Prod_03!K$14,$M$1,Input_Prod_03!$I$11,$C$11,$E$33,$K$2,$B$44)</f>
        <v>30.175405151670869</v>
      </c>
      <c r="L44" s="48">
        <f>_xll.DBRW($B$2,Input_Prod_03!$G$11,Input_Prod_03!L$14,$M$1,Input_Prod_03!$I$11,$C$11,$E$33,$K$2,$B$44)</f>
        <v>30.558378628319389</v>
      </c>
      <c r="M44" s="48">
        <f>_xll.DBRW($B$2,Input_Prod_03!$G$11,Input_Prod_03!M$14,$M$1,Input_Prod_03!$I$11,$C$11,$E$33,$K$2,$B$44)</f>
        <v>27.139760168449694</v>
      </c>
      <c r="N44" s="48">
        <f>_xll.DBRW($B$2,Input_Prod_03!$G$11,Input_Prod_03!N$14,$M$1,Input_Prod_03!$I$11,$C$11,$E$33,$K$2,$B$44)</f>
        <v>25.400752926380331</v>
      </c>
      <c r="O44" s="48">
        <f>_xll.DBRW($B$2,O$13,$O$15,$M$1,Input_Prod_03!$I$11,$C$11,$E$33,$K$2,$B$44)</f>
        <v>0</v>
      </c>
      <c r="P44" s="48">
        <f>_xll.DBRW($B$2,P$13,$O$15,$M$1,Input_Prod_03!$I$11,$C$11,$E$33,$K$2,$B$44)</f>
        <v>0</v>
      </c>
      <c r="Q44" s="48">
        <f>_xll.DBRW($B$2,Q$13,$O$15,$M$1,Input_Prod_03!$I$11,$C$11,$E$33,$K$2,$B$44)</f>
        <v>0</v>
      </c>
      <c r="R44" s="48">
        <f>_xll.DBRW($B$2,R$13,$O$15,$M$1,Input_Prod_03!$I$11,$C$11,$E$33,$K$2,$B$44)</f>
        <v>0</v>
      </c>
      <c r="S44" s="48">
        <f>_xll.DBRW($B$2,S$13,$O$15,$M$1,Input_Prod_03!$I$11,$C$11,$E$33,$K$2,$B$44)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_xll.DBRW($B$2,Input_Prod_03!$G$11,Input_Prod_03!C$14,$M$1,Input_Prod_03!$I$11,$C$11,$E$33,$K$2,$B$45)</f>
        <v>0</v>
      </c>
      <c r="D45" s="41">
        <f>_xll.DBRW($B$2,Input_Prod_03!$G$11,Input_Prod_03!D$14,$M$1,Input_Prod_03!$I$11,$C$11,$E$33,$K$2,$B$45)</f>
        <v>14.575169148679999</v>
      </c>
      <c r="E45" s="41">
        <f>_xll.DBRW($B$2,Input_Prod_03!$G$11,Input_Prod_03!E$14,$M$1,Input_Prod_03!$I$11,$C$11,$E$33,$K$2,$B$45)</f>
        <v>18.748363603199998</v>
      </c>
      <c r="F45" s="41">
        <f>_xll.DBRW($B$2,Input_Prod_03!$G$11,Input_Prod_03!F$14,$M$1,Input_Prod_03!$I$11,$C$11,$E$33,$K$2,$B$45)</f>
        <v>18.320839062819999</v>
      </c>
      <c r="G45" s="41">
        <f>_xll.DBRW($B$2,Input_Prod_03!$G$11,Input_Prod_03!G$14,$M$1,Input_Prod_03!$I$11,$C$11,$E$33,$K$2,$B$45)</f>
        <v>20.380131752730001</v>
      </c>
      <c r="H45" s="41">
        <f>_xll.DBRW($B$2,Input_Prod_03!$G$11,Input_Prod_03!H$14,$M$1,Input_Prod_03!$I$11,$C$11,$E$33,$K$2,$B$45)</f>
        <v>20.360037651879999</v>
      </c>
      <c r="I45" s="41">
        <f>_xll.DBRW($B$2,Input_Prod_03!$G$11,Input_Prod_03!I$14,$M$1,Input_Prod_03!$I$11,$C$11,$E$33,$K$2,$B$45)</f>
        <v>21.91322585316</v>
      </c>
      <c r="J45" s="41">
        <f>_xll.DBRW($B$2,Input_Prod_03!$G$11,Input_Prod_03!J$14,$M$1,Input_Prod_03!$I$11,$C$11,$E$33,$K$2,$B$45)</f>
        <v>22.648634354189998</v>
      </c>
      <c r="K45" s="41">
        <f>_xll.DBRW($B$2,Input_Prod_03!$G$11,Input_Prod_03!K$14,$M$1,Input_Prod_03!$I$11,$C$11,$E$33,$K$2,$B$45)</f>
        <v>22.70534623903</v>
      </c>
      <c r="L45" s="41">
        <f>_xll.DBRW($B$2,Input_Prod_03!$G$11,Input_Prod_03!L$14,$M$1,Input_Prod_03!$I$11,$C$11,$E$33,$K$2,$B$45)</f>
        <v>22.837141191480001</v>
      </c>
      <c r="M45" s="41">
        <f>_xll.DBRW($B$2,Input_Prod_03!$G$11,Input_Prod_03!M$14,$M$1,Input_Prod_03!$I$11,$C$11,$E$33,$K$2,$B$45)</f>
        <v>20.154284990680004</v>
      </c>
      <c r="N45" s="41">
        <f>_xll.DBRW($B$2,Input_Prod_03!$G$11,Input_Prod_03!N$14,$M$1,Input_Prod_03!$I$11,$C$11,$E$33,$K$2,$B$45)</f>
        <v>18.781982347220001</v>
      </c>
      <c r="O45" s="48">
        <f>_xll.DBRW($B$2,O$13,$O$15,$M$1,Input_Prod_03!$I$11,$C$11,$E$33,$K$2,$B$44)</f>
        <v>0</v>
      </c>
      <c r="P45" s="48">
        <f>_xll.DBRW($B$2,P$13,$O$15,$M$1,Input_Prod_03!$I$11,$C$11,$E$33,$K$2,$B$44)</f>
        <v>0</v>
      </c>
      <c r="Q45" s="48">
        <f>_xll.DBRW($B$2,Q$13,$O$15,$M$1,Input_Prod_03!$I$11,$C$11,$E$33,$K$2,$B$44)</f>
        <v>0</v>
      </c>
      <c r="R45" s="48">
        <f>_xll.DBRW($B$2,R$13,$O$15,$M$1,Input_Prod_03!$I$11,$C$11,$E$33,$K$2,$B$44)</f>
        <v>0</v>
      </c>
      <c r="S45" s="48">
        <f>_xll.DBRW($B$2,S$13,$O$15,$M$1,Input_Prod_03!$I$11,$C$11,$E$33,$K$2,$B$44)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8">
        <f>$G$11+1</f>
        <v>2027</v>
      </c>
      <c r="P51" s="98">
        <f>$G$11+2</f>
        <v>2028</v>
      </c>
      <c r="Q51" s="98">
        <f>$G$11+3</f>
        <v>2029</v>
      </c>
      <c r="R51" s="98">
        <f>$G$11+4</f>
        <v>2030</v>
      </c>
      <c r="S51" s="98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_xll.DBRW($B$1,Input_Prod_03!$G$11,Input_Prod_03!C$14,$M$1,Input_Prod_03!$I$11,$C$11,Input_Prod_03!$E$33,Input_Prod_03!$A53,$L$1,$K$1)</f>
        <v>0</v>
      </c>
      <c r="D53" s="36">
        <f>_xll.DBRW($B$1,Input_Prod_03!$G$11,Input_Prod_03!D$14,$M$1,Input_Prod_03!$I$11,$C$11,Input_Prod_03!$E$33,Input_Prod_03!$A53,$L$1,$K$1)</f>
        <v>0</v>
      </c>
      <c r="E53" s="36">
        <f>_xll.DBRW($B$1,Input_Prod_03!$G$11,Input_Prod_03!E$14,$M$1,Input_Prod_03!$I$11,$C$11,Input_Prod_03!$E$33,Input_Prod_03!$A53,$L$1,$K$1)</f>
        <v>0</v>
      </c>
      <c r="F53" s="36">
        <f>_xll.DBRW($B$1,Input_Prod_03!$G$11,Input_Prod_03!F$14,$M$1,Input_Prod_03!$I$11,$C$11,Input_Prod_03!$E$33,Input_Prod_03!$A53,$L$1,$K$1)</f>
        <v>0</v>
      </c>
      <c r="G53" s="36">
        <f>_xll.DBRW($B$1,Input_Prod_03!$G$11,Input_Prod_03!G$14,$M$1,Input_Prod_03!$I$11,$C$11,Input_Prod_03!$E$33,Input_Prod_03!$A53,$L$1,$K$1)</f>
        <v>0</v>
      </c>
      <c r="H53" s="36">
        <f>_xll.DBRW($B$1,Input_Prod_03!$G$11,Input_Prod_03!H$14,$M$1,Input_Prod_03!$I$11,$C$11,Input_Prod_03!$E$33,Input_Prod_03!$A53,$L$1,$K$1)</f>
        <v>0</v>
      </c>
      <c r="I53" s="36">
        <f>_xll.DBRW($B$1,Input_Prod_03!$G$11,Input_Prod_03!I$14,$M$1,Input_Prod_03!$I$11,$C$11,Input_Prod_03!$E$33,Input_Prod_03!$A53,$L$1,$K$1)</f>
        <v>0</v>
      </c>
      <c r="J53" s="36">
        <f>_xll.DBRW($B$1,Input_Prod_03!$G$11,Input_Prod_03!J$14,$M$1,Input_Prod_03!$I$11,$C$11,Input_Prod_03!$E$33,Input_Prod_03!$A53,$L$1,$K$1)</f>
        <v>0</v>
      </c>
      <c r="K53" s="36">
        <f>_xll.DBRW($B$1,Input_Prod_03!$G$11,Input_Prod_03!K$14,$M$1,Input_Prod_03!$I$11,$C$11,Input_Prod_03!$E$33,Input_Prod_03!$A53,$L$1,$K$1)</f>
        <v>0</v>
      </c>
      <c r="L53" s="36">
        <f>_xll.DBRW($B$1,Input_Prod_03!$G$11,Input_Prod_03!L$14,$M$1,Input_Prod_03!$I$11,$C$11,Input_Prod_03!$E$33,Input_Prod_03!$A53,$L$1,$K$1)</f>
        <v>0</v>
      </c>
      <c r="M53" s="36">
        <f>_xll.DBRW($B$1,Input_Prod_03!$G$11,Input_Prod_03!M$14,$M$1,Input_Prod_03!$I$11,$C$11,Input_Prod_03!$E$33,Input_Prod_03!$A53,$L$1,$K$1)</f>
        <v>0</v>
      </c>
      <c r="N53" s="36">
        <f>_xll.DBRW($B$1,Input_Prod_03!$G$11,Input_Prod_03!N$14,$M$1,Input_Prod_03!$I$11,$C$11,Input_Prod_03!$E$33,Input_Prod_03!$A53,$L$1,$K$1)</f>
        <v>0</v>
      </c>
      <c r="O53" s="36">
        <f>_xll.DBRW($B$1,O$13,O$15,$M$1,Input_Prod_03!$I$11,$C$11,Input_Prod_03!$E$33,Input_Prod_03!$A53,$L$1,$K$1)</f>
        <v>0</v>
      </c>
      <c r="P53" s="36">
        <f>_xll.DBRW($B$1,P$13,P$15,$M$1,Input_Prod_03!$I$11,$C$11,Input_Prod_03!$E$33,Input_Prod_03!$A53,$L$1,$K$1)</f>
        <v>0</v>
      </c>
      <c r="Q53" s="36">
        <f>_xll.DBRW($B$1,Q$13,Q$15,$M$1,Input_Prod_03!$I$11,$C$11,Input_Prod_03!$E$33,Input_Prod_03!$A53,$L$1,$K$1)</f>
        <v>0</v>
      </c>
      <c r="R53" s="36">
        <f>_xll.DBRW($B$1,R$13,R$15,$M$1,Input_Prod_03!$I$11,$C$11,Input_Prod_03!$E$33,Input_Prod_03!$A53,$L$1,$K$1)</f>
        <v>0</v>
      </c>
      <c r="S53" s="36">
        <f>_xll.DBRW($B$1,S$13,S$15,$M$1,Input_Prod_03!$I$11,$C$11,Input_Prod_03!$E$33,Input_Prod_03!$A53,$L$1,$K$1)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_xll.DBRW($B$1,Input_Prod_03!$G$11,Input_Prod_03!C$14,$M$1,Input_Prod_03!$I$11,$C$11,Input_Prod_03!$E$33,Input_Prod_03!$A54,$L$1,$K$1)</f>
        <v>0</v>
      </c>
      <c r="D54" s="36">
        <f>_xll.DBRW($B$1,Input_Prod_03!$G$11,Input_Prod_03!D$14,$M$1,Input_Prod_03!$I$11,$C$11,Input_Prod_03!$E$33,Input_Prod_03!$A54,$L$1,$K$1)</f>
        <v>0</v>
      </c>
      <c r="E54" s="36">
        <f>_xll.DBRW($B$1,Input_Prod_03!$G$11,Input_Prod_03!E$14,$M$1,Input_Prod_03!$I$11,$C$11,Input_Prod_03!$E$33,Input_Prod_03!$A54,$L$1,$K$1)</f>
        <v>0</v>
      </c>
      <c r="F54" s="36">
        <f>_xll.DBRW($B$1,Input_Prod_03!$G$11,Input_Prod_03!F$14,$M$1,Input_Prod_03!$I$11,$C$11,Input_Prod_03!$E$33,Input_Prod_03!$A54,$L$1,$K$1)</f>
        <v>0</v>
      </c>
      <c r="G54" s="36">
        <f>_xll.DBRW($B$1,Input_Prod_03!$G$11,Input_Prod_03!G$14,$M$1,Input_Prod_03!$I$11,$C$11,Input_Prod_03!$E$33,Input_Prod_03!$A54,$L$1,$K$1)</f>
        <v>0</v>
      </c>
      <c r="H54" s="36">
        <f>_xll.DBRW($B$1,Input_Prod_03!$G$11,Input_Prod_03!H$14,$M$1,Input_Prod_03!$I$11,$C$11,Input_Prod_03!$E$33,Input_Prod_03!$A54,$L$1,$K$1)</f>
        <v>0</v>
      </c>
      <c r="I54" s="36">
        <f>_xll.DBRW($B$1,Input_Prod_03!$G$11,Input_Prod_03!I$14,$M$1,Input_Prod_03!$I$11,$C$11,Input_Prod_03!$E$33,Input_Prod_03!$A54,$L$1,$K$1)</f>
        <v>0</v>
      </c>
      <c r="J54" s="36">
        <f>_xll.DBRW($B$1,Input_Prod_03!$G$11,Input_Prod_03!J$14,$M$1,Input_Prod_03!$I$11,$C$11,Input_Prod_03!$E$33,Input_Prod_03!$A54,$L$1,$K$1)</f>
        <v>0</v>
      </c>
      <c r="K54" s="36">
        <f>_xll.DBRW($B$1,Input_Prod_03!$G$11,Input_Prod_03!K$14,$M$1,Input_Prod_03!$I$11,$C$11,Input_Prod_03!$E$33,Input_Prod_03!$A54,$L$1,$K$1)</f>
        <v>0</v>
      </c>
      <c r="L54" s="36">
        <f>_xll.DBRW($B$1,Input_Prod_03!$G$11,Input_Prod_03!L$14,$M$1,Input_Prod_03!$I$11,$C$11,Input_Prod_03!$E$33,Input_Prod_03!$A54,$L$1,$K$1)</f>
        <v>0</v>
      </c>
      <c r="M54" s="36">
        <f>_xll.DBRW($B$1,Input_Prod_03!$G$11,Input_Prod_03!M$14,$M$1,Input_Prod_03!$I$11,$C$11,Input_Prod_03!$E$33,Input_Prod_03!$A54,$L$1,$K$1)</f>
        <v>0</v>
      </c>
      <c r="N54" s="36">
        <f>_xll.DBRW($B$1,Input_Prod_03!$G$11,Input_Prod_03!N$14,$M$1,Input_Prod_03!$I$11,$C$11,Input_Prod_03!$E$33,Input_Prod_03!$A54,$L$1,$K$1)</f>
        <v>0</v>
      </c>
      <c r="O54" s="36">
        <f>_xll.DBRW($B$1,O$13,O$15,$M$1,Input_Prod_03!$I$11,$C$11,Input_Prod_03!$E$33,Input_Prod_03!$A54,$L$1,$K$1)</f>
        <v>0</v>
      </c>
      <c r="P54" s="36">
        <f>_xll.DBRW($B$1,P$13,P$15,$M$1,Input_Prod_03!$I$11,$C$11,Input_Prod_03!$E$33,Input_Prod_03!$A54,$L$1,$K$1)</f>
        <v>0</v>
      </c>
      <c r="Q54" s="36">
        <f>_xll.DBRW($B$1,Q$13,Q$15,$M$1,Input_Prod_03!$I$11,$C$11,Input_Prod_03!$E$33,Input_Prod_03!$A54,$L$1,$K$1)</f>
        <v>0</v>
      </c>
      <c r="R54" s="36">
        <f>_xll.DBRW($B$1,R$13,R$15,$M$1,Input_Prod_03!$I$11,$C$11,Input_Prod_03!$E$33,Input_Prod_03!$A54,$L$1,$K$1)</f>
        <v>0</v>
      </c>
      <c r="S54" s="36">
        <f>_xll.DBRW($B$1,S$13,S$15,$M$1,Input_Prod_03!$I$11,$C$11,Input_Prod_03!$E$33,Input_Prod_03!$A54,$L$1,$K$1)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_xll.DBRW($B$1,Input_Prod_03!$G$11,Input_Prod_03!C$14,$M$1,Input_Prod_03!$I$11,$C$11,Input_Prod_03!$E$33,Input_Prod_03!$A55,$L$1,$K$1)</f>
        <v>0</v>
      </c>
      <c r="D55" s="36">
        <f>_xll.DBRW($B$1,Input_Prod_03!$G$11,Input_Prod_03!D$14,$M$1,Input_Prod_03!$I$11,$C$11,Input_Prod_03!$E$33,Input_Prod_03!$A55,$L$1,$K$1)</f>
        <v>0</v>
      </c>
      <c r="E55" s="36">
        <f>_xll.DBRW($B$1,Input_Prod_03!$G$11,Input_Prod_03!E$14,$M$1,Input_Prod_03!$I$11,$C$11,Input_Prod_03!$E$33,Input_Prod_03!$A55,$L$1,$K$1)</f>
        <v>0</v>
      </c>
      <c r="F55" s="36">
        <f>_xll.DBRW($B$1,Input_Prod_03!$G$11,Input_Prod_03!F$14,$M$1,Input_Prod_03!$I$11,$C$11,Input_Prod_03!$E$33,Input_Prod_03!$A55,$L$1,$K$1)</f>
        <v>0</v>
      </c>
      <c r="G55" s="36">
        <f>_xll.DBRW($B$1,Input_Prod_03!$G$11,Input_Prod_03!G$14,$M$1,Input_Prod_03!$I$11,$C$11,Input_Prod_03!$E$33,Input_Prod_03!$A55,$L$1,$K$1)</f>
        <v>0</v>
      </c>
      <c r="H55" s="36">
        <f>_xll.DBRW($B$1,Input_Prod_03!$G$11,Input_Prod_03!H$14,$M$1,Input_Prod_03!$I$11,$C$11,Input_Prod_03!$E$33,Input_Prod_03!$A55,$L$1,$K$1)</f>
        <v>0</v>
      </c>
      <c r="I55" s="36">
        <f>_xll.DBRW($B$1,Input_Prod_03!$G$11,Input_Prod_03!I$14,$M$1,Input_Prod_03!$I$11,$C$11,Input_Prod_03!$E$33,Input_Prod_03!$A55,$L$1,$K$1)</f>
        <v>0</v>
      </c>
      <c r="J55" s="36">
        <f>_xll.DBRW($B$1,Input_Prod_03!$G$11,Input_Prod_03!J$14,$M$1,Input_Prod_03!$I$11,$C$11,Input_Prod_03!$E$33,Input_Prod_03!$A55,$L$1,$K$1)</f>
        <v>0</v>
      </c>
      <c r="K55" s="36">
        <f>_xll.DBRW($B$1,Input_Prod_03!$G$11,Input_Prod_03!K$14,$M$1,Input_Prod_03!$I$11,$C$11,Input_Prod_03!$E$33,Input_Prod_03!$A55,$L$1,$K$1)</f>
        <v>0</v>
      </c>
      <c r="L55" s="36">
        <f>_xll.DBRW($B$1,Input_Prod_03!$G$11,Input_Prod_03!L$14,$M$1,Input_Prod_03!$I$11,$C$11,Input_Prod_03!$E$33,Input_Prod_03!$A55,$L$1,$K$1)</f>
        <v>0</v>
      </c>
      <c r="M55" s="36">
        <f>_xll.DBRW($B$1,Input_Prod_03!$G$11,Input_Prod_03!M$14,$M$1,Input_Prod_03!$I$11,$C$11,Input_Prod_03!$E$33,Input_Prod_03!$A55,$L$1,$K$1)</f>
        <v>0</v>
      </c>
      <c r="N55" s="36">
        <f>_xll.DBRW($B$1,Input_Prod_03!$G$11,Input_Prod_03!N$14,$M$1,Input_Prod_03!$I$11,$C$11,Input_Prod_03!$E$33,Input_Prod_03!$A55,$L$1,$K$1)</f>
        <v>0</v>
      </c>
      <c r="O55" s="36">
        <f>_xll.DBRW($B$1,O$13,O$15,$M$1,Input_Prod_03!$I$11,$C$11,Input_Prod_03!$E$33,Input_Prod_03!$A55,$L$1,$K$1)</f>
        <v>0</v>
      </c>
      <c r="P55" s="36">
        <f>_xll.DBRW($B$1,P$13,P$15,$M$1,Input_Prod_03!$I$11,$C$11,Input_Prod_03!$E$33,Input_Prod_03!$A55,$L$1,$K$1)</f>
        <v>0</v>
      </c>
      <c r="Q55" s="36">
        <f>_xll.DBRW($B$1,Q$13,Q$15,$M$1,Input_Prod_03!$I$11,$C$11,Input_Prod_03!$E$33,Input_Prod_03!$A55,$L$1,$K$1)</f>
        <v>0</v>
      </c>
      <c r="R55" s="36">
        <f>_xll.DBRW($B$1,R$13,R$15,$M$1,Input_Prod_03!$I$11,$C$11,Input_Prod_03!$E$33,Input_Prod_03!$A55,$L$1,$K$1)</f>
        <v>0</v>
      </c>
      <c r="S55" s="36">
        <f>_xll.DBRW($B$1,S$13,S$15,$M$1,Input_Prod_03!$I$11,$C$11,Input_Prod_03!$E$33,Input_Prod_03!$A55,$L$1,$K$1)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_xll.DBRW($B$1,Input_Prod_03!$G$11,Input_Prod_03!C$14,$M$1,Input_Prod_03!$I$11,$C$11,Input_Prod_03!$E$33,Input_Prod_03!$A56,$L$1,$K$1)</f>
        <v>0</v>
      </c>
      <c r="D56" s="36">
        <f>_xll.DBRW($B$1,Input_Prod_03!$G$11,Input_Prod_03!D$14,$M$1,Input_Prod_03!$I$11,$C$11,Input_Prod_03!$E$33,Input_Prod_03!$A56,$L$1,$K$1)</f>
        <v>0</v>
      </c>
      <c r="E56" s="36">
        <f>_xll.DBRW($B$1,Input_Prod_03!$G$11,Input_Prod_03!E$14,$M$1,Input_Prod_03!$I$11,$C$11,Input_Prod_03!$E$33,Input_Prod_03!$A56,$L$1,$K$1)</f>
        <v>0</v>
      </c>
      <c r="F56" s="36">
        <f>_xll.DBRW($B$1,Input_Prod_03!$G$11,Input_Prod_03!F$14,$M$1,Input_Prod_03!$I$11,$C$11,Input_Prod_03!$E$33,Input_Prod_03!$A56,$L$1,$K$1)</f>
        <v>0</v>
      </c>
      <c r="G56" s="36">
        <f>_xll.DBRW($B$1,Input_Prod_03!$G$11,Input_Prod_03!G$14,$M$1,Input_Prod_03!$I$11,$C$11,Input_Prod_03!$E$33,Input_Prod_03!$A56,$L$1,$K$1)</f>
        <v>0</v>
      </c>
      <c r="H56" s="36">
        <f>_xll.DBRW($B$1,Input_Prod_03!$G$11,Input_Prod_03!H$14,$M$1,Input_Prod_03!$I$11,$C$11,Input_Prod_03!$E$33,Input_Prod_03!$A56,$L$1,$K$1)</f>
        <v>0</v>
      </c>
      <c r="I56" s="36">
        <f>_xll.DBRW($B$1,Input_Prod_03!$G$11,Input_Prod_03!I$14,$M$1,Input_Prod_03!$I$11,$C$11,Input_Prod_03!$E$33,Input_Prod_03!$A56,$L$1,$K$1)</f>
        <v>0</v>
      </c>
      <c r="J56" s="36">
        <f>_xll.DBRW($B$1,Input_Prod_03!$G$11,Input_Prod_03!J$14,$M$1,Input_Prod_03!$I$11,$C$11,Input_Prod_03!$E$33,Input_Prod_03!$A56,$L$1,$K$1)</f>
        <v>0</v>
      </c>
      <c r="K56" s="36">
        <f>_xll.DBRW($B$1,Input_Prod_03!$G$11,Input_Prod_03!K$14,$M$1,Input_Prod_03!$I$11,$C$11,Input_Prod_03!$E$33,Input_Prod_03!$A56,$L$1,$K$1)</f>
        <v>0</v>
      </c>
      <c r="L56" s="36">
        <f>_xll.DBRW($B$1,Input_Prod_03!$G$11,Input_Prod_03!L$14,$M$1,Input_Prod_03!$I$11,$C$11,Input_Prod_03!$E$33,Input_Prod_03!$A56,$L$1,$K$1)</f>
        <v>0</v>
      </c>
      <c r="M56" s="36">
        <f>_xll.DBRW($B$1,Input_Prod_03!$G$11,Input_Prod_03!M$14,$M$1,Input_Prod_03!$I$11,$C$11,Input_Prod_03!$E$33,Input_Prod_03!$A56,$L$1,$K$1)</f>
        <v>0</v>
      </c>
      <c r="N56" s="36">
        <f>_xll.DBRW($B$1,Input_Prod_03!$G$11,Input_Prod_03!N$14,$M$1,Input_Prod_03!$I$11,$C$11,Input_Prod_03!$E$33,Input_Prod_03!$A56,$L$1,$K$1)</f>
        <v>0</v>
      </c>
      <c r="O56" s="36">
        <f>_xll.DBRW($B$1,O$13,O$15,$M$1,Input_Prod_03!$I$11,$C$11,Input_Prod_03!$E$33,Input_Prod_03!$A56,$L$1,$K$1)</f>
        <v>0</v>
      </c>
      <c r="P56" s="36">
        <f>_xll.DBRW($B$1,P$13,P$15,$M$1,Input_Prod_03!$I$11,$C$11,Input_Prod_03!$E$33,Input_Prod_03!$A56,$L$1,$K$1)</f>
        <v>0</v>
      </c>
      <c r="Q56" s="36">
        <f>_xll.DBRW($B$1,Q$13,Q$15,$M$1,Input_Prod_03!$I$11,$C$11,Input_Prod_03!$E$33,Input_Prod_03!$A56,$L$1,$K$1)</f>
        <v>0</v>
      </c>
      <c r="R56" s="36">
        <f>_xll.DBRW($B$1,R$13,R$15,$M$1,Input_Prod_03!$I$11,$C$11,Input_Prod_03!$E$33,Input_Prod_03!$A56,$L$1,$K$1)</f>
        <v>0</v>
      </c>
      <c r="S56" s="36">
        <f>_xll.DBRW($B$1,S$13,S$15,$M$1,Input_Prod_03!$I$11,$C$11,Input_Prod_03!$E$33,Input_Prod_03!$A56,$L$1,$K$1)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_xll.DBRW($B$1,Input_Prod_03!$G$11,Input_Prod_03!C$14,$M$1,Input_Prod_03!$I$11,$C$11,$E$33,$A$57,"Total Accounts Line",$K$1)</f>
        <v>0</v>
      </c>
      <c r="D57" s="48">
        <f>_xll.DBRW($B$1,Input_Prod_03!$G$11,Input_Prod_03!D$14,$M$1,Input_Prod_03!$I$11,$C$11,$E$33,$A$57,"Total Accounts Line",$K$1)</f>
        <v>0</v>
      </c>
      <c r="E57" s="48">
        <f>_xll.DBRW($B$1,Input_Prod_03!$G$11,Input_Prod_03!E$14,$M$1,Input_Prod_03!$I$11,$C$11,$E$33,$A$57,"Total Accounts Line",$K$1)</f>
        <v>0</v>
      </c>
      <c r="F57" s="48">
        <f>_xll.DBRW($B$1,Input_Prod_03!$G$11,Input_Prod_03!F$14,$M$1,Input_Prod_03!$I$11,$C$11,$E$33,$A$57,"Total Accounts Line",$K$1)</f>
        <v>0</v>
      </c>
      <c r="G57" s="48">
        <f>_xll.DBRW($B$1,Input_Prod_03!$G$11,Input_Prod_03!G$14,$M$1,Input_Prod_03!$I$11,$C$11,$E$33,$A$57,"Total Accounts Line",$K$1)</f>
        <v>0</v>
      </c>
      <c r="H57" s="48">
        <f>_xll.DBRW($B$1,Input_Prod_03!$G$11,Input_Prod_03!H$14,$M$1,Input_Prod_03!$I$11,$C$11,$E$33,$A$57,"Total Accounts Line",$K$1)</f>
        <v>0</v>
      </c>
      <c r="I57" s="48">
        <f>_xll.DBRW($B$1,Input_Prod_03!$G$11,Input_Prod_03!I$14,$M$1,Input_Prod_03!$I$11,$C$11,$E$33,$A$57,"Total Accounts Line",$K$1)</f>
        <v>0</v>
      </c>
      <c r="J57" s="48">
        <f>_xll.DBRW($B$1,Input_Prod_03!$G$11,Input_Prod_03!J$14,$M$1,Input_Prod_03!$I$11,$C$11,$E$33,$A$57,"Total Accounts Line",$K$1)</f>
        <v>0</v>
      </c>
      <c r="K57" s="48">
        <f>_xll.DBRW($B$1,Input_Prod_03!$G$11,Input_Prod_03!K$14,$M$1,Input_Prod_03!$I$11,$C$11,$E$33,$A$57,"Total Accounts Line",$K$1)</f>
        <v>0</v>
      </c>
      <c r="L57" s="48">
        <f>_xll.DBRW($B$1,Input_Prod_03!$G$11,Input_Prod_03!L$14,$M$1,Input_Prod_03!$I$11,$C$11,$E$33,$A$57,"Total Accounts Line",$K$1)</f>
        <v>0</v>
      </c>
      <c r="M57" s="48">
        <f>_xll.DBRW($B$1,Input_Prod_03!$G$11,Input_Prod_03!M$14,$M$1,Input_Prod_03!$I$11,$C$11,$E$33,$A$57,"Total Accounts Line",$K$1)</f>
        <v>0</v>
      </c>
      <c r="N57" s="48">
        <f>_xll.DBRW($B$1,Input_Prod_03!$G$11,Input_Prod_03!N$14,$M$1,Input_Prod_03!$I$11,$C$11,$E$33,$A$57,"Total Accounts Line",$K$1)</f>
        <v>0</v>
      </c>
      <c r="O57" s="48">
        <f>_xll.DBRW($B$1,O$13,$O$15,$M$1,Input_Prod_03!$I$11,$C$11,$E$33,$A$57,"Total Accounts Line",$K$1)</f>
        <v>0</v>
      </c>
      <c r="P57" s="48">
        <f>_xll.DBRW($B$1,P$13,$O$15,$M$1,Input_Prod_03!$I$11,$C$11,$E$33,$A$57,"Total Accounts Line",$K$1)</f>
        <v>0</v>
      </c>
      <c r="Q57" s="48">
        <f>_xll.DBRW($B$1,Q$13,$O$15,$M$1,Input_Prod_03!$I$11,$C$11,$E$33,$A$57,"Total Accounts Line",$K$1)</f>
        <v>0</v>
      </c>
      <c r="R57" s="48">
        <f>_xll.DBRW($B$1,R$13,$O$15,$M$1,Input_Prod_03!$I$11,$C$11,$E$33,$A$57,"Total Accounts Line",$K$1)</f>
        <v>0</v>
      </c>
      <c r="S57" s="48">
        <f>_xll.DBRW($B$1,S$13,$O$15,$M$1,Input_Prod_03!$I$11,$C$11,$E$33,$A$57,"Total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_xll.DBRW($B$1,Input_Prod_03!$G$11,Input_Prod_03!C$14,$M$1,Input_Prod_03!$I$11,$C$11,$E$33,$A$57,$A58,$K$1)</f>
        <v>0</v>
      </c>
      <c r="D58" s="36">
        <f>_xll.DBRW($B$1,Input_Prod_03!$G$11,Input_Prod_03!D$14,$M$1,Input_Prod_03!$I$11,$C$11,$E$33,$A$57,$A58,$K$1)</f>
        <v>0</v>
      </c>
      <c r="E58" s="36">
        <f>_xll.DBRW($B$1,Input_Prod_03!$G$11,Input_Prod_03!E$14,$M$1,Input_Prod_03!$I$11,$C$11,$E$33,$A$57,$A58,$K$1)</f>
        <v>0</v>
      </c>
      <c r="F58" s="36">
        <f>_xll.DBRW($B$1,Input_Prod_03!$G$11,Input_Prod_03!F$14,$M$1,Input_Prod_03!$I$11,$C$11,$E$33,$A$57,$A58,$K$1)</f>
        <v>0</v>
      </c>
      <c r="G58" s="36">
        <f>_xll.DBRW($B$1,Input_Prod_03!$G$11,Input_Prod_03!G$14,$M$1,Input_Prod_03!$I$11,$C$11,$E$33,$A$57,$A58,$K$1)</f>
        <v>0</v>
      </c>
      <c r="H58" s="36">
        <f>_xll.DBRW($B$1,Input_Prod_03!$G$11,Input_Prod_03!H$14,$M$1,Input_Prod_03!$I$11,$C$11,$E$33,$A$57,$A58,$K$1)</f>
        <v>0</v>
      </c>
      <c r="I58" s="36">
        <f>_xll.DBRW($B$1,Input_Prod_03!$G$11,Input_Prod_03!I$14,$M$1,Input_Prod_03!$I$11,$C$11,$E$33,$A$57,$A58,$K$1)</f>
        <v>0</v>
      </c>
      <c r="J58" s="36">
        <f>_xll.DBRW($B$1,Input_Prod_03!$G$11,Input_Prod_03!J$14,$M$1,Input_Prod_03!$I$11,$C$11,$E$33,$A$57,$A58,$K$1)</f>
        <v>0</v>
      </c>
      <c r="K58" s="36">
        <f>_xll.DBRW($B$1,Input_Prod_03!$G$11,Input_Prod_03!K$14,$M$1,Input_Prod_03!$I$11,$C$11,$E$33,$A$57,$A58,$K$1)</f>
        <v>0</v>
      </c>
      <c r="L58" s="36">
        <f>_xll.DBRW($B$1,Input_Prod_03!$G$11,Input_Prod_03!L$14,$M$1,Input_Prod_03!$I$11,$C$11,$E$33,$A$57,$A58,$K$1)</f>
        <v>0</v>
      </c>
      <c r="M58" s="36">
        <f>_xll.DBRW($B$1,Input_Prod_03!$G$11,Input_Prod_03!M$14,$M$1,Input_Prod_03!$I$11,$C$11,$E$33,$A$57,$A58,$K$1)</f>
        <v>0</v>
      </c>
      <c r="N58" s="36">
        <f>_xll.DBRW($B$1,Input_Prod_03!$G$11,Input_Prod_03!N$14,$M$1,Input_Prod_03!$I$11,$C$11,$E$33,$A$57,$A58,$K$1)</f>
        <v>0</v>
      </c>
      <c r="O58" s="36">
        <f>_xll.DBRW($B$1,O$13,$O$15,$M$1,Input_Prod_03!$I$11,$C$11,$E$33,$A$57,$A58,$K$1)</f>
        <v>0</v>
      </c>
      <c r="P58" s="36">
        <f>_xll.DBRW($B$1,P$13,$O$15,$M$1,Input_Prod_03!$I$11,$C$11,$E$33,$A$57,$A58,$K$1)</f>
        <v>0</v>
      </c>
      <c r="Q58" s="36">
        <f>_xll.DBRW($B$1,Q$13,$O$15,$M$1,Input_Prod_03!$I$11,$C$11,$E$33,$A$57,$A58,$K$1)</f>
        <v>0</v>
      </c>
      <c r="R58" s="36">
        <f>_xll.DBRW($B$1,R$13,$O$15,$M$1,Input_Prod_03!$I$11,$C$11,$E$33,$A$57,$A58,$K$1)</f>
        <v>0</v>
      </c>
      <c r="S58" s="36">
        <f>_xll.DBRW($B$1,S$13,$O$15,$M$1,Input_Prod_03!$I$11,$C$11,$E$33,$A$57,$A58,$K$1)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_xll.DBRW($B$1,Input_Prod_03!$G$11,Input_Prod_03!C$14,$M$1,Input_Prod_03!$I$11,$C$11,$E$33,$A$57,$A59,$K$1)</f>
        <v>0</v>
      </c>
      <c r="D59" s="36">
        <f>_xll.DBRW($B$1,Input_Prod_03!$G$11,Input_Prod_03!D$14,$M$1,Input_Prod_03!$I$11,$C$11,$E$33,$A$57,$A59,$K$1)</f>
        <v>0</v>
      </c>
      <c r="E59" s="36">
        <f>_xll.DBRW($B$1,Input_Prod_03!$G$11,Input_Prod_03!E$14,$M$1,Input_Prod_03!$I$11,$C$11,$E$33,$A$57,$A59,$K$1)</f>
        <v>0</v>
      </c>
      <c r="F59" s="36">
        <f>_xll.DBRW($B$1,Input_Prod_03!$G$11,Input_Prod_03!F$14,$M$1,Input_Prod_03!$I$11,$C$11,$E$33,$A$57,$A59,$K$1)</f>
        <v>0</v>
      </c>
      <c r="G59" s="36">
        <f>_xll.DBRW($B$1,Input_Prod_03!$G$11,Input_Prod_03!G$14,$M$1,Input_Prod_03!$I$11,$C$11,$E$33,$A$57,$A59,$K$1)</f>
        <v>0</v>
      </c>
      <c r="H59" s="36">
        <f>_xll.DBRW($B$1,Input_Prod_03!$G$11,Input_Prod_03!H$14,$M$1,Input_Prod_03!$I$11,$C$11,$E$33,$A$57,$A59,$K$1)</f>
        <v>0</v>
      </c>
      <c r="I59" s="36">
        <f>_xll.DBRW($B$1,Input_Prod_03!$G$11,Input_Prod_03!I$14,$M$1,Input_Prod_03!$I$11,$C$11,$E$33,$A$57,$A59,$K$1)</f>
        <v>0</v>
      </c>
      <c r="J59" s="36">
        <f>_xll.DBRW($B$1,Input_Prod_03!$G$11,Input_Prod_03!J$14,$M$1,Input_Prod_03!$I$11,$C$11,$E$33,$A$57,$A59,$K$1)</f>
        <v>0</v>
      </c>
      <c r="K59" s="36">
        <f>_xll.DBRW($B$1,Input_Prod_03!$G$11,Input_Prod_03!K$14,$M$1,Input_Prod_03!$I$11,$C$11,$E$33,$A$57,$A59,$K$1)</f>
        <v>0</v>
      </c>
      <c r="L59" s="36">
        <f>_xll.DBRW($B$1,Input_Prod_03!$G$11,Input_Prod_03!L$14,$M$1,Input_Prod_03!$I$11,$C$11,$E$33,$A$57,$A59,$K$1)</f>
        <v>0</v>
      </c>
      <c r="M59" s="36">
        <f>_xll.DBRW($B$1,Input_Prod_03!$G$11,Input_Prod_03!M$14,$M$1,Input_Prod_03!$I$11,$C$11,$E$33,$A$57,$A59,$K$1)</f>
        <v>0</v>
      </c>
      <c r="N59" s="36">
        <f>_xll.DBRW($B$1,Input_Prod_03!$G$11,Input_Prod_03!N$14,$M$1,Input_Prod_03!$I$11,$C$11,$E$33,$A$57,$A59,$K$1)</f>
        <v>0</v>
      </c>
      <c r="O59" s="36">
        <f>_xll.DBRW($B$1,O$13,$O$15,$M$1,Input_Prod_03!$I$11,$C$11,$E$33,$A$57,$A59,$K$1)</f>
        <v>0</v>
      </c>
      <c r="P59" s="36">
        <f>_xll.DBRW($B$1,P$13,$O$15,$M$1,Input_Prod_03!$I$11,$C$11,$E$33,$A$57,$A59,$K$1)</f>
        <v>0</v>
      </c>
      <c r="Q59" s="36">
        <f>_xll.DBRW($B$1,Q$13,$O$15,$M$1,Input_Prod_03!$I$11,$C$11,$E$33,$A$57,$A59,$K$1)</f>
        <v>0</v>
      </c>
      <c r="R59" s="36">
        <f>_xll.DBRW($B$1,R$13,$O$15,$M$1,Input_Prod_03!$I$11,$C$11,$E$33,$A$57,$A59,$K$1)</f>
        <v>0</v>
      </c>
      <c r="S59" s="36">
        <f>_xll.DBRW($B$1,S$13,$O$15,$M$1,Input_Prod_03!$I$11,$C$11,$E$33,$A$57,$A59,$K$1)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_xll.DBRW($B$1,Input_Prod_03!$G$11,Input_Prod_03!C$14,$M$1,Input_Prod_03!$I$11,$C$11,$E$33,$A$57,$A60,$K$1)</f>
        <v>0</v>
      </c>
      <c r="D60" s="36">
        <f>_xll.DBRW($B$1,Input_Prod_03!$G$11,Input_Prod_03!D$14,$M$1,Input_Prod_03!$I$11,$C$11,$E$33,$A$57,$A60,$K$1)</f>
        <v>0</v>
      </c>
      <c r="E60" s="36">
        <f>_xll.DBRW($B$1,Input_Prod_03!$G$11,Input_Prod_03!E$14,$M$1,Input_Prod_03!$I$11,$C$11,$E$33,$A$57,$A60,$K$1)</f>
        <v>0</v>
      </c>
      <c r="F60" s="36">
        <f>_xll.DBRW($B$1,Input_Prod_03!$G$11,Input_Prod_03!F$14,$M$1,Input_Prod_03!$I$11,$C$11,$E$33,$A$57,$A60,$K$1)</f>
        <v>0</v>
      </c>
      <c r="G60" s="36">
        <f>_xll.DBRW($B$1,Input_Prod_03!$G$11,Input_Prod_03!G$14,$M$1,Input_Prod_03!$I$11,$C$11,$E$33,$A$57,$A60,$K$1)</f>
        <v>0</v>
      </c>
      <c r="H60" s="36">
        <f>_xll.DBRW($B$1,Input_Prod_03!$G$11,Input_Prod_03!H$14,$M$1,Input_Prod_03!$I$11,$C$11,$E$33,$A$57,$A60,$K$1)</f>
        <v>0</v>
      </c>
      <c r="I60" s="36">
        <f>_xll.DBRW($B$1,Input_Prod_03!$G$11,Input_Prod_03!I$14,$M$1,Input_Prod_03!$I$11,$C$11,$E$33,$A$57,$A60,$K$1)</f>
        <v>0</v>
      </c>
      <c r="J60" s="36">
        <f>_xll.DBRW($B$1,Input_Prod_03!$G$11,Input_Prod_03!J$14,$M$1,Input_Prod_03!$I$11,$C$11,$E$33,$A$57,$A60,$K$1)</f>
        <v>0</v>
      </c>
      <c r="K60" s="36">
        <f>_xll.DBRW($B$1,Input_Prod_03!$G$11,Input_Prod_03!K$14,$M$1,Input_Prod_03!$I$11,$C$11,$E$33,$A$57,$A60,$K$1)</f>
        <v>0</v>
      </c>
      <c r="L60" s="36">
        <f>_xll.DBRW($B$1,Input_Prod_03!$G$11,Input_Prod_03!L$14,$M$1,Input_Prod_03!$I$11,$C$11,$E$33,$A$57,$A60,$K$1)</f>
        <v>0</v>
      </c>
      <c r="M60" s="36">
        <f>_xll.DBRW($B$1,Input_Prod_03!$G$11,Input_Prod_03!M$14,$M$1,Input_Prod_03!$I$11,$C$11,$E$33,$A$57,$A60,$K$1)</f>
        <v>0</v>
      </c>
      <c r="N60" s="36">
        <f>_xll.DBRW($B$1,Input_Prod_03!$G$11,Input_Prod_03!N$14,$M$1,Input_Prod_03!$I$11,$C$11,$E$33,$A$57,$A60,$K$1)</f>
        <v>0</v>
      </c>
      <c r="O60" s="36">
        <f>_xll.DBRW($B$1,O$13,$O$15,$M$1,Input_Prod_03!$I$11,$C$11,$E$33,$A$57,$A60,$K$1)</f>
        <v>0</v>
      </c>
      <c r="P60" s="36">
        <f>_xll.DBRW($B$1,P$13,$O$15,$M$1,Input_Prod_03!$I$11,$C$11,$E$33,$A$57,$A60,$K$1)</f>
        <v>0</v>
      </c>
      <c r="Q60" s="36">
        <f>_xll.DBRW($B$1,Q$13,$O$15,$M$1,Input_Prod_03!$I$11,$C$11,$E$33,$A$57,$A60,$K$1)</f>
        <v>0</v>
      </c>
      <c r="R60" s="36">
        <f>_xll.DBRW($B$1,R$13,$O$15,$M$1,Input_Prod_03!$I$11,$C$11,$E$33,$A$57,$A60,$K$1)</f>
        <v>0</v>
      </c>
      <c r="S60" s="36">
        <f>_xll.DBRW($B$1,S$13,$O$15,$M$1,Input_Prod_03!$I$11,$C$11,$E$33,$A$57,$A60,$K$1)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_xll.DBRW($B$1,Input_Prod_03!$G$11,Input_Prod_03!C$14,$M$1,Input_Prod_03!$I$11,$C$11,$E$33,$A$57,$A61,$K$1)</f>
        <v>0</v>
      </c>
      <c r="D61" s="36">
        <f>_xll.DBRW($B$1,Input_Prod_03!$G$11,Input_Prod_03!D$14,$M$1,Input_Prod_03!$I$11,$C$11,$E$33,$A$57,$A61,$K$1)</f>
        <v>0</v>
      </c>
      <c r="E61" s="36">
        <f>_xll.DBRW($B$1,Input_Prod_03!$G$11,Input_Prod_03!E$14,$M$1,Input_Prod_03!$I$11,$C$11,$E$33,$A$57,$A61,$K$1)</f>
        <v>0</v>
      </c>
      <c r="F61" s="36">
        <f>_xll.DBRW($B$1,Input_Prod_03!$G$11,Input_Prod_03!F$14,$M$1,Input_Prod_03!$I$11,$C$11,$E$33,$A$57,$A61,$K$1)</f>
        <v>0</v>
      </c>
      <c r="G61" s="36">
        <f>_xll.DBRW($B$1,Input_Prod_03!$G$11,Input_Prod_03!G$14,$M$1,Input_Prod_03!$I$11,$C$11,$E$33,$A$57,$A61,$K$1)</f>
        <v>0</v>
      </c>
      <c r="H61" s="36">
        <f>_xll.DBRW($B$1,Input_Prod_03!$G$11,Input_Prod_03!H$14,$M$1,Input_Prod_03!$I$11,$C$11,$E$33,$A$57,$A61,$K$1)</f>
        <v>0</v>
      </c>
      <c r="I61" s="36">
        <f>_xll.DBRW($B$1,Input_Prod_03!$G$11,Input_Prod_03!I$14,$M$1,Input_Prod_03!$I$11,$C$11,$E$33,$A$57,$A61,$K$1)</f>
        <v>0</v>
      </c>
      <c r="J61" s="36">
        <f>_xll.DBRW($B$1,Input_Prod_03!$G$11,Input_Prod_03!J$14,$M$1,Input_Prod_03!$I$11,$C$11,$E$33,$A$57,$A61,$K$1)</f>
        <v>0</v>
      </c>
      <c r="K61" s="36">
        <f>_xll.DBRW($B$1,Input_Prod_03!$G$11,Input_Prod_03!K$14,$M$1,Input_Prod_03!$I$11,$C$11,$E$33,$A$57,$A61,$K$1)</f>
        <v>0</v>
      </c>
      <c r="L61" s="36">
        <f>_xll.DBRW($B$1,Input_Prod_03!$G$11,Input_Prod_03!L$14,$M$1,Input_Prod_03!$I$11,$C$11,$E$33,$A$57,$A61,$K$1)</f>
        <v>0</v>
      </c>
      <c r="M61" s="36">
        <f>_xll.DBRW($B$1,Input_Prod_03!$G$11,Input_Prod_03!M$14,$M$1,Input_Prod_03!$I$11,$C$11,$E$33,$A$57,$A61,$K$1)</f>
        <v>0</v>
      </c>
      <c r="N61" s="36">
        <f>_xll.DBRW($B$1,Input_Prod_03!$G$11,Input_Prod_03!N$14,$M$1,Input_Prod_03!$I$11,$C$11,$E$33,$A$57,$A61,$K$1)</f>
        <v>0</v>
      </c>
      <c r="O61" s="36">
        <f>_xll.DBRW($B$1,O$13,$O$15,$M$1,Input_Prod_03!$I$11,$C$11,$E$33,$A$57,$A61,$K$1)</f>
        <v>0</v>
      </c>
      <c r="P61" s="36">
        <f>_xll.DBRW($B$1,P$13,$O$15,$M$1,Input_Prod_03!$I$11,$C$11,$E$33,$A$57,$A61,$K$1)</f>
        <v>0</v>
      </c>
      <c r="Q61" s="36">
        <f>_xll.DBRW($B$1,Q$13,$O$15,$M$1,Input_Prod_03!$I$11,$C$11,$E$33,$A$57,$A61,$K$1)</f>
        <v>0</v>
      </c>
      <c r="R61" s="36">
        <f>_xll.DBRW($B$1,R$13,$O$15,$M$1,Input_Prod_03!$I$11,$C$11,$E$33,$A$57,$A61,$K$1)</f>
        <v>0</v>
      </c>
      <c r="S61" s="36">
        <f>_xll.DBRW($B$1,S$13,$O$15,$M$1,Input_Prod_03!$I$11,$C$11,$E$33,$A$57,$A61,$K$1)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_xll.DBRW($B$1,Input_Prod_03!$G$11,Input_Prod_03!C$14,$M$1,Input_Prod_03!$I$11,$C$11,$E$33,$A$57,$A62,$K$1)</f>
        <v>0</v>
      </c>
      <c r="D62" s="36">
        <f>_xll.DBRW($B$1,Input_Prod_03!$G$11,Input_Prod_03!D$14,$M$1,Input_Prod_03!$I$11,$C$11,$E$33,$A$57,$A62,$K$1)</f>
        <v>0</v>
      </c>
      <c r="E62" s="36">
        <f>_xll.DBRW($B$1,Input_Prod_03!$G$11,Input_Prod_03!E$14,$M$1,Input_Prod_03!$I$11,$C$11,$E$33,$A$57,$A62,$K$1)</f>
        <v>0</v>
      </c>
      <c r="F62" s="36">
        <f>_xll.DBRW($B$1,Input_Prod_03!$G$11,Input_Prod_03!F$14,$M$1,Input_Prod_03!$I$11,$C$11,$E$33,$A$57,$A62,$K$1)</f>
        <v>0</v>
      </c>
      <c r="G62" s="36">
        <f>_xll.DBRW($B$1,Input_Prod_03!$G$11,Input_Prod_03!G$14,$M$1,Input_Prod_03!$I$11,$C$11,$E$33,$A$57,$A62,$K$1)</f>
        <v>0</v>
      </c>
      <c r="H62" s="36">
        <f>_xll.DBRW($B$1,Input_Prod_03!$G$11,Input_Prod_03!H$14,$M$1,Input_Prod_03!$I$11,$C$11,$E$33,$A$57,$A62,$K$1)</f>
        <v>0</v>
      </c>
      <c r="I62" s="36">
        <f>_xll.DBRW($B$1,Input_Prod_03!$G$11,Input_Prod_03!I$14,$M$1,Input_Prod_03!$I$11,$C$11,$E$33,$A$57,$A62,$K$1)</f>
        <v>0</v>
      </c>
      <c r="J62" s="36">
        <f>_xll.DBRW($B$1,Input_Prod_03!$G$11,Input_Prod_03!J$14,$M$1,Input_Prod_03!$I$11,$C$11,$E$33,$A$57,$A62,$K$1)</f>
        <v>0</v>
      </c>
      <c r="K62" s="36">
        <f>_xll.DBRW($B$1,Input_Prod_03!$G$11,Input_Prod_03!K$14,$M$1,Input_Prod_03!$I$11,$C$11,$E$33,$A$57,$A62,$K$1)</f>
        <v>0</v>
      </c>
      <c r="L62" s="36">
        <f>_xll.DBRW($B$1,Input_Prod_03!$G$11,Input_Prod_03!L$14,$M$1,Input_Prod_03!$I$11,$C$11,$E$33,$A$57,$A62,$K$1)</f>
        <v>0</v>
      </c>
      <c r="M62" s="36">
        <f>_xll.DBRW($B$1,Input_Prod_03!$G$11,Input_Prod_03!M$14,$M$1,Input_Prod_03!$I$11,$C$11,$E$33,$A$57,$A62,$K$1)</f>
        <v>0</v>
      </c>
      <c r="N62" s="36">
        <f>_xll.DBRW($B$1,Input_Prod_03!$G$11,Input_Prod_03!N$14,$M$1,Input_Prod_03!$I$11,$C$11,$E$33,$A$57,$A62,$K$1)</f>
        <v>0</v>
      </c>
      <c r="O62" s="36">
        <f>_xll.DBRW($B$1,O$13,$O$15,$M$1,Input_Prod_03!$I$11,$C$11,$E$33,$A$57,$A62,$K$1)</f>
        <v>0</v>
      </c>
      <c r="P62" s="36">
        <f>_xll.DBRW($B$1,P$13,$O$15,$M$1,Input_Prod_03!$I$11,$C$11,$E$33,$A$57,$A62,$K$1)</f>
        <v>0</v>
      </c>
      <c r="Q62" s="36">
        <f>_xll.DBRW($B$1,Q$13,$O$15,$M$1,Input_Prod_03!$I$11,$C$11,$E$33,$A$57,$A62,$K$1)</f>
        <v>0</v>
      </c>
      <c r="R62" s="36">
        <f>_xll.DBRW($B$1,R$13,$O$15,$M$1,Input_Prod_03!$I$11,$C$11,$E$33,$A$57,$A62,$K$1)</f>
        <v>0</v>
      </c>
      <c r="S62" s="36">
        <f>_xll.DBRW($B$1,S$13,$O$15,$M$1,Input_Prod_03!$I$11,$C$11,$E$33,$A$57,$A62,$K$1)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_xll.DBRW($B$1,Input_Prod_03!$G$11,Input_Prod_03!C$14,$M$1,Input_Prod_03!$I$11,$C$11,$E$33,$A$57,$A63,$K$1)</f>
        <v>0</v>
      </c>
      <c r="D63" s="36">
        <f>_xll.DBRW($B$1,Input_Prod_03!$G$11,Input_Prod_03!D$14,$M$1,Input_Prod_03!$I$11,$C$11,$E$33,$A$57,$A63,$K$1)</f>
        <v>0</v>
      </c>
      <c r="E63" s="36">
        <f>_xll.DBRW($B$1,Input_Prod_03!$G$11,Input_Prod_03!E$14,$M$1,Input_Prod_03!$I$11,$C$11,$E$33,$A$57,$A63,$K$1)</f>
        <v>0</v>
      </c>
      <c r="F63" s="36">
        <f>_xll.DBRW($B$1,Input_Prod_03!$G$11,Input_Prod_03!F$14,$M$1,Input_Prod_03!$I$11,$C$11,$E$33,$A$57,$A63,$K$1)</f>
        <v>0</v>
      </c>
      <c r="G63" s="36">
        <f>_xll.DBRW($B$1,Input_Prod_03!$G$11,Input_Prod_03!G$14,$M$1,Input_Prod_03!$I$11,$C$11,$E$33,$A$57,$A63,$K$1)</f>
        <v>0</v>
      </c>
      <c r="H63" s="36">
        <f>_xll.DBRW($B$1,Input_Prod_03!$G$11,Input_Prod_03!H$14,$M$1,Input_Prod_03!$I$11,$C$11,$E$33,$A$57,$A63,$K$1)</f>
        <v>0</v>
      </c>
      <c r="I63" s="36">
        <f>_xll.DBRW($B$1,Input_Prod_03!$G$11,Input_Prod_03!I$14,$M$1,Input_Prod_03!$I$11,$C$11,$E$33,$A$57,$A63,$K$1)</f>
        <v>0</v>
      </c>
      <c r="J63" s="36">
        <f>_xll.DBRW($B$1,Input_Prod_03!$G$11,Input_Prod_03!J$14,$M$1,Input_Prod_03!$I$11,$C$11,$E$33,$A$57,$A63,$K$1)</f>
        <v>0</v>
      </c>
      <c r="K63" s="36">
        <f>_xll.DBRW($B$1,Input_Prod_03!$G$11,Input_Prod_03!K$14,$M$1,Input_Prod_03!$I$11,$C$11,$E$33,$A$57,$A63,$K$1)</f>
        <v>0</v>
      </c>
      <c r="L63" s="36">
        <f>_xll.DBRW($B$1,Input_Prod_03!$G$11,Input_Prod_03!L$14,$M$1,Input_Prod_03!$I$11,$C$11,$E$33,$A$57,$A63,$K$1)</f>
        <v>0</v>
      </c>
      <c r="M63" s="36">
        <f>_xll.DBRW($B$1,Input_Prod_03!$G$11,Input_Prod_03!M$14,$M$1,Input_Prod_03!$I$11,$C$11,$E$33,$A$57,$A63,$K$1)</f>
        <v>0</v>
      </c>
      <c r="N63" s="36">
        <f>_xll.DBRW($B$1,Input_Prod_03!$G$11,Input_Prod_03!N$14,$M$1,Input_Prod_03!$I$11,$C$11,$E$33,$A$57,$A63,$K$1)</f>
        <v>0</v>
      </c>
      <c r="O63" s="36">
        <f>_xll.DBRW($B$1,O$13,$O$15,$M$1,Input_Prod_03!$I$11,$C$11,$E$33,$A$57,$A63,$K$1)</f>
        <v>0</v>
      </c>
      <c r="P63" s="36">
        <f>_xll.DBRW($B$1,P$13,$O$15,$M$1,Input_Prod_03!$I$11,$C$11,$E$33,$A$57,$A63,$K$1)</f>
        <v>0</v>
      </c>
      <c r="Q63" s="36">
        <f>_xll.DBRW($B$1,Q$13,$O$15,$M$1,Input_Prod_03!$I$11,$C$11,$E$33,$A$57,$A63,$K$1)</f>
        <v>0</v>
      </c>
      <c r="R63" s="36">
        <f>_xll.DBRW($B$1,R$13,$O$15,$M$1,Input_Prod_03!$I$11,$C$11,$E$33,$A$57,$A63,$K$1)</f>
        <v>0</v>
      </c>
      <c r="S63" s="36">
        <f>_xll.DBRW($B$1,S$13,$O$15,$M$1,Input_Prod_03!$I$11,$C$11,$E$33,$A$57,$A63,$K$1)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_xll.DBRW($B$1,Input_Prod_03!$G$11,Input_Prod_03!C$14,$M$1,Input_Prod_03!$I$11,$C$11,$E$33,$A$57,$A64,$K$1)</f>
        <v>0</v>
      </c>
      <c r="D64" s="36">
        <f>_xll.DBRW($B$1,Input_Prod_03!$G$11,Input_Prod_03!D$14,$M$1,Input_Prod_03!$I$11,$C$11,$E$33,$A$57,$A64,$K$1)</f>
        <v>0</v>
      </c>
      <c r="E64" s="36">
        <f>_xll.DBRW($B$1,Input_Prod_03!$G$11,Input_Prod_03!E$14,$M$1,Input_Prod_03!$I$11,$C$11,$E$33,$A$57,$A64,$K$1)</f>
        <v>0</v>
      </c>
      <c r="F64" s="36">
        <f>_xll.DBRW($B$1,Input_Prod_03!$G$11,Input_Prod_03!F$14,$M$1,Input_Prod_03!$I$11,$C$11,$E$33,$A$57,$A64,$K$1)</f>
        <v>0</v>
      </c>
      <c r="G64" s="36">
        <f>_xll.DBRW($B$1,Input_Prod_03!$G$11,Input_Prod_03!G$14,$M$1,Input_Prod_03!$I$11,$C$11,$E$33,$A$57,$A64,$K$1)</f>
        <v>0</v>
      </c>
      <c r="H64" s="36">
        <f>_xll.DBRW($B$1,Input_Prod_03!$G$11,Input_Prod_03!H$14,$M$1,Input_Prod_03!$I$11,$C$11,$E$33,$A$57,$A64,$K$1)</f>
        <v>0</v>
      </c>
      <c r="I64" s="36">
        <f>_xll.DBRW($B$1,Input_Prod_03!$G$11,Input_Prod_03!I$14,$M$1,Input_Prod_03!$I$11,$C$11,$E$33,$A$57,$A64,$K$1)</f>
        <v>0</v>
      </c>
      <c r="J64" s="36">
        <f>_xll.DBRW($B$1,Input_Prod_03!$G$11,Input_Prod_03!J$14,$M$1,Input_Prod_03!$I$11,$C$11,$E$33,$A$57,$A64,$K$1)</f>
        <v>0</v>
      </c>
      <c r="K64" s="36">
        <f>_xll.DBRW($B$1,Input_Prod_03!$G$11,Input_Prod_03!K$14,$M$1,Input_Prod_03!$I$11,$C$11,$E$33,$A$57,$A64,$K$1)</f>
        <v>0</v>
      </c>
      <c r="L64" s="36">
        <f>_xll.DBRW($B$1,Input_Prod_03!$G$11,Input_Prod_03!L$14,$M$1,Input_Prod_03!$I$11,$C$11,$E$33,$A$57,$A64,$K$1)</f>
        <v>0</v>
      </c>
      <c r="M64" s="36">
        <f>_xll.DBRW($B$1,Input_Prod_03!$G$11,Input_Prod_03!M$14,$M$1,Input_Prod_03!$I$11,$C$11,$E$33,$A$57,$A64,$K$1)</f>
        <v>0</v>
      </c>
      <c r="N64" s="36">
        <f>_xll.DBRW($B$1,Input_Prod_03!$G$11,Input_Prod_03!N$14,$M$1,Input_Prod_03!$I$11,$C$11,$E$33,$A$57,$A64,$K$1)</f>
        <v>0</v>
      </c>
      <c r="O64" s="36">
        <f>_xll.DBRW($B$1,O$13,$O$15,$M$1,Input_Prod_03!$I$11,$C$11,$E$33,$A$57,$A64,$K$1)</f>
        <v>0</v>
      </c>
      <c r="P64" s="36">
        <f>_xll.DBRW($B$1,P$13,$O$15,$M$1,Input_Prod_03!$I$11,$C$11,$E$33,$A$57,$A64,$K$1)</f>
        <v>0</v>
      </c>
      <c r="Q64" s="36">
        <f>_xll.DBRW($B$1,Q$13,$O$15,$M$1,Input_Prod_03!$I$11,$C$11,$E$33,$A$57,$A64,$K$1)</f>
        <v>0</v>
      </c>
      <c r="R64" s="36">
        <f>_xll.DBRW($B$1,R$13,$O$15,$M$1,Input_Prod_03!$I$11,$C$11,$E$33,$A$57,$A64,$K$1)</f>
        <v>0</v>
      </c>
      <c r="S64" s="36">
        <f>_xll.DBRW($B$1,S$13,$O$15,$M$1,Input_Prod_03!$I$11,$C$11,$E$33,$A$57,$A64,$K$1)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_xll.DBRW($B$1,Input_Prod_03!$G$11,Input_Prod_03!C$14,$M$1,Input_Prod_03!$I$11,$C$11,$E$33,$A$57,$A65,$K$1)</f>
        <v>0</v>
      </c>
      <c r="D65" s="36">
        <f>_xll.DBRW($B$1,Input_Prod_03!$G$11,Input_Prod_03!D$14,$M$1,Input_Prod_03!$I$11,$C$11,$E$33,$A$57,$A65,$K$1)</f>
        <v>0</v>
      </c>
      <c r="E65" s="36">
        <f>_xll.DBRW($B$1,Input_Prod_03!$G$11,Input_Prod_03!E$14,$M$1,Input_Prod_03!$I$11,$C$11,$E$33,$A$57,$A65,$K$1)</f>
        <v>0</v>
      </c>
      <c r="F65" s="36">
        <f>_xll.DBRW($B$1,Input_Prod_03!$G$11,Input_Prod_03!F$14,$M$1,Input_Prod_03!$I$11,$C$11,$E$33,$A$57,$A65,$K$1)</f>
        <v>0</v>
      </c>
      <c r="G65" s="36">
        <f>_xll.DBRW($B$1,Input_Prod_03!$G$11,Input_Prod_03!G$14,$M$1,Input_Prod_03!$I$11,$C$11,$E$33,$A$57,$A65,$K$1)</f>
        <v>0</v>
      </c>
      <c r="H65" s="36">
        <f>_xll.DBRW($B$1,Input_Prod_03!$G$11,Input_Prod_03!H$14,$M$1,Input_Prod_03!$I$11,$C$11,$E$33,$A$57,$A65,$K$1)</f>
        <v>0</v>
      </c>
      <c r="I65" s="36">
        <f>_xll.DBRW($B$1,Input_Prod_03!$G$11,Input_Prod_03!I$14,$M$1,Input_Prod_03!$I$11,$C$11,$E$33,$A$57,$A65,$K$1)</f>
        <v>0</v>
      </c>
      <c r="J65" s="36">
        <f>_xll.DBRW($B$1,Input_Prod_03!$G$11,Input_Prod_03!J$14,$M$1,Input_Prod_03!$I$11,$C$11,$E$33,$A$57,$A65,$K$1)</f>
        <v>0</v>
      </c>
      <c r="K65" s="36">
        <f>_xll.DBRW($B$1,Input_Prod_03!$G$11,Input_Prod_03!K$14,$M$1,Input_Prod_03!$I$11,$C$11,$E$33,$A$57,$A65,$K$1)</f>
        <v>0</v>
      </c>
      <c r="L65" s="36">
        <f>_xll.DBRW($B$1,Input_Prod_03!$G$11,Input_Prod_03!L$14,$M$1,Input_Prod_03!$I$11,$C$11,$E$33,$A$57,$A65,$K$1)</f>
        <v>0</v>
      </c>
      <c r="M65" s="36">
        <f>_xll.DBRW($B$1,Input_Prod_03!$G$11,Input_Prod_03!M$14,$M$1,Input_Prod_03!$I$11,$C$11,$E$33,$A$57,$A65,$K$1)</f>
        <v>0</v>
      </c>
      <c r="N65" s="36">
        <f>_xll.DBRW($B$1,Input_Prod_03!$G$11,Input_Prod_03!N$14,$M$1,Input_Prod_03!$I$11,$C$11,$E$33,$A$57,$A65,$K$1)</f>
        <v>0</v>
      </c>
      <c r="O65" s="36">
        <f>_xll.DBRW($B$1,O$13,$O$15,$M$1,Input_Prod_03!$I$11,$C$11,$E$33,$A$57,$A65,$K$1)</f>
        <v>0</v>
      </c>
      <c r="P65" s="36">
        <f>_xll.DBRW($B$1,P$13,$O$15,$M$1,Input_Prod_03!$I$11,$C$11,$E$33,$A$57,$A65,$K$1)</f>
        <v>0</v>
      </c>
      <c r="Q65" s="36">
        <f>_xll.DBRW($B$1,Q$13,$O$15,$M$1,Input_Prod_03!$I$11,$C$11,$E$33,$A$57,$A65,$K$1)</f>
        <v>0</v>
      </c>
      <c r="R65" s="36">
        <f>_xll.DBRW($B$1,R$13,$O$15,$M$1,Input_Prod_03!$I$11,$C$11,$E$33,$A$57,$A65,$K$1)</f>
        <v>0</v>
      </c>
      <c r="S65" s="36">
        <f>_xll.DBRW($B$1,S$13,$O$15,$M$1,Input_Prod_03!$I$11,$C$11,$E$33,$A$57,$A65,$K$1)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_xll.DBRW($B$1,Input_Prod_03!$G$11,Input_Prod_03!C$14,$M$1,Input_Prod_03!$I$11,$C$11,$E$33,$A$57,$A66,$K$1)</f>
        <v>0</v>
      </c>
      <c r="D66" s="36">
        <f>_xll.DBRW($B$1,Input_Prod_03!$G$11,Input_Prod_03!D$14,$M$1,Input_Prod_03!$I$11,$C$11,$E$33,$A$57,$A66,$K$1)</f>
        <v>0</v>
      </c>
      <c r="E66" s="36">
        <f>_xll.DBRW($B$1,Input_Prod_03!$G$11,Input_Prod_03!E$14,$M$1,Input_Prod_03!$I$11,$C$11,$E$33,$A$57,$A66,$K$1)</f>
        <v>0</v>
      </c>
      <c r="F66" s="36">
        <f>_xll.DBRW($B$1,Input_Prod_03!$G$11,Input_Prod_03!F$14,$M$1,Input_Prod_03!$I$11,$C$11,$E$33,$A$57,$A66,$K$1)</f>
        <v>0</v>
      </c>
      <c r="G66" s="36">
        <f>_xll.DBRW($B$1,Input_Prod_03!$G$11,Input_Prod_03!G$14,$M$1,Input_Prod_03!$I$11,$C$11,$E$33,$A$57,$A66,$K$1)</f>
        <v>0</v>
      </c>
      <c r="H66" s="36">
        <f>_xll.DBRW($B$1,Input_Prod_03!$G$11,Input_Prod_03!H$14,$M$1,Input_Prod_03!$I$11,$C$11,$E$33,$A$57,$A66,$K$1)</f>
        <v>0</v>
      </c>
      <c r="I66" s="36">
        <f>_xll.DBRW($B$1,Input_Prod_03!$G$11,Input_Prod_03!I$14,$M$1,Input_Prod_03!$I$11,$C$11,$E$33,$A$57,$A66,$K$1)</f>
        <v>0</v>
      </c>
      <c r="J66" s="36">
        <f>_xll.DBRW($B$1,Input_Prod_03!$G$11,Input_Prod_03!J$14,$M$1,Input_Prod_03!$I$11,$C$11,$E$33,$A$57,$A66,$K$1)</f>
        <v>0</v>
      </c>
      <c r="K66" s="36">
        <f>_xll.DBRW($B$1,Input_Prod_03!$G$11,Input_Prod_03!K$14,$M$1,Input_Prod_03!$I$11,$C$11,$E$33,$A$57,$A66,$K$1)</f>
        <v>0</v>
      </c>
      <c r="L66" s="36">
        <f>_xll.DBRW($B$1,Input_Prod_03!$G$11,Input_Prod_03!L$14,$M$1,Input_Prod_03!$I$11,$C$11,$E$33,$A$57,$A66,$K$1)</f>
        <v>0</v>
      </c>
      <c r="M66" s="36">
        <f>_xll.DBRW($B$1,Input_Prod_03!$G$11,Input_Prod_03!M$14,$M$1,Input_Prod_03!$I$11,$C$11,$E$33,$A$57,$A66,$K$1)</f>
        <v>0</v>
      </c>
      <c r="N66" s="36">
        <f>_xll.DBRW($B$1,Input_Prod_03!$G$11,Input_Prod_03!N$14,$M$1,Input_Prod_03!$I$11,$C$11,$E$33,$A$57,$A66,$K$1)</f>
        <v>0</v>
      </c>
      <c r="O66" s="36">
        <f>_xll.DBRW($B$1,O$13,$O$15,$M$1,Input_Prod_03!$I$11,$C$11,$E$33,$A$57,$A66,$K$1)</f>
        <v>0</v>
      </c>
      <c r="P66" s="36">
        <f>_xll.DBRW($B$1,P$13,$O$15,$M$1,Input_Prod_03!$I$11,$C$11,$E$33,$A$57,$A66,$K$1)</f>
        <v>0</v>
      </c>
      <c r="Q66" s="36">
        <f>_xll.DBRW($B$1,Q$13,$O$15,$M$1,Input_Prod_03!$I$11,$C$11,$E$33,$A$57,$A66,$K$1)</f>
        <v>0</v>
      </c>
      <c r="R66" s="36">
        <f>_xll.DBRW($B$1,R$13,$O$15,$M$1,Input_Prod_03!$I$11,$C$11,$E$33,$A$57,$A66,$K$1)</f>
        <v>0</v>
      </c>
      <c r="S66" s="36">
        <f>_xll.DBRW($B$1,S$13,$O$15,$M$1,Input_Prod_03!$I$11,$C$11,$E$33,$A$57,$A66,$K$1)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_xll.DBRW($B$1,Input_Prod_03!$G$11,Input_Prod_03!C$14,$M$1,Input_Prod_03!$I$11,$C$11,$E$33,$A$57,$A67,$K$1)</f>
        <v>0</v>
      </c>
      <c r="D67" s="36">
        <f>_xll.DBRW($B$1,Input_Prod_03!$G$11,Input_Prod_03!D$14,$M$1,Input_Prod_03!$I$11,$C$11,$E$33,$A$57,$A67,$K$1)</f>
        <v>0</v>
      </c>
      <c r="E67" s="36">
        <f>_xll.DBRW($B$1,Input_Prod_03!$G$11,Input_Prod_03!E$14,$M$1,Input_Prod_03!$I$11,$C$11,$E$33,$A$57,$A67,$K$1)</f>
        <v>0</v>
      </c>
      <c r="F67" s="36">
        <f>_xll.DBRW($B$1,Input_Prod_03!$G$11,Input_Prod_03!F$14,$M$1,Input_Prod_03!$I$11,$C$11,$E$33,$A$57,$A67,$K$1)</f>
        <v>0</v>
      </c>
      <c r="G67" s="36">
        <f>_xll.DBRW($B$1,Input_Prod_03!$G$11,Input_Prod_03!G$14,$M$1,Input_Prod_03!$I$11,$C$11,$E$33,$A$57,$A67,$K$1)</f>
        <v>0</v>
      </c>
      <c r="H67" s="36">
        <f>_xll.DBRW($B$1,Input_Prod_03!$G$11,Input_Prod_03!H$14,$M$1,Input_Prod_03!$I$11,$C$11,$E$33,$A$57,$A67,$K$1)</f>
        <v>0</v>
      </c>
      <c r="I67" s="36">
        <f>_xll.DBRW($B$1,Input_Prod_03!$G$11,Input_Prod_03!I$14,$M$1,Input_Prod_03!$I$11,$C$11,$E$33,$A$57,$A67,$K$1)</f>
        <v>0</v>
      </c>
      <c r="J67" s="36">
        <f>_xll.DBRW($B$1,Input_Prod_03!$G$11,Input_Prod_03!J$14,$M$1,Input_Prod_03!$I$11,$C$11,$E$33,$A$57,$A67,$K$1)</f>
        <v>0</v>
      </c>
      <c r="K67" s="36">
        <f>_xll.DBRW($B$1,Input_Prod_03!$G$11,Input_Prod_03!K$14,$M$1,Input_Prod_03!$I$11,$C$11,$E$33,$A$57,$A67,$K$1)</f>
        <v>0</v>
      </c>
      <c r="L67" s="36">
        <f>_xll.DBRW($B$1,Input_Prod_03!$G$11,Input_Prod_03!L$14,$M$1,Input_Prod_03!$I$11,$C$11,$E$33,$A$57,$A67,$K$1)</f>
        <v>0</v>
      </c>
      <c r="M67" s="36">
        <f>_xll.DBRW($B$1,Input_Prod_03!$G$11,Input_Prod_03!M$14,$M$1,Input_Prod_03!$I$11,$C$11,$E$33,$A$57,$A67,$K$1)</f>
        <v>0</v>
      </c>
      <c r="N67" s="36">
        <f>_xll.DBRW($B$1,Input_Prod_03!$G$11,Input_Prod_03!N$14,$M$1,Input_Prod_03!$I$11,$C$11,$E$33,$A$57,$A67,$K$1)</f>
        <v>0</v>
      </c>
      <c r="O67" s="36">
        <f>_xll.DBRW($B$1,O$13,$O$15,$M$1,Input_Prod_03!$I$11,$C$11,$E$33,$A$57,$A67,$K$1)</f>
        <v>0</v>
      </c>
      <c r="P67" s="36">
        <f>_xll.DBRW($B$1,P$13,$O$15,$M$1,Input_Prod_03!$I$11,$C$11,$E$33,$A$57,$A67,$K$1)</f>
        <v>0</v>
      </c>
      <c r="Q67" s="36">
        <f>_xll.DBRW($B$1,Q$13,$O$15,$M$1,Input_Prod_03!$I$11,$C$11,$E$33,$A$57,$A67,$K$1)</f>
        <v>0</v>
      </c>
      <c r="R67" s="36">
        <f>_xll.DBRW($B$1,R$13,$O$15,$M$1,Input_Prod_03!$I$11,$C$11,$E$33,$A$57,$A67,$K$1)</f>
        <v>0</v>
      </c>
      <c r="S67" s="36">
        <f>_xll.DBRW($B$1,S$13,$O$15,$M$1,Input_Prod_03!$I$11,$C$11,$E$33,$A$57,$A67,$K$1)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_xll.DBRW($B$1,Input_Prod_03!$G$11,Input_Prod_03!C$14,$M$1,Input_Prod_03!$I$11,$C$11,$E$33,$A$57,$A68,$K$1)</f>
        <v>0</v>
      </c>
      <c r="D68" s="36">
        <f>_xll.DBRW($B$1,Input_Prod_03!$G$11,Input_Prod_03!D$14,$M$1,Input_Prod_03!$I$11,$C$11,$E$33,$A$57,$A68,$K$1)</f>
        <v>0</v>
      </c>
      <c r="E68" s="36">
        <f>_xll.DBRW($B$1,Input_Prod_03!$G$11,Input_Prod_03!E$14,$M$1,Input_Prod_03!$I$11,$C$11,$E$33,$A$57,$A68,$K$1)</f>
        <v>0</v>
      </c>
      <c r="F68" s="36">
        <f>_xll.DBRW($B$1,Input_Prod_03!$G$11,Input_Prod_03!F$14,$M$1,Input_Prod_03!$I$11,$C$11,$E$33,$A$57,$A68,$K$1)</f>
        <v>0</v>
      </c>
      <c r="G68" s="36">
        <f>_xll.DBRW($B$1,Input_Prod_03!$G$11,Input_Prod_03!G$14,$M$1,Input_Prod_03!$I$11,$C$11,$E$33,$A$57,$A68,$K$1)</f>
        <v>0</v>
      </c>
      <c r="H68" s="36">
        <f>_xll.DBRW($B$1,Input_Prod_03!$G$11,Input_Prod_03!H$14,$M$1,Input_Prod_03!$I$11,$C$11,$E$33,$A$57,$A68,$K$1)</f>
        <v>0</v>
      </c>
      <c r="I68" s="36">
        <f>_xll.DBRW($B$1,Input_Prod_03!$G$11,Input_Prod_03!I$14,$M$1,Input_Prod_03!$I$11,$C$11,$E$33,$A$57,$A68,$K$1)</f>
        <v>0</v>
      </c>
      <c r="J68" s="36">
        <f>_xll.DBRW($B$1,Input_Prod_03!$G$11,Input_Prod_03!J$14,$M$1,Input_Prod_03!$I$11,$C$11,$E$33,$A$57,$A68,$K$1)</f>
        <v>0</v>
      </c>
      <c r="K68" s="36">
        <f>_xll.DBRW($B$1,Input_Prod_03!$G$11,Input_Prod_03!K$14,$M$1,Input_Prod_03!$I$11,$C$11,$E$33,$A$57,$A68,$K$1)</f>
        <v>0</v>
      </c>
      <c r="L68" s="36">
        <f>_xll.DBRW($B$1,Input_Prod_03!$G$11,Input_Prod_03!L$14,$M$1,Input_Prod_03!$I$11,$C$11,$E$33,$A$57,$A68,$K$1)</f>
        <v>0</v>
      </c>
      <c r="M68" s="36">
        <f>_xll.DBRW($B$1,Input_Prod_03!$G$11,Input_Prod_03!M$14,$M$1,Input_Prod_03!$I$11,$C$11,$E$33,$A$57,$A68,$K$1)</f>
        <v>0</v>
      </c>
      <c r="N68" s="36">
        <f>_xll.DBRW($B$1,Input_Prod_03!$G$11,Input_Prod_03!N$14,$M$1,Input_Prod_03!$I$11,$C$11,$E$33,$A$57,$A68,$K$1)</f>
        <v>0</v>
      </c>
      <c r="O68" s="36">
        <f>_xll.DBRW($B$1,O$13,$O$15,$M$1,Input_Prod_03!$I$11,$C$11,$E$33,$A$57,$A68,$K$1)</f>
        <v>0</v>
      </c>
      <c r="P68" s="36">
        <f>_xll.DBRW($B$1,P$13,$O$15,$M$1,Input_Prod_03!$I$11,$C$11,$E$33,$A$57,$A68,$K$1)</f>
        <v>0</v>
      </c>
      <c r="Q68" s="36">
        <f>_xll.DBRW($B$1,Q$13,$O$15,$M$1,Input_Prod_03!$I$11,$C$11,$E$33,$A$57,$A68,$K$1)</f>
        <v>0</v>
      </c>
      <c r="R68" s="36">
        <f>_xll.DBRW($B$1,R$13,$O$15,$M$1,Input_Prod_03!$I$11,$C$11,$E$33,$A$57,$A68,$K$1)</f>
        <v>0</v>
      </c>
      <c r="S68" s="36">
        <f>_xll.DBRW($B$1,S$13,$O$15,$M$1,Input_Prod_03!$I$11,$C$11,$E$33,$A$57,$A68,$K$1)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_xll.DBRW($B$1,Input_Prod_03!$G$11,Input_Prod_03!C$14,$M$1,Input_Prod_03!$I$11,$C$11,$E$33,$A$57,$A69,$K$1)</f>
        <v>0</v>
      </c>
      <c r="D69" s="36">
        <f>_xll.DBRW($B$1,Input_Prod_03!$G$11,Input_Prod_03!D$14,$M$1,Input_Prod_03!$I$11,$C$11,$E$33,$A$57,$A69,$K$1)</f>
        <v>0</v>
      </c>
      <c r="E69" s="36">
        <f>_xll.DBRW($B$1,Input_Prod_03!$G$11,Input_Prod_03!E$14,$M$1,Input_Prod_03!$I$11,$C$11,$E$33,$A$57,$A69,$K$1)</f>
        <v>0</v>
      </c>
      <c r="F69" s="36">
        <f>_xll.DBRW($B$1,Input_Prod_03!$G$11,Input_Prod_03!F$14,$M$1,Input_Prod_03!$I$11,$C$11,$E$33,$A$57,$A69,$K$1)</f>
        <v>0</v>
      </c>
      <c r="G69" s="36">
        <f>_xll.DBRW($B$1,Input_Prod_03!$G$11,Input_Prod_03!G$14,$M$1,Input_Prod_03!$I$11,$C$11,$E$33,$A$57,$A69,$K$1)</f>
        <v>0</v>
      </c>
      <c r="H69" s="36">
        <f>_xll.DBRW($B$1,Input_Prod_03!$G$11,Input_Prod_03!H$14,$M$1,Input_Prod_03!$I$11,$C$11,$E$33,$A$57,$A69,$K$1)</f>
        <v>0</v>
      </c>
      <c r="I69" s="36">
        <f>_xll.DBRW($B$1,Input_Prod_03!$G$11,Input_Prod_03!I$14,$M$1,Input_Prod_03!$I$11,$C$11,$E$33,$A$57,$A69,$K$1)</f>
        <v>0</v>
      </c>
      <c r="J69" s="36">
        <f>_xll.DBRW($B$1,Input_Prod_03!$G$11,Input_Prod_03!J$14,$M$1,Input_Prod_03!$I$11,$C$11,$E$33,$A$57,$A69,$K$1)</f>
        <v>0</v>
      </c>
      <c r="K69" s="36">
        <f>_xll.DBRW($B$1,Input_Prod_03!$G$11,Input_Prod_03!K$14,$M$1,Input_Prod_03!$I$11,$C$11,$E$33,$A$57,$A69,$K$1)</f>
        <v>0</v>
      </c>
      <c r="L69" s="36">
        <f>_xll.DBRW($B$1,Input_Prod_03!$G$11,Input_Prod_03!L$14,$M$1,Input_Prod_03!$I$11,$C$11,$E$33,$A$57,$A69,$K$1)</f>
        <v>0</v>
      </c>
      <c r="M69" s="36">
        <f>_xll.DBRW($B$1,Input_Prod_03!$G$11,Input_Prod_03!M$14,$M$1,Input_Prod_03!$I$11,$C$11,$E$33,$A$57,$A69,$K$1)</f>
        <v>0</v>
      </c>
      <c r="N69" s="36">
        <f>_xll.DBRW($B$1,Input_Prod_03!$G$11,Input_Prod_03!N$14,$M$1,Input_Prod_03!$I$11,$C$11,$E$33,$A$57,$A69,$K$1)</f>
        <v>0</v>
      </c>
      <c r="O69" s="36">
        <f>_xll.DBRW($B$1,O$13,$O$15,$M$1,Input_Prod_03!$I$11,$C$11,$E$33,$A$57,$A69,$K$1)</f>
        <v>0</v>
      </c>
      <c r="P69" s="36">
        <f>_xll.DBRW($B$1,P$13,$O$15,$M$1,Input_Prod_03!$I$11,$C$11,$E$33,$A$57,$A69,$K$1)</f>
        <v>0</v>
      </c>
      <c r="Q69" s="36">
        <f>_xll.DBRW($B$1,Q$13,$O$15,$M$1,Input_Prod_03!$I$11,$C$11,$E$33,$A$57,$A69,$K$1)</f>
        <v>0</v>
      </c>
      <c r="R69" s="36">
        <f>_xll.DBRW($B$1,R$13,$O$15,$M$1,Input_Prod_03!$I$11,$C$11,$E$33,$A$57,$A69,$K$1)</f>
        <v>0</v>
      </c>
      <c r="S69" s="36">
        <f>_xll.DBRW($B$1,S$13,$O$15,$M$1,Input_Prod_03!$I$11,$C$11,$E$33,$A$57,$A69,$K$1)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_xll.DBRW($B$1,Input_Prod_03!$G$11,Input_Prod_03!C$14,$M$1,Input_Prod_03!$I$11,$C$11,$E$33,$A$57,$A70,$K$1)</f>
        <v>0</v>
      </c>
      <c r="D70" s="36">
        <f>_xll.DBRW($B$1,Input_Prod_03!$G$11,Input_Prod_03!D$14,$M$1,Input_Prod_03!$I$11,$C$11,$E$33,$A$57,$A70,$K$1)</f>
        <v>0</v>
      </c>
      <c r="E70" s="36">
        <f>_xll.DBRW($B$1,Input_Prod_03!$G$11,Input_Prod_03!E$14,$M$1,Input_Prod_03!$I$11,$C$11,$E$33,$A$57,$A70,$K$1)</f>
        <v>0</v>
      </c>
      <c r="F70" s="36">
        <f>_xll.DBRW($B$1,Input_Prod_03!$G$11,Input_Prod_03!F$14,$M$1,Input_Prod_03!$I$11,$C$11,$E$33,$A$57,$A70,$K$1)</f>
        <v>0</v>
      </c>
      <c r="G70" s="36">
        <f>_xll.DBRW($B$1,Input_Prod_03!$G$11,Input_Prod_03!G$14,$M$1,Input_Prod_03!$I$11,$C$11,$E$33,$A$57,$A70,$K$1)</f>
        <v>0</v>
      </c>
      <c r="H70" s="36">
        <f>_xll.DBRW($B$1,Input_Prod_03!$G$11,Input_Prod_03!H$14,$M$1,Input_Prod_03!$I$11,$C$11,$E$33,$A$57,$A70,$K$1)</f>
        <v>0</v>
      </c>
      <c r="I70" s="36">
        <f>_xll.DBRW($B$1,Input_Prod_03!$G$11,Input_Prod_03!I$14,$M$1,Input_Prod_03!$I$11,$C$11,$E$33,$A$57,$A70,$K$1)</f>
        <v>0</v>
      </c>
      <c r="J70" s="36">
        <f>_xll.DBRW($B$1,Input_Prod_03!$G$11,Input_Prod_03!J$14,$M$1,Input_Prod_03!$I$11,$C$11,$E$33,$A$57,$A70,$K$1)</f>
        <v>0</v>
      </c>
      <c r="K70" s="36">
        <f>_xll.DBRW($B$1,Input_Prod_03!$G$11,Input_Prod_03!K$14,$M$1,Input_Prod_03!$I$11,$C$11,$E$33,$A$57,$A70,$K$1)</f>
        <v>0</v>
      </c>
      <c r="L70" s="36">
        <f>_xll.DBRW($B$1,Input_Prod_03!$G$11,Input_Prod_03!L$14,$M$1,Input_Prod_03!$I$11,$C$11,$E$33,$A$57,$A70,$K$1)</f>
        <v>0</v>
      </c>
      <c r="M70" s="36">
        <f>_xll.DBRW($B$1,Input_Prod_03!$G$11,Input_Prod_03!M$14,$M$1,Input_Prod_03!$I$11,$C$11,$E$33,$A$57,$A70,$K$1)</f>
        <v>0</v>
      </c>
      <c r="N70" s="36">
        <f>_xll.DBRW($B$1,Input_Prod_03!$G$11,Input_Prod_03!N$14,$M$1,Input_Prod_03!$I$11,$C$11,$E$33,$A$57,$A70,$K$1)</f>
        <v>0</v>
      </c>
      <c r="O70" s="36">
        <f>_xll.DBRW($B$1,O$13,$O$15,$M$1,Input_Prod_03!$I$11,$C$11,$E$33,$A$57,$A70,$K$1)</f>
        <v>0</v>
      </c>
      <c r="P70" s="36">
        <f>_xll.DBRW($B$1,P$13,$O$15,$M$1,Input_Prod_03!$I$11,$C$11,$E$33,$A$57,$A70,$K$1)</f>
        <v>0</v>
      </c>
      <c r="Q70" s="36">
        <f>_xll.DBRW($B$1,Q$13,$O$15,$M$1,Input_Prod_03!$I$11,$C$11,$E$33,$A$57,$A70,$K$1)</f>
        <v>0</v>
      </c>
      <c r="R70" s="36">
        <f>_xll.DBRW($B$1,R$13,$O$15,$M$1,Input_Prod_03!$I$11,$C$11,$E$33,$A$57,$A70,$K$1)</f>
        <v>0</v>
      </c>
      <c r="S70" s="36">
        <f>_xll.DBRW($B$1,S$13,$O$15,$M$1,Input_Prod_03!$I$11,$C$11,$E$33,$A$57,$A70,$K$1)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_xll.DBRW($B$1,Input_Prod_03!$G$11,Input_Prod_03!C$14,$M$1,Input_Prod_03!$I$11,$C$11,$E$33,$A$57,$A71,$K$1)</f>
        <v>0</v>
      </c>
      <c r="D71" s="36">
        <f>_xll.DBRW($B$1,Input_Prod_03!$G$11,Input_Prod_03!D$14,$M$1,Input_Prod_03!$I$11,$C$11,$E$33,$A$57,$A71,$K$1)</f>
        <v>0</v>
      </c>
      <c r="E71" s="36">
        <f>_xll.DBRW($B$1,Input_Prod_03!$G$11,Input_Prod_03!E$14,$M$1,Input_Prod_03!$I$11,$C$11,$E$33,$A$57,$A71,$K$1)</f>
        <v>0</v>
      </c>
      <c r="F71" s="36">
        <f>_xll.DBRW($B$1,Input_Prod_03!$G$11,Input_Prod_03!F$14,$M$1,Input_Prod_03!$I$11,$C$11,$E$33,$A$57,$A71,$K$1)</f>
        <v>0</v>
      </c>
      <c r="G71" s="36">
        <f>_xll.DBRW($B$1,Input_Prod_03!$G$11,Input_Prod_03!G$14,$M$1,Input_Prod_03!$I$11,$C$11,$E$33,$A$57,$A71,$K$1)</f>
        <v>0</v>
      </c>
      <c r="H71" s="36">
        <f>_xll.DBRW($B$1,Input_Prod_03!$G$11,Input_Prod_03!H$14,$M$1,Input_Prod_03!$I$11,$C$11,$E$33,$A$57,$A71,$K$1)</f>
        <v>0</v>
      </c>
      <c r="I71" s="36">
        <f>_xll.DBRW($B$1,Input_Prod_03!$G$11,Input_Prod_03!I$14,$M$1,Input_Prod_03!$I$11,$C$11,$E$33,$A$57,$A71,$K$1)</f>
        <v>0</v>
      </c>
      <c r="J71" s="36">
        <f>_xll.DBRW($B$1,Input_Prod_03!$G$11,Input_Prod_03!J$14,$M$1,Input_Prod_03!$I$11,$C$11,$E$33,$A$57,$A71,$K$1)</f>
        <v>0</v>
      </c>
      <c r="K71" s="36">
        <f>_xll.DBRW($B$1,Input_Prod_03!$G$11,Input_Prod_03!K$14,$M$1,Input_Prod_03!$I$11,$C$11,$E$33,$A$57,$A71,$K$1)</f>
        <v>0</v>
      </c>
      <c r="L71" s="36">
        <f>_xll.DBRW($B$1,Input_Prod_03!$G$11,Input_Prod_03!L$14,$M$1,Input_Prod_03!$I$11,$C$11,$E$33,$A$57,$A71,$K$1)</f>
        <v>0</v>
      </c>
      <c r="M71" s="36">
        <f>_xll.DBRW($B$1,Input_Prod_03!$G$11,Input_Prod_03!M$14,$M$1,Input_Prod_03!$I$11,$C$11,$E$33,$A$57,$A71,$K$1)</f>
        <v>0</v>
      </c>
      <c r="N71" s="36">
        <f>_xll.DBRW($B$1,Input_Prod_03!$G$11,Input_Prod_03!N$14,$M$1,Input_Prod_03!$I$11,$C$11,$E$33,$A$57,$A71,$K$1)</f>
        <v>0</v>
      </c>
      <c r="O71" s="36">
        <f>_xll.DBRW($B$1,O$13,$O$15,$M$1,Input_Prod_03!$I$11,$C$11,$E$33,$A$57,$A71,$K$1)</f>
        <v>0</v>
      </c>
      <c r="P71" s="36">
        <f>_xll.DBRW($B$1,P$13,$O$15,$M$1,Input_Prod_03!$I$11,$C$11,$E$33,$A$57,$A71,$K$1)</f>
        <v>0</v>
      </c>
      <c r="Q71" s="36">
        <f>_xll.DBRW($B$1,Q$13,$O$15,$M$1,Input_Prod_03!$I$11,$C$11,$E$33,$A$57,$A71,$K$1)</f>
        <v>0</v>
      </c>
      <c r="R71" s="36">
        <f>_xll.DBRW($B$1,R$13,$O$15,$M$1,Input_Prod_03!$I$11,$C$11,$E$33,$A$57,$A71,$K$1)</f>
        <v>0</v>
      </c>
      <c r="S71" s="36">
        <f>_xll.DBRW($B$1,S$13,$O$15,$M$1,Input_Prod_03!$I$11,$C$11,$E$33,$A$57,$A71,$K$1)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_xll.DBRW($B$1,Input_Prod_03!$G$11,Input_Prod_03!C$14,$M$1,Input_Prod_03!$I$11,$C$11,$E$33,$A$57,$A72,$K$1)</f>
        <v>0</v>
      </c>
      <c r="D72" s="36">
        <f>_xll.DBRW($B$1,Input_Prod_03!$G$11,Input_Prod_03!D$14,$M$1,Input_Prod_03!$I$11,$C$11,$E$33,$A$57,$A72,$K$1)</f>
        <v>0</v>
      </c>
      <c r="E72" s="36">
        <f>_xll.DBRW($B$1,Input_Prod_03!$G$11,Input_Prod_03!E$14,$M$1,Input_Prod_03!$I$11,$C$11,$E$33,$A$57,$A72,$K$1)</f>
        <v>0</v>
      </c>
      <c r="F72" s="36">
        <f>_xll.DBRW($B$1,Input_Prod_03!$G$11,Input_Prod_03!F$14,$M$1,Input_Prod_03!$I$11,$C$11,$E$33,$A$57,$A72,$K$1)</f>
        <v>0</v>
      </c>
      <c r="G72" s="36">
        <f>_xll.DBRW($B$1,Input_Prod_03!$G$11,Input_Prod_03!G$14,$M$1,Input_Prod_03!$I$11,$C$11,$E$33,$A$57,$A72,$K$1)</f>
        <v>0</v>
      </c>
      <c r="H72" s="36">
        <f>_xll.DBRW($B$1,Input_Prod_03!$G$11,Input_Prod_03!H$14,$M$1,Input_Prod_03!$I$11,$C$11,$E$33,$A$57,$A72,$K$1)</f>
        <v>0</v>
      </c>
      <c r="I72" s="36">
        <f>_xll.DBRW($B$1,Input_Prod_03!$G$11,Input_Prod_03!I$14,$M$1,Input_Prod_03!$I$11,$C$11,$E$33,$A$57,$A72,$K$1)</f>
        <v>0</v>
      </c>
      <c r="J72" s="36">
        <f>_xll.DBRW($B$1,Input_Prod_03!$G$11,Input_Prod_03!J$14,$M$1,Input_Prod_03!$I$11,$C$11,$E$33,$A$57,$A72,$K$1)</f>
        <v>0</v>
      </c>
      <c r="K72" s="36">
        <f>_xll.DBRW($B$1,Input_Prod_03!$G$11,Input_Prod_03!K$14,$M$1,Input_Prod_03!$I$11,$C$11,$E$33,$A$57,$A72,$K$1)</f>
        <v>0</v>
      </c>
      <c r="L72" s="36">
        <f>_xll.DBRW($B$1,Input_Prod_03!$G$11,Input_Prod_03!L$14,$M$1,Input_Prod_03!$I$11,$C$11,$E$33,$A$57,$A72,$K$1)</f>
        <v>0</v>
      </c>
      <c r="M72" s="36">
        <f>_xll.DBRW($B$1,Input_Prod_03!$G$11,Input_Prod_03!M$14,$M$1,Input_Prod_03!$I$11,$C$11,$E$33,$A$57,$A72,$K$1)</f>
        <v>0</v>
      </c>
      <c r="N72" s="36">
        <f>_xll.DBRW($B$1,Input_Prod_03!$G$11,Input_Prod_03!N$14,$M$1,Input_Prod_03!$I$11,$C$11,$E$33,$A$57,$A72,$K$1)</f>
        <v>0</v>
      </c>
      <c r="O72" s="36">
        <f>_xll.DBRW($B$1,O$13,$O$15,$M$1,Input_Prod_03!$I$11,$C$11,$E$33,$A$57,$A72,$K$1)</f>
        <v>0</v>
      </c>
      <c r="P72" s="36">
        <f>_xll.DBRW($B$1,P$13,$O$15,$M$1,Input_Prod_03!$I$11,$C$11,$E$33,$A$57,$A72,$K$1)</f>
        <v>0</v>
      </c>
      <c r="Q72" s="36">
        <f>_xll.DBRW($B$1,Q$13,$O$15,$M$1,Input_Prod_03!$I$11,$C$11,$E$33,$A$57,$A72,$K$1)</f>
        <v>0</v>
      </c>
      <c r="R72" s="36">
        <f>_xll.DBRW($B$1,R$13,$O$15,$M$1,Input_Prod_03!$I$11,$C$11,$E$33,$A$57,$A72,$K$1)</f>
        <v>0</v>
      </c>
      <c r="S72" s="36">
        <f>_xll.DBRW($B$1,S$13,$O$15,$M$1,Input_Prod_03!$I$11,$C$11,$E$33,$A$57,$A72,$K$1)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_xll.DBRW($B$1,Input_Prod_03!$G$11,Input_Prod_03!C$14,$M$1,Input_Prod_03!$I$11,$C$11,$E$33,$A$57,$A73,$K$1)</f>
        <v>0</v>
      </c>
      <c r="D73" s="36">
        <f>_xll.DBRW($B$1,Input_Prod_03!$G$11,Input_Prod_03!D$14,$M$1,Input_Prod_03!$I$11,$C$11,$E$33,$A$57,$A73,$K$1)</f>
        <v>0</v>
      </c>
      <c r="E73" s="36">
        <f>_xll.DBRW($B$1,Input_Prod_03!$G$11,Input_Prod_03!E$14,$M$1,Input_Prod_03!$I$11,$C$11,$E$33,$A$57,$A73,$K$1)</f>
        <v>0</v>
      </c>
      <c r="F73" s="36">
        <f>_xll.DBRW($B$1,Input_Prod_03!$G$11,Input_Prod_03!F$14,$M$1,Input_Prod_03!$I$11,$C$11,$E$33,$A$57,$A73,$K$1)</f>
        <v>0</v>
      </c>
      <c r="G73" s="36">
        <f>_xll.DBRW($B$1,Input_Prod_03!$G$11,Input_Prod_03!G$14,$M$1,Input_Prod_03!$I$11,$C$11,$E$33,$A$57,$A73,$K$1)</f>
        <v>0</v>
      </c>
      <c r="H73" s="36">
        <f>_xll.DBRW($B$1,Input_Prod_03!$G$11,Input_Prod_03!H$14,$M$1,Input_Prod_03!$I$11,$C$11,$E$33,$A$57,$A73,$K$1)</f>
        <v>0</v>
      </c>
      <c r="I73" s="36">
        <f>_xll.DBRW($B$1,Input_Prod_03!$G$11,Input_Prod_03!I$14,$M$1,Input_Prod_03!$I$11,$C$11,$E$33,$A$57,$A73,$K$1)</f>
        <v>0</v>
      </c>
      <c r="J73" s="36">
        <f>_xll.DBRW($B$1,Input_Prod_03!$G$11,Input_Prod_03!J$14,$M$1,Input_Prod_03!$I$11,$C$11,$E$33,$A$57,$A73,$K$1)</f>
        <v>0</v>
      </c>
      <c r="K73" s="36">
        <f>_xll.DBRW($B$1,Input_Prod_03!$G$11,Input_Prod_03!K$14,$M$1,Input_Prod_03!$I$11,$C$11,$E$33,$A$57,$A73,$K$1)</f>
        <v>0</v>
      </c>
      <c r="L73" s="36">
        <f>_xll.DBRW($B$1,Input_Prod_03!$G$11,Input_Prod_03!L$14,$M$1,Input_Prod_03!$I$11,$C$11,$E$33,$A$57,$A73,$K$1)</f>
        <v>0</v>
      </c>
      <c r="M73" s="36">
        <f>_xll.DBRW($B$1,Input_Prod_03!$G$11,Input_Prod_03!M$14,$M$1,Input_Prod_03!$I$11,$C$11,$E$33,$A$57,$A73,$K$1)</f>
        <v>0</v>
      </c>
      <c r="N73" s="36">
        <f>_xll.DBRW($B$1,Input_Prod_03!$G$11,Input_Prod_03!N$14,$M$1,Input_Prod_03!$I$11,$C$11,$E$33,$A$57,$A73,$K$1)</f>
        <v>0</v>
      </c>
      <c r="O73" s="36">
        <f>_xll.DBRW($B$1,O$13,$O$15,$M$1,Input_Prod_03!$I$11,$C$11,$E$33,$A$57,$A73,$K$1)</f>
        <v>0</v>
      </c>
      <c r="P73" s="36">
        <f>_xll.DBRW($B$1,P$13,$O$15,$M$1,Input_Prod_03!$I$11,$C$11,$E$33,$A$57,$A73,$K$1)</f>
        <v>0</v>
      </c>
      <c r="Q73" s="36">
        <f>_xll.DBRW($B$1,Q$13,$O$15,$M$1,Input_Prod_03!$I$11,$C$11,$E$33,$A$57,$A73,$K$1)</f>
        <v>0</v>
      </c>
      <c r="R73" s="36">
        <f>_xll.DBRW($B$1,R$13,$O$15,$M$1,Input_Prod_03!$I$11,$C$11,$E$33,$A$57,$A73,$K$1)</f>
        <v>0</v>
      </c>
      <c r="S73" s="36">
        <f>_xll.DBRW($B$1,S$13,$O$15,$M$1,Input_Prod_03!$I$11,$C$11,$E$33,$A$57,$A73,$K$1)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_xll.DBRW($B$3,Input_Prod_03!$G$11,Input_Prod_03!C$14,$M$1,Input_Prod_03!$I$11,$C$11,$E$33,$A74,$K$1)</f>
        <v>0</v>
      </c>
      <c r="D74" s="48">
        <f>_xll.DBRW($B$3,Input_Prod_03!$G$11,Input_Prod_03!D$14,$M$1,Input_Prod_03!$I$11,$C$11,$E$33,$A74,$K$1)</f>
        <v>14.575169148679999</v>
      </c>
      <c r="E74" s="48">
        <f>_xll.DBRW($B$3,Input_Prod_03!$G$11,Input_Prod_03!E$14,$M$1,Input_Prod_03!$I$11,$C$11,$E$33,$A74,$K$1)</f>
        <v>18.748363603199998</v>
      </c>
      <c r="F74" s="48">
        <f>_xll.DBRW($B$3,Input_Prod_03!$G$11,Input_Prod_03!F$14,$M$1,Input_Prod_03!$I$11,$C$11,$E$33,$A74,$K$1)</f>
        <v>18.320839062819999</v>
      </c>
      <c r="G74" s="48">
        <f>_xll.DBRW($B$3,Input_Prod_03!$G$11,Input_Prod_03!G$14,$M$1,Input_Prod_03!$I$11,$C$11,$E$33,$A74,$K$1)</f>
        <v>20.380131752730001</v>
      </c>
      <c r="H74" s="48">
        <f>_xll.DBRW($B$3,Input_Prod_03!$G$11,Input_Prod_03!H$14,$M$1,Input_Prod_03!$I$11,$C$11,$E$33,$A74,$K$1)</f>
        <v>20.360037651879999</v>
      </c>
      <c r="I74" s="48">
        <f>_xll.DBRW($B$3,Input_Prod_03!$G$11,Input_Prod_03!I$14,$M$1,Input_Prod_03!$I$11,$C$11,$E$33,$A74,$K$1)</f>
        <v>21.91322585316</v>
      </c>
      <c r="J74" s="48">
        <f>_xll.DBRW($B$3,Input_Prod_03!$G$11,Input_Prod_03!J$14,$M$1,Input_Prod_03!$I$11,$C$11,$E$33,$A74,$K$1)</f>
        <v>22.648634354189998</v>
      </c>
      <c r="K74" s="48">
        <f>_xll.DBRW($B$3,Input_Prod_03!$G$11,Input_Prod_03!K$14,$M$1,Input_Prod_03!$I$11,$C$11,$E$33,$A74,$K$1)</f>
        <v>22.70534623903</v>
      </c>
      <c r="L74" s="48">
        <f>_xll.DBRW($B$3,Input_Prod_03!$G$11,Input_Prod_03!L$14,$M$1,Input_Prod_03!$I$11,$C$11,$E$33,$A74,$K$1)</f>
        <v>22.837141191480001</v>
      </c>
      <c r="M74" s="48">
        <f>_xll.DBRW($B$3,Input_Prod_03!$G$11,Input_Prod_03!M$14,$M$1,Input_Prod_03!$I$11,$C$11,$E$33,$A74,$K$1)</f>
        <v>20.154284990680004</v>
      </c>
      <c r="N74" s="48">
        <f>_xll.DBRW($B$3,Input_Prod_03!$G$11,Input_Prod_03!N$14,$M$1,Input_Prod_03!$I$11,$C$11,$E$33,$A74,$K$1)</f>
        <v>18.781982347220001</v>
      </c>
      <c r="O74" s="48">
        <f>_xll.DBRW($B$3,O$13,$O$15,$M$1,Input_Prod_03!$I$11,$C$11,$E$33,$A74,$K$1)</f>
        <v>0</v>
      </c>
      <c r="P74" s="48">
        <f>_xll.DBRW($B$3,P$13,$O$15,$M$1,Input_Prod_03!$I$11,$C$11,$E$33,$A74,$K$1)</f>
        <v>0</v>
      </c>
      <c r="Q74" s="48">
        <f>_xll.DBRW($B$3,Q$13,$O$15,$M$1,Input_Prod_03!$I$11,$C$11,$E$33,$A74,$K$1)</f>
        <v>0</v>
      </c>
      <c r="R74" s="48">
        <f>_xll.DBRW($B$3,R$13,$O$15,$M$1,Input_Prod_03!$I$11,$C$11,$E$33,$A74,$K$1)</f>
        <v>0</v>
      </c>
      <c r="S74" s="48">
        <f>_xll.DBRW($B$3,S$13,$O$15,$M$1,Input_Prod_03!$I$11,$C$11,$E$33,$A74,$K$1)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8">
        <f>$G$11+1</f>
        <v>2027</v>
      </c>
      <c r="P78" s="98">
        <f>$G$11+2</f>
        <v>2028</v>
      </c>
      <c r="Q78" s="98">
        <f>$G$11+3</f>
        <v>2029</v>
      </c>
      <c r="R78" s="98">
        <f>$G$11+4</f>
        <v>2030</v>
      </c>
      <c r="S78" s="98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_xll.DBRW($B$1,Input_Prod_03!$G$11,Input_Prod_03!C$14,$M$1,Input_Prod_03!$I$11,$C$11,$E$33,Input_Prod_03!$A80,$L$1,$K$1)</f>
        <v>0</v>
      </c>
      <c r="D80" s="65">
        <f>_xll.DBRW($B$1,Input_Prod_03!$G$11,Input_Prod_03!D$14,$M$1,Input_Prod_03!$I$11,$C$11,$E$33,Input_Prod_03!$A80,$L$1,$K$1)</f>
        <v>0</v>
      </c>
      <c r="E80" s="65">
        <f>_xll.DBRW($B$1,Input_Prod_03!$G$11,Input_Prod_03!E$14,$M$1,Input_Prod_03!$I$11,$C$11,$E$33,Input_Prod_03!$A80,$L$1,$K$1)</f>
        <v>0</v>
      </c>
      <c r="F80" s="65">
        <f>_xll.DBRW($B$1,Input_Prod_03!$G$11,Input_Prod_03!F$14,$M$1,Input_Prod_03!$I$11,$C$11,$E$33,Input_Prod_03!$A80,$L$1,$K$1)</f>
        <v>0</v>
      </c>
      <c r="G80" s="65">
        <f>_xll.DBRW($B$1,Input_Prod_03!$G$11,Input_Prod_03!G$14,$M$1,Input_Prod_03!$I$11,$C$11,$E$33,Input_Prod_03!$A80,$L$1,$K$1)</f>
        <v>0</v>
      </c>
      <c r="H80" s="65">
        <f>_xll.DBRW($B$1,Input_Prod_03!$G$11,Input_Prod_03!H$14,$M$1,Input_Prod_03!$I$11,$C$11,$E$33,Input_Prod_03!$A80,$L$1,$K$1)</f>
        <v>0</v>
      </c>
      <c r="I80" s="65">
        <f>_xll.DBRW($B$1,Input_Prod_03!$G$11,Input_Prod_03!I$14,$M$1,Input_Prod_03!$I$11,$C$11,$E$33,Input_Prod_03!$A80,$L$1,$K$1)</f>
        <v>0</v>
      </c>
      <c r="J80" s="65">
        <f>_xll.DBRW($B$1,Input_Prod_03!$G$11,Input_Prod_03!J$14,$M$1,Input_Prod_03!$I$11,$C$11,$E$33,Input_Prod_03!$A80,$L$1,$K$1)</f>
        <v>0</v>
      </c>
      <c r="K80" s="65">
        <f>_xll.DBRW($B$1,Input_Prod_03!$G$11,Input_Prod_03!K$14,$M$1,Input_Prod_03!$I$11,$C$11,$E$33,Input_Prod_03!$A80,$L$1,$K$1)</f>
        <v>0</v>
      </c>
      <c r="L80" s="65">
        <f>_xll.DBRW($B$1,Input_Prod_03!$G$11,Input_Prod_03!L$14,$M$1,Input_Prod_03!$I$11,$C$11,$E$33,Input_Prod_03!$A80,$L$1,$K$1)</f>
        <v>0</v>
      </c>
      <c r="M80" s="65">
        <f>_xll.DBRW($B$1,Input_Prod_03!$G$11,Input_Prod_03!M$14,$M$1,Input_Prod_03!$I$11,$C$11,$E$33,Input_Prod_03!$A80,$L$1,$K$1)</f>
        <v>0</v>
      </c>
      <c r="N80" s="65">
        <f>_xll.DBRW($B$1,Input_Prod_03!$G$11,Input_Prod_03!N$14,$M$1,Input_Prod_03!$I$11,$C$11,$E$33,Input_Prod_03!$A80,$L$1,$K$1)</f>
        <v>0</v>
      </c>
      <c r="O80" s="65">
        <f>_xll.DBRW($B$1,O$13,$O$15,$M$1,Input_Prod_03!$I$11,$C$11,$E$33,Input_Prod_03!$A80,$L$1,$K$1)</f>
        <v>0</v>
      </c>
      <c r="P80" s="65">
        <f>_xll.DBRW($B$1,P$13,$O$15,$M$1,Input_Prod_03!$I$11,$C$11,$E$33,Input_Prod_03!$A80,$L$1,$K$1)</f>
        <v>0</v>
      </c>
      <c r="Q80" s="65">
        <f>_xll.DBRW($B$1,Q$13,$O$15,$M$1,Input_Prod_03!$I$11,$C$11,$E$33,Input_Prod_03!$A80,$L$1,$K$1)</f>
        <v>0</v>
      </c>
      <c r="R80" s="65">
        <f>_xll.DBRW($B$1,R$13,$O$15,$M$1,Input_Prod_03!$I$11,$C$11,$E$33,Input_Prod_03!$A80,$L$1,$K$1)</f>
        <v>0</v>
      </c>
      <c r="S80" s="65">
        <f>_xll.DBRW($B$1,S$13,$O$15,$M$1,Input_Prod_03!$I$11,$C$11,$E$33,Input_Prod_03!$A80,$L$1,$K$1)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_xll.DBRW($B$3,Input_Prod_03!$G$11,Input_Prod_03!C$14,$M$1,Input_Prod_03!$I$11,$C$11,$E$33,Input_Prod_03!$B81,$K$1)</f>
        <v>0</v>
      </c>
      <c r="D81" s="48">
        <f>_xll.DBRW($B$3,Input_Prod_03!$G$11,Input_Prod_03!D$14,$M$1,Input_Prod_03!$I$11,$C$11,$E$33,Input_Prod_03!$B81,$K$1)</f>
        <v>14.575169148679999</v>
      </c>
      <c r="E81" s="48">
        <f>_xll.DBRW($B$3,Input_Prod_03!$G$11,Input_Prod_03!E$14,$M$1,Input_Prod_03!$I$11,$C$11,$E$33,Input_Prod_03!$B81,$K$1)</f>
        <v>18.748363603199998</v>
      </c>
      <c r="F81" s="48">
        <f>_xll.DBRW($B$3,Input_Prod_03!$G$11,Input_Prod_03!F$14,$M$1,Input_Prod_03!$I$11,$C$11,$E$33,Input_Prod_03!$B81,$K$1)</f>
        <v>18.320839062819999</v>
      </c>
      <c r="G81" s="48">
        <f>_xll.DBRW($B$3,Input_Prod_03!$G$11,Input_Prod_03!G$14,$M$1,Input_Prod_03!$I$11,$C$11,$E$33,Input_Prod_03!$B81,$K$1)</f>
        <v>20.380131752730001</v>
      </c>
      <c r="H81" s="48">
        <f>_xll.DBRW($B$3,Input_Prod_03!$G$11,Input_Prod_03!H$14,$M$1,Input_Prod_03!$I$11,$C$11,$E$33,Input_Prod_03!$B81,$K$1)</f>
        <v>20.360037651879999</v>
      </c>
      <c r="I81" s="48">
        <f>_xll.DBRW($B$3,Input_Prod_03!$G$11,Input_Prod_03!I$14,$M$1,Input_Prod_03!$I$11,$C$11,$E$33,Input_Prod_03!$B81,$K$1)</f>
        <v>21.91322585316</v>
      </c>
      <c r="J81" s="48">
        <f>_xll.DBRW($B$3,Input_Prod_03!$G$11,Input_Prod_03!J$14,$M$1,Input_Prod_03!$I$11,$C$11,$E$33,Input_Prod_03!$B81,$K$1)</f>
        <v>22.648634354189998</v>
      </c>
      <c r="K81" s="48">
        <f>_xll.DBRW($B$3,Input_Prod_03!$G$11,Input_Prod_03!K$14,$M$1,Input_Prod_03!$I$11,$C$11,$E$33,Input_Prod_03!$B81,$K$1)</f>
        <v>22.70534623903</v>
      </c>
      <c r="L81" s="48">
        <f>_xll.DBRW($B$3,Input_Prod_03!$G$11,Input_Prod_03!L$14,$M$1,Input_Prod_03!$I$11,$C$11,$E$33,Input_Prod_03!$B81,$K$1)</f>
        <v>22.837141191480001</v>
      </c>
      <c r="M81" s="48">
        <f>_xll.DBRW($B$3,Input_Prod_03!$G$11,Input_Prod_03!M$14,$M$1,Input_Prod_03!$I$11,$C$11,$E$33,Input_Prod_03!$B81,$K$1)</f>
        <v>20.154284990680004</v>
      </c>
      <c r="N81" s="48">
        <f>_xll.DBRW($B$3,Input_Prod_03!$G$11,Input_Prod_03!N$14,$M$1,Input_Prod_03!$I$11,$C$11,$E$33,Input_Prod_03!$B81,$K$1)</f>
        <v>18.781982347220001</v>
      </c>
      <c r="O81" s="48">
        <f>_xll.DBRW($B$3,O$13,$O$15,$M$1,Input_Prod_03!$I$11,$C$11,$E$33,Input_Prod_03!$B81,$K$1)</f>
        <v>0</v>
      </c>
      <c r="P81" s="48">
        <f>_xll.DBRW($B$3,P$13,$O$15,$M$1,Input_Prod_03!$I$11,$C$11,$E$33,Input_Prod_03!$B81,$K$1)</f>
        <v>0</v>
      </c>
      <c r="Q81" s="48">
        <f>_xll.DBRW($B$3,Q$13,$O$15,$M$1,Input_Prod_03!$I$11,$C$11,$E$33,Input_Prod_03!$B81,$K$1)</f>
        <v>0</v>
      </c>
      <c r="R81" s="48">
        <f>_xll.DBRW($B$3,R$13,$O$15,$M$1,Input_Prod_03!$I$11,$C$11,$E$33,Input_Prod_03!$B81,$K$1)</f>
        <v>0</v>
      </c>
      <c r="S81" s="48">
        <f>_xll.DBRW($B$3,S$13,$O$15,$M$1,Input_Prod_03!$I$11,$C$11,$E$33,Input_Prod_03!$B81,$K$1)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_xll.DBRW($B$3,Input_Prod_03!$G$11,Input_Prod_03!C$14,$M$1,Input_Prod_03!$I$11,Input_Prod_03!$C$11,$E$33,$A82,$K$1)</f>
        <v>0</v>
      </c>
      <c r="D82" s="40">
        <f>_xll.DBRW($B$3,Input_Prod_03!$G$11,Input_Prod_03!D$14,$M$1,Input_Prod_03!$I$11,Input_Prod_03!$C$11,$E$33,$A82,$K$1)</f>
        <v>14.575169148679999</v>
      </c>
      <c r="E82" s="40">
        <f>_xll.DBRW($B$3,Input_Prod_03!$G$11,Input_Prod_03!E$14,$M$1,Input_Prod_03!$I$11,Input_Prod_03!$C$11,$E$33,$A82,$K$1)</f>
        <v>18.748363603199998</v>
      </c>
      <c r="F82" s="40">
        <f>_xll.DBRW($B$3,Input_Prod_03!$G$11,Input_Prod_03!F$14,$M$1,Input_Prod_03!$I$11,Input_Prod_03!$C$11,$E$33,$A82,$K$1)</f>
        <v>18.320839062819999</v>
      </c>
      <c r="G82" s="40">
        <f>_xll.DBRW($B$3,Input_Prod_03!$G$11,Input_Prod_03!G$14,$M$1,Input_Prod_03!$I$11,Input_Prod_03!$C$11,$E$33,$A82,$K$1)</f>
        <v>20.380131752730001</v>
      </c>
      <c r="H82" s="40">
        <f>_xll.DBRW($B$3,Input_Prod_03!$G$11,Input_Prod_03!H$14,$M$1,Input_Prod_03!$I$11,Input_Prod_03!$C$11,$E$33,$A82,$K$1)</f>
        <v>20.360037651879999</v>
      </c>
      <c r="I82" s="40">
        <f>_xll.DBRW($B$3,Input_Prod_03!$G$11,Input_Prod_03!I$14,$M$1,Input_Prod_03!$I$11,Input_Prod_03!$C$11,$E$33,$A82,$K$1)</f>
        <v>21.91322585316</v>
      </c>
      <c r="J82" s="40">
        <f>_xll.DBRW($B$3,Input_Prod_03!$G$11,Input_Prod_03!J$14,$M$1,Input_Prod_03!$I$11,Input_Prod_03!$C$11,$E$33,$A82,$K$1)</f>
        <v>22.648634354189998</v>
      </c>
      <c r="K82" s="40">
        <f>_xll.DBRW($B$3,Input_Prod_03!$G$11,Input_Prod_03!K$14,$M$1,Input_Prod_03!$I$11,Input_Prod_03!$C$11,$E$33,$A82,$K$1)</f>
        <v>22.70534623903</v>
      </c>
      <c r="L82" s="40">
        <f>_xll.DBRW($B$3,Input_Prod_03!$G$11,Input_Prod_03!L$14,$M$1,Input_Prod_03!$I$11,Input_Prod_03!$C$11,$E$33,$A82,$K$1)</f>
        <v>22.837141191480001</v>
      </c>
      <c r="M82" s="40">
        <f>_xll.DBRW($B$3,Input_Prod_03!$G$11,Input_Prod_03!M$14,$M$1,Input_Prod_03!$I$11,Input_Prod_03!$C$11,$E$33,$A82,$K$1)</f>
        <v>20.154284990680004</v>
      </c>
      <c r="N82" s="40">
        <f>_xll.DBRW($B$3,Input_Prod_03!$G$11,Input_Prod_03!N$14,$M$1,Input_Prod_03!$I$11,Input_Prod_03!$C$11,$E$33,$A82,$K$1)</f>
        <v>18.781982347220001</v>
      </c>
      <c r="O82" s="48">
        <f>_xll.DBRW($B$3,O$13,$O$15,$M$1,Input_Prod_03!$I$11,$C$11,$E$33,$A82,$K$1)</f>
        <v>0</v>
      </c>
      <c r="P82" s="48">
        <f>_xll.DBRW($B$3,P$13,$O$15,$M$1,Input_Prod_03!$I$11,$C$11,$E$33,$A82,$K$1)</f>
        <v>0</v>
      </c>
      <c r="Q82" s="48">
        <f>_xll.DBRW($B$3,Q$13,$O$15,$M$1,Input_Prod_03!$I$11,$C$11,$E$33,$A82,$K$1)</f>
        <v>0</v>
      </c>
      <c r="R82" s="48">
        <f>_xll.DBRW($B$3,R$13,$O$15,$M$1,Input_Prod_03!$I$11,$C$11,$E$33,$A82,$K$1)</f>
        <v>0</v>
      </c>
      <c r="S82" s="48">
        <f>_xll.DBRW($B$3,S$13,$O$15,$M$1,Input_Prod_03!$I$11,$C$11,$E$33,$A82,$K$1)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17" priority="3">
      <formula>C$5="ACTUAL"</formula>
    </cfRule>
  </conditionalFormatting>
  <conditionalFormatting sqref="C53:S56">
    <cfRule type="expression" dxfId="16" priority="2">
      <formula>C$5="ACTUAL"</formula>
    </cfRule>
  </conditionalFormatting>
  <conditionalFormatting sqref="C58:S73">
    <cfRule type="expression" dxfId="15" priority="1">
      <formula>C$5="ACTUAL"</formula>
    </cfRule>
  </conditionalFormatting>
  <conditionalFormatting sqref="C80:S80">
    <cfRule type="expression" dxfId="14" priority="6">
      <formula>C$5="ACTUAL"</formula>
    </cfRule>
  </conditionalFormatting>
  <conditionalFormatting sqref="L11">
    <cfRule type="cellIs" dxfId="13" priority="4" operator="equal">
      <formula>"Open"</formula>
    </cfRule>
    <cfRule type="cellIs" dxfId="12" priority="5" operator="equal">
      <formula>"Closed"</formula>
    </cfRule>
  </conditionalFormatting>
  <dataValidations count="1">
    <dataValidation type="list" errorStyle="information" allowBlank="1" showInputMessage="1" sqref="D5:N5" xr:uid="{DEB108FC-D048-4F91-9CF3-1DA72F944FA2}">
      <formula1>cafe_validation_temp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0661-EEB3-4727-8865-3B25B489250F}">
  <dimension ref="A1:X84"/>
  <sheetViews>
    <sheetView showGridLines="0" topLeftCell="A6" zoomScaleNormal="100" workbookViewId="0">
      <selection activeCell="M6" sqref="M6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CONS_VC_PRD:STG.100.DataBase_Uploads:1238482367-1964760950</v>
      </c>
      <c r="C1" s="29" t="str">
        <f>_xll.VIEW("CONS_VC_PRD:ALL.015.Region_Assumptions")</f>
        <v>CONS_VC_PRD:ALL.015.Region_Assumptions:1238482367-938050161</v>
      </c>
      <c r="D1" s="29" t="str">
        <f>_xll.VIEW("CONS_VC_PRD:DFS.120.Financial_Results")</f>
        <v>CONS_VC_PRD:DFS.120.Financial_Results:1238482367-291265444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CONS_VC_PRD:REV.100.Revenue_Consolidated:12384823671149463254</v>
      </c>
      <c r="C2" s="29" t="str">
        <f>_xll.VIEW("CONS_VC_PRD:ALL.010.Economic_Assumptions")</f>
        <v>CONS_VC_PRD:ALL.010.Economic_Assumptions:1238482367-511728047</v>
      </c>
      <c r="D2" s="29" t="str">
        <f>_xll.VIEW("CONS_VC_PRD:DFS.140.Indirect_Cash_Flow")</f>
        <v>CONS_VC_PRD:DFS.140.Indirect_Cash_Flow:1238482367-728473375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CONS_VC_PRD:DFS.100.Profit_and_Loss:1238482367715669397</v>
      </c>
      <c r="C3" s="29" t="str">
        <f>_xll.VIEW("CONS_VC_PRD:DFS.160.Working_Capital")</f>
        <v>CONS_VC_PRD:DFS.160.Working_Capital:1238482367217067562</v>
      </c>
      <c r="D3" s="29" t="str">
        <f>_xll.VIEW("CONS_VC_PRD:ALL.004.Uploads_Status_Planning")</f>
        <v>CONS_VC_PRD:ALL.004.Uploads_Status_Planning:1238482367245118133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CONS_VC_PRD:ALL.001.Actual_Control:1238482367-1220715419</v>
      </c>
      <c r="C4" s="29" t="str">
        <f>_xll.VIEW("CONS_VC_PRD:DFS.180.Gross_Debt")</f>
        <v>CONS_VC_PRD:DFS.180.Gross_Debt:1238482367-860978853</v>
      </c>
      <c r="D4" s="29" t="str">
        <f>_xll.VIEW("CONS_VC_PRD:}ElementAttributes_ALL.D.Accounts")</f>
        <v>CONS_VC_PRD:}ElementAttributes_ALL.D.Accounts:1238482367-483330047</v>
      </c>
    </row>
    <row r="5" spans="1:19" s="29" customFormat="1" ht="30" hidden="1" customHeight="1">
      <c r="A5" s="66"/>
      <c r="C5" t="str">
        <f>_xll.DBRW(Input_Prod_04!$B$4,Input_Prod_04!$G$11,Input_Prod_04!C14,$M$1,$G$3)</f>
        <v>ACTUAL</v>
      </c>
      <c r="D5" t="str">
        <f>_xll.DBRW(Input_Prod_04!$B$4,Input_Prod_04!$G$11,Input_Prod_04!D14,$M$1,$G$3)</f>
        <v/>
      </c>
      <c r="E5" t="str">
        <f>_xll.DBRW(Input_Prod_04!$B$4,Input_Prod_04!$G$11,Input_Prod_04!E14,$M$1,$G$3)</f>
        <v/>
      </c>
      <c r="F5" t="str">
        <f>_xll.DBRW(Input_Prod_04!$B$4,Input_Prod_04!$G$11,Input_Prod_04!F14,$M$1,$G$3)</f>
        <v/>
      </c>
      <c r="G5" t="str">
        <f>_xll.DBRW(Input_Prod_04!$B$4,Input_Prod_04!$G$11,Input_Prod_04!G14,$M$1,$G$3)</f>
        <v/>
      </c>
      <c r="H5" t="str">
        <f>_xll.DBRW(Input_Prod_04!$B$4,Input_Prod_04!$G$11,Input_Prod_04!H14,$M$1,$G$3)</f>
        <v/>
      </c>
      <c r="I5" t="str">
        <f>_xll.DBRW(Input_Prod_04!$B$4,Input_Prod_04!$G$11,Input_Prod_04!I14,$M$1,$G$3)</f>
        <v/>
      </c>
      <c r="J5" t="str">
        <f>_xll.DBRW(Input_Prod_04!$B$4,Input_Prod_04!$G$11,Input_Prod_04!J14,$M$1,$G$3)</f>
        <v/>
      </c>
      <c r="K5" t="str">
        <f>_xll.DBRW(Input_Prod_04!$B$4,Input_Prod_04!$G$11,Input_Prod_04!K14,$M$1,$G$3)</f>
        <v/>
      </c>
      <c r="L5" t="str">
        <f>_xll.DBRW(Input_Prod_04!$B$4,Input_Prod_04!$G$11,Input_Prod_04!L14,$M$1,$G$3)</f>
        <v/>
      </c>
      <c r="M5" t="str">
        <f>_xll.DBRW(Input_Prod_04!$B$4,Input_Prod_04!$G$11,Input_Prod_04!M14,$M$1,$G$3)</f>
        <v/>
      </c>
      <c r="N5" t="str">
        <f>_xll.DBRW(Input_Prod_04!$B$4,Input_Prod_04!$G$11,Input_Prod_04!N14,$M$1,$G$3)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9" s="29" customFormat="1" ht="15.6" customHeight="1">
      <c r="A10" s="66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s="29" customFormat="1" ht="21.6" customHeight="1">
      <c r="A11" s="66"/>
      <c r="B11" s="91"/>
      <c r="C11" s="104" t="str">
        <f>Cons_Region!$C$12</f>
        <v>VCBR</v>
      </c>
      <c r="D11" s="104"/>
      <c r="E11" s="99"/>
      <c r="F11" s="100"/>
      <c r="G11" s="101" t="str">
        <f>Cons_Region!$F$12</f>
        <v>2026</v>
      </c>
      <c r="H11" s="100"/>
      <c r="I11" s="101" t="str">
        <f>Cons_Region!$H$12</f>
        <v>BRL</v>
      </c>
      <c r="J11" s="102"/>
      <c r="K11" s="103" t="s">
        <v>523</v>
      </c>
      <c r="L11" s="101" t="str">
        <f>_xll.DBRW($D$3,$M$1,$C$11,"Financial_Planning","Status")</f>
        <v>Open</v>
      </c>
      <c r="M11" s="92"/>
      <c r="N11" s="90"/>
      <c r="O11" s="90"/>
      <c r="P11" s="90"/>
      <c r="Q11" s="90"/>
      <c r="R11" s="90"/>
      <c r="S11" s="90"/>
    </row>
    <row r="12" spans="1:19" s="29" customFormat="1" ht="14.4" customHeight="1">
      <c r="A12" s="66"/>
      <c r="B12" s="93"/>
      <c r="C12" s="94"/>
      <c r="D12" s="93"/>
      <c r="E12" s="93"/>
      <c r="F12" s="94"/>
      <c r="G12" s="93"/>
      <c r="H12" s="93"/>
      <c r="I12" s="94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spans="1:19" s="29" customFormat="1" ht="14.4" customHeight="1">
      <c r="A13" s="66"/>
      <c r="B13" s="86"/>
      <c r="C13" s="87"/>
      <c r="D13" s="88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97">
        <f>$G$11+1</f>
        <v>2027</v>
      </c>
      <c r="P13" s="98">
        <f>$G$11+2</f>
        <v>2028</v>
      </c>
      <c r="Q13" s="98">
        <f>$G$11+3</f>
        <v>2029</v>
      </c>
      <c r="R13" s="98">
        <f>$G$11+4</f>
        <v>2030</v>
      </c>
      <c r="S13" s="98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_xll.DBRW($C$2,Input_Prod_04!$G$11,Input_Prod_04!$C$14,$M$1,$B16,$K$1)</f>
        <v>0</v>
      </c>
      <c r="D16" s="40">
        <f>_xll.DBRW($C$2,Input_Prod_04!$G$11,Input_Prod_04!$C$14,$M$1,$B16,$K$1)</f>
        <v>0</v>
      </c>
      <c r="E16" s="40">
        <f>_xll.DBRW($C$2,Input_Prod_04!$G$11,Input_Prod_04!$C$14,$M$1,$B16,$K$1)</f>
        <v>0</v>
      </c>
      <c r="F16" s="40">
        <f>_xll.DBRW($C$2,Input_Prod_04!$G$11,Input_Prod_04!$C$14,$M$1,$B16,$K$1)</f>
        <v>0</v>
      </c>
      <c r="G16" s="40">
        <f>_xll.DBRW($C$2,Input_Prod_04!$G$11,Input_Prod_04!$C$14,$M$1,$B16,$K$1)</f>
        <v>0</v>
      </c>
      <c r="H16" s="40">
        <f>_xll.DBRW($C$2,Input_Prod_04!$G$11,Input_Prod_04!$C$14,$M$1,$B16,$K$1)</f>
        <v>0</v>
      </c>
      <c r="I16" s="40">
        <f>_xll.DBRW($C$2,Input_Prod_04!$G$11,Input_Prod_04!$C$14,$M$1,$B16,$K$1)</f>
        <v>0</v>
      </c>
      <c r="J16" s="40">
        <f>_xll.DBRW($C$2,Input_Prod_04!$G$11,Input_Prod_04!$C$14,$M$1,$B16,$K$1)</f>
        <v>0</v>
      </c>
      <c r="K16" s="40">
        <f>_xll.DBRW($C$2,Input_Prod_04!$G$11,Input_Prod_04!$C$14,$M$1,$B16,$K$1)</f>
        <v>0</v>
      </c>
      <c r="L16" s="40">
        <f>_xll.DBRW($C$2,Input_Prod_04!$G$11,Input_Prod_04!$C$14,$M$1,$B16,$K$1)</f>
        <v>0</v>
      </c>
      <c r="M16" s="40">
        <f>_xll.DBRW($C$2,Input_Prod_04!$G$11,Input_Prod_04!$C$14,$M$1,$B16,$K$1)</f>
        <v>0</v>
      </c>
      <c r="N16" s="40">
        <f>_xll.DBRW($C$2,Input_Prod_04!$G$11,Input_Prod_04!$C$14,$M$1,$B16,$K$1)</f>
        <v>0</v>
      </c>
      <c r="O16" s="40">
        <f>_xll.DBRW($C$2,O$13,$O$15,$M$1,$B16,$K$1)</f>
        <v>0</v>
      </c>
      <c r="P16" s="40">
        <f>_xll.DBRW($C$2,P$13,$O$15,$M$1,$B16,$K$1)</f>
        <v>0</v>
      </c>
      <c r="Q16" s="40">
        <f>_xll.DBRW($C$2,Q$13,$O$15,$M$1,$B16,$K$1)</f>
        <v>0</v>
      </c>
      <c r="R16" s="40">
        <f>_xll.DBRW($C$2,R$13,$O$15,$M$1,$B16,$K$1)</f>
        <v>0</v>
      </c>
      <c r="S16" s="40">
        <f>_xll.DBRW($C$2,S$13,$O$15,$M$1,$B16,$K$1)</f>
        <v>0</v>
      </c>
    </row>
    <row r="17" spans="1:19" s="29" customFormat="1" ht="15.75" customHeight="1">
      <c r="A17" s="66"/>
      <c r="B17" s="45" t="s">
        <v>1</v>
      </c>
      <c r="C17" s="40">
        <f>_xll.DBRW($C$2,Input_Prod_04!$G$11,Input_Prod_04!$C$14,$M$1,$B17,$K$1)</f>
        <v>0</v>
      </c>
      <c r="D17" s="40">
        <f>_xll.DBRW($C$2,Input_Prod_04!$G$11,Input_Prod_04!$C$14,$M$1,$B17,$K$1)</f>
        <v>0</v>
      </c>
      <c r="E17" s="40">
        <f>_xll.DBRW($C$2,Input_Prod_04!$G$11,Input_Prod_04!$C$14,$M$1,$B17,$K$1)</f>
        <v>0</v>
      </c>
      <c r="F17" s="40">
        <f>_xll.DBRW($C$2,Input_Prod_04!$G$11,Input_Prod_04!$C$14,$M$1,$B17,$K$1)</f>
        <v>0</v>
      </c>
      <c r="G17" s="40">
        <f>_xll.DBRW($C$2,Input_Prod_04!$G$11,Input_Prod_04!$C$14,$M$1,$B17,$K$1)</f>
        <v>0</v>
      </c>
      <c r="H17" s="40">
        <f>_xll.DBRW($C$2,Input_Prod_04!$G$11,Input_Prod_04!$C$14,$M$1,$B17,$K$1)</f>
        <v>0</v>
      </c>
      <c r="I17" s="40">
        <f>_xll.DBRW($C$2,Input_Prod_04!$G$11,Input_Prod_04!$C$14,$M$1,$B17,$K$1)</f>
        <v>0</v>
      </c>
      <c r="J17" s="40">
        <f>_xll.DBRW($C$2,Input_Prod_04!$G$11,Input_Prod_04!$C$14,$M$1,$B17,$K$1)</f>
        <v>0</v>
      </c>
      <c r="K17" s="40">
        <f>_xll.DBRW($C$2,Input_Prod_04!$G$11,Input_Prod_04!$C$14,$M$1,$B17,$K$1)</f>
        <v>0</v>
      </c>
      <c r="L17" s="40">
        <f>_xll.DBRW($C$2,Input_Prod_04!$G$11,Input_Prod_04!$C$14,$M$1,$B17,$K$1)</f>
        <v>0</v>
      </c>
      <c r="M17" s="40">
        <f>_xll.DBRW($C$2,Input_Prod_04!$G$11,Input_Prod_04!$C$14,$M$1,$B17,$K$1)</f>
        <v>0</v>
      </c>
      <c r="N17" s="40">
        <f>_xll.DBRW($C$2,Input_Prod_04!$G$11,Input_Prod_04!$C$14,$M$1,$B17,$K$1)</f>
        <v>0</v>
      </c>
      <c r="O17" s="40">
        <f>_xll.DBRW($C$2,O$13,$O$15,$M$1,$B17,$K$1)</f>
        <v>0</v>
      </c>
      <c r="P17" s="40">
        <f>_xll.DBRW($C$2,P$13,$O$15,$M$1,$B17,$K$1)</f>
        <v>0</v>
      </c>
      <c r="Q17" s="40">
        <f>_xll.DBRW($C$2,Q$13,$O$15,$M$1,$B17,$K$1)</f>
        <v>0</v>
      </c>
      <c r="R17" s="40">
        <f>_xll.DBRW($C$2,R$13,$O$15,$M$1,$B17,$K$1)</f>
        <v>0</v>
      </c>
      <c r="S17" s="40">
        <f>_xll.DBRW($C$2,S$13,$O$15,$M$1,$B17,$K$1)</f>
        <v>0</v>
      </c>
    </row>
    <row r="18" spans="1:19" s="29" customFormat="1" ht="15.75" customHeight="1">
      <c r="A18" s="66"/>
      <c r="B18" s="45" t="s">
        <v>2</v>
      </c>
      <c r="C18" s="40">
        <f>_xll.DBRW($C$2,Input_Prod_04!$G$11,Input_Prod_04!$C$14,$M$1,$B18,$K$1)</f>
        <v>0</v>
      </c>
      <c r="D18" s="40">
        <f>_xll.DBRW($C$2,Input_Prod_04!$G$11,Input_Prod_04!$C$14,$M$1,$B18,$K$1)</f>
        <v>0</v>
      </c>
      <c r="E18" s="40">
        <f>_xll.DBRW($C$2,Input_Prod_04!$G$11,Input_Prod_04!$C$14,$M$1,$B18,$K$1)</f>
        <v>0</v>
      </c>
      <c r="F18" s="40">
        <f>_xll.DBRW($C$2,Input_Prod_04!$G$11,Input_Prod_04!$C$14,$M$1,$B18,$K$1)</f>
        <v>0</v>
      </c>
      <c r="G18" s="40">
        <f>_xll.DBRW($C$2,Input_Prod_04!$G$11,Input_Prod_04!$C$14,$M$1,$B18,$K$1)</f>
        <v>0</v>
      </c>
      <c r="H18" s="40">
        <f>_xll.DBRW($C$2,Input_Prod_04!$G$11,Input_Prod_04!$C$14,$M$1,$B18,$K$1)</f>
        <v>0</v>
      </c>
      <c r="I18" s="40">
        <f>_xll.DBRW($C$2,Input_Prod_04!$G$11,Input_Prod_04!$C$14,$M$1,$B18,$K$1)</f>
        <v>0</v>
      </c>
      <c r="J18" s="40">
        <f>_xll.DBRW($C$2,Input_Prod_04!$G$11,Input_Prod_04!$C$14,$M$1,$B18,$K$1)</f>
        <v>0</v>
      </c>
      <c r="K18" s="40">
        <f>_xll.DBRW($C$2,Input_Prod_04!$G$11,Input_Prod_04!$C$14,$M$1,$B18,$K$1)</f>
        <v>0</v>
      </c>
      <c r="L18" s="40">
        <f>_xll.DBRW($C$2,Input_Prod_04!$G$11,Input_Prod_04!$C$14,$M$1,$B18,$K$1)</f>
        <v>0</v>
      </c>
      <c r="M18" s="40">
        <f>_xll.DBRW($C$2,Input_Prod_04!$G$11,Input_Prod_04!$C$14,$M$1,$B18,$K$1)</f>
        <v>0</v>
      </c>
      <c r="N18" s="40">
        <f>_xll.DBRW($C$2,Input_Prod_04!$G$11,Input_Prod_04!$C$14,$M$1,$B18,$K$1)</f>
        <v>0</v>
      </c>
      <c r="O18" s="40">
        <f>_xll.DBRW($C$2,O$13,$O$15,$M$1,$B18,$K$1)</f>
        <v>0</v>
      </c>
      <c r="P18" s="40">
        <f>_xll.DBRW($C$2,P$13,$O$15,$M$1,$B18,$K$1)</f>
        <v>0</v>
      </c>
      <c r="Q18" s="40">
        <f>_xll.DBRW($C$2,Q$13,$O$15,$M$1,$B18,$K$1)</f>
        <v>0</v>
      </c>
      <c r="R18" s="40">
        <f>_xll.DBRW($C$2,R$13,$O$15,$M$1,$B18,$K$1)</f>
        <v>0</v>
      </c>
      <c r="S18" s="40">
        <f>_xll.DBRW($C$2,S$13,$O$15,$M$1,$B18,$K$1)</f>
        <v>0</v>
      </c>
    </row>
    <row r="19" spans="1:19" s="29" customFormat="1" ht="15.75" customHeight="1">
      <c r="A19" s="66"/>
      <c r="B19" s="45" t="s">
        <v>3</v>
      </c>
      <c r="C19" s="40">
        <f>_xll.DBRW($C$2,Input_Prod_04!$G$11,Input_Prod_04!$C$14,$M$1,$B19,$K$1)</f>
        <v>0</v>
      </c>
      <c r="D19" s="40">
        <f>_xll.DBRW($C$2,Input_Prod_04!$G$11,Input_Prod_04!$C$14,$M$1,$B19,$K$1)</f>
        <v>0</v>
      </c>
      <c r="E19" s="40">
        <f>_xll.DBRW($C$2,Input_Prod_04!$G$11,Input_Prod_04!$C$14,$M$1,$B19,$K$1)</f>
        <v>0</v>
      </c>
      <c r="F19" s="40">
        <f>_xll.DBRW($C$2,Input_Prod_04!$G$11,Input_Prod_04!$C$14,$M$1,$B19,$K$1)</f>
        <v>0</v>
      </c>
      <c r="G19" s="40">
        <f>_xll.DBRW($C$2,Input_Prod_04!$G$11,Input_Prod_04!$C$14,$M$1,$B19,$K$1)</f>
        <v>0</v>
      </c>
      <c r="H19" s="40">
        <f>_xll.DBRW($C$2,Input_Prod_04!$G$11,Input_Prod_04!$C$14,$M$1,$B19,$K$1)</f>
        <v>0</v>
      </c>
      <c r="I19" s="40">
        <f>_xll.DBRW($C$2,Input_Prod_04!$G$11,Input_Prod_04!$C$14,$M$1,$B19,$K$1)</f>
        <v>0</v>
      </c>
      <c r="J19" s="40">
        <f>_xll.DBRW($C$2,Input_Prod_04!$G$11,Input_Prod_04!$C$14,$M$1,$B19,$K$1)</f>
        <v>0</v>
      </c>
      <c r="K19" s="40">
        <f>_xll.DBRW($C$2,Input_Prod_04!$G$11,Input_Prod_04!$C$14,$M$1,$B19,$K$1)</f>
        <v>0</v>
      </c>
      <c r="L19" s="40">
        <f>_xll.DBRW($C$2,Input_Prod_04!$G$11,Input_Prod_04!$C$14,$M$1,$B19,$K$1)</f>
        <v>0</v>
      </c>
      <c r="M19" s="40">
        <f>_xll.DBRW($C$2,Input_Prod_04!$G$11,Input_Prod_04!$C$14,$M$1,$B19,$K$1)</f>
        <v>0</v>
      </c>
      <c r="N19" s="40">
        <f>_xll.DBRW($C$2,Input_Prod_04!$G$11,Input_Prod_04!$C$14,$M$1,$B19,$K$1)</f>
        <v>0</v>
      </c>
      <c r="O19" s="40">
        <f>_xll.DBRW($C$2,O$13,$O$15,$M$1,$B19,$K$1)</f>
        <v>0</v>
      </c>
      <c r="P19" s="40">
        <f>_xll.DBRW($C$2,P$13,$O$15,$M$1,$B19,$K$1)</f>
        <v>0</v>
      </c>
      <c r="Q19" s="40">
        <f>_xll.DBRW($C$2,Q$13,$O$15,$M$1,$B19,$K$1)</f>
        <v>0</v>
      </c>
      <c r="R19" s="40">
        <f>_xll.DBRW($C$2,R$13,$O$15,$M$1,$B19,$K$1)</f>
        <v>0</v>
      </c>
      <c r="S19" s="40">
        <f>_xll.DBRW($C$2,S$13,$O$15,$M$1,$B19,$K$1)</f>
        <v>0</v>
      </c>
    </row>
    <row r="20" spans="1:19" s="29" customFormat="1" ht="15.75" customHeight="1">
      <c r="A20" s="66"/>
      <c r="B20" s="45" t="s">
        <v>4</v>
      </c>
      <c r="C20" s="40">
        <f>_xll.DBRW($C$2,Input_Prod_04!$G$11,Input_Prod_04!$C$14,$M$1,$B20,$K$1)</f>
        <v>5</v>
      </c>
      <c r="D20" s="40">
        <f>_xll.DBRW($C$2,Input_Prod_04!$G$11,Input_Prod_04!$C$14,$M$1,$B20,$K$1)</f>
        <v>5</v>
      </c>
      <c r="E20" s="40">
        <f>_xll.DBRW($C$2,Input_Prod_04!$G$11,Input_Prod_04!$C$14,$M$1,$B20,$K$1)</f>
        <v>5</v>
      </c>
      <c r="F20" s="40">
        <f>_xll.DBRW($C$2,Input_Prod_04!$G$11,Input_Prod_04!$C$14,$M$1,$B20,$K$1)</f>
        <v>5</v>
      </c>
      <c r="G20" s="40">
        <f>_xll.DBRW($C$2,Input_Prod_04!$G$11,Input_Prod_04!$C$14,$M$1,$B20,$K$1)</f>
        <v>5</v>
      </c>
      <c r="H20" s="40">
        <f>_xll.DBRW($C$2,Input_Prod_04!$G$11,Input_Prod_04!$C$14,$M$1,$B20,$K$1)</f>
        <v>5</v>
      </c>
      <c r="I20" s="40">
        <f>_xll.DBRW($C$2,Input_Prod_04!$G$11,Input_Prod_04!$C$14,$M$1,$B20,$K$1)</f>
        <v>5</v>
      </c>
      <c r="J20" s="40">
        <f>_xll.DBRW($C$2,Input_Prod_04!$G$11,Input_Prod_04!$C$14,$M$1,$B20,$K$1)</f>
        <v>5</v>
      </c>
      <c r="K20" s="40">
        <f>_xll.DBRW($C$2,Input_Prod_04!$G$11,Input_Prod_04!$C$14,$M$1,$B20,$K$1)</f>
        <v>5</v>
      </c>
      <c r="L20" s="40">
        <f>_xll.DBRW($C$2,Input_Prod_04!$G$11,Input_Prod_04!$C$14,$M$1,$B20,$K$1)</f>
        <v>5</v>
      </c>
      <c r="M20" s="40">
        <f>_xll.DBRW($C$2,Input_Prod_04!$G$11,Input_Prod_04!$C$14,$M$1,$B20,$K$1)</f>
        <v>5</v>
      </c>
      <c r="N20" s="40">
        <f>_xll.DBRW($C$2,Input_Prod_04!$G$11,Input_Prod_04!$C$14,$M$1,$B20,$K$1)</f>
        <v>5</v>
      </c>
      <c r="O20" s="40">
        <f>_xll.DBRW($C$2,O$13,$O$15,$M$1,$B20,$K$1)</f>
        <v>0</v>
      </c>
      <c r="P20" s="40">
        <f>_xll.DBRW($C$2,P$13,$O$15,$M$1,$B20,$K$1)</f>
        <v>0</v>
      </c>
      <c r="Q20" s="40">
        <f>_xll.DBRW($C$2,Q$13,$O$15,$M$1,$B20,$K$1)</f>
        <v>0</v>
      </c>
      <c r="R20" s="40">
        <f>_xll.DBRW($C$2,R$13,$O$15,$M$1,$B20,$K$1)</f>
        <v>0</v>
      </c>
      <c r="S20" s="40">
        <f>_xll.DBRW($C$2,S$13,$O$15,$M$1,$B20,$K$1)</f>
        <v>0</v>
      </c>
    </row>
    <row r="21" spans="1:19" s="29" customFormat="1" ht="15.75" customHeight="1">
      <c r="A21" s="66"/>
      <c r="B21" s="45" t="s">
        <v>5</v>
      </c>
      <c r="C21" s="40">
        <f>_xll.DBRW($C$2,Input_Prod_04!$G$11,Input_Prod_04!$C$14,$M$1,$B21,$K$1)</f>
        <v>0</v>
      </c>
      <c r="D21" s="40">
        <f>_xll.DBRW($C$2,Input_Prod_04!$G$11,Input_Prod_04!$C$14,$M$1,$B21,$K$1)</f>
        <v>0</v>
      </c>
      <c r="E21" s="40">
        <f>_xll.DBRW($C$2,Input_Prod_04!$G$11,Input_Prod_04!$C$14,$M$1,$B21,$K$1)</f>
        <v>0</v>
      </c>
      <c r="F21" s="40">
        <f>_xll.DBRW($C$2,Input_Prod_04!$G$11,Input_Prod_04!$C$14,$M$1,$B21,$K$1)</f>
        <v>0</v>
      </c>
      <c r="G21" s="40">
        <f>_xll.DBRW($C$2,Input_Prod_04!$G$11,Input_Prod_04!$C$14,$M$1,$B21,$K$1)</f>
        <v>0</v>
      </c>
      <c r="H21" s="40">
        <f>_xll.DBRW($C$2,Input_Prod_04!$G$11,Input_Prod_04!$C$14,$M$1,$B21,$K$1)</f>
        <v>0</v>
      </c>
      <c r="I21" s="40">
        <f>_xll.DBRW($C$2,Input_Prod_04!$G$11,Input_Prod_04!$C$14,$M$1,$B21,$K$1)</f>
        <v>0</v>
      </c>
      <c r="J21" s="40">
        <f>_xll.DBRW($C$2,Input_Prod_04!$G$11,Input_Prod_04!$C$14,$M$1,$B21,$K$1)</f>
        <v>0</v>
      </c>
      <c r="K21" s="40">
        <f>_xll.DBRW($C$2,Input_Prod_04!$G$11,Input_Prod_04!$C$14,$M$1,$B21,$K$1)</f>
        <v>0</v>
      </c>
      <c r="L21" s="40">
        <f>_xll.DBRW($C$2,Input_Prod_04!$G$11,Input_Prod_04!$C$14,$M$1,$B21,$K$1)</f>
        <v>0</v>
      </c>
      <c r="M21" s="40">
        <f>_xll.DBRW($C$2,Input_Prod_04!$G$11,Input_Prod_04!$C$14,$M$1,$B21,$K$1)</f>
        <v>0</v>
      </c>
      <c r="N21" s="40">
        <f>_xll.DBRW($C$2,Input_Prod_04!$G$11,Input_Prod_04!$C$14,$M$1,$B21,$K$1)</f>
        <v>0</v>
      </c>
      <c r="O21" s="40">
        <f>_xll.DBRW($C$2,O$13,$O$15,$M$1,$B21,$K$1)</f>
        <v>0</v>
      </c>
      <c r="P21" s="40">
        <f>_xll.DBRW($C$2,P$13,$O$15,$M$1,$B21,$K$1)</f>
        <v>0</v>
      </c>
      <c r="Q21" s="40">
        <f>_xll.DBRW($C$2,Q$13,$O$15,$M$1,$B21,$K$1)</f>
        <v>0</v>
      </c>
      <c r="R21" s="40">
        <f>_xll.DBRW($C$2,R$13,$O$15,$M$1,$B21,$K$1)</f>
        <v>0</v>
      </c>
      <c r="S21" s="40">
        <f>_xll.DBRW($C$2,S$13,$O$15,$M$1,$B21,$K$1)</f>
        <v>0</v>
      </c>
    </row>
    <row r="22" spans="1:19" s="29" customFormat="1" ht="15.75" customHeight="1">
      <c r="A22" s="66"/>
      <c r="B22" s="45" t="s">
        <v>6</v>
      </c>
      <c r="C22" s="40">
        <f>_xll.DBRW($C$2,Input_Prod_04!$G$11,Input_Prod_04!$C$14,$M$1,$B22,$K$1)</f>
        <v>0</v>
      </c>
      <c r="D22" s="40">
        <f>_xll.DBRW($C$2,Input_Prod_04!$G$11,Input_Prod_04!$C$14,$M$1,$B22,$K$1)</f>
        <v>0</v>
      </c>
      <c r="E22" s="40">
        <f>_xll.DBRW($C$2,Input_Prod_04!$G$11,Input_Prod_04!$C$14,$M$1,$B22,$K$1)</f>
        <v>0</v>
      </c>
      <c r="F22" s="40">
        <f>_xll.DBRW($C$2,Input_Prod_04!$G$11,Input_Prod_04!$C$14,$M$1,$B22,$K$1)</f>
        <v>0</v>
      </c>
      <c r="G22" s="40">
        <f>_xll.DBRW($C$2,Input_Prod_04!$G$11,Input_Prod_04!$C$14,$M$1,$B22,$K$1)</f>
        <v>0</v>
      </c>
      <c r="H22" s="40">
        <f>_xll.DBRW($C$2,Input_Prod_04!$G$11,Input_Prod_04!$C$14,$M$1,$B22,$K$1)</f>
        <v>0</v>
      </c>
      <c r="I22" s="40">
        <f>_xll.DBRW($C$2,Input_Prod_04!$G$11,Input_Prod_04!$C$14,$M$1,$B22,$K$1)</f>
        <v>0</v>
      </c>
      <c r="J22" s="40">
        <f>_xll.DBRW($C$2,Input_Prod_04!$G$11,Input_Prod_04!$C$14,$M$1,$B22,$K$1)</f>
        <v>0</v>
      </c>
      <c r="K22" s="40">
        <f>_xll.DBRW($C$2,Input_Prod_04!$G$11,Input_Prod_04!$C$14,$M$1,$B22,$K$1)</f>
        <v>0</v>
      </c>
      <c r="L22" s="40">
        <f>_xll.DBRW($C$2,Input_Prod_04!$G$11,Input_Prod_04!$C$14,$M$1,$B22,$K$1)</f>
        <v>0</v>
      </c>
      <c r="M22" s="40">
        <f>_xll.DBRW($C$2,Input_Prod_04!$G$11,Input_Prod_04!$C$14,$M$1,$B22,$K$1)</f>
        <v>0</v>
      </c>
      <c r="N22" s="40">
        <f>_xll.DBRW($C$2,Input_Prod_04!$G$11,Input_Prod_04!$C$14,$M$1,$B22,$K$1)</f>
        <v>0</v>
      </c>
      <c r="O22" s="40">
        <f>_xll.DBRW($C$2,O$13,$O$15,$M$1,$B22,$K$1)</f>
        <v>0</v>
      </c>
      <c r="P22" s="40">
        <f>_xll.DBRW($C$2,P$13,$O$15,$M$1,$B22,$K$1)</f>
        <v>0</v>
      </c>
      <c r="Q22" s="40">
        <f>_xll.DBRW($C$2,Q$13,$O$15,$M$1,$B22,$K$1)</f>
        <v>0</v>
      </c>
      <c r="R22" s="40">
        <f>_xll.DBRW($C$2,R$13,$O$15,$M$1,$B22,$K$1)</f>
        <v>0</v>
      </c>
      <c r="S22" s="40">
        <f>_xll.DBRW($C$2,S$13,$O$15,$M$1,$B22,$K$1)</f>
        <v>0</v>
      </c>
    </row>
    <row r="23" spans="1:19" s="29" customFormat="1" ht="15.75" customHeight="1">
      <c r="A23" s="66"/>
      <c r="B23" s="45" t="s">
        <v>7</v>
      </c>
      <c r="C23" s="40">
        <f>_xll.DBRW($C$2,Input_Prod_04!$G$11,Input_Prod_04!$C$14,$M$1,$B23,$K$1)</f>
        <v>0</v>
      </c>
      <c r="D23" s="40">
        <f>_xll.DBRW($C$2,Input_Prod_04!$G$11,Input_Prod_04!$C$14,$M$1,$B23,$K$1)</f>
        <v>0</v>
      </c>
      <c r="E23" s="40">
        <f>_xll.DBRW($C$2,Input_Prod_04!$G$11,Input_Prod_04!$C$14,$M$1,$B23,$K$1)</f>
        <v>0</v>
      </c>
      <c r="F23" s="40">
        <f>_xll.DBRW($C$2,Input_Prod_04!$G$11,Input_Prod_04!$C$14,$M$1,$B23,$K$1)</f>
        <v>0</v>
      </c>
      <c r="G23" s="40">
        <f>_xll.DBRW($C$2,Input_Prod_04!$G$11,Input_Prod_04!$C$14,$M$1,$B23,$K$1)</f>
        <v>0</v>
      </c>
      <c r="H23" s="40">
        <f>_xll.DBRW($C$2,Input_Prod_04!$G$11,Input_Prod_04!$C$14,$M$1,$B23,$K$1)</f>
        <v>0</v>
      </c>
      <c r="I23" s="40">
        <f>_xll.DBRW($C$2,Input_Prod_04!$G$11,Input_Prod_04!$C$14,$M$1,$B23,$K$1)</f>
        <v>0</v>
      </c>
      <c r="J23" s="40">
        <f>_xll.DBRW($C$2,Input_Prod_04!$G$11,Input_Prod_04!$C$14,$M$1,$B23,$K$1)</f>
        <v>0</v>
      </c>
      <c r="K23" s="40">
        <f>_xll.DBRW($C$2,Input_Prod_04!$G$11,Input_Prod_04!$C$14,$M$1,$B23,$K$1)</f>
        <v>0</v>
      </c>
      <c r="L23" s="40">
        <f>_xll.DBRW($C$2,Input_Prod_04!$G$11,Input_Prod_04!$C$14,$M$1,$B23,$K$1)</f>
        <v>0</v>
      </c>
      <c r="M23" s="40">
        <f>_xll.DBRW($C$2,Input_Prod_04!$G$11,Input_Prod_04!$C$14,$M$1,$B23,$K$1)</f>
        <v>0</v>
      </c>
      <c r="N23" s="40">
        <f>_xll.DBRW($C$2,Input_Prod_04!$G$11,Input_Prod_04!$C$14,$M$1,$B23,$K$1)</f>
        <v>0</v>
      </c>
      <c r="O23" s="40">
        <f>_xll.DBRW($C$2,O$13,$O$15,$M$1,$B23,$K$1)</f>
        <v>0</v>
      </c>
      <c r="P23" s="40">
        <f>_xll.DBRW($C$2,P$13,$O$15,$M$1,$B23,$K$1)</f>
        <v>0</v>
      </c>
      <c r="Q23" s="40">
        <f>_xll.DBRW($C$2,Q$13,$O$15,$M$1,$B23,$K$1)</f>
        <v>0</v>
      </c>
      <c r="R23" s="40">
        <f>_xll.DBRW($C$2,R$13,$O$15,$M$1,$B23,$K$1)</f>
        <v>0</v>
      </c>
      <c r="S23" s="40">
        <f>_xll.DBRW($C$2,S$13,$O$15,$M$1,$B23,$K$1)</f>
        <v>0</v>
      </c>
    </row>
    <row r="24" spans="1:19" s="29" customFormat="1" ht="15.75" customHeight="1">
      <c r="A24" s="66"/>
      <c r="B24" s="45" t="s">
        <v>8</v>
      </c>
      <c r="C24" s="40">
        <f>_xll.DBRW($C$2,Input_Prod_04!$G$11,Input_Prod_04!$C$14,$M$1,$B24,$K$1)</f>
        <v>0</v>
      </c>
      <c r="D24" s="40">
        <f>_xll.DBRW($C$2,Input_Prod_04!$G$11,Input_Prod_04!$C$14,$M$1,$B24,$K$1)</f>
        <v>0</v>
      </c>
      <c r="E24" s="40">
        <f>_xll.DBRW($C$2,Input_Prod_04!$G$11,Input_Prod_04!$C$14,$M$1,$B24,$K$1)</f>
        <v>0</v>
      </c>
      <c r="F24" s="40">
        <f>_xll.DBRW($C$2,Input_Prod_04!$G$11,Input_Prod_04!$C$14,$M$1,$B24,$K$1)</f>
        <v>0</v>
      </c>
      <c r="G24" s="40">
        <f>_xll.DBRW($C$2,Input_Prod_04!$G$11,Input_Prod_04!$C$14,$M$1,$B24,$K$1)</f>
        <v>0</v>
      </c>
      <c r="H24" s="40">
        <f>_xll.DBRW($C$2,Input_Prod_04!$G$11,Input_Prod_04!$C$14,$M$1,$B24,$K$1)</f>
        <v>0</v>
      </c>
      <c r="I24" s="40">
        <f>_xll.DBRW($C$2,Input_Prod_04!$G$11,Input_Prod_04!$C$14,$M$1,$B24,$K$1)</f>
        <v>0</v>
      </c>
      <c r="J24" s="40">
        <f>_xll.DBRW($C$2,Input_Prod_04!$G$11,Input_Prod_04!$C$14,$M$1,$B24,$K$1)</f>
        <v>0</v>
      </c>
      <c r="K24" s="40">
        <f>_xll.DBRW($C$2,Input_Prod_04!$G$11,Input_Prod_04!$C$14,$M$1,$B24,$K$1)</f>
        <v>0</v>
      </c>
      <c r="L24" s="40">
        <f>_xll.DBRW($C$2,Input_Prod_04!$G$11,Input_Prod_04!$C$14,$M$1,$B24,$K$1)</f>
        <v>0</v>
      </c>
      <c r="M24" s="40">
        <f>_xll.DBRW($C$2,Input_Prod_04!$G$11,Input_Prod_04!$C$14,$M$1,$B24,$K$1)</f>
        <v>0</v>
      </c>
      <c r="N24" s="40">
        <f>_xll.DBRW($C$2,Input_Prod_04!$G$11,Input_Prod_04!$C$14,$M$1,$B24,$K$1)</f>
        <v>0</v>
      </c>
      <c r="O24" s="40">
        <f>_xll.DBRW($C$2,O$13,$O$15,$M$1,$B24,$K$1)</f>
        <v>0</v>
      </c>
      <c r="P24" s="40">
        <f>_xll.DBRW($C$2,P$13,$O$15,$M$1,$B24,$K$1)</f>
        <v>0</v>
      </c>
      <c r="Q24" s="40">
        <f>_xll.DBRW($C$2,Q$13,$O$15,$M$1,$B24,$K$1)</f>
        <v>0</v>
      </c>
      <c r="R24" s="40">
        <f>_xll.DBRW($C$2,R$13,$O$15,$M$1,$B24,$K$1)</f>
        <v>0</v>
      </c>
      <c r="S24" s="40">
        <f>_xll.DBRW($C$2,S$13,$O$15,$M$1,$B24,$K$1)</f>
        <v>0</v>
      </c>
    </row>
    <row r="25" spans="1:19" s="29" customFormat="1" ht="15.75" customHeight="1">
      <c r="A25" s="66"/>
      <c r="B25" s="45" t="s">
        <v>9</v>
      </c>
      <c r="C25" s="40">
        <f>_xll.DBRW($C$2,Input_Prod_04!$G$11,Input_Prod_04!$C$14,$M$1,$B25,$K$1)</f>
        <v>0</v>
      </c>
      <c r="D25" s="40">
        <f>_xll.DBRW($C$2,Input_Prod_04!$G$11,Input_Prod_04!$C$14,$M$1,$B25,$K$1)</f>
        <v>0</v>
      </c>
      <c r="E25" s="40">
        <f>_xll.DBRW($C$2,Input_Prod_04!$G$11,Input_Prod_04!$C$14,$M$1,$B25,$K$1)</f>
        <v>0</v>
      </c>
      <c r="F25" s="40">
        <f>_xll.DBRW($C$2,Input_Prod_04!$G$11,Input_Prod_04!$C$14,$M$1,$B25,$K$1)</f>
        <v>0</v>
      </c>
      <c r="G25" s="40">
        <f>_xll.DBRW($C$2,Input_Prod_04!$G$11,Input_Prod_04!$C$14,$M$1,$B25,$K$1)</f>
        <v>0</v>
      </c>
      <c r="H25" s="40">
        <f>_xll.DBRW($C$2,Input_Prod_04!$G$11,Input_Prod_04!$C$14,$M$1,$B25,$K$1)</f>
        <v>0</v>
      </c>
      <c r="I25" s="40">
        <f>_xll.DBRW($C$2,Input_Prod_04!$G$11,Input_Prod_04!$C$14,$M$1,$B25,$K$1)</f>
        <v>0</v>
      </c>
      <c r="J25" s="40">
        <f>_xll.DBRW($C$2,Input_Prod_04!$G$11,Input_Prod_04!$C$14,$M$1,$B25,$K$1)</f>
        <v>0</v>
      </c>
      <c r="K25" s="40">
        <f>_xll.DBRW($C$2,Input_Prod_04!$G$11,Input_Prod_04!$C$14,$M$1,$B25,$K$1)</f>
        <v>0</v>
      </c>
      <c r="L25" s="40">
        <f>_xll.DBRW($C$2,Input_Prod_04!$G$11,Input_Prod_04!$C$14,$M$1,$B25,$K$1)</f>
        <v>0</v>
      </c>
      <c r="M25" s="40">
        <f>_xll.DBRW($C$2,Input_Prod_04!$G$11,Input_Prod_04!$C$14,$M$1,$B25,$K$1)</f>
        <v>0</v>
      </c>
      <c r="N25" s="40">
        <f>_xll.DBRW($C$2,Input_Prod_04!$G$11,Input_Prod_04!$C$14,$M$1,$B25,$K$1)</f>
        <v>0</v>
      </c>
      <c r="O25" s="40">
        <f>_xll.DBRW($C$2,O$13,$O$15,$M$1,$B25,$K$1)</f>
        <v>0</v>
      </c>
      <c r="P25" s="40">
        <f>_xll.DBRW($C$2,P$13,$O$15,$M$1,$B25,$K$1)</f>
        <v>0</v>
      </c>
      <c r="Q25" s="40">
        <f>_xll.DBRW($C$2,Q$13,$O$15,$M$1,$B25,$K$1)</f>
        <v>0</v>
      </c>
      <c r="R25" s="40">
        <f>_xll.DBRW($C$2,R$13,$O$15,$M$1,$B25,$K$1)</f>
        <v>0</v>
      </c>
      <c r="S25" s="40">
        <f>_xll.DBRW($C$2,S$13,$O$15,$M$1,$B25,$K$1)</f>
        <v>0</v>
      </c>
    </row>
    <row r="26" spans="1:19" s="29" customFormat="1" ht="15.75" customHeight="1">
      <c r="A26" s="66"/>
      <c r="B26" s="45" t="s">
        <v>10</v>
      </c>
      <c r="C26" s="40">
        <f>_xll.DBRW($C$2,Input_Prod_04!$G$11,Input_Prod_04!$C$14,$M$1,$B26,$K$1)</f>
        <v>0</v>
      </c>
      <c r="D26" s="40">
        <f>_xll.DBRW($C$2,Input_Prod_04!$G$11,Input_Prod_04!$C$14,$M$1,$B26,$K$1)</f>
        <v>0</v>
      </c>
      <c r="E26" s="40">
        <f>_xll.DBRW($C$2,Input_Prod_04!$G$11,Input_Prod_04!$C$14,$M$1,$B26,$K$1)</f>
        <v>0</v>
      </c>
      <c r="F26" s="40">
        <f>_xll.DBRW($C$2,Input_Prod_04!$G$11,Input_Prod_04!$C$14,$M$1,$B26,$K$1)</f>
        <v>0</v>
      </c>
      <c r="G26" s="40">
        <f>_xll.DBRW($C$2,Input_Prod_04!$G$11,Input_Prod_04!$C$14,$M$1,$B26,$K$1)</f>
        <v>0</v>
      </c>
      <c r="H26" s="40">
        <f>_xll.DBRW($C$2,Input_Prod_04!$G$11,Input_Prod_04!$C$14,$M$1,$B26,$K$1)</f>
        <v>0</v>
      </c>
      <c r="I26" s="40">
        <f>_xll.DBRW($C$2,Input_Prod_04!$G$11,Input_Prod_04!$C$14,$M$1,$B26,$K$1)</f>
        <v>0</v>
      </c>
      <c r="J26" s="40">
        <f>_xll.DBRW($C$2,Input_Prod_04!$G$11,Input_Prod_04!$C$14,$M$1,$B26,$K$1)</f>
        <v>0</v>
      </c>
      <c r="K26" s="40">
        <f>_xll.DBRW($C$2,Input_Prod_04!$G$11,Input_Prod_04!$C$14,$M$1,$B26,$K$1)</f>
        <v>0</v>
      </c>
      <c r="L26" s="40">
        <f>_xll.DBRW($C$2,Input_Prod_04!$G$11,Input_Prod_04!$C$14,$M$1,$B26,$K$1)</f>
        <v>0</v>
      </c>
      <c r="M26" s="40">
        <f>_xll.DBRW($C$2,Input_Prod_04!$G$11,Input_Prod_04!$C$14,$M$1,$B26,$K$1)</f>
        <v>0</v>
      </c>
      <c r="N26" s="40">
        <f>_xll.DBRW($C$2,Input_Prod_04!$G$11,Input_Prod_04!$C$14,$M$1,$B26,$K$1)</f>
        <v>0</v>
      </c>
      <c r="O26" s="40">
        <f>_xll.DBRW($C$2,O$13,$O$15,$M$1,$B26,$K$1)</f>
        <v>0</v>
      </c>
      <c r="P26" s="40">
        <f>_xll.DBRW($C$2,P$13,$O$15,$M$1,$B26,$K$1)</f>
        <v>0</v>
      </c>
      <c r="Q26" s="40">
        <f>_xll.DBRW($C$2,Q$13,$O$15,$M$1,$B26,$K$1)</f>
        <v>0</v>
      </c>
      <c r="R26" s="40">
        <f>_xll.DBRW($C$2,R$13,$O$15,$M$1,$B26,$K$1)</f>
        <v>0</v>
      </c>
      <c r="S26" s="40">
        <f>_xll.DBRW($C$2,S$13,$O$15,$M$1,$B26,$K$1)</f>
        <v>0</v>
      </c>
    </row>
    <row r="27" spans="1:19" s="29" customFormat="1" ht="15.75" customHeight="1">
      <c r="A27" s="66"/>
      <c r="B27" s="45" t="s">
        <v>11</v>
      </c>
      <c r="C27" s="40">
        <f>_xll.DBRW($C$2,Input_Prod_04!$G$11,Input_Prod_04!$C$14,$M$1,$B27,$K$1)</f>
        <v>0</v>
      </c>
      <c r="D27" s="40">
        <f>_xll.DBRW($C$2,Input_Prod_04!$G$11,Input_Prod_04!$C$14,$M$1,$B27,$K$1)</f>
        <v>0</v>
      </c>
      <c r="E27" s="40">
        <f>_xll.DBRW($C$2,Input_Prod_04!$G$11,Input_Prod_04!$C$14,$M$1,$B27,$K$1)</f>
        <v>0</v>
      </c>
      <c r="F27" s="40">
        <f>_xll.DBRW($C$2,Input_Prod_04!$G$11,Input_Prod_04!$C$14,$M$1,$B27,$K$1)</f>
        <v>0</v>
      </c>
      <c r="G27" s="40">
        <f>_xll.DBRW($C$2,Input_Prod_04!$G$11,Input_Prod_04!$C$14,$M$1,$B27,$K$1)</f>
        <v>0</v>
      </c>
      <c r="H27" s="40">
        <f>_xll.DBRW($C$2,Input_Prod_04!$G$11,Input_Prod_04!$C$14,$M$1,$B27,$K$1)</f>
        <v>0</v>
      </c>
      <c r="I27" s="40">
        <f>_xll.DBRW($C$2,Input_Prod_04!$G$11,Input_Prod_04!$C$14,$M$1,$B27,$K$1)</f>
        <v>0</v>
      </c>
      <c r="J27" s="40">
        <f>_xll.DBRW($C$2,Input_Prod_04!$G$11,Input_Prod_04!$C$14,$M$1,$B27,$K$1)</f>
        <v>0</v>
      </c>
      <c r="K27" s="40">
        <f>_xll.DBRW($C$2,Input_Prod_04!$G$11,Input_Prod_04!$C$14,$M$1,$B27,$K$1)</f>
        <v>0</v>
      </c>
      <c r="L27" s="40">
        <f>_xll.DBRW($C$2,Input_Prod_04!$G$11,Input_Prod_04!$C$14,$M$1,$B27,$K$1)</f>
        <v>0</v>
      </c>
      <c r="M27" s="40">
        <f>_xll.DBRW($C$2,Input_Prod_04!$G$11,Input_Prod_04!$C$14,$M$1,$B27,$K$1)</f>
        <v>0</v>
      </c>
      <c r="N27" s="40">
        <f>_xll.DBRW($C$2,Input_Prod_04!$G$11,Input_Prod_04!$C$14,$M$1,$B27,$K$1)</f>
        <v>0</v>
      </c>
      <c r="O27" s="40">
        <f>_xll.DBRW($C$2,O$13,$O$15,$M$1,$B27,$K$1)</f>
        <v>0</v>
      </c>
      <c r="P27" s="40">
        <f>_xll.DBRW($C$2,P$13,$O$15,$M$1,$B27,$K$1)</f>
        <v>0</v>
      </c>
      <c r="Q27" s="40">
        <f>_xll.DBRW($C$2,Q$13,$O$15,$M$1,$B27,$K$1)</f>
        <v>0</v>
      </c>
      <c r="R27" s="40">
        <f>_xll.DBRW($C$2,R$13,$O$15,$M$1,$B27,$K$1)</f>
        <v>0</v>
      </c>
      <c r="S27" s="40">
        <f>_xll.DBRW($C$2,S$13,$O$15,$M$1,$B27,$K$1)</f>
        <v>0</v>
      </c>
    </row>
    <row r="28" spans="1:19" s="29" customFormat="1" ht="15.75" customHeight="1">
      <c r="A28" s="66"/>
      <c r="B28" s="45" t="s">
        <v>12</v>
      </c>
      <c r="C28" s="40">
        <f>_xll.DBRW($C$2,Input_Prod_04!$G$11,Input_Prod_04!$C$14,$M$1,$B28,$K$1)</f>
        <v>0</v>
      </c>
      <c r="D28" s="40">
        <f>_xll.DBRW($C$2,Input_Prod_04!$G$11,Input_Prod_04!$C$14,$M$1,$B28,$K$1)</f>
        <v>0</v>
      </c>
      <c r="E28" s="40">
        <f>_xll.DBRW($C$2,Input_Prod_04!$G$11,Input_Prod_04!$C$14,$M$1,$B28,$K$1)</f>
        <v>0</v>
      </c>
      <c r="F28" s="40">
        <f>_xll.DBRW($C$2,Input_Prod_04!$G$11,Input_Prod_04!$C$14,$M$1,$B28,$K$1)</f>
        <v>0</v>
      </c>
      <c r="G28" s="40">
        <f>_xll.DBRW($C$2,Input_Prod_04!$G$11,Input_Prod_04!$C$14,$M$1,$B28,$K$1)</f>
        <v>0</v>
      </c>
      <c r="H28" s="40">
        <f>_xll.DBRW($C$2,Input_Prod_04!$G$11,Input_Prod_04!$C$14,$M$1,$B28,$K$1)</f>
        <v>0</v>
      </c>
      <c r="I28" s="40">
        <f>_xll.DBRW($C$2,Input_Prod_04!$G$11,Input_Prod_04!$C$14,$M$1,$B28,$K$1)</f>
        <v>0</v>
      </c>
      <c r="J28" s="40">
        <f>_xll.DBRW($C$2,Input_Prod_04!$G$11,Input_Prod_04!$C$14,$M$1,$B28,$K$1)</f>
        <v>0</v>
      </c>
      <c r="K28" s="40">
        <f>_xll.DBRW($C$2,Input_Prod_04!$G$11,Input_Prod_04!$C$14,$M$1,$B28,$K$1)</f>
        <v>0</v>
      </c>
      <c r="L28" s="40">
        <f>_xll.DBRW($C$2,Input_Prod_04!$G$11,Input_Prod_04!$C$14,$M$1,$B28,$K$1)</f>
        <v>0</v>
      </c>
      <c r="M28" s="40">
        <f>_xll.DBRW($C$2,Input_Prod_04!$G$11,Input_Prod_04!$C$14,$M$1,$B28,$K$1)</f>
        <v>0</v>
      </c>
      <c r="N28" s="40">
        <f>_xll.DBRW($C$2,Input_Prod_04!$G$11,Input_Prod_04!$C$14,$M$1,$B28,$K$1)</f>
        <v>0</v>
      </c>
      <c r="O28" s="40">
        <f>_xll.DBRW($C$2,O$13,$O$15,$M$1,$B28,$K$1)</f>
        <v>0</v>
      </c>
      <c r="P28" s="40">
        <f>_xll.DBRW($C$2,P$13,$O$15,$M$1,$B28,$K$1)</f>
        <v>0</v>
      </c>
      <c r="Q28" s="40">
        <f>_xll.DBRW($C$2,Q$13,$O$15,$M$1,$B28,$K$1)</f>
        <v>0</v>
      </c>
      <c r="R28" s="40">
        <f>_xll.DBRW($C$2,R$13,$O$15,$M$1,$B28,$K$1)</f>
        <v>0</v>
      </c>
      <c r="S28" s="40">
        <f>_xll.DBRW($C$2,S$13,$O$15,$M$1,$B28,$K$1)</f>
        <v>0</v>
      </c>
    </row>
    <row r="29" spans="1:19" s="29" customFormat="1" ht="15.75" customHeight="1">
      <c r="A29" s="66"/>
      <c r="B29" s="45" t="s">
        <v>13</v>
      </c>
      <c r="C29" s="40">
        <f>_xll.DBRW($C$2,Input_Prod_04!$G$11,Input_Prod_04!$C$14,$M$1,$B29,$K$1)</f>
        <v>0</v>
      </c>
      <c r="D29" s="40">
        <f>_xll.DBRW($C$2,Input_Prod_04!$G$11,Input_Prod_04!$C$14,$M$1,$B29,$K$1)</f>
        <v>0</v>
      </c>
      <c r="E29" s="40">
        <f>_xll.DBRW($C$2,Input_Prod_04!$G$11,Input_Prod_04!$C$14,$M$1,$B29,$K$1)</f>
        <v>0</v>
      </c>
      <c r="F29" s="40">
        <f>_xll.DBRW($C$2,Input_Prod_04!$G$11,Input_Prod_04!$C$14,$M$1,$B29,$K$1)</f>
        <v>0</v>
      </c>
      <c r="G29" s="40">
        <f>_xll.DBRW($C$2,Input_Prod_04!$G$11,Input_Prod_04!$C$14,$M$1,$B29,$K$1)</f>
        <v>0</v>
      </c>
      <c r="H29" s="40">
        <f>_xll.DBRW($C$2,Input_Prod_04!$G$11,Input_Prod_04!$C$14,$M$1,$B29,$K$1)</f>
        <v>0</v>
      </c>
      <c r="I29" s="40">
        <f>_xll.DBRW($C$2,Input_Prod_04!$G$11,Input_Prod_04!$C$14,$M$1,$B29,$K$1)</f>
        <v>0</v>
      </c>
      <c r="J29" s="40">
        <f>_xll.DBRW($C$2,Input_Prod_04!$G$11,Input_Prod_04!$C$14,$M$1,$B29,$K$1)</f>
        <v>0</v>
      </c>
      <c r="K29" s="40">
        <f>_xll.DBRW($C$2,Input_Prod_04!$G$11,Input_Prod_04!$C$14,$M$1,$B29,$K$1)</f>
        <v>0</v>
      </c>
      <c r="L29" s="40">
        <f>_xll.DBRW($C$2,Input_Prod_04!$G$11,Input_Prod_04!$C$14,$M$1,$B29,$K$1)</f>
        <v>0</v>
      </c>
      <c r="M29" s="40">
        <f>_xll.DBRW($C$2,Input_Prod_04!$G$11,Input_Prod_04!$C$14,$M$1,$B29,$K$1)</f>
        <v>0</v>
      </c>
      <c r="N29" s="40">
        <f>_xll.DBRW($C$2,Input_Prod_04!$G$11,Input_Prod_04!$C$14,$M$1,$B29,$K$1)</f>
        <v>0</v>
      </c>
      <c r="O29" s="40">
        <f>_xll.DBRW($C$2,O$13,$O$15,$M$1,$B29,$K$1)</f>
        <v>0</v>
      </c>
      <c r="P29" s="40">
        <f>_xll.DBRW($C$2,P$13,$O$15,$M$1,$B29,$K$1)</f>
        <v>0</v>
      </c>
      <c r="Q29" s="40">
        <f>_xll.DBRW($C$2,Q$13,$O$15,$M$1,$B29,$K$1)</f>
        <v>0</v>
      </c>
      <c r="R29" s="40">
        <f>_xll.DBRW($C$2,R$13,$O$15,$M$1,$B29,$K$1)</f>
        <v>0</v>
      </c>
      <c r="S29" s="40">
        <f>_xll.DBRW($C$2,S$13,$O$15,$M$1,$B29,$K$1)</f>
        <v>0</v>
      </c>
    </row>
    <row r="30" spans="1:19" s="29" customFormat="1" ht="15.75" customHeight="1">
      <c r="A30" s="66"/>
      <c r="B30" s="45" t="s">
        <v>14</v>
      </c>
      <c r="C30" s="40">
        <f>_xll.DBRW($C$2,Input_Prod_04!$G$11,Input_Prod_04!$C$14,$M$1,$B30,$K$1)</f>
        <v>31</v>
      </c>
      <c r="D30" s="40">
        <f>_xll.DBRW($C$2,Input_Prod_04!$G$11,Input_Prod_04!$C$14,$M$1,$B30,$K$1)</f>
        <v>31</v>
      </c>
      <c r="E30" s="40">
        <f>_xll.DBRW($C$2,Input_Prod_04!$G$11,Input_Prod_04!$C$14,$M$1,$B30,$K$1)</f>
        <v>31</v>
      </c>
      <c r="F30" s="40">
        <f>_xll.DBRW($C$2,Input_Prod_04!$G$11,Input_Prod_04!$C$14,$M$1,$B30,$K$1)</f>
        <v>31</v>
      </c>
      <c r="G30" s="40">
        <f>_xll.DBRW($C$2,Input_Prod_04!$G$11,Input_Prod_04!$C$14,$M$1,$B30,$K$1)</f>
        <v>31</v>
      </c>
      <c r="H30" s="40">
        <f>_xll.DBRW($C$2,Input_Prod_04!$G$11,Input_Prod_04!$C$14,$M$1,$B30,$K$1)</f>
        <v>31</v>
      </c>
      <c r="I30" s="40">
        <f>_xll.DBRW($C$2,Input_Prod_04!$G$11,Input_Prod_04!$C$14,$M$1,$B30,$K$1)</f>
        <v>31</v>
      </c>
      <c r="J30" s="40">
        <f>_xll.DBRW($C$2,Input_Prod_04!$G$11,Input_Prod_04!$C$14,$M$1,$B30,$K$1)</f>
        <v>31</v>
      </c>
      <c r="K30" s="40">
        <f>_xll.DBRW($C$2,Input_Prod_04!$G$11,Input_Prod_04!$C$14,$M$1,$B30,$K$1)</f>
        <v>31</v>
      </c>
      <c r="L30" s="40">
        <f>_xll.DBRW($C$2,Input_Prod_04!$G$11,Input_Prod_04!$C$14,$M$1,$B30,$K$1)</f>
        <v>31</v>
      </c>
      <c r="M30" s="40">
        <f>_xll.DBRW($C$2,Input_Prod_04!$G$11,Input_Prod_04!$C$14,$M$1,$B30,$K$1)</f>
        <v>31</v>
      </c>
      <c r="N30" s="40">
        <f>_xll.DBRW($C$2,Input_Prod_04!$G$11,Input_Prod_04!$C$14,$M$1,$B30,$K$1)</f>
        <v>31</v>
      </c>
      <c r="O30" s="40">
        <f>_xll.DBRW($C$2,O$13,$O$15,$M$1,$B30,$K$1)</f>
        <v>0</v>
      </c>
      <c r="P30" s="40">
        <f>_xll.DBRW($C$2,P$13,$O$15,$M$1,$B30,$K$1)</f>
        <v>0</v>
      </c>
      <c r="Q30" s="40">
        <f>_xll.DBRW($C$2,Q$13,$O$15,$M$1,$B30,$K$1)</f>
        <v>0</v>
      </c>
      <c r="R30" s="40">
        <f>_xll.DBRW($C$2,R$13,$O$15,$M$1,$B30,$K$1)</f>
        <v>0</v>
      </c>
      <c r="S30" s="40">
        <f>_xll.DBRW($C$2,S$13,$O$15,$M$1,$B30,$K$1)</f>
        <v>0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7" t="str">
        <f>_xll.SUBNM("CONS_VC_PRD:ALL.D.Products","Nivel_0","PRODCORP - Corporate","Código e Descrição")</f>
        <v>PRODCORP - Corporate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8">
        <f>$G$11+1</f>
        <v>2027</v>
      </c>
      <c r="P35" s="98">
        <f>$G$11+2</f>
        <v>2028</v>
      </c>
      <c r="Q35" s="98">
        <f>$G$11+3</f>
        <v>2029</v>
      </c>
      <c r="R35" s="98">
        <f>$G$11+4</f>
        <v>2030</v>
      </c>
      <c r="S35" s="98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_xll.DBRW($B$1,Input_Prod_04!$G$11,Input_Prod_04!C$14,$M$1,Input_Prod_04!$I$11,$C$11,Input_Prod_04!$E$33,Input_Prod_04!$A37,$L$1,$K$1)</f>
        <v>0</v>
      </c>
      <c r="D37" s="36">
        <f>_xll.DBRW($B$1,Input_Prod_04!$G$11,Input_Prod_04!D$14,$M$1,Input_Prod_04!$I$11,$C$11,Input_Prod_04!$E$33,Input_Prod_04!$A37,$L$1,$K$1)</f>
        <v>0</v>
      </c>
      <c r="E37" s="36">
        <f>_xll.DBRW($B$1,Input_Prod_04!$G$11,Input_Prod_04!E$14,$M$1,Input_Prod_04!$I$11,$C$11,Input_Prod_04!$E$33,Input_Prod_04!$A37,$L$1,$K$1)</f>
        <v>0</v>
      </c>
      <c r="F37" s="36">
        <f>_xll.DBRW($B$1,Input_Prod_04!$G$11,Input_Prod_04!F$14,$M$1,Input_Prod_04!$I$11,$C$11,Input_Prod_04!$E$33,Input_Prod_04!$A37,$L$1,$K$1)</f>
        <v>0</v>
      </c>
      <c r="G37" s="36">
        <f>_xll.DBRW($B$1,Input_Prod_04!$G$11,Input_Prod_04!G$14,$M$1,Input_Prod_04!$I$11,$C$11,Input_Prod_04!$E$33,Input_Prod_04!$A37,$L$1,$K$1)</f>
        <v>0</v>
      </c>
      <c r="H37" s="36">
        <f>_xll.DBRW($B$1,Input_Prod_04!$G$11,Input_Prod_04!H$14,$M$1,Input_Prod_04!$I$11,$C$11,Input_Prod_04!$E$33,Input_Prod_04!$A37,$L$1,$K$1)</f>
        <v>0</v>
      </c>
      <c r="I37" s="36">
        <f>_xll.DBRW($B$1,Input_Prod_04!$G$11,Input_Prod_04!I$14,$M$1,Input_Prod_04!$I$11,$C$11,Input_Prod_04!$E$33,Input_Prod_04!$A37,$L$1,$K$1)</f>
        <v>0</v>
      </c>
      <c r="J37" s="36">
        <f>_xll.DBRW($B$1,Input_Prod_04!$G$11,Input_Prod_04!J$14,$M$1,Input_Prod_04!$I$11,$C$11,Input_Prod_04!$E$33,Input_Prod_04!$A37,$L$1,$K$1)</f>
        <v>0</v>
      </c>
      <c r="K37" s="36">
        <f>_xll.DBRW($B$1,Input_Prod_04!$G$11,Input_Prod_04!K$14,$M$1,Input_Prod_04!$I$11,$C$11,Input_Prod_04!$E$33,Input_Prod_04!$A37,$L$1,$K$1)</f>
        <v>0</v>
      </c>
      <c r="L37" s="36">
        <f>_xll.DBRW($B$1,Input_Prod_04!$G$11,Input_Prod_04!L$14,$M$1,Input_Prod_04!$I$11,$C$11,Input_Prod_04!$E$33,Input_Prod_04!$A37,$L$1,$K$1)</f>
        <v>0</v>
      </c>
      <c r="M37" s="36">
        <f>_xll.DBRW($B$1,Input_Prod_04!$G$11,Input_Prod_04!M$14,$M$1,Input_Prod_04!$I$11,$C$11,Input_Prod_04!$E$33,Input_Prod_04!$A37,$L$1,$K$1)</f>
        <v>0</v>
      </c>
      <c r="N37" s="36">
        <f>_xll.DBRW($B$1,Input_Prod_04!$G$11,Input_Prod_04!N$14,$M$1,Input_Prod_04!$I$11,$C$11,Input_Prod_04!$E$33,Input_Prod_04!$A37,$L$1,$K$1)</f>
        <v>0</v>
      </c>
      <c r="O37" s="36">
        <f>_xll.DBRW($B$1,O$13,O$15,$M$1,Input_Prod_04!$I$11,$C$11,Input_Prod_04!$E$33,Input_Prod_04!$A37,$L$1,$K$1)</f>
        <v>0</v>
      </c>
      <c r="P37" s="36">
        <f>_xll.DBRW($B$1,P$13,P$15,$M$1,Input_Prod_04!$I$11,$C$11,Input_Prod_04!$E$33,Input_Prod_04!$A37,$L$1,$K$1)</f>
        <v>0</v>
      </c>
      <c r="Q37" s="36">
        <f>_xll.DBRW($B$1,Q$13,Q$15,$M$1,Input_Prod_04!$I$11,$C$11,Input_Prod_04!$E$33,Input_Prod_04!$A37,$L$1,$K$1)</f>
        <v>0</v>
      </c>
      <c r="R37" s="36">
        <f>_xll.DBRW($B$1,R$13,R$15,$M$1,Input_Prod_04!$I$11,$C$11,Input_Prod_04!$E$33,Input_Prod_04!$A37,$L$1,$K$1)</f>
        <v>0</v>
      </c>
      <c r="S37" s="36">
        <f>_xll.DBRW($B$1,S$13,S$15,$M$1,Input_Prod_04!$I$11,$C$11,Input_Prod_04!$E$33,Input_Prod_04!$A37,$L$1,$K$1)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_xll.DBRW($B$1,Input_Prod_04!$G$11,Input_Prod_04!C$14,$M$1,Input_Prod_04!$I$11,$C$11,Input_Prod_04!$E$33,Input_Prod_04!$A38,$L$1,$K$1)</f>
        <v>0</v>
      </c>
      <c r="D38" s="36">
        <f>_xll.DBRW($B$1,Input_Prod_04!$G$11,Input_Prod_04!D$14,$M$1,Input_Prod_04!$I$11,$C$11,Input_Prod_04!$E$33,Input_Prod_04!$A38,$L$1,$K$1)</f>
        <v>0</v>
      </c>
      <c r="E38" s="36">
        <f>_xll.DBRW($B$1,Input_Prod_04!$G$11,Input_Prod_04!E$14,$M$1,Input_Prod_04!$I$11,$C$11,Input_Prod_04!$E$33,Input_Prod_04!$A38,$L$1,$K$1)</f>
        <v>0</v>
      </c>
      <c r="F38" s="36">
        <f>_xll.DBRW($B$1,Input_Prod_04!$G$11,Input_Prod_04!F$14,$M$1,Input_Prod_04!$I$11,$C$11,Input_Prod_04!$E$33,Input_Prod_04!$A38,$L$1,$K$1)</f>
        <v>0</v>
      </c>
      <c r="G38" s="36">
        <f>_xll.DBRW($B$1,Input_Prod_04!$G$11,Input_Prod_04!G$14,$M$1,Input_Prod_04!$I$11,$C$11,Input_Prod_04!$E$33,Input_Prod_04!$A38,$L$1,$K$1)</f>
        <v>0</v>
      </c>
      <c r="H38" s="36">
        <f>_xll.DBRW($B$1,Input_Prod_04!$G$11,Input_Prod_04!H$14,$M$1,Input_Prod_04!$I$11,$C$11,Input_Prod_04!$E$33,Input_Prod_04!$A38,$L$1,$K$1)</f>
        <v>0</v>
      </c>
      <c r="I38" s="36">
        <f>_xll.DBRW($B$1,Input_Prod_04!$G$11,Input_Prod_04!I$14,$M$1,Input_Prod_04!$I$11,$C$11,Input_Prod_04!$E$33,Input_Prod_04!$A38,$L$1,$K$1)</f>
        <v>0</v>
      </c>
      <c r="J38" s="36">
        <f>_xll.DBRW($B$1,Input_Prod_04!$G$11,Input_Prod_04!J$14,$M$1,Input_Prod_04!$I$11,$C$11,Input_Prod_04!$E$33,Input_Prod_04!$A38,$L$1,$K$1)</f>
        <v>0</v>
      </c>
      <c r="K38" s="36">
        <f>_xll.DBRW($B$1,Input_Prod_04!$G$11,Input_Prod_04!K$14,$M$1,Input_Prod_04!$I$11,$C$11,Input_Prod_04!$E$33,Input_Prod_04!$A38,$L$1,$K$1)</f>
        <v>0</v>
      </c>
      <c r="L38" s="36">
        <f>_xll.DBRW($B$1,Input_Prod_04!$G$11,Input_Prod_04!L$14,$M$1,Input_Prod_04!$I$11,$C$11,Input_Prod_04!$E$33,Input_Prod_04!$A38,$L$1,$K$1)</f>
        <v>0</v>
      </c>
      <c r="M38" s="36">
        <f>_xll.DBRW($B$1,Input_Prod_04!$G$11,Input_Prod_04!M$14,$M$1,Input_Prod_04!$I$11,$C$11,Input_Prod_04!$E$33,Input_Prod_04!$A38,$L$1,$K$1)</f>
        <v>0</v>
      </c>
      <c r="N38" s="36">
        <f>_xll.DBRW($B$1,Input_Prod_04!$G$11,Input_Prod_04!N$14,$M$1,Input_Prod_04!$I$11,$C$11,Input_Prod_04!$E$33,Input_Prod_04!$A38,$L$1,$K$1)</f>
        <v>0</v>
      </c>
      <c r="O38" s="36">
        <f>_xll.DBRW($B$1,O$13,O$15,$M$1,Input_Prod_04!$I$11,$C$11,Input_Prod_04!$E$33,Input_Prod_04!$A38,$L$1,$K$1)</f>
        <v>0</v>
      </c>
      <c r="P38" s="36">
        <f>_xll.DBRW($B$1,P$13,P$15,$M$1,Input_Prod_04!$I$11,$C$11,Input_Prod_04!$E$33,Input_Prod_04!$A38,$L$1,$K$1)</f>
        <v>0</v>
      </c>
      <c r="Q38" s="36">
        <f>_xll.DBRW($B$1,Q$13,Q$15,$M$1,Input_Prod_04!$I$11,$C$11,Input_Prod_04!$E$33,Input_Prod_04!$A38,$L$1,$K$1)</f>
        <v>0</v>
      </c>
      <c r="R38" s="36">
        <f>_xll.DBRW($B$1,R$13,R$15,$M$1,Input_Prod_04!$I$11,$C$11,Input_Prod_04!$E$33,Input_Prod_04!$A38,$L$1,$K$1)</f>
        <v>0</v>
      </c>
      <c r="S38" s="36">
        <f>_xll.DBRW($B$1,S$13,S$15,$M$1,Input_Prod_04!$I$11,$C$11,Input_Prod_04!$E$33,Input_Prod_04!$A38,$L$1,$K$1)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_xll.DBRW($B$1,Input_Prod_04!$G$11,Input_Prod_04!C$14,$M$1,Input_Prod_04!$I$11,$C$11,Input_Prod_04!$E$33,Input_Prod_04!$A39,$L$1,$K$1)</f>
        <v>0</v>
      </c>
      <c r="D39" s="36">
        <f>_xll.DBRW($B$1,Input_Prod_04!$G$11,Input_Prod_04!D$14,$M$1,Input_Prod_04!$I$11,$C$11,Input_Prod_04!$E$33,Input_Prod_04!$A39,$L$1,$K$1)</f>
        <v>0</v>
      </c>
      <c r="E39" s="36">
        <f>_xll.DBRW($B$1,Input_Prod_04!$G$11,Input_Prod_04!E$14,$M$1,Input_Prod_04!$I$11,$C$11,Input_Prod_04!$E$33,Input_Prod_04!$A39,$L$1,$K$1)</f>
        <v>0</v>
      </c>
      <c r="F39" s="36">
        <f>_xll.DBRW($B$1,Input_Prod_04!$G$11,Input_Prod_04!F$14,$M$1,Input_Prod_04!$I$11,$C$11,Input_Prod_04!$E$33,Input_Prod_04!$A39,$L$1,$K$1)</f>
        <v>0</v>
      </c>
      <c r="G39" s="36">
        <f>_xll.DBRW($B$1,Input_Prod_04!$G$11,Input_Prod_04!G$14,$M$1,Input_Prod_04!$I$11,$C$11,Input_Prod_04!$E$33,Input_Prod_04!$A39,$L$1,$K$1)</f>
        <v>0</v>
      </c>
      <c r="H39" s="36">
        <f>_xll.DBRW($B$1,Input_Prod_04!$G$11,Input_Prod_04!H$14,$M$1,Input_Prod_04!$I$11,$C$11,Input_Prod_04!$E$33,Input_Prod_04!$A39,$L$1,$K$1)</f>
        <v>0</v>
      </c>
      <c r="I39" s="36">
        <f>_xll.DBRW($B$1,Input_Prod_04!$G$11,Input_Prod_04!I$14,$M$1,Input_Prod_04!$I$11,$C$11,Input_Prod_04!$E$33,Input_Prod_04!$A39,$L$1,$K$1)</f>
        <v>0</v>
      </c>
      <c r="J39" s="36">
        <f>_xll.DBRW($B$1,Input_Prod_04!$G$11,Input_Prod_04!J$14,$M$1,Input_Prod_04!$I$11,$C$11,Input_Prod_04!$E$33,Input_Prod_04!$A39,$L$1,$K$1)</f>
        <v>0</v>
      </c>
      <c r="K39" s="36">
        <f>_xll.DBRW($B$1,Input_Prod_04!$G$11,Input_Prod_04!K$14,$M$1,Input_Prod_04!$I$11,$C$11,Input_Prod_04!$E$33,Input_Prod_04!$A39,$L$1,$K$1)</f>
        <v>0</v>
      </c>
      <c r="L39" s="36">
        <f>_xll.DBRW($B$1,Input_Prod_04!$G$11,Input_Prod_04!L$14,$M$1,Input_Prod_04!$I$11,$C$11,Input_Prod_04!$E$33,Input_Prod_04!$A39,$L$1,$K$1)</f>
        <v>0</v>
      </c>
      <c r="M39" s="36">
        <f>_xll.DBRW($B$1,Input_Prod_04!$G$11,Input_Prod_04!M$14,$M$1,Input_Prod_04!$I$11,$C$11,Input_Prod_04!$E$33,Input_Prod_04!$A39,$L$1,$K$1)</f>
        <v>0</v>
      </c>
      <c r="N39" s="36">
        <f>_xll.DBRW($B$1,Input_Prod_04!$G$11,Input_Prod_04!N$14,$M$1,Input_Prod_04!$I$11,$C$11,Input_Prod_04!$E$33,Input_Prod_04!$A39,$L$1,$K$1)</f>
        <v>0</v>
      </c>
      <c r="O39" s="36">
        <f>_xll.DBRW($B$1,O$13,O$15,$M$1,Input_Prod_04!$I$11,$C$11,Input_Prod_04!$E$33,Input_Prod_04!$A39,$L$1,$K$1)</f>
        <v>0</v>
      </c>
      <c r="P39" s="36">
        <f>_xll.DBRW($B$1,P$13,P$15,$M$1,Input_Prod_04!$I$11,$C$11,Input_Prod_04!$E$33,Input_Prod_04!$A39,$L$1,$K$1)</f>
        <v>0</v>
      </c>
      <c r="Q39" s="36">
        <f>_xll.DBRW($B$1,Q$13,Q$15,$M$1,Input_Prod_04!$I$11,$C$11,Input_Prod_04!$E$33,Input_Prod_04!$A39,$L$1,$K$1)</f>
        <v>0</v>
      </c>
      <c r="R39" s="36">
        <f>_xll.DBRW($B$1,R$13,R$15,$M$1,Input_Prod_04!$I$11,$C$11,Input_Prod_04!$E$33,Input_Prod_04!$A39,$L$1,$K$1)</f>
        <v>0</v>
      </c>
      <c r="S39" s="36">
        <f>_xll.DBRW($B$1,S$13,S$15,$M$1,Input_Prod_04!$I$11,$C$11,Input_Prod_04!$E$33,Input_Prod_04!$A39,$L$1,$K$1)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_xll.DBRW($B$1,Input_Prod_04!$G$11,Input_Prod_04!C$14,$M$1,Input_Prod_04!$I$11,$C$11,Input_Prod_04!$E$33,Input_Prod_04!$A40,$L$1,$K$1)</f>
        <v>0</v>
      </c>
      <c r="D40" s="36">
        <f>_xll.DBRW($B$1,Input_Prod_04!$G$11,Input_Prod_04!D$14,$M$1,Input_Prod_04!$I$11,$C$11,Input_Prod_04!$E$33,Input_Prod_04!$A40,$L$1,$K$1)</f>
        <v>0</v>
      </c>
      <c r="E40" s="36">
        <f>_xll.DBRW($B$1,Input_Prod_04!$G$11,Input_Prod_04!E$14,$M$1,Input_Prod_04!$I$11,$C$11,Input_Prod_04!$E$33,Input_Prod_04!$A40,$L$1,$K$1)</f>
        <v>0</v>
      </c>
      <c r="F40" s="36">
        <f>_xll.DBRW($B$1,Input_Prod_04!$G$11,Input_Prod_04!F$14,$M$1,Input_Prod_04!$I$11,$C$11,Input_Prod_04!$E$33,Input_Prod_04!$A40,$L$1,$K$1)</f>
        <v>0</v>
      </c>
      <c r="G40" s="36">
        <f>_xll.DBRW($B$1,Input_Prod_04!$G$11,Input_Prod_04!G$14,$M$1,Input_Prod_04!$I$11,$C$11,Input_Prod_04!$E$33,Input_Prod_04!$A40,$L$1,$K$1)</f>
        <v>0</v>
      </c>
      <c r="H40" s="36">
        <f>_xll.DBRW($B$1,Input_Prod_04!$G$11,Input_Prod_04!H$14,$M$1,Input_Prod_04!$I$11,$C$11,Input_Prod_04!$E$33,Input_Prod_04!$A40,$L$1,$K$1)</f>
        <v>0</v>
      </c>
      <c r="I40" s="36">
        <f>_xll.DBRW($B$1,Input_Prod_04!$G$11,Input_Prod_04!I$14,$M$1,Input_Prod_04!$I$11,$C$11,Input_Prod_04!$E$33,Input_Prod_04!$A40,$L$1,$K$1)</f>
        <v>0</v>
      </c>
      <c r="J40" s="36">
        <f>_xll.DBRW($B$1,Input_Prod_04!$G$11,Input_Prod_04!J$14,$M$1,Input_Prod_04!$I$11,$C$11,Input_Prod_04!$E$33,Input_Prod_04!$A40,$L$1,$K$1)</f>
        <v>0</v>
      </c>
      <c r="K40" s="36">
        <f>_xll.DBRW($B$1,Input_Prod_04!$G$11,Input_Prod_04!K$14,$M$1,Input_Prod_04!$I$11,$C$11,Input_Prod_04!$E$33,Input_Prod_04!$A40,$L$1,$K$1)</f>
        <v>0</v>
      </c>
      <c r="L40" s="36">
        <f>_xll.DBRW($B$1,Input_Prod_04!$G$11,Input_Prod_04!L$14,$M$1,Input_Prod_04!$I$11,$C$11,Input_Prod_04!$E$33,Input_Prod_04!$A40,$L$1,$K$1)</f>
        <v>0</v>
      </c>
      <c r="M40" s="36">
        <f>_xll.DBRW($B$1,Input_Prod_04!$G$11,Input_Prod_04!M$14,$M$1,Input_Prod_04!$I$11,$C$11,Input_Prod_04!$E$33,Input_Prod_04!$A40,$L$1,$K$1)</f>
        <v>0</v>
      </c>
      <c r="N40" s="36">
        <f>_xll.DBRW($B$1,Input_Prod_04!$G$11,Input_Prod_04!N$14,$M$1,Input_Prod_04!$I$11,$C$11,Input_Prod_04!$E$33,Input_Prod_04!$A40,$L$1,$K$1)</f>
        <v>0</v>
      </c>
      <c r="O40" s="36">
        <f>_xll.DBRW($B$1,O$13,O$15,$M$1,Input_Prod_04!$I$11,$C$11,Input_Prod_04!$E$33,Input_Prod_04!$A40,$L$1,$K$1)</f>
        <v>0</v>
      </c>
      <c r="P40" s="36">
        <f>_xll.DBRW($B$1,P$13,P$15,$M$1,Input_Prod_04!$I$11,$C$11,Input_Prod_04!$E$33,Input_Prod_04!$A40,$L$1,$K$1)</f>
        <v>0</v>
      </c>
      <c r="Q40" s="36">
        <f>_xll.DBRW($B$1,Q$13,Q$15,$M$1,Input_Prod_04!$I$11,$C$11,Input_Prod_04!$E$33,Input_Prod_04!$A40,$L$1,$K$1)</f>
        <v>0</v>
      </c>
      <c r="R40" s="36">
        <f>_xll.DBRW($B$1,R$13,R$15,$M$1,Input_Prod_04!$I$11,$C$11,Input_Prod_04!$E$33,Input_Prod_04!$A40,$L$1,$K$1)</f>
        <v>0</v>
      </c>
      <c r="S40" s="36">
        <f>_xll.DBRW($B$1,S$13,S$15,$M$1,Input_Prod_04!$I$11,$C$11,Input_Prod_04!$E$33,Input_Prod_04!$A40,$L$1,$K$1)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_xll.DBRW($B$1,Input_Prod_04!$G$11,Input_Prod_04!C$14,$M$1,Input_Prod_04!$I$11,$C$11,Input_Prod_04!$E$33,Input_Prod_04!$A41,$L$1,$K$1)</f>
        <v>0</v>
      </c>
      <c r="D41" s="36">
        <f>_xll.DBRW($B$1,Input_Prod_04!$G$11,Input_Prod_04!D$14,$M$1,Input_Prod_04!$I$11,$C$11,Input_Prod_04!$E$33,Input_Prod_04!$A41,$L$1,$K$1)</f>
        <v>0</v>
      </c>
      <c r="E41" s="36">
        <f>_xll.DBRW($B$1,Input_Prod_04!$G$11,Input_Prod_04!E$14,$M$1,Input_Prod_04!$I$11,$C$11,Input_Prod_04!$E$33,Input_Prod_04!$A41,$L$1,$K$1)</f>
        <v>0</v>
      </c>
      <c r="F41" s="36">
        <f>_xll.DBRW($B$1,Input_Prod_04!$G$11,Input_Prod_04!F$14,$M$1,Input_Prod_04!$I$11,$C$11,Input_Prod_04!$E$33,Input_Prod_04!$A41,$L$1,$K$1)</f>
        <v>0</v>
      </c>
      <c r="G41" s="36">
        <f>_xll.DBRW($B$1,Input_Prod_04!$G$11,Input_Prod_04!G$14,$M$1,Input_Prod_04!$I$11,$C$11,Input_Prod_04!$E$33,Input_Prod_04!$A41,$L$1,$K$1)</f>
        <v>0</v>
      </c>
      <c r="H41" s="36">
        <f>_xll.DBRW($B$1,Input_Prod_04!$G$11,Input_Prod_04!H$14,$M$1,Input_Prod_04!$I$11,$C$11,Input_Prod_04!$E$33,Input_Prod_04!$A41,$L$1,$K$1)</f>
        <v>0</v>
      </c>
      <c r="I41" s="36">
        <f>_xll.DBRW($B$1,Input_Prod_04!$G$11,Input_Prod_04!I$14,$M$1,Input_Prod_04!$I$11,$C$11,Input_Prod_04!$E$33,Input_Prod_04!$A41,$L$1,$K$1)</f>
        <v>0</v>
      </c>
      <c r="J41" s="36">
        <f>_xll.DBRW($B$1,Input_Prod_04!$G$11,Input_Prod_04!J$14,$M$1,Input_Prod_04!$I$11,$C$11,Input_Prod_04!$E$33,Input_Prod_04!$A41,$L$1,$K$1)</f>
        <v>0</v>
      </c>
      <c r="K41" s="36">
        <f>_xll.DBRW($B$1,Input_Prod_04!$G$11,Input_Prod_04!K$14,$M$1,Input_Prod_04!$I$11,$C$11,Input_Prod_04!$E$33,Input_Prod_04!$A41,$L$1,$K$1)</f>
        <v>0</v>
      </c>
      <c r="L41" s="36">
        <f>_xll.DBRW($B$1,Input_Prod_04!$G$11,Input_Prod_04!L$14,$M$1,Input_Prod_04!$I$11,$C$11,Input_Prod_04!$E$33,Input_Prod_04!$A41,$L$1,$K$1)</f>
        <v>0</v>
      </c>
      <c r="M41" s="36">
        <f>_xll.DBRW($B$1,Input_Prod_04!$G$11,Input_Prod_04!M$14,$M$1,Input_Prod_04!$I$11,$C$11,Input_Prod_04!$E$33,Input_Prod_04!$A41,$L$1,$K$1)</f>
        <v>0</v>
      </c>
      <c r="N41" s="36">
        <f>_xll.DBRW($B$1,Input_Prod_04!$G$11,Input_Prod_04!N$14,$M$1,Input_Prod_04!$I$11,$C$11,Input_Prod_04!$E$33,Input_Prod_04!$A41,$L$1,$K$1)</f>
        <v>0</v>
      </c>
      <c r="O41" s="36">
        <f>_xll.DBRW($B$1,O$13,O$15,$M$1,Input_Prod_04!$I$11,$C$11,Input_Prod_04!$E$33,Input_Prod_04!$A41,$L$1,$K$1)</f>
        <v>0</v>
      </c>
      <c r="P41" s="36">
        <f>_xll.DBRW($B$1,P$13,P$15,$M$1,Input_Prod_04!$I$11,$C$11,Input_Prod_04!$E$33,Input_Prod_04!$A41,$L$1,$K$1)</f>
        <v>0</v>
      </c>
      <c r="Q41" s="36">
        <f>_xll.DBRW($B$1,Q$13,Q$15,$M$1,Input_Prod_04!$I$11,$C$11,Input_Prod_04!$E$33,Input_Prod_04!$A41,$L$1,$K$1)</f>
        <v>0</v>
      </c>
      <c r="R41" s="36">
        <f>_xll.DBRW($B$1,R$13,R$15,$M$1,Input_Prod_04!$I$11,$C$11,Input_Prod_04!$E$33,Input_Prod_04!$A41,$L$1,$K$1)</f>
        <v>0</v>
      </c>
      <c r="S41" s="36">
        <f>_xll.DBRW($B$1,S$13,S$15,$M$1,Input_Prod_04!$I$11,$C$11,Input_Prod_04!$E$33,Input_Prod_04!$A41,$L$1,$K$1)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_xll.DBRW($B$1,Input_Prod_04!$G$11,Input_Prod_04!C$14,$M$1,Input_Prod_04!$I$11,$C$11,Input_Prod_04!$E$33,Input_Prod_04!$A42,$L$1,$K$1)</f>
        <v>0</v>
      </c>
      <c r="D42" s="36">
        <f>_xll.DBRW($B$1,Input_Prod_04!$G$11,Input_Prod_04!D$14,$M$1,Input_Prod_04!$I$11,$C$11,Input_Prod_04!$E$33,Input_Prod_04!$A42,$L$1,$K$1)</f>
        <v>0</v>
      </c>
      <c r="E42" s="36">
        <f>_xll.DBRW($B$1,Input_Prod_04!$G$11,Input_Prod_04!E$14,$M$1,Input_Prod_04!$I$11,$C$11,Input_Prod_04!$E$33,Input_Prod_04!$A42,$L$1,$K$1)</f>
        <v>0</v>
      </c>
      <c r="F42" s="36">
        <f>_xll.DBRW($B$1,Input_Prod_04!$G$11,Input_Prod_04!F$14,$M$1,Input_Prod_04!$I$11,$C$11,Input_Prod_04!$E$33,Input_Prod_04!$A42,$L$1,$K$1)</f>
        <v>0</v>
      </c>
      <c r="G42" s="36">
        <f>_xll.DBRW($B$1,Input_Prod_04!$G$11,Input_Prod_04!G$14,$M$1,Input_Prod_04!$I$11,$C$11,Input_Prod_04!$E$33,Input_Prod_04!$A42,$L$1,$K$1)</f>
        <v>0</v>
      </c>
      <c r="H42" s="36">
        <f>_xll.DBRW($B$1,Input_Prod_04!$G$11,Input_Prod_04!H$14,$M$1,Input_Prod_04!$I$11,$C$11,Input_Prod_04!$E$33,Input_Prod_04!$A42,$L$1,$K$1)</f>
        <v>0</v>
      </c>
      <c r="I42" s="36">
        <f>_xll.DBRW($B$1,Input_Prod_04!$G$11,Input_Prod_04!I$14,$M$1,Input_Prod_04!$I$11,$C$11,Input_Prod_04!$E$33,Input_Prod_04!$A42,$L$1,$K$1)</f>
        <v>0</v>
      </c>
      <c r="J42" s="36">
        <f>_xll.DBRW($B$1,Input_Prod_04!$G$11,Input_Prod_04!J$14,$M$1,Input_Prod_04!$I$11,$C$11,Input_Prod_04!$E$33,Input_Prod_04!$A42,$L$1,$K$1)</f>
        <v>0</v>
      </c>
      <c r="K42" s="36">
        <f>_xll.DBRW($B$1,Input_Prod_04!$G$11,Input_Prod_04!K$14,$M$1,Input_Prod_04!$I$11,$C$11,Input_Prod_04!$E$33,Input_Prod_04!$A42,$L$1,$K$1)</f>
        <v>0</v>
      </c>
      <c r="L42" s="36">
        <f>_xll.DBRW($B$1,Input_Prod_04!$G$11,Input_Prod_04!L$14,$M$1,Input_Prod_04!$I$11,$C$11,Input_Prod_04!$E$33,Input_Prod_04!$A42,$L$1,$K$1)</f>
        <v>0</v>
      </c>
      <c r="M42" s="36">
        <f>_xll.DBRW($B$1,Input_Prod_04!$G$11,Input_Prod_04!M$14,$M$1,Input_Prod_04!$I$11,$C$11,Input_Prod_04!$E$33,Input_Prod_04!$A42,$L$1,$K$1)</f>
        <v>0</v>
      </c>
      <c r="N42" s="36">
        <f>_xll.DBRW($B$1,Input_Prod_04!$G$11,Input_Prod_04!N$14,$M$1,Input_Prod_04!$I$11,$C$11,Input_Prod_04!$E$33,Input_Prod_04!$A42,$L$1,$K$1)</f>
        <v>0</v>
      </c>
      <c r="O42" s="36">
        <f>_xll.DBRW($B$1,O$13,O$15,$M$1,Input_Prod_04!$I$11,$C$11,Input_Prod_04!$E$33,Input_Prod_04!$A42,$L$1,$K$1)</f>
        <v>0</v>
      </c>
      <c r="P42" s="36">
        <f>_xll.DBRW($B$1,P$13,P$15,$M$1,Input_Prod_04!$I$11,$C$11,Input_Prod_04!$E$33,Input_Prod_04!$A42,$L$1,$K$1)</f>
        <v>0</v>
      </c>
      <c r="Q42" s="36">
        <f>_xll.DBRW($B$1,Q$13,Q$15,$M$1,Input_Prod_04!$I$11,$C$11,Input_Prod_04!$E$33,Input_Prod_04!$A42,$L$1,$K$1)</f>
        <v>0</v>
      </c>
      <c r="R42" s="36">
        <f>_xll.DBRW($B$1,R$13,R$15,$M$1,Input_Prod_04!$I$11,$C$11,Input_Prod_04!$E$33,Input_Prod_04!$A42,$L$1,$K$1)</f>
        <v>0</v>
      </c>
      <c r="S42" s="36">
        <f>_xll.DBRW($B$1,S$13,S$15,$M$1,Input_Prod_04!$I$11,$C$11,Input_Prod_04!$E$33,Input_Prod_04!$A42,$L$1,$K$1)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_xll.DBRW($B$1,Input_Prod_04!$G$11,Input_Prod_04!C$14,$M$1,Input_Prod_04!$I$11,$C$11,Input_Prod_04!$E$33,Input_Prod_04!$A43,$L$1,$K$1)</f>
        <v>0</v>
      </c>
      <c r="D43" s="36">
        <f>_xll.DBRW($B$1,Input_Prod_04!$G$11,Input_Prod_04!D$14,$M$1,Input_Prod_04!$I$11,$C$11,Input_Prod_04!$E$33,Input_Prod_04!$A43,$L$1,$K$1)</f>
        <v>0</v>
      </c>
      <c r="E43" s="36">
        <f>_xll.DBRW($B$1,Input_Prod_04!$G$11,Input_Prod_04!E$14,$M$1,Input_Prod_04!$I$11,$C$11,Input_Prod_04!$E$33,Input_Prod_04!$A43,$L$1,$K$1)</f>
        <v>0</v>
      </c>
      <c r="F43" s="36">
        <f>_xll.DBRW($B$1,Input_Prod_04!$G$11,Input_Prod_04!F$14,$M$1,Input_Prod_04!$I$11,$C$11,Input_Prod_04!$E$33,Input_Prod_04!$A43,$L$1,$K$1)</f>
        <v>0</v>
      </c>
      <c r="G43" s="36">
        <f>_xll.DBRW($B$1,Input_Prod_04!$G$11,Input_Prod_04!G$14,$M$1,Input_Prod_04!$I$11,$C$11,Input_Prod_04!$E$33,Input_Prod_04!$A43,$L$1,$K$1)</f>
        <v>0</v>
      </c>
      <c r="H43" s="36">
        <f>_xll.DBRW($B$1,Input_Prod_04!$G$11,Input_Prod_04!H$14,$M$1,Input_Prod_04!$I$11,$C$11,Input_Prod_04!$E$33,Input_Prod_04!$A43,$L$1,$K$1)</f>
        <v>0</v>
      </c>
      <c r="I43" s="36">
        <f>_xll.DBRW($B$1,Input_Prod_04!$G$11,Input_Prod_04!I$14,$M$1,Input_Prod_04!$I$11,$C$11,Input_Prod_04!$E$33,Input_Prod_04!$A43,$L$1,$K$1)</f>
        <v>0</v>
      </c>
      <c r="J43" s="36">
        <f>_xll.DBRW($B$1,Input_Prod_04!$G$11,Input_Prod_04!J$14,$M$1,Input_Prod_04!$I$11,$C$11,Input_Prod_04!$E$33,Input_Prod_04!$A43,$L$1,$K$1)</f>
        <v>0</v>
      </c>
      <c r="K43" s="36">
        <f>_xll.DBRW($B$1,Input_Prod_04!$G$11,Input_Prod_04!K$14,$M$1,Input_Prod_04!$I$11,$C$11,Input_Prod_04!$E$33,Input_Prod_04!$A43,$L$1,$K$1)</f>
        <v>0</v>
      </c>
      <c r="L43" s="36">
        <f>_xll.DBRW($B$1,Input_Prod_04!$G$11,Input_Prod_04!L$14,$M$1,Input_Prod_04!$I$11,$C$11,Input_Prod_04!$E$33,Input_Prod_04!$A43,$L$1,$K$1)</f>
        <v>0</v>
      </c>
      <c r="M43" s="36">
        <f>_xll.DBRW($B$1,Input_Prod_04!$G$11,Input_Prod_04!M$14,$M$1,Input_Prod_04!$I$11,$C$11,Input_Prod_04!$E$33,Input_Prod_04!$A43,$L$1,$K$1)</f>
        <v>0</v>
      </c>
      <c r="N43" s="36">
        <f>_xll.DBRW($B$1,Input_Prod_04!$G$11,Input_Prod_04!N$14,$M$1,Input_Prod_04!$I$11,$C$11,Input_Prod_04!$E$33,Input_Prod_04!$A43,$L$1,$K$1)</f>
        <v>0</v>
      </c>
      <c r="O43" s="36">
        <f>_xll.DBRW($B$1,O$13,O$15,$M$1,Input_Prod_04!$I$11,$C$11,Input_Prod_04!$E$33,Input_Prod_04!$A43,$L$1,$K$1)</f>
        <v>0</v>
      </c>
      <c r="P43" s="36">
        <f>_xll.DBRW($B$1,P$13,P$15,$M$1,Input_Prod_04!$I$11,$C$11,Input_Prod_04!$E$33,Input_Prod_04!$A43,$L$1,$K$1)</f>
        <v>0</v>
      </c>
      <c r="Q43" s="36">
        <f>_xll.DBRW($B$1,Q$13,Q$15,$M$1,Input_Prod_04!$I$11,$C$11,Input_Prod_04!$E$33,Input_Prod_04!$A43,$L$1,$K$1)</f>
        <v>0</v>
      </c>
      <c r="R43" s="36">
        <f>_xll.DBRW($B$1,R$13,R$15,$M$1,Input_Prod_04!$I$11,$C$11,Input_Prod_04!$E$33,Input_Prod_04!$A43,$L$1,$K$1)</f>
        <v>0</v>
      </c>
      <c r="S43" s="36">
        <f>_xll.DBRW($B$1,S$13,S$15,$M$1,Input_Prod_04!$I$11,$C$11,Input_Prod_04!$E$33,Input_Prod_04!$A43,$L$1,$K$1)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_xll.DBRW($B$2,Input_Prod_04!$G$11,Input_Prod_04!C$14,$M$1,Input_Prod_04!$I$11,$C$11,$E$33,$K$2,$B$44)</f>
        <v>0</v>
      </c>
      <c r="D44" s="48">
        <f>_xll.DBRW($B$2,Input_Prod_04!$G$11,Input_Prod_04!D$14,$M$1,Input_Prod_04!$I$11,$C$11,$E$33,$K$2,$B$44)</f>
        <v>0</v>
      </c>
      <c r="E44" s="48">
        <f>_xll.DBRW($B$2,Input_Prod_04!$G$11,Input_Prod_04!E$14,$M$1,Input_Prod_04!$I$11,$C$11,$E$33,$K$2,$B$44)</f>
        <v>0</v>
      </c>
      <c r="F44" s="48">
        <f>_xll.DBRW($B$2,Input_Prod_04!$G$11,Input_Prod_04!F$14,$M$1,Input_Prod_04!$I$11,$C$11,$E$33,$K$2,$B$44)</f>
        <v>0</v>
      </c>
      <c r="G44" s="48">
        <f>_xll.DBRW($B$2,Input_Prod_04!$G$11,Input_Prod_04!G$14,$M$1,Input_Prod_04!$I$11,$C$11,$E$33,$K$2,$B$44)</f>
        <v>0</v>
      </c>
      <c r="H44" s="48">
        <f>_xll.DBRW($B$2,Input_Prod_04!$G$11,Input_Prod_04!H$14,$M$1,Input_Prod_04!$I$11,$C$11,$E$33,$K$2,$B$44)</f>
        <v>0</v>
      </c>
      <c r="I44" s="48">
        <f>_xll.DBRW($B$2,Input_Prod_04!$G$11,Input_Prod_04!I$14,$M$1,Input_Prod_04!$I$11,$C$11,$E$33,$K$2,$B$44)</f>
        <v>0</v>
      </c>
      <c r="J44" s="48">
        <f>_xll.DBRW($B$2,Input_Prod_04!$G$11,Input_Prod_04!J$14,$M$1,Input_Prod_04!$I$11,$C$11,$E$33,$K$2,$B$44)</f>
        <v>0</v>
      </c>
      <c r="K44" s="48">
        <f>_xll.DBRW($B$2,Input_Prod_04!$G$11,Input_Prod_04!K$14,$M$1,Input_Prod_04!$I$11,$C$11,$E$33,$K$2,$B$44)</f>
        <v>0</v>
      </c>
      <c r="L44" s="48">
        <f>_xll.DBRW($B$2,Input_Prod_04!$G$11,Input_Prod_04!L$14,$M$1,Input_Prod_04!$I$11,$C$11,$E$33,$K$2,$B$44)</f>
        <v>0</v>
      </c>
      <c r="M44" s="48">
        <f>_xll.DBRW($B$2,Input_Prod_04!$G$11,Input_Prod_04!M$14,$M$1,Input_Prod_04!$I$11,$C$11,$E$33,$K$2,$B$44)</f>
        <v>0</v>
      </c>
      <c r="N44" s="48">
        <f>_xll.DBRW($B$2,Input_Prod_04!$G$11,Input_Prod_04!N$14,$M$1,Input_Prod_04!$I$11,$C$11,$E$33,$K$2,$B$44)</f>
        <v>0</v>
      </c>
      <c r="O44" s="48">
        <f>_xll.DBRW($B$2,O$13,$O$15,$M$1,Input_Prod_04!$I$11,$C$11,$E$33,$K$2,$B$44)</f>
        <v>0</v>
      </c>
      <c r="P44" s="48">
        <f>_xll.DBRW($B$2,P$13,$O$15,$M$1,Input_Prod_04!$I$11,$C$11,$E$33,$K$2,$B$44)</f>
        <v>0</v>
      </c>
      <c r="Q44" s="48">
        <f>_xll.DBRW($B$2,Q$13,$O$15,$M$1,Input_Prod_04!$I$11,$C$11,$E$33,$K$2,$B$44)</f>
        <v>0</v>
      </c>
      <c r="R44" s="48">
        <f>_xll.DBRW($B$2,R$13,$O$15,$M$1,Input_Prod_04!$I$11,$C$11,$E$33,$K$2,$B$44)</f>
        <v>0</v>
      </c>
      <c r="S44" s="48">
        <f>_xll.DBRW($B$2,S$13,$O$15,$M$1,Input_Prod_04!$I$11,$C$11,$E$33,$K$2,$B$44)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_xll.DBRW($B$2,Input_Prod_04!$G$11,Input_Prod_04!C$14,$M$1,Input_Prod_04!$I$11,$C$11,$E$33,$K$2,$B$45)</f>
        <v>0</v>
      </c>
      <c r="D45" s="41">
        <f>_xll.DBRW($B$2,Input_Prod_04!$G$11,Input_Prod_04!D$14,$M$1,Input_Prod_04!$I$11,$C$11,$E$33,$K$2,$B$45)</f>
        <v>0</v>
      </c>
      <c r="E45" s="41">
        <f>_xll.DBRW($B$2,Input_Prod_04!$G$11,Input_Prod_04!E$14,$M$1,Input_Prod_04!$I$11,$C$11,$E$33,$K$2,$B$45)</f>
        <v>0</v>
      </c>
      <c r="F45" s="41">
        <f>_xll.DBRW($B$2,Input_Prod_04!$G$11,Input_Prod_04!F$14,$M$1,Input_Prod_04!$I$11,$C$11,$E$33,$K$2,$B$45)</f>
        <v>0</v>
      </c>
      <c r="G45" s="41">
        <f>_xll.DBRW($B$2,Input_Prod_04!$G$11,Input_Prod_04!G$14,$M$1,Input_Prod_04!$I$11,$C$11,$E$33,$K$2,$B$45)</f>
        <v>0</v>
      </c>
      <c r="H45" s="41">
        <f>_xll.DBRW($B$2,Input_Prod_04!$G$11,Input_Prod_04!H$14,$M$1,Input_Prod_04!$I$11,$C$11,$E$33,$K$2,$B$45)</f>
        <v>0</v>
      </c>
      <c r="I45" s="41">
        <f>_xll.DBRW($B$2,Input_Prod_04!$G$11,Input_Prod_04!I$14,$M$1,Input_Prod_04!$I$11,$C$11,$E$33,$K$2,$B$45)</f>
        <v>0</v>
      </c>
      <c r="J45" s="41">
        <f>_xll.DBRW($B$2,Input_Prod_04!$G$11,Input_Prod_04!J$14,$M$1,Input_Prod_04!$I$11,$C$11,$E$33,$K$2,$B$45)</f>
        <v>0</v>
      </c>
      <c r="K45" s="41">
        <f>_xll.DBRW($B$2,Input_Prod_04!$G$11,Input_Prod_04!K$14,$M$1,Input_Prod_04!$I$11,$C$11,$E$33,$K$2,$B$45)</f>
        <v>0</v>
      </c>
      <c r="L45" s="41">
        <f>_xll.DBRW($B$2,Input_Prod_04!$G$11,Input_Prod_04!L$14,$M$1,Input_Prod_04!$I$11,$C$11,$E$33,$K$2,$B$45)</f>
        <v>0</v>
      </c>
      <c r="M45" s="41">
        <f>_xll.DBRW($B$2,Input_Prod_04!$G$11,Input_Prod_04!M$14,$M$1,Input_Prod_04!$I$11,$C$11,$E$33,$K$2,$B$45)</f>
        <v>0</v>
      </c>
      <c r="N45" s="41">
        <f>_xll.DBRW($B$2,Input_Prod_04!$G$11,Input_Prod_04!N$14,$M$1,Input_Prod_04!$I$11,$C$11,$E$33,$K$2,$B$45)</f>
        <v>0</v>
      </c>
      <c r="O45" s="48">
        <f>_xll.DBRW($B$2,O$13,$O$15,$M$1,Input_Prod_04!$I$11,$C$11,$E$33,$K$2,$B$44)</f>
        <v>0</v>
      </c>
      <c r="P45" s="48">
        <f>_xll.DBRW($B$2,P$13,$O$15,$M$1,Input_Prod_04!$I$11,$C$11,$E$33,$K$2,$B$44)</f>
        <v>0</v>
      </c>
      <c r="Q45" s="48">
        <f>_xll.DBRW($B$2,Q$13,$O$15,$M$1,Input_Prod_04!$I$11,$C$11,$E$33,$K$2,$B$44)</f>
        <v>0</v>
      </c>
      <c r="R45" s="48">
        <f>_xll.DBRW($B$2,R$13,$O$15,$M$1,Input_Prod_04!$I$11,$C$11,$E$33,$K$2,$B$44)</f>
        <v>0</v>
      </c>
      <c r="S45" s="48">
        <f>_xll.DBRW($B$2,S$13,$O$15,$M$1,Input_Prod_04!$I$11,$C$11,$E$33,$K$2,$B$44)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8">
        <f>$G$11+1</f>
        <v>2027</v>
      </c>
      <c r="P51" s="98">
        <f>$G$11+2</f>
        <v>2028</v>
      </c>
      <c r="Q51" s="98">
        <f>$G$11+3</f>
        <v>2029</v>
      </c>
      <c r="R51" s="98">
        <f>$G$11+4</f>
        <v>2030</v>
      </c>
      <c r="S51" s="98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_xll.DBRW($B$1,Input_Prod_04!$G$11,Input_Prod_04!C$14,$M$1,Input_Prod_04!$I$11,$C$11,Input_Prod_04!$E$33,Input_Prod_04!$A53,$L$1,$K$1)</f>
        <v>0</v>
      </c>
      <c r="D53" s="36">
        <f>_xll.DBRW($B$1,Input_Prod_04!$G$11,Input_Prod_04!D$14,$M$1,Input_Prod_04!$I$11,$C$11,Input_Prod_04!$E$33,Input_Prod_04!$A53,$L$1,$K$1)</f>
        <v>0</v>
      </c>
      <c r="E53" s="36">
        <f>_xll.DBRW($B$1,Input_Prod_04!$G$11,Input_Prod_04!E$14,$M$1,Input_Prod_04!$I$11,$C$11,Input_Prod_04!$E$33,Input_Prod_04!$A53,$L$1,$K$1)</f>
        <v>0</v>
      </c>
      <c r="F53" s="36">
        <f>_xll.DBRW($B$1,Input_Prod_04!$G$11,Input_Prod_04!F$14,$M$1,Input_Prod_04!$I$11,$C$11,Input_Prod_04!$E$33,Input_Prod_04!$A53,$L$1,$K$1)</f>
        <v>0</v>
      </c>
      <c r="G53" s="36">
        <f>_xll.DBRW($B$1,Input_Prod_04!$G$11,Input_Prod_04!G$14,$M$1,Input_Prod_04!$I$11,$C$11,Input_Prod_04!$E$33,Input_Prod_04!$A53,$L$1,$K$1)</f>
        <v>0</v>
      </c>
      <c r="H53" s="36">
        <f>_xll.DBRW($B$1,Input_Prod_04!$G$11,Input_Prod_04!H$14,$M$1,Input_Prod_04!$I$11,$C$11,Input_Prod_04!$E$33,Input_Prod_04!$A53,$L$1,$K$1)</f>
        <v>0</v>
      </c>
      <c r="I53" s="36">
        <f>_xll.DBRW($B$1,Input_Prod_04!$G$11,Input_Prod_04!I$14,$M$1,Input_Prod_04!$I$11,$C$11,Input_Prod_04!$E$33,Input_Prod_04!$A53,$L$1,$K$1)</f>
        <v>0</v>
      </c>
      <c r="J53" s="36">
        <f>_xll.DBRW($B$1,Input_Prod_04!$G$11,Input_Prod_04!J$14,$M$1,Input_Prod_04!$I$11,$C$11,Input_Prod_04!$E$33,Input_Prod_04!$A53,$L$1,$K$1)</f>
        <v>0</v>
      </c>
      <c r="K53" s="36">
        <f>_xll.DBRW($B$1,Input_Prod_04!$G$11,Input_Prod_04!K$14,$M$1,Input_Prod_04!$I$11,$C$11,Input_Prod_04!$E$33,Input_Prod_04!$A53,$L$1,$K$1)</f>
        <v>0</v>
      </c>
      <c r="L53" s="36">
        <f>_xll.DBRW($B$1,Input_Prod_04!$G$11,Input_Prod_04!L$14,$M$1,Input_Prod_04!$I$11,$C$11,Input_Prod_04!$E$33,Input_Prod_04!$A53,$L$1,$K$1)</f>
        <v>0</v>
      </c>
      <c r="M53" s="36">
        <f>_xll.DBRW($B$1,Input_Prod_04!$G$11,Input_Prod_04!M$14,$M$1,Input_Prod_04!$I$11,$C$11,Input_Prod_04!$E$33,Input_Prod_04!$A53,$L$1,$K$1)</f>
        <v>0</v>
      </c>
      <c r="N53" s="36">
        <f>_xll.DBRW($B$1,Input_Prod_04!$G$11,Input_Prod_04!N$14,$M$1,Input_Prod_04!$I$11,$C$11,Input_Prod_04!$E$33,Input_Prod_04!$A53,$L$1,$K$1)</f>
        <v>0</v>
      </c>
      <c r="O53" s="36">
        <f>_xll.DBRW($B$1,O$13,O$15,$M$1,Input_Prod_04!$I$11,$C$11,Input_Prod_04!$E$33,Input_Prod_04!$A53,$L$1,$K$1)</f>
        <v>0</v>
      </c>
      <c r="P53" s="36">
        <f>_xll.DBRW($B$1,P$13,P$15,$M$1,Input_Prod_04!$I$11,$C$11,Input_Prod_04!$E$33,Input_Prod_04!$A53,$L$1,$K$1)</f>
        <v>0</v>
      </c>
      <c r="Q53" s="36">
        <f>_xll.DBRW($B$1,Q$13,Q$15,$M$1,Input_Prod_04!$I$11,$C$11,Input_Prod_04!$E$33,Input_Prod_04!$A53,$L$1,$K$1)</f>
        <v>0</v>
      </c>
      <c r="R53" s="36">
        <f>_xll.DBRW($B$1,R$13,R$15,$M$1,Input_Prod_04!$I$11,$C$11,Input_Prod_04!$E$33,Input_Prod_04!$A53,$L$1,$K$1)</f>
        <v>0</v>
      </c>
      <c r="S53" s="36">
        <f>_xll.DBRW($B$1,S$13,S$15,$M$1,Input_Prod_04!$I$11,$C$11,Input_Prod_04!$E$33,Input_Prod_04!$A53,$L$1,$K$1)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_xll.DBRW($B$1,Input_Prod_04!$G$11,Input_Prod_04!C$14,$M$1,Input_Prod_04!$I$11,$C$11,Input_Prod_04!$E$33,Input_Prod_04!$A54,$L$1,$K$1)</f>
        <v>0</v>
      </c>
      <c r="D54" s="36">
        <f>_xll.DBRW($B$1,Input_Prod_04!$G$11,Input_Prod_04!D$14,$M$1,Input_Prod_04!$I$11,$C$11,Input_Prod_04!$E$33,Input_Prod_04!$A54,$L$1,$K$1)</f>
        <v>0</v>
      </c>
      <c r="E54" s="36">
        <f>_xll.DBRW($B$1,Input_Prod_04!$G$11,Input_Prod_04!E$14,$M$1,Input_Prod_04!$I$11,$C$11,Input_Prod_04!$E$33,Input_Prod_04!$A54,$L$1,$K$1)</f>
        <v>0</v>
      </c>
      <c r="F54" s="36">
        <f>_xll.DBRW($B$1,Input_Prod_04!$G$11,Input_Prod_04!F$14,$M$1,Input_Prod_04!$I$11,$C$11,Input_Prod_04!$E$33,Input_Prod_04!$A54,$L$1,$K$1)</f>
        <v>0</v>
      </c>
      <c r="G54" s="36">
        <f>_xll.DBRW($B$1,Input_Prod_04!$G$11,Input_Prod_04!G$14,$M$1,Input_Prod_04!$I$11,$C$11,Input_Prod_04!$E$33,Input_Prod_04!$A54,$L$1,$K$1)</f>
        <v>0</v>
      </c>
      <c r="H54" s="36">
        <f>_xll.DBRW($B$1,Input_Prod_04!$G$11,Input_Prod_04!H$14,$M$1,Input_Prod_04!$I$11,$C$11,Input_Prod_04!$E$33,Input_Prod_04!$A54,$L$1,$K$1)</f>
        <v>0</v>
      </c>
      <c r="I54" s="36">
        <f>_xll.DBRW($B$1,Input_Prod_04!$G$11,Input_Prod_04!I$14,$M$1,Input_Prod_04!$I$11,$C$11,Input_Prod_04!$E$33,Input_Prod_04!$A54,$L$1,$K$1)</f>
        <v>0</v>
      </c>
      <c r="J54" s="36">
        <f>_xll.DBRW($B$1,Input_Prod_04!$G$11,Input_Prod_04!J$14,$M$1,Input_Prod_04!$I$11,$C$11,Input_Prod_04!$E$33,Input_Prod_04!$A54,$L$1,$K$1)</f>
        <v>0</v>
      </c>
      <c r="K54" s="36">
        <f>_xll.DBRW($B$1,Input_Prod_04!$G$11,Input_Prod_04!K$14,$M$1,Input_Prod_04!$I$11,$C$11,Input_Prod_04!$E$33,Input_Prod_04!$A54,$L$1,$K$1)</f>
        <v>0</v>
      </c>
      <c r="L54" s="36">
        <f>_xll.DBRW($B$1,Input_Prod_04!$G$11,Input_Prod_04!L$14,$M$1,Input_Prod_04!$I$11,$C$11,Input_Prod_04!$E$33,Input_Prod_04!$A54,$L$1,$K$1)</f>
        <v>0</v>
      </c>
      <c r="M54" s="36">
        <f>_xll.DBRW($B$1,Input_Prod_04!$G$11,Input_Prod_04!M$14,$M$1,Input_Prod_04!$I$11,$C$11,Input_Prod_04!$E$33,Input_Prod_04!$A54,$L$1,$K$1)</f>
        <v>0</v>
      </c>
      <c r="N54" s="36">
        <f>_xll.DBRW($B$1,Input_Prod_04!$G$11,Input_Prod_04!N$14,$M$1,Input_Prod_04!$I$11,$C$11,Input_Prod_04!$E$33,Input_Prod_04!$A54,$L$1,$K$1)</f>
        <v>0</v>
      </c>
      <c r="O54" s="36">
        <f>_xll.DBRW($B$1,O$13,O$15,$M$1,Input_Prod_04!$I$11,$C$11,Input_Prod_04!$E$33,Input_Prod_04!$A54,$L$1,$K$1)</f>
        <v>0</v>
      </c>
      <c r="P54" s="36">
        <f>_xll.DBRW($B$1,P$13,P$15,$M$1,Input_Prod_04!$I$11,$C$11,Input_Prod_04!$E$33,Input_Prod_04!$A54,$L$1,$K$1)</f>
        <v>0</v>
      </c>
      <c r="Q54" s="36">
        <f>_xll.DBRW($B$1,Q$13,Q$15,$M$1,Input_Prod_04!$I$11,$C$11,Input_Prod_04!$E$33,Input_Prod_04!$A54,$L$1,$K$1)</f>
        <v>0</v>
      </c>
      <c r="R54" s="36">
        <f>_xll.DBRW($B$1,R$13,R$15,$M$1,Input_Prod_04!$I$11,$C$11,Input_Prod_04!$E$33,Input_Prod_04!$A54,$L$1,$K$1)</f>
        <v>0</v>
      </c>
      <c r="S54" s="36">
        <f>_xll.DBRW($B$1,S$13,S$15,$M$1,Input_Prod_04!$I$11,$C$11,Input_Prod_04!$E$33,Input_Prod_04!$A54,$L$1,$K$1)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_xll.DBRW($B$1,Input_Prod_04!$G$11,Input_Prod_04!C$14,$M$1,Input_Prod_04!$I$11,$C$11,Input_Prod_04!$E$33,Input_Prod_04!$A55,$L$1,$K$1)</f>
        <v>0</v>
      </c>
      <c r="D55" s="36">
        <f>_xll.DBRW($B$1,Input_Prod_04!$G$11,Input_Prod_04!D$14,$M$1,Input_Prod_04!$I$11,$C$11,Input_Prod_04!$E$33,Input_Prod_04!$A55,$L$1,$K$1)</f>
        <v>0</v>
      </c>
      <c r="E55" s="36">
        <f>_xll.DBRW($B$1,Input_Prod_04!$G$11,Input_Prod_04!E$14,$M$1,Input_Prod_04!$I$11,$C$11,Input_Prod_04!$E$33,Input_Prod_04!$A55,$L$1,$K$1)</f>
        <v>0</v>
      </c>
      <c r="F55" s="36">
        <f>_xll.DBRW($B$1,Input_Prod_04!$G$11,Input_Prod_04!F$14,$M$1,Input_Prod_04!$I$11,$C$11,Input_Prod_04!$E$33,Input_Prod_04!$A55,$L$1,$K$1)</f>
        <v>0</v>
      </c>
      <c r="G55" s="36">
        <f>_xll.DBRW($B$1,Input_Prod_04!$G$11,Input_Prod_04!G$14,$M$1,Input_Prod_04!$I$11,$C$11,Input_Prod_04!$E$33,Input_Prod_04!$A55,$L$1,$K$1)</f>
        <v>0</v>
      </c>
      <c r="H55" s="36">
        <f>_xll.DBRW($B$1,Input_Prod_04!$G$11,Input_Prod_04!H$14,$M$1,Input_Prod_04!$I$11,$C$11,Input_Prod_04!$E$33,Input_Prod_04!$A55,$L$1,$K$1)</f>
        <v>0</v>
      </c>
      <c r="I55" s="36">
        <f>_xll.DBRW($B$1,Input_Prod_04!$G$11,Input_Prod_04!I$14,$M$1,Input_Prod_04!$I$11,$C$11,Input_Prod_04!$E$33,Input_Prod_04!$A55,$L$1,$K$1)</f>
        <v>0</v>
      </c>
      <c r="J55" s="36">
        <f>_xll.DBRW($B$1,Input_Prod_04!$G$11,Input_Prod_04!J$14,$M$1,Input_Prod_04!$I$11,$C$11,Input_Prod_04!$E$33,Input_Prod_04!$A55,$L$1,$K$1)</f>
        <v>0</v>
      </c>
      <c r="K55" s="36">
        <f>_xll.DBRW($B$1,Input_Prod_04!$G$11,Input_Prod_04!K$14,$M$1,Input_Prod_04!$I$11,$C$11,Input_Prod_04!$E$33,Input_Prod_04!$A55,$L$1,$K$1)</f>
        <v>0</v>
      </c>
      <c r="L55" s="36">
        <f>_xll.DBRW($B$1,Input_Prod_04!$G$11,Input_Prod_04!L$14,$M$1,Input_Prod_04!$I$11,$C$11,Input_Prod_04!$E$33,Input_Prod_04!$A55,$L$1,$K$1)</f>
        <v>0</v>
      </c>
      <c r="M55" s="36">
        <f>_xll.DBRW($B$1,Input_Prod_04!$G$11,Input_Prod_04!M$14,$M$1,Input_Prod_04!$I$11,$C$11,Input_Prod_04!$E$33,Input_Prod_04!$A55,$L$1,$K$1)</f>
        <v>0</v>
      </c>
      <c r="N55" s="36">
        <f>_xll.DBRW($B$1,Input_Prod_04!$G$11,Input_Prod_04!N$14,$M$1,Input_Prod_04!$I$11,$C$11,Input_Prod_04!$E$33,Input_Prod_04!$A55,$L$1,$K$1)</f>
        <v>0</v>
      </c>
      <c r="O55" s="36">
        <f>_xll.DBRW($B$1,O$13,O$15,$M$1,Input_Prod_04!$I$11,$C$11,Input_Prod_04!$E$33,Input_Prod_04!$A55,$L$1,$K$1)</f>
        <v>0</v>
      </c>
      <c r="P55" s="36">
        <f>_xll.DBRW($B$1,P$13,P$15,$M$1,Input_Prod_04!$I$11,$C$11,Input_Prod_04!$E$33,Input_Prod_04!$A55,$L$1,$K$1)</f>
        <v>0</v>
      </c>
      <c r="Q55" s="36">
        <f>_xll.DBRW($B$1,Q$13,Q$15,$M$1,Input_Prod_04!$I$11,$C$11,Input_Prod_04!$E$33,Input_Prod_04!$A55,$L$1,$K$1)</f>
        <v>0</v>
      </c>
      <c r="R55" s="36">
        <f>_xll.DBRW($B$1,R$13,R$15,$M$1,Input_Prod_04!$I$11,$C$11,Input_Prod_04!$E$33,Input_Prod_04!$A55,$L$1,$K$1)</f>
        <v>0</v>
      </c>
      <c r="S55" s="36">
        <f>_xll.DBRW($B$1,S$13,S$15,$M$1,Input_Prod_04!$I$11,$C$11,Input_Prod_04!$E$33,Input_Prod_04!$A55,$L$1,$K$1)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_xll.DBRW($B$1,Input_Prod_04!$G$11,Input_Prod_04!C$14,$M$1,Input_Prod_04!$I$11,$C$11,Input_Prod_04!$E$33,Input_Prod_04!$A56,$L$1,$K$1)</f>
        <v>0</v>
      </c>
      <c r="D56" s="36">
        <f>_xll.DBRW($B$1,Input_Prod_04!$G$11,Input_Prod_04!D$14,$M$1,Input_Prod_04!$I$11,$C$11,Input_Prod_04!$E$33,Input_Prod_04!$A56,$L$1,$K$1)</f>
        <v>0</v>
      </c>
      <c r="E56" s="36">
        <f>_xll.DBRW($B$1,Input_Prod_04!$G$11,Input_Prod_04!E$14,$M$1,Input_Prod_04!$I$11,$C$11,Input_Prod_04!$E$33,Input_Prod_04!$A56,$L$1,$K$1)</f>
        <v>0</v>
      </c>
      <c r="F56" s="36">
        <f>_xll.DBRW($B$1,Input_Prod_04!$G$11,Input_Prod_04!F$14,$M$1,Input_Prod_04!$I$11,$C$11,Input_Prod_04!$E$33,Input_Prod_04!$A56,$L$1,$K$1)</f>
        <v>0</v>
      </c>
      <c r="G56" s="36">
        <f>_xll.DBRW($B$1,Input_Prod_04!$G$11,Input_Prod_04!G$14,$M$1,Input_Prod_04!$I$11,$C$11,Input_Prod_04!$E$33,Input_Prod_04!$A56,$L$1,$K$1)</f>
        <v>0</v>
      </c>
      <c r="H56" s="36">
        <f>_xll.DBRW($B$1,Input_Prod_04!$G$11,Input_Prod_04!H$14,$M$1,Input_Prod_04!$I$11,$C$11,Input_Prod_04!$E$33,Input_Prod_04!$A56,$L$1,$K$1)</f>
        <v>0</v>
      </c>
      <c r="I56" s="36">
        <f>_xll.DBRW($B$1,Input_Prod_04!$G$11,Input_Prod_04!I$14,$M$1,Input_Prod_04!$I$11,$C$11,Input_Prod_04!$E$33,Input_Prod_04!$A56,$L$1,$K$1)</f>
        <v>0</v>
      </c>
      <c r="J56" s="36">
        <f>_xll.DBRW($B$1,Input_Prod_04!$G$11,Input_Prod_04!J$14,$M$1,Input_Prod_04!$I$11,$C$11,Input_Prod_04!$E$33,Input_Prod_04!$A56,$L$1,$K$1)</f>
        <v>0</v>
      </c>
      <c r="K56" s="36">
        <f>_xll.DBRW($B$1,Input_Prod_04!$G$11,Input_Prod_04!K$14,$M$1,Input_Prod_04!$I$11,$C$11,Input_Prod_04!$E$33,Input_Prod_04!$A56,$L$1,$K$1)</f>
        <v>0</v>
      </c>
      <c r="L56" s="36">
        <f>_xll.DBRW($B$1,Input_Prod_04!$G$11,Input_Prod_04!L$14,$M$1,Input_Prod_04!$I$11,$C$11,Input_Prod_04!$E$33,Input_Prod_04!$A56,$L$1,$K$1)</f>
        <v>0</v>
      </c>
      <c r="M56" s="36">
        <f>_xll.DBRW($B$1,Input_Prod_04!$G$11,Input_Prod_04!M$14,$M$1,Input_Prod_04!$I$11,$C$11,Input_Prod_04!$E$33,Input_Prod_04!$A56,$L$1,$K$1)</f>
        <v>0</v>
      </c>
      <c r="N56" s="36">
        <f>_xll.DBRW($B$1,Input_Prod_04!$G$11,Input_Prod_04!N$14,$M$1,Input_Prod_04!$I$11,$C$11,Input_Prod_04!$E$33,Input_Prod_04!$A56,$L$1,$K$1)</f>
        <v>0</v>
      </c>
      <c r="O56" s="36">
        <f>_xll.DBRW($B$1,O$13,O$15,$M$1,Input_Prod_04!$I$11,$C$11,Input_Prod_04!$E$33,Input_Prod_04!$A56,$L$1,$K$1)</f>
        <v>0</v>
      </c>
      <c r="P56" s="36">
        <f>_xll.DBRW($B$1,P$13,P$15,$M$1,Input_Prod_04!$I$11,$C$11,Input_Prod_04!$E$33,Input_Prod_04!$A56,$L$1,$K$1)</f>
        <v>0</v>
      </c>
      <c r="Q56" s="36">
        <f>_xll.DBRW($B$1,Q$13,Q$15,$M$1,Input_Prod_04!$I$11,$C$11,Input_Prod_04!$E$33,Input_Prod_04!$A56,$L$1,$K$1)</f>
        <v>0</v>
      </c>
      <c r="R56" s="36">
        <f>_xll.DBRW($B$1,R$13,R$15,$M$1,Input_Prod_04!$I$11,$C$11,Input_Prod_04!$E$33,Input_Prod_04!$A56,$L$1,$K$1)</f>
        <v>0</v>
      </c>
      <c r="S56" s="36">
        <f>_xll.DBRW($B$1,S$13,S$15,$M$1,Input_Prod_04!$I$11,$C$11,Input_Prod_04!$E$33,Input_Prod_04!$A56,$L$1,$K$1)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_xll.DBRW($B$1,Input_Prod_04!$G$11,Input_Prod_04!C$14,$M$1,Input_Prod_04!$I$11,$C$11,$E$33,$A$57,"Total Accounts Line",$K$1)</f>
        <v>0</v>
      </c>
      <c r="D57" s="48">
        <f>_xll.DBRW($B$1,Input_Prod_04!$G$11,Input_Prod_04!D$14,$M$1,Input_Prod_04!$I$11,$C$11,$E$33,$A$57,"Total Accounts Line",$K$1)</f>
        <v>0</v>
      </c>
      <c r="E57" s="48">
        <f>_xll.DBRW($B$1,Input_Prod_04!$G$11,Input_Prod_04!E$14,$M$1,Input_Prod_04!$I$11,$C$11,$E$33,$A$57,"Total Accounts Line",$K$1)</f>
        <v>0</v>
      </c>
      <c r="F57" s="48">
        <f>_xll.DBRW($B$1,Input_Prod_04!$G$11,Input_Prod_04!F$14,$M$1,Input_Prod_04!$I$11,$C$11,$E$33,$A$57,"Total Accounts Line",$K$1)</f>
        <v>0</v>
      </c>
      <c r="G57" s="48">
        <f>_xll.DBRW($B$1,Input_Prod_04!$G$11,Input_Prod_04!G$14,$M$1,Input_Prod_04!$I$11,$C$11,$E$33,$A$57,"Total Accounts Line",$K$1)</f>
        <v>0</v>
      </c>
      <c r="H57" s="48">
        <f>_xll.DBRW($B$1,Input_Prod_04!$G$11,Input_Prod_04!H$14,$M$1,Input_Prod_04!$I$11,$C$11,$E$33,$A$57,"Total Accounts Line",$K$1)</f>
        <v>0</v>
      </c>
      <c r="I57" s="48">
        <f>_xll.DBRW($B$1,Input_Prod_04!$G$11,Input_Prod_04!I$14,$M$1,Input_Prod_04!$I$11,$C$11,$E$33,$A$57,"Total Accounts Line",$K$1)</f>
        <v>0</v>
      </c>
      <c r="J57" s="48">
        <f>_xll.DBRW($B$1,Input_Prod_04!$G$11,Input_Prod_04!J$14,$M$1,Input_Prod_04!$I$11,$C$11,$E$33,$A$57,"Total Accounts Line",$K$1)</f>
        <v>0</v>
      </c>
      <c r="K57" s="48">
        <f>_xll.DBRW($B$1,Input_Prod_04!$G$11,Input_Prod_04!K$14,$M$1,Input_Prod_04!$I$11,$C$11,$E$33,$A$57,"Total Accounts Line",$K$1)</f>
        <v>0</v>
      </c>
      <c r="L57" s="48">
        <f>_xll.DBRW($B$1,Input_Prod_04!$G$11,Input_Prod_04!L$14,$M$1,Input_Prod_04!$I$11,$C$11,$E$33,$A$57,"Total Accounts Line",$K$1)</f>
        <v>0</v>
      </c>
      <c r="M57" s="48">
        <f>_xll.DBRW($B$1,Input_Prod_04!$G$11,Input_Prod_04!M$14,$M$1,Input_Prod_04!$I$11,$C$11,$E$33,$A$57,"Total Accounts Line",$K$1)</f>
        <v>0</v>
      </c>
      <c r="N57" s="48">
        <f>_xll.DBRW($B$1,Input_Prod_04!$G$11,Input_Prod_04!N$14,$M$1,Input_Prod_04!$I$11,$C$11,$E$33,$A$57,"Total Accounts Line",$K$1)</f>
        <v>0</v>
      </c>
      <c r="O57" s="48">
        <f>_xll.DBRW($B$1,O$13,$O$15,$M$1,Input_Prod_04!$I$11,$C$11,$E$33,$A$57,"Total Accounts Line",$K$1)</f>
        <v>0</v>
      </c>
      <c r="P57" s="48">
        <f>_xll.DBRW($B$1,P$13,$O$15,$M$1,Input_Prod_04!$I$11,$C$11,$E$33,$A$57,"Total Accounts Line",$K$1)</f>
        <v>0</v>
      </c>
      <c r="Q57" s="48">
        <f>_xll.DBRW($B$1,Q$13,$O$15,$M$1,Input_Prod_04!$I$11,$C$11,$E$33,$A$57,"Total Accounts Line",$K$1)</f>
        <v>0</v>
      </c>
      <c r="R57" s="48">
        <f>_xll.DBRW($B$1,R$13,$O$15,$M$1,Input_Prod_04!$I$11,$C$11,$E$33,$A$57,"Total Accounts Line",$K$1)</f>
        <v>0</v>
      </c>
      <c r="S57" s="48">
        <f>_xll.DBRW($B$1,S$13,$O$15,$M$1,Input_Prod_04!$I$11,$C$11,$E$33,$A$57,"Total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_xll.DBRW($B$1,Input_Prod_04!$G$11,Input_Prod_04!C$14,$M$1,Input_Prod_04!$I$11,$C$11,$E$33,$A$57,$A58,$K$1)</f>
        <v>0</v>
      </c>
      <c r="D58" s="36">
        <f>_xll.DBRW($B$1,Input_Prod_04!$G$11,Input_Prod_04!D$14,$M$1,Input_Prod_04!$I$11,$C$11,$E$33,$A$57,$A58,$K$1)</f>
        <v>0</v>
      </c>
      <c r="E58" s="36">
        <f>_xll.DBRW($B$1,Input_Prod_04!$G$11,Input_Prod_04!E$14,$M$1,Input_Prod_04!$I$11,$C$11,$E$33,$A$57,$A58,$K$1)</f>
        <v>0</v>
      </c>
      <c r="F58" s="36">
        <f>_xll.DBRW($B$1,Input_Prod_04!$G$11,Input_Prod_04!F$14,$M$1,Input_Prod_04!$I$11,$C$11,$E$33,$A$57,$A58,$K$1)</f>
        <v>0</v>
      </c>
      <c r="G58" s="36">
        <f>_xll.DBRW($B$1,Input_Prod_04!$G$11,Input_Prod_04!G$14,$M$1,Input_Prod_04!$I$11,$C$11,$E$33,$A$57,$A58,$K$1)</f>
        <v>0</v>
      </c>
      <c r="H58" s="36">
        <f>_xll.DBRW($B$1,Input_Prod_04!$G$11,Input_Prod_04!H$14,$M$1,Input_Prod_04!$I$11,$C$11,$E$33,$A$57,$A58,$K$1)</f>
        <v>0</v>
      </c>
      <c r="I58" s="36">
        <f>_xll.DBRW($B$1,Input_Prod_04!$G$11,Input_Prod_04!I$14,$M$1,Input_Prod_04!$I$11,$C$11,$E$33,$A$57,$A58,$K$1)</f>
        <v>0</v>
      </c>
      <c r="J58" s="36">
        <f>_xll.DBRW($B$1,Input_Prod_04!$G$11,Input_Prod_04!J$14,$M$1,Input_Prod_04!$I$11,$C$11,$E$33,$A$57,$A58,$K$1)</f>
        <v>0</v>
      </c>
      <c r="K58" s="36">
        <f>_xll.DBRW($B$1,Input_Prod_04!$G$11,Input_Prod_04!K$14,$M$1,Input_Prod_04!$I$11,$C$11,$E$33,$A$57,$A58,$K$1)</f>
        <v>0</v>
      </c>
      <c r="L58" s="36">
        <f>_xll.DBRW($B$1,Input_Prod_04!$G$11,Input_Prod_04!L$14,$M$1,Input_Prod_04!$I$11,$C$11,$E$33,$A$57,$A58,$K$1)</f>
        <v>0</v>
      </c>
      <c r="M58" s="36">
        <f>_xll.DBRW($B$1,Input_Prod_04!$G$11,Input_Prod_04!M$14,$M$1,Input_Prod_04!$I$11,$C$11,$E$33,$A$57,$A58,$K$1)</f>
        <v>0</v>
      </c>
      <c r="N58" s="36">
        <f>_xll.DBRW($B$1,Input_Prod_04!$G$11,Input_Prod_04!N$14,$M$1,Input_Prod_04!$I$11,$C$11,$E$33,$A$57,$A58,$K$1)</f>
        <v>0</v>
      </c>
      <c r="O58" s="36">
        <f>_xll.DBRW($B$1,O$13,$O$15,$M$1,Input_Prod_04!$I$11,$C$11,$E$33,$A$57,$A58,$K$1)</f>
        <v>0</v>
      </c>
      <c r="P58" s="36">
        <f>_xll.DBRW($B$1,P$13,$O$15,$M$1,Input_Prod_04!$I$11,$C$11,$E$33,$A$57,$A58,$K$1)</f>
        <v>0</v>
      </c>
      <c r="Q58" s="36">
        <f>_xll.DBRW($B$1,Q$13,$O$15,$M$1,Input_Prod_04!$I$11,$C$11,$E$33,$A$57,$A58,$K$1)</f>
        <v>0</v>
      </c>
      <c r="R58" s="36">
        <f>_xll.DBRW($B$1,R$13,$O$15,$M$1,Input_Prod_04!$I$11,$C$11,$E$33,$A$57,$A58,$K$1)</f>
        <v>0</v>
      </c>
      <c r="S58" s="36">
        <f>_xll.DBRW($B$1,S$13,$O$15,$M$1,Input_Prod_04!$I$11,$C$11,$E$33,$A$57,$A58,$K$1)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_xll.DBRW($B$1,Input_Prod_04!$G$11,Input_Prod_04!C$14,$M$1,Input_Prod_04!$I$11,$C$11,$E$33,$A$57,$A59,$K$1)</f>
        <v>0</v>
      </c>
      <c r="D59" s="36">
        <f>_xll.DBRW($B$1,Input_Prod_04!$G$11,Input_Prod_04!D$14,$M$1,Input_Prod_04!$I$11,$C$11,$E$33,$A$57,$A59,$K$1)</f>
        <v>0</v>
      </c>
      <c r="E59" s="36">
        <f>_xll.DBRW($B$1,Input_Prod_04!$G$11,Input_Prod_04!E$14,$M$1,Input_Prod_04!$I$11,$C$11,$E$33,$A$57,$A59,$K$1)</f>
        <v>0</v>
      </c>
      <c r="F59" s="36">
        <f>_xll.DBRW($B$1,Input_Prod_04!$G$11,Input_Prod_04!F$14,$M$1,Input_Prod_04!$I$11,$C$11,$E$33,$A$57,$A59,$K$1)</f>
        <v>0</v>
      </c>
      <c r="G59" s="36">
        <f>_xll.DBRW($B$1,Input_Prod_04!$G$11,Input_Prod_04!G$14,$M$1,Input_Prod_04!$I$11,$C$11,$E$33,$A$57,$A59,$K$1)</f>
        <v>0</v>
      </c>
      <c r="H59" s="36">
        <f>_xll.DBRW($B$1,Input_Prod_04!$G$11,Input_Prod_04!H$14,$M$1,Input_Prod_04!$I$11,$C$11,$E$33,$A$57,$A59,$K$1)</f>
        <v>0</v>
      </c>
      <c r="I59" s="36">
        <f>_xll.DBRW($B$1,Input_Prod_04!$G$11,Input_Prod_04!I$14,$M$1,Input_Prod_04!$I$11,$C$11,$E$33,$A$57,$A59,$K$1)</f>
        <v>0</v>
      </c>
      <c r="J59" s="36">
        <f>_xll.DBRW($B$1,Input_Prod_04!$G$11,Input_Prod_04!J$14,$M$1,Input_Prod_04!$I$11,$C$11,$E$33,$A$57,$A59,$K$1)</f>
        <v>0</v>
      </c>
      <c r="K59" s="36">
        <f>_xll.DBRW($B$1,Input_Prod_04!$G$11,Input_Prod_04!K$14,$M$1,Input_Prod_04!$I$11,$C$11,$E$33,$A$57,$A59,$K$1)</f>
        <v>0</v>
      </c>
      <c r="L59" s="36">
        <f>_xll.DBRW($B$1,Input_Prod_04!$G$11,Input_Prod_04!L$14,$M$1,Input_Prod_04!$I$11,$C$11,$E$33,$A$57,$A59,$K$1)</f>
        <v>0</v>
      </c>
      <c r="M59" s="36">
        <f>_xll.DBRW($B$1,Input_Prod_04!$G$11,Input_Prod_04!M$14,$M$1,Input_Prod_04!$I$11,$C$11,$E$33,$A$57,$A59,$K$1)</f>
        <v>0</v>
      </c>
      <c r="N59" s="36">
        <f>_xll.DBRW($B$1,Input_Prod_04!$G$11,Input_Prod_04!N$14,$M$1,Input_Prod_04!$I$11,$C$11,$E$33,$A$57,$A59,$K$1)</f>
        <v>0</v>
      </c>
      <c r="O59" s="36">
        <f>_xll.DBRW($B$1,O$13,$O$15,$M$1,Input_Prod_04!$I$11,$C$11,$E$33,$A$57,$A59,$K$1)</f>
        <v>0</v>
      </c>
      <c r="P59" s="36">
        <f>_xll.DBRW($B$1,P$13,$O$15,$M$1,Input_Prod_04!$I$11,$C$11,$E$33,$A$57,$A59,$K$1)</f>
        <v>0</v>
      </c>
      <c r="Q59" s="36">
        <f>_xll.DBRW($B$1,Q$13,$O$15,$M$1,Input_Prod_04!$I$11,$C$11,$E$33,$A$57,$A59,$K$1)</f>
        <v>0</v>
      </c>
      <c r="R59" s="36">
        <f>_xll.DBRW($B$1,R$13,$O$15,$M$1,Input_Prod_04!$I$11,$C$11,$E$33,$A$57,$A59,$K$1)</f>
        <v>0</v>
      </c>
      <c r="S59" s="36">
        <f>_xll.DBRW($B$1,S$13,$O$15,$M$1,Input_Prod_04!$I$11,$C$11,$E$33,$A$57,$A59,$K$1)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_xll.DBRW($B$1,Input_Prod_04!$G$11,Input_Prod_04!C$14,$M$1,Input_Prod_04!$I$11,$C$11,$E$33,$A$57,$A60,$K$1)</f>
        <v>0</v>
      </c>
      <c r="D60" s="36">
        <f>_xll.DBRW($B$1,Input_Prod_04!$G$11,Input_Prod_04!D$14,$M$1,Input_Prod_04!$I$11,$C$11,$E$33,$A$57,$A60,$K$1)</f>
        <v>0</v>
      </c>
      <c r="E60" s="36">
        <f>_xll.DBRW($B$1,Input_Prod_04!$G$11,Input_Prod_04!E$14,$M$1,Input_Prod_04!$I$11,$C$11,$E$33,$A$57,$A60,$K$1)</f>
        <v>0</v>
      </c>
      <c r="F60" s="36">
        <f>_xll.DBRW($B$1,Input_Prod_04!$G$11,Input_Prod_04!F$14,$M$1,Input_Prod_04!$I$11,$C$11,$E$33,$A$57,$A60,$K$1)</f>
        <v>0</v>
      </c>
      <c r="G60" s="36">
        <f>_xll.DBRW($B$1,Input_Prod_04!$G$11,Input_Prod_04!G$14,$M$1,Input_Prod_04!$I$11,$C$11,$E$33,$A$57,$A60,$K$1)</f>
        <v>0</v>
      </c>
      <c r="H60" s="36">
        <f>_xll.DBRW($B$1,Input_Prod_04!$G$11,Input_Prod_04!H$14,$M$1,Input_Prod_04!$I$11,$C$11,$E$33,$A$57,$A60,$K$1)</f>
        <v>0</v>
      </c>
      <c r="I60" s="36">
        <f>_xll.DBRW($B$1,Input_Prod_04!$G$11,Input_Prod_04!I$14,$M$1,Input_Prod_04!$I$11,$C$11,$E$33,$A$57,$A60,$K$1)</f>
        <v>0</v>
      </c>
      <c r="J60" s="36">
        <f>_xll.DBRW($B$1,Input_Prod_04!$G$11,Input_Prod_04!J$14,$M$1,Input_Prod_04!$I$11,$C$11,$E$33,$A$57,$A60,$K$1)</f>
        <v>0</v>
      </c>
      <c r="K60" s="36">
        <f>_xll.DBRW($B$1,Input_Prod_04!$G$11,Input_Prod_04!K$14,$M$1,Input_Prod_04!$I$11,$C$11,$E$33,$A$57,$A60,$K$1)</f>
        <v>0</v>
      </c>
      <c r="L60" s="36">
        <f>_xll.DBRW($B$1,Input_Prod_04!$G$11,Input_Prod_04!L$14,$M$1,Input_Prod_04!$I$11,$C$11,$E$33,$A$57,$A60,$K$1)</f>
        <v>0</v>
      </c>
      <c r="M60" s="36">
        <f>_xll.DBRW($B$1,Input_Prod_04!$G$11,Input_Prod_04!M$14,$M$1,Input_Prod_04!$I$11,$C$11,$E$33,$A$57,$A60,$K$1)</f>
        <v>0</v>
      </c>
      <c r="N60" s="36">
        <f>_xll.DBRW($B$1,Input_Prod_04!$G$11,Input_Prod_04!N$14,$M$1,Input_Prod_04!$I$11,$C$11,$E$33,$A$57,$A60,$K$1)</f>
        <v>0</v>
      </c>
      <c r="O60" s="36">
        <f>_xll.DBRW($B$1,O$13,$O$15,$M$1,Input_Prod_04!$I$11,$C$11,$E$33,$A$57,$A60,$K$1)</f>
        <v>0</v>
      </c>
      <c r="P60" s="36">
        <f>_xll.DBRW($B$1,P$13,$O$15,$M$1,Input_Prod_04!$I$11,$C$11,$E$33,$A$57,$A60,$K$1)</f>
        <v>0</v>
      </c>
      <c r="Q60" s="36">
        <f>_xll.DBRW($B$1,Q$13,$O$15,$M$1,Input_Prod_04!$I$11,$C$11,$E$33,$A$57,$A60,$K$1)</f>
        <v>0</v>
      </c>
      <c r="R60" s="36">
        <f>_xll.DBRW($B$1,R$13,$O$15,$M$1,Input_Prod_04!$I$11,$C$11,$E$33,$A$57,$A60,$K$1)</f>
        <v>0</v>
      </c>
      <c r="S60" s="36">
        <f>_xll.DBRW($B$1,S$13,$O$15,$M$1,Input_Prod_04!$I$11,$C$11,$E$33,$A$57,$A60,$K$1)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_xll.DBRW($B$1,Input_Prod_04!$G$11,Input_Prod_04!C$14,$M$1,Input_Prod_04!$I$11,$C$11,$E$33,$A$57,$A61,$K$1)</f>
        <v>0</v>
      </c>
      <c r="D61" s="36">
        <f>_xll.DBRW($B$1,Input_Prod_04!$G$11,Input_Prod_04!D$14,$M$1,Input_Prod_04!$I$11,$C$11,$E$33,$A$57,$A61,$K$1)</f>
        <v>0</v>
      </c>
      <c r="E61" s="36">
        <f>_xll.DBRW($B$1,Input_Prod_04!$G$11,Input_Prod_04!E$14,$M$1,Input_Prod_04!$I$11,$C$11,$E$33,$A$57,$A61,$K$1)</f>
        <v>0</v>
      </c>
      <c r="F61" s="36">
        <f>_xll.DBRW($B$1,Input_Prod_04!$G$11,Input_Prod_04!F$14,$M$1,Input_Prod_04!$I$11,$C$11,$E$33,$A$57,$A61,$K$1)</f>
        <v>0</v>
      </c>
      <c r="G61" s="36">
        <f>_xll.DBRW($B$1,Input_Prod_04!$G$11,Input_Prod_04!G$14,$M$1,Input_Prod_04!$I$11,$C$11,$E$33,$A$57,$A61,$K$1)</f>
        <v>0</v>
      </c>
      <c r="H61" s="36">
        <f>_xll.DBRW($B$1,Input_Prod_04!$G$11,Input_Prod_04!H$14,$M$1,Input_Prod_04!$I$11,$C$11,$E$33,$A$57,$A61,$K$1)</f>
        <v>0</v>
      </c>
      <c r="I61" s="36">
        <f>_xll.DBRW($B$1,Input_Prod_04!$G$11,Input_Prod_04!I$14,$M$1,Input_Prod_04!$I$11,$C$11,$E$33,$A$57,$A61,$K$1)</f>
        <v>0</v>
      </c>
      <c r="J61" s="36">
        <f>_xll.DBRW($B$1,Input_Prod_04!$G$11,Input_Prod_04!J$14,$M$1,Input_Prod_04!$I$11,$C$11,$E$33,$A$57,$A61,$K$1)</f>
        <v>0</v>
      </c>
      <c r="K61" s="36">
        <f>_xll.DBRW($B$1,Input_Prod_04!$G$11,Input_Prod_04!K$14,$M$1,Input_Prod_04!$I$11,$C$11,$E$33,$A$57,$A61,$K$1)</f>
        <v>0</v>
      </c>
      <c r="L61" s="36">
        <f>_xll.DBRW($B$1,Input_Prod_04!$G$11,Input_Prod_04!L$14,$M$1,Input_Prod_04!$I$11,$C$11,$E$33,$A$57,$A61,$K$1)</f>
        <v>0</v>
      </c>
      <c r="M61" s="36">
        <f>_xll.DBRW($B$1,Input_Prod_04!$G$11,Input_Prod_04!M$14,$M$1,Input_Prod_04!$I$11,$C$11,$E$33,$A$57,$A61,$K$1)</f>
        <v>0</v>
      </c>
      <c r="N61" s="36">
        <f>_xll.DBRW($B$1,Input_Prod_04!$G$11,Input_Prod_04!N$14,$M$1,Input_Prod_04!$I$11,$C$11,$E$33,$A$57,$A61,$K$1)</f>
        <v>0</v>
      </c>
      <c r="O61" s="36">
        <f>_xll.DBRW($B$1,O$13,$O$15,$M$1,Input_Prod_04!$I$11,$C$11,$E$33,$A$57,$A61,$K$1)</f>
        <v>0</v>
      </c>
      <c r="P61" s="36">
        <f>_xll.DBRW($B$1,P$13,$O$15,$M$1,Input_Prod_04!$I$11,$C$11,$E$33,$A$57,$A61,$K$1)</f>
        <v>0</v>
      </c>
      <c r="Q61" s="36">
        <f>_xll.DBRW($B$1,Q$13,$O$15,$M$1,Input_Prod_04!$I$11,$C$11,$E$33,$A$57,$A61,$K$1)</f>
        <v>0</v>
      </c>
      <c r="R61" s="36">
        <f>_xll.DBRW($B$1,R$13,$O$15,$M$1,Input_Prod_04!$I$11,$C$11,$E$33,$A$57,$A61,$K$1)</f>
        <v>0</v>
      </c>
      <c r="S61" s="36">
        <f>_xll.DBRW($B$1,S$13,$O$15,$M$1,Input_Prod_04!$I$11,$C$11,$E$33,$A$57,$A61,$K$1)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_xll.DBRW($B$1,Input_Prod_04!$G$11,Input_Prod_04!C$14,$M$1,Input_Prod_04!$I$11,$C$11,$E$33,$A$57,$A62,$K$1)</f>
        <v>0</v>
      </c>
      <c r="D62" s="36">
        <f>_xll.DBRW($B$1,Input_Prod_04!$G$11,Input_Prod_04!D$14,$M$1,Input_Prod_04!$I$11,$C$11,$E$33,$A$57,$A62,$K$1)</f>
        <v>0</v>
      </c>
      <c r="E62" s="36">
        <f>_xll.DBRW($B$1,Input_Prod_04!$G$11,Input_Prod_04!E$14,$M$1,Input_Prod_04!$I$11,$C$11,$E$33,$A$57,$A62,$K$1)</f>
        <v>0</v>
      </c>
      <c r="F62" s="36">
        <f>_xll.DBRW($B$1,Input_Prod_04!$G$11,Input_Prod_04!F$14,$M$1,Input_Prod_04!$I$11,$C$11,$E$33,$A$57,$A62,$K$1)</f>
        <v>0</v>
      </c>
      <c r="G62" s="36">
        <f>_xll.DBRW($B$1,Input_Prod_04!$G$11,Input_Prod_04!G$14,$M$1,Input_Prod_04!$I$11,$C$11,$E$33,$A$57,$A62,$K$1)</f>
        <v>0</v>
      </c>
      <c r="H62" s="36">
        <f>_xll.DBRW($B$1,Input_Prod_04!$G$11,Input_Prod_04!H$14,$M$1,Input_Prod_04!$I$11,$C$11,$E$33,$A$57,$A62,$K$1)</f>
        <v>0</v>
      </c>
      <c r="I62" s="36">
        <f>_xll.DBRW($B$1,Input_Prod_04!$G$11,Input_Prod_04!I$14,$M$1,Input_Prod_04!$I$11,$C$11,$E$33,$A$57,$A62,$K$1)</f>
        <v>0</v>
      </c>
      <c r="J62" s="36">
        <f>_xll.DBRW($B$1,Input_Prod_04!$G$11,Input_Prod_04!J$14,$M$1,Input_Prod_04!$I$11,$C$11,$E$33,$A$57,$A62,$K$1)</f>
        <v>0</v>
      </c>
      <c r="K62" s="36">
        <f>_xll.DBRW($B$1,Input_Prod_04!$G$11,Input_Prod_04!K$14,$M$1,Input_Prod_04!$I$11,$C$11,$E$33,$A$57,$A62,$K$1)</f>
        <v>0</v>
      </c>
      <c r="L62" s="36">
        <f>_xll.DBRW($B$1,Input_Prod_04!$G$11,Input_Prod_04!L$14,$M$1,Input_Prod_04!$I$11,$C$11,$E$33,$A$57,$A62,$K$1)</f>
        <v>0</v>
      </c>
      <c r="M62" s="36">
        <f>_xll.DBRW($B$1,Input_Prod_04!$G$11,Input_Prod_04!M$14,$M$1,Input_Prod_04!$I$11,$C$11,$E$33,$A$57,$A62,$K$1)</f>
        <v>0</v>
      </c>
      <c r="N62" s="36">
        <f>_xll.DBRW($B$1,Input_Prod_04!$G$11,Input_Prod_04!N$14,$M$1,Input_Prod_04!$I$11,$C$11,$E$33,$A$57,$A62,$K$1)</f>
        <v>0</v>
      </c>
      <c r="O62" s="36">
        <f>_xll.DBRW($B$1,O$13,$O$15,$M$1,Input_Prod_04!$I$11,$C$11,$E$33,$A$57,$A62,$K$1)</f>
        <v>0</v>
      </c>
      <c r="P62" s="36">
        <f>_xll.DBRW($B$1,P$13,$O$15,$M$1,Input_Prod_04!$I$11,$C$11,$E$33,$A$57,$A62,$K$1)</f>
        <v>0</v>
      </c>
      <c r="Q62" s="36">
        <f>_xll.DBRW($B$1,Q$13,$O$15,$M$1,Input_Prod_04!$I$11,$C$11,$E$33,$A$57,$A62,$K$1)</f>
        <v>0</v>
      </c>
      <c r="R62" s="36">
        <f>_xll.DBRW($B$1,R$13,$O$15,$M$1,Input_Prod_04!$I$11,$C$11,$E$33,$A$57,$A62,$K$1)</f>
        <v>0</v>
      </c>
      <c r="S62" s="36">
        <f>_xll.DBRW($B$1,S$13,$O$15,$M$1,Input_Prod_04!$I$11,$C$11,$E$33,$A$57,$A62,$K$1)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_xll.DBRW($B$1,Input_Prod_04!$G$11,Input_Prod_04!C$14,$M$1,Input_Prod_04!$I$11,$C$11,$E$33,$A$57,$A63,$K$1)</f>
        <v>0</v>
      </c>
      <c r="D63" s="36">
        <f>_xll.DBRW($B$1,Input_Prod_04!$G$11,Input_Prod_04!D$14,$M$1,Input_Prod_04!$I$11,$C$11,$E$33,$A$57,$A63,$K$1)</f>
        <v>0</v>
      </c>
      <c r="E63" s="36">
        <f>_xll.DBRW($B$1,Input_Prod_04!$G$11,Input_Prod_04!E$14,$M$1,Input_Prod_04!$I$11,$C$11,$E$33,$A$57,$A63,$K$1)</f>
        <v>0</v>
      </c>
      <c r="F63" s="36">
        <f>_xll.DBRW($B$1,Input_Prod_04!$G$11,Input_Prod_04!F$14,$M$1,Input_Prod_04!$I$11,$C$11,$E$33,$A$57,$A63,$K$1)</f>
        <v>0</v>
      </c>
      <c r="G63" s="36">
        <f>_xll.DBRW($B$1,Input_Prod_04!$G$11,Input_Prod_04!G$14,$M$1,Input_Prod_04!$I$11,$C$11,$E$33,$A$57,$A63,$K$1)</f>
        <v>0</v>
      </c>
      <c r="H63" s="36">
        <f>_xll.DBRW($B$1,Input_Prod_04!$G$11,Input_Prod_04!H$14,$M$1,Input_Prod_04!$I$11,$C$11,$E$33,$A$57,$A63,$K$1)</f>
        <v>0</v>
      </c>
      <c r="I63" s="36">
        <f>_xll.DBRW($B$1,Input_Prod_04!$G$11,Input_Prod_04!I$14,$M$1,Input_Prod_04!$I$11,$C$11,$E$33,$A$57,$A63,$K$1)</f>
        <v>0</v>
      </c>
      <c r="J63" s="36">
        <f>_xll.DBRW($B$1,Input_Prod_04!$G$11,Input_Prod_04!J$14,$M$1,Input_Prod_04!$I$11,$C$11,$E$33,$A$57,$A63,$K$1)</f>
        <v>0</v>
      </c>
      <c r="K63" s="36">
        <f>_xll.DBRW($B$1,Input_Prod_04!$G$11,Input_Prod_04!K$14,$M$1,Input_Prod_04!$I$11,$C$11,$E$33,$A$57,$A63,$K$1)</f>
        <v>0</v>
      </c>
      <c r="L63" s="36">
        <f>_xll.DBRW($B$1,Input_Prod_04!$G$11,Input_Prod_04!L$14,$M$1,Input_Prod_04!$I$11,$C$11,$E$33,$A$57,$A63,$K$1)</f>
        <v>0</v>
      </c>
      <c r="M63" s="36">
        <f>_xll.DBRW($B$1,Input_Prod_04!$G$11,Input_Prod_04!M$14,$M$1,Input_Prod_04!$I$11,$C$11,$E$33,$A$57,$A63,$K$1)</f>
        <v>0</v>
      </c>
      <c r="N63" s="36">
        <f>_xll.DBRW($B$1,Input_Prod_04!$G$11,Input_Prod_04!N$14,$M$1,Input_Prod_04!$I$11,$C$11,$E$33,$A$57,$A63,$K$1)</f>
        <v>0</v>
      </c>
      <c r="O63" s="36">
        <f>_xll.DBRW($B$1,O$13,$O$15,$M$1,Input_Prod_04!$I$11,$C$11,$E$33,$A$57,$A63,$K$1)</f>
        <v>0</v>
      </c>
      <c r="P63" s="36">
        <f>_xll.DBRW($B$1,P$13,$O$15,$M$1,Input_Prod_04!$I$11,$C$11,$E$33,$A$57,$A63,$K$1)</f>
        <v>0</v>
      </c>
      <c r="Q63" s="36">
        <f>_xll.DBRW($B$1,Q$13,$O$15,$M$1,Input_Prod_04!$I$11,$C$11,$E$33,$A$57,$A63,$K$1)</f>
        <v>0</v>
      </c>
      <c r="R63" s="36">
        <f>_xll.DBRW($B$1,R$13,$O$15,$M$1,Input_Prod_04!$I$11,$C$11,$E$33,$A$57,$A63,$K$1)</f>
        <v>0</v>
      </c>
      <c r="S63" s="36">
        <f>_xll.DBRW($B$1,S$13,$O$15,$M$1,Input_Prod_04!$I$11,$C$11,$E$33,$A$57,$A63,$K$1)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_xll.DBRW($B$1,Input_Prod_04!$G$11,Input_Prod_04!C$14,$M$1,Input_Prod_04!$I$11,$C$11,$E$33,$A$57,$A64,$K$1)</f>
        <v>0</v>
      </c>
      <c r="D64" s="36">
        <f>_xll.DBRW($B$1,Input_Prod_04!$G$11,Input_Prod_04!D$14,$M$1,Input_Prod_04!$I$11,$C$11,$E$33,$A$57,$A64,$K$1)</f>
        <v>0</v>
      </c>
      <c r="E64" s="36">
        <f>_xll.DBRW($B$1,Input_Prod_04!$G$11,Input_Prod_04!E$14,$M$1,Input_Prod_04!$I$11,$C$11,$E$33,$A$57,$A64,$K$1)</f>
        <v>0</v>
      </c>
      <c r="F64" s="36">
        <f>_xll.DBRW($B$1,Input_Prod_04!$G$11,Input_Prod_04!F$14,$M$1,Input_Prod_04!$I$11,$C$11,$E$33,$A$57,$A64,$K$1)</f>
        <v>0</v>
      </c>
      <c r="G64" s="36">
        <f>_xll.DBRW($B$1,Input_Prod_04!$G$11,Input_Prod_04!G$14,$M$1,Input_Prod_04!$I$11,$C$11,$E$33,$A$57,$A64,$K$1)</f>
        <v>0</v>
      </c>
      <c r="H64" s="36">
        <f>_xll.DBRW($B$1,Input_Prod_04!$G$11,Input_Prod_04!H$14,$M$1,Input_Prod_04!$I$11,$C$11,$E$33,$A$57,$A64,$K$1)</f>
        <v>0</v>
      </c>
      <c r="I64" s="36">
        <f>_xll.DBRW($B$1,Input_Prod_04!$G$11,Input_Prod_04!I$14,$M$1,Input_Prod_04!$I$11,$C$11,$E$33,$A$57,$A64,$K$1)</f>
        <v>0</v>
      </c>
      <c r="J64" s="36">
        <f>_xll.DBRW($B$1,Input_Prod_04!$G$11,Input_Prod_04!J$14,$M$1,Input_Prod_04!$I$11,$C$11,$E$33,$A$57,$A64,$K$1)</f>
        <v>0</v>
      </c>
      <c r="K64" s="36">
        <f>_xll.DBRW($B$1,Input_Prod_04!$G$11,Input_Prod_04!K$14,$M$1,Input_Prod_04!$I$11,$C$11,$E$33,$A$57,$A64,$K$1)</f>
        <v>0</v>
      </c>
      <c r="L64" s="36">
        <f>_xll.DBRW($B$1,Input_Prod_04!$G$11,Input_Prod_04!L$14,$M$1,Input_Prod_04!$I$11,$C$11,$E$33,$A$57,$A64,$K$1)</f>
        <v>0</v>
      </c>
      <c r="M64" s="36">
        <f>_xll.DBRW($B$1,Input_Prod_04!$G$11,Input_Prod_04!M$14,$M$1,Input_Prod_04!$I$11,$C$11,$E$33,$A$57,$A64,$K$1)</f>
        <v>0</v>
      </c>
      <c r="N64" s="36">
        <f>_xll.DBRW($B$1,Input_Prod_04!$G$11,Input_Prod_04!N$14,$M$1,Input_Prod_04!$I$11,$C$11,$E$33,$A$57,$A64,$K$1)</f>
        <v>0</v>
      </c>
      <c r="O64" s="36">
        <f>_xll.DBRW($B$1,O$13,$O$15,$M$1,Input_Prod_04!$I$11,$C$11,$E$33,$A$57,$A64,$K$1)</f>
        <v>0</v>
      </c>
      <c r="P64" s="36">
        <f>_xll.DBRW($B$1,P$13,$O$15,$M$1,Input_Prod_04!$I$11,$C$11,$E$33,$A$57,$A64,$K$1)</f>
        <v>0</v>
      </c>
      <c r="Q64" s="36">
        <f>_xll.DBRW($B$1,Q$13,$O$15,$M$1,Input_Prod_04!$I$11,$C$11,$E$33,$A$57,$A64,$K$1)</f>
        <v>0</v>
      </c>
      <c r="R64" s="36">
        <f>_xll.DBRW($B$1,R$13,$O$15,$M$1,Input_Prod_04!$I$11,$C$11,$E$33,$A$57,$A64,$K$1)</f>
        <v>0</v>
      </c>
      <c r="S64" s="36">
        <f>_xll.DBRW($B$1,S$13,$O$15,$M$1,Input_Prod_04!$I$11,$C$11,$E$33,$A$57,$A64,$K$1)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_xll.DBRW($B$1,Input_Prod_04!$G$11,Input_Prod_04!C$14,$M$1,Input_Prod_04!$I$11,$C$11,$E$33,$A$57,$A65,$K$1)</f>
        <v>0</v>
      </c>
      <c r="D65" s="36">
        <f>_xll.DBRW($B$1,Input_Prod_04!$G$11,Input_Prod_04!D$14,$M$1,Input_Prod_04!$I$11,$C$11,$E$33,$A$57,$A65,$K$1)</f>
        <v>0</v>
      </c>
      <c r="E65" s="36">
        <f>_xll.DBRW($B$1,Input_Prod_04!$G$11,Input_Prod_04!E$14,$M$1,Input_Prod_04!$I$11,$C$11,$E$33,$A$57,$A65,$K$1)</f>
        <v>0</v>
      </c>
      <c r="F65" s="36">
        <f>_xll.DBRW($B$1,Input_Prod_04!$G$11,Input_Prod_04!F$14,$M$1,Input_Prod_04!$I$11,$C$11,$E$33,$A$57,$A65,$K$1)</f>
        <v>0</v>
      </c>
      <c r="G65" s="36">
        <f>_xll.DBRW($B$1,Input_Prod_04!$G$11,Input_Prod_04!G$14,$M$1,Input_Prod_04!$I$11,$C$11,$E$33,$A$57,$A65,$K$1)</f>
        <v>0</v>
      </c>
      <c r="H65" s="36">
        <f>_xll.DBRW($B$1,Input_Prod_04!$G$11,Input_Prod_04!H$14,$M$1,Input_Prod_04!$I$11,$C$11,$E$33,$A$57,$A65,$K$1)</f>
        <v>0</v>
      </c>
      <c r="I65" s="36">
        <f>_xll.DBRW($B$1,Input_Prod_04!$G$11,Input_Prod_04!I$14,$M$1,Input_Prod_04!$I$11,$C$11,$E$33,$A$57,$A65,$K$1)</f>
        <v>0</v>
      </c>
      <c r="J65" s="36">
        <f>_xll.DBRW($B$1,Input_Prod_04!$G$11,Input_Prod_04!J$14,$M$1,Input_Prod_04!$I$11,$C$11,$E$33,$A$57,$A65,$K$1)</f>
        <v>0</v>
      </c>
      <c r="K65" s="36">
        <f>_xll.DBRW($B$1,Input_Prod_04!$G$11,Input_Prod_04!K$14,$M$1,Input_Prod_04!$I$11,$C$11,$E$33,$A$57,$A65,$K$1)</f>
        <v>0</v>
      </c>
      <c r="L65" s="36">
        <f>_xll.DBRW($B$1,Input_Prod_04!$G$11,Input_Prod_04!L$14,$M$1,Input_Prod_04!$I$11,$C$11,$E$33,$A$57,$A65,$K$1)</f>
        <v>0</v>
      </c>
      <c r="M65" s="36">
        <f>_xll.DBRW($B$1,Input_Prod_04!$G$11,Input_Prod_04!M$14,$M$1,Input_Prod_04!$I$11,$C$11,$E$33,$A$57,$A65,$K$1)</f>
        <v>0</v>
      </c>
      <c r="N65" s="36">
        <f>_xll.DBRW($B$1,Input_Prod_04!$G$11,Input_Prod_04!N$14,$M$1,Input_Prod_04!$I$11,$C$11,$E$33,$A$57,$A65,$K$1)</f>
        <v>0</v>
      </c>
      <c r="O65" s="36">
        <f>_xll.DBRW($B$1,O$13,$O$15,$M$1,Input_Prod_04!$I$11,$C$11,$E$33,$A$57,$A65,$K$1)</f>
        <v>0</v>
      </c>
      <c r="P65" s="36">
        <f>_xll.DBRW($B$1,P$13,$O$15,$M$1,Input_Prod_04!$I$11,$C$11,$E$33,$A$57,$A65,$K$1)</f>
        <v>0</v>
      </c>
      <c r="Q65" s="36">
        <f>_xll.DBRW($B$1,Q$13,$O$15,$M$1,Input_Prod_04!$I$11,$C$11,$E$33,$A$57,$A65,$K$1)</f>
        <v>0</v>
      </c>
      <c r="R65" s="36">
        <f>_xll.DBRW($B$1,R$13,$O$15,$M$1,Input_Prod_04!$I$11,$C$11,$E$33,$A$57,$A65,$K$1)</f>
        <v>0</v>
      </c>
      <c r="S65" s="36">
        <f>_xll.DBRW($B$1,S$13,$O$15,$M$1,Input_Prod_04!$I$11,$C$11,$E$33,$A$57,$A65,$K$1)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_xll.DBRW($B$1,Input_Prod_04!$G$11,Input_Prod_04!C$14,$M$1,Input_Prod_04!$I$11,$C$11,$E$33,$A$57,$A66,$K$1)</f>
        <v>0</v>
      </c>
      <c r="D66" s="36">
        <f>_xll.DBRW($B$1,Input_Prod_04!$G$11,Input_Prod_04!D$14,$M$1,Input_Prod_04!$I$11,$C$11,$E$33,$A$57,$A66,$K$1)</f>
        <v>0</v>
      </c>
      <c r="E66" s="36">
        <f>_xll.DBRW($B$1,Input_Prod_04!$G$11,Input_Prod_04!E$14,$M$1,Input_Prod_04!$I$11,$C$11,$E$33,$A$57,$A66,$K$1)</f>
        <v>0</v>
      </c>
      <c r="F66" s="36">
        <f>_xll.DBRW($B$1,Input_Prod_04!$G$11,Input_Prod_04!F$14,$M$1,Input_Prod_04!$I$11,$C$11,$E$33,$A$57,$A66,$K$1)</f>
        <v>0</v>
      </c>
      <c r="G66" s="36">
        <f>_xll.DBRW($B$1,Input_Prod_04!$G$11,Input_Prod_04!G$14,$M$1,Input_Prod_04!$I$11,$C$11,$E$33,$A$57,$A66,$K$1)</f>
        <v>0</v>
      </c>
      <c r="H66" s="36">
        <f>_xll.DBRW($B$1,Input_Prod_04!$G$11,Input_Prod_04!H$14,$M$1,Input_Prod_04!$I$11,$C$11,$E$33,$A$57,$A66,$K$1)</f>
        <v>0</v>
      </c>
      <c r="I66" s="36">
        <f>_xll.DBRW($B$1,Input_Prod_04!$G$11,Input_Prod_04!I$14,$M$1,Input_Prod_04!$I$11,$C$11,$E$33,$A$57,$A66,$K$1)</f>
        <v>0</v>
      </c>
      <c r="J66" s="36">
        <f>_xll.DBRW($B$1,Input_Prod_04!$G$11,Input_Prod_04!J$14,$M$1,Input_Prod_04!$I$11,$C$11,$E$33,$A$57,$A66,$K$1)</f>
        <v>0</v>
      </c>
      <c r="K66" s="36">
        <f>_xll.DBRW($B$1,Input_Prod_04!$G$11,Input_Prod_04!K$14,$M$1,Input_Prod_04!$I$11,$C$11,$E$33,$A$57,$A66,$K$1)</f>
        <v>0</v>
      </c>
      <c r="L66" s="36">
        <f>_xll.DBRW($B$1,Input_Prod_04!$G$11,Input_Prod_04!L$14,$M$1,Input_Prod_04!$I$11,$C$11,$E$33,$A$57,$A66,$K$1)</f>
        <v>0</v>
      </c>
      <c r="M66" s="36">
        <f>_xll.DBRW($B$1,Input_Prod_04!$G$11,Input_Prod_04!M$14,$M$1,Input_Prod_04!$I$11,$C$11,$E$33,$A$57,$A66,$K$1)</f>
        <v>0</v>
      </c>
      <c r="N66" s="36">
        <f>_xll.DBRW($B$1,Input_Prod_04!$G$11,Input_Prod_04!N$14,$M$1,Input_Prod_04!$I$11,$C$11,$E$33,$A$57,$A66,$K$1)</f>
        <v>0</v>
      </c>
      <c r="O66" s="36">
        <f>_xll.DBRW($B$1,O$13,$O$15,$M$1,Input_Prod_04!$I$11,$C$11,$E$33,$A$57,$A66,$K$1)</f>
        <v>0</v>
      </c>
      <c r="P66" s="36">
        <f>_xll.DBRW($B$1,P$13,$O$15,$M$1,Input_Prod_04!$I$11,$C$11,$E$33,$A$57,$A66,$K$1)</f>
        <v>0</v>
      </c>
      <c r="Q66" s="36">
        <f>_xll.DBRW($B$1,Q$13,$O$15,$M$1,Input_Prod_04!$I$11,$C$11,$E$33,$A$57,$A66,$K$1)</f>
        <v>0</v>
      </c>
      <c r="R66" s="36">
        <f>_xll.DBRW($B$1,R$13,$O$15,$M$1,Input_Prod_04!$I$11,$C$11,$E$33,$A$57,$A66,$K$1)</f>
        <v>0</v>
      </c>
      <c r="S66" s="36">
        <f>_xll.DBRW($B$1,S$13,$O$15,$M$1,Input_Prod_04!$I$11,$C$11,$E$33,$A$57,$A66,$K$1)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_xll.DBRW($B$1,Input_Prod_04!$G$11,Input_Prod_04!C$14,$M$1,Input_Prod_04!$I$11,$C$11,$E$33,$A$57,$A67,$K$1)</f>
        <v>0</v>
      </c>
      <c r="D67" s="36">
        <f>_xll.DBRW($B$1,Input_Prod_04!$G$11,Input_Prod_04!D$14,$M$1,Input_Prod_04!$I$11,$C$11,$E$33,$A$57,$A67,$K$1)</f>
        <v>0</v>
      </c>
      <c r="E67" s="36">
        <f>_xll.DBRW($B$1,Input_Prod_04!$G$11,Input_Prod_04!E$14,$M$1,Input_Prod_04!$I$11,$C$11,$E$33,$A$57,$A67,$K$1)</f>
        <v>0</v>
      </c>
      <c r="F67" s="36">
        <f>_xll.DBRW($B$1,Input_Prod_04!$G$11,Input_Prod_04!F$14,$M$1,Input_Prod_04!$I$11,$C$11,$E$33,$A$57,$A67,$K$1)</f>
        <v>0</v>
      </c>
      <c r="G67" s="36">
        <f>_xll.DBRW($B$1,Input_Prod_04!$G$11,Input_Prod_04!G$14,$M$1,Input_Prod_04!$I$11,$C$11,$E$33,$A$57,$A67,$K$1)</f>
        <v>0</v>
      </c>
      <c r="H67" s="36">
        <f>_xll.DBRW($B$1,Input_Prod_04!$G$11,Input_Prod_04!H$14,$M$1,Input_Prod_04!$I$11,$C$11,$E$33,$A$57,$A67,$K$1)</f>
        <v>0</v>
      </c>
      <c r="I67" s="36">
        <f>_xll.DBRW($B$1,Input_Prod_04!$G$11,Input_Prod_04!I$14,$M$1,Input_Prod_04!$I$11,$C$11,$E$33,$A$57,$A67,$K$1)</f>
        <v>0</v>
      </c>
      <c r="J67" s="36">
        <f>_xll.DBRW($B$1,Input_Prod_04!$G$11,Input_Prod_04!J$14,$M$1,Input_Prod_04!$I$11,$C$11,$E$33,$A$57,$A67,$K$1)</f>
        <v>0</v>
      </c>
      <c r="K67" s="36">
        <f>_xll.DBRW($B$1,Input_Prod_04!$G$11,Input_Prod_04!K$14,$M$1,Input_Prod_04!$I$11,$C$11,$E$33,$A$57,$A67,$K$1)</f>
        <v>0</v>
      </c>
      <c r="L67" s="36">
        <f>_xll.DBRW($B$1,Input_Prod_04!$G$11,Input_Prod_04!L$14,$M$1,Input_Prod_04!$I$11,$C$11,$E$33,$A$57,$A67,$K$1)</f>
        <v>0</v>
      </c>
      <c r="M67" s="36">
        <f>_xll.DBRW($B$1,Input_Prod_04!$G$11,Input_Prod_04!M$14,$M$1,Input_Prod_04!$I$11,$C$11,$E$33,$A$57,$A67,$K$1)</f>
        <v>0</v>
      </c>
      <c r="N67" s="36">
        <f>_xll.DBRW($B$1,Input_Prod_04!$G$11,Input_Prod_04!N$14,$M$1,Input_Prod_04!$I$11,$C$11,$E$33,$A$57,$A67,$K$1)</f>
        <v>0</v>
      </c>
      <c r="O67" s="36">
        <f>_xll.DBRW($B$1,O$13,$O$15,$M$1,Input_Prod_04!$I$11,$C$11,$E$33,$A$57,$A67,$K$1)</f>
        <v>0</v>
      </c>
      <c r="P67" s="36">
        <f>_xll.DBRW($B$1,P$13,$O$15,$M$1,Input_Prod_04!$I$11,$C$11,$E$33,$A$57,$A67,$K$1)</f>
        <v>0</v>
      </c>
      <c r="Q67" s="36">
        <f>_xll.DBRW($B$1,Q$13,$O$15,$M$1,Input_Prod_04!$I$11,$C$11,$E$33,$A$57,$A67,$K$1)</f>
        <v>0</v>
      </c>
      <c r="R67" s="36">
        <f>_xll.DBRW($B$1,R$13,$O$15,$M$1,Input_Prod_04!$I$11,$C$11,$E$33,$A$57,$A67,$K$1)</f>
        <v>0</v>
      </c>
      <c r="S67" s="36">
        <f>_xll.DBRW($B$1,S$13,$O$15,$M$1,Input_Prod_04!$I$11,$C$11,$E$33,$A$57,$A67,$K$1)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_xll.DBRW($B$1,Input_Prod_04!$G$11,Input_Prod_04!C$14,$M$1,Input_Prod_04!$I$11,$C$11,$E$33,$A$57,$A68,$K$1)</f>
        <v>0</v>
      </c>
      <c r="D68" s="36">
        <f>_xll.DBRW($B$1,Input_Prod_04!$G$11,Input_Prod_04!D$14,$M$1,Input_Prod_04!$I$11,$C$11,$E$33,$A$57,$A68,$K$1)</f>
        <v>0</v>
      </c>
      <c r="E68" s="36">
        <f>_xll.DBRW($B$1,Input_Prod_04!$G$11,Input_Prod_04!E$14,$M$1,Input_Prod_04!$I$11,$C$11,$E$33,$A$57,$A68,$K$1)</f>
        <v>0</v>
      </c>
      <c r="F68" s="36">
        <f>_xll.DBRW($B$1,Input_Prod_04!$G$11,Input_Prod_04!F$14,$M$1,Input_Prod_04!$I$11,$C$11,$E$33,$A$57,$A68,$K$1)</f>
        <v>0</v>
      </c>
      <c r="G68" s="36">
        <f>_xll.DBRW($B$1,Input_Prod_04!$G$11,Input_Prod_04!G$14,$M$1,Input_Prod_04!$I$11,$C$11,$E$33,$A$57,$A68,$K$1)</f>
        <v>0</v>
      </c>
      <c r="H68" s="36">
        <f>_xll.DBRW($B$1,Input_Prod_04!$G$11,Input_Prod_04!H$14,$M$1,Input_Prod_04!$I$11,$C$11,$E$33,$A$57,$A68,$K$1)</f>
        <v>0</v>
      </c>
      <c r="I68" s="36">
        <f>_xll.DBRW($B$1,Input_Prod_04!$G$11,Input_Prod_04!I$14,$M$1,Input_Prod_04!$I$11,$C$11,$E$33,$A$57,$A68,$K$1)</f>
        <v>0</v>
      </c>
      <c r="J68" s="36">
        <f>_xll.DBRW($B$1,Input_Prod_04!$G$11,Input_Prod_04!J$14,$M$1,Input_Prod_04!$I$11,$C$11,$E$33,$A$57,$A68,$K$1)</f>
        <v>0</v>
      </c>
      <c r="K68" s="36">
        <f>_xll.DBRW($B$1,Input_Prod_04!$G$11,Input_Prod_04!K$14,$M$1,Input_Prod_04!$I$11,$C$11,$E$33,$A$57,$A68,$K$1)</f>
        <v>0</v>
      </c>
      <c r="L68" s="36">
        <f>_xll.DBRW($B$1,Input_Prod_04!$G$11,Input_Prod_04!L$14,$M$1,Input_Prod_04!$I$11,$C$11,$E$33,$A$57,$A68,$K$1)</f>
        <v>0</v>
      </c>
      <c r="M68" s="36">
        <f>_xll.DBRW($B$1,Input_Prod_04!$G$11,Input_Prod_04!M$14,$M$1,Input_Prod_04!$I$11,$C$11,$E$33,$A$57,$A68,$K$1)</f>
        <v>0</v>
      </c>
      <c r="N68" s="36">
        <f>_xll.DBRW($B$1,Input_Prod_04!$G$11,Input_Prod_04!N$14,$M$1,Input_Prod_04!$I$11,$C$11,$E$33,$A$57,$A68,$K$1)</f>
        <v>0</v>
      </c>
      <c r="O68" s="36">
        <f>_xll.DBRW($B$1,O$13,$O$15,$M$1,Input_Prod_04!$I$11,$C$11,$E$33,$A$57,$A68,$K$1)</f>
        <v>0</v>
      </c>
      <c r="P68" s="36">
        <f>_xll.DBRW($B$1,P$13,$O$15,$M$1,Input_Prod_04!$I$11,$C$11,$E$33,$A$57,$A68,$K$1)</f>
        <v>0</v>
      </c>
      <c r="Q68" s="36">
        <f>_xll.DBRW($B$1,Q$13,$O$15,$M$1,Input_Prod_04!$I$11,$C$11,$E$33,$A$57,$A68,$K$1)</f>
        <v>0</v>
      </c>
      <c r="R68" s="36">
        <f>_xll.DBRW($B$1,R$13,$O$15,$M$1,Input_Prod_04!$I$11,$C$11,$E$33,$A$57,$A68,$K$1)</f>
        <v>0</v>
      </c>
      <c r="S68" s="36">
        <f>_xll.DBRW($B$1,S$13,$O$15,$M$1,Input_Prod_04!$I$11,$C$11,$E$33,$A$57,$A68,$K$1)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_xll.DBRW($B$1,Input_Prod_04!$G$11,Input_Prod_04!C$14,$M$1,Input_Prod_04!$I$11,$C$11,$E$33,$A$57,$A69,$K$1)</f>
        <v>0</v>
      </c>
      <c r="D69" s="36">
        <f>_xll.DBRW($B$1,Input_Prod_04!$G$11,Input_Prod_04!D$14,$M$1,Input_Prod_04!$I$11,$C$11,$E$33,$A$57,$A69,$K$1)</f>
        <v>0</v>
      </c>
      <c r="E69" s="36">
        <f>_xll.DBRW($B$1,Input_Prod_04!$G$11,Input_Prod_04!E$14,$M$1,Input_Prod_04!$I$11,$C$11,$E$33,$A$57,$A69,$K$1)</f>
        <v>0</v>
      </c>
      <c r="F69" s="36">
        <f>_xll.DBRW($B$1,Input_Prod_04!$G$11,Input_Prod_04!F$14,$M$1,Input_Prod_04!$I$11,$C$11,$E$33,$A$57,$A69,$K$1)</f>
        <v>0</v>
      </c>
      <c r="G69" s="36">
        <f>_xll.DBRW($B$1,Input_Prod_04!$G$11,Input_Prod_04!G$14,$M$1,Input_Prod_04!$I$11,$C$11,$E$33,$A$57,$A69,$K$1)</f>
        <v>0</v>
      </c>
      <c r="H69" s="36">
        <f>_xll.DBRW($B$1,Input_Prod_04!$G$11,Input_Prod_04!H$14,$M$1,Input_Prod_04!$I$11,$C$11,$E$33,$A$57,$A69,$K$1)</f>
        <v>0</v>
      </c>
      <c r="I69" s="36">
        <f>_xll.DBRW($B$1,Input_Prod_04!$G$11,Input_Prod_04!I$14,$M$1,Input_Prod_04!$I$11,$C$11,$E$33,$A$57,$A69,$K$1)</f>
        <v>0</v>
      </c>
      <c r="J69" s="36">
        <f>_xll.DBRW($B$1,Input_Prod_04!$G$11,Input_Prod_04!J$14,$M$1,Input_Prod_04!$I$11,$C$11,$E$33,$A$57,$A69,$K$1)</f>
        <v>0</v>
      </c>
      <c r="K69" s="36">
        <f>_xll.DBRW($B$1,Input_Prod_04!$G$11,Input_Prod_04!K$14,$M$1,Input_Prod_04!$I$11,$C$11,$E$33,$A$57,$A69,$K$1)</f>
        <v>0</v>
      </c>
      <c r="L69" s="36">
        <f>_xll.DBRW($B$1,Input_Prod_04!$G$11,Input_Prod_04!L$14,$M$1,Input_Prod_04!$I$11,$C$11,$E$33,$A$57,$A69,$K$1)</f>
        <v>0</v>
      </c>
      <c r="M69" s="36">
        <f>_xll.DBRW($B$1,Input_Prod_04!$G$11,Input_Prod_04!M$14,$M$1,Input_Prod_04!$I$11,$C$11,$E$33,$A$57,$A69,$K$1)</f>
        <v>0</v>
      </c>
      <c r="N69" s="36">
        <f>_xll.DBRW($B$1,Input_Prod_04!$G$11,Input_Prod_04!N$14,$M$1,Input_Prod_04!$I$11,$C$11,$E$33,$A$57,$A69,$K$1)</f>
        <v>0</v>
      </c>
      <c r="O69" s="36">
        <f>_xll.DBRW($B$1,O$13,$O$15,$M$1,Input_Prod_04!$I$11,$C$11,$E$33,$A$57,$A69,$K$1)</f>
        <v>0</v>
      </c>
      <c r="P69" s="36">
        <f>_xll.DBRW($B$1,P$13,$O$15,$M$1,Input_Prod_04!$I$11,$C$11,$E$33,$A$57,$A69,$K$1)</f>
        <v>0</v>
      </c>
      <c r="Q69" s="36">
        <f>_xll.DBRW($B$1,Q$13,$O$15,$M$1,Input_Prod_04!$I$11,$C$11,$E$33,$A$57,$A69,$K$1)</f>
        <v>0</v>
      </c>
      <c r="R69" s="36">
        <f>_xll.DBRW($B$1,R$13,$O$15,$M$1,Input_Prod_04!$I$11,$C$11,$E$33,$A$57,$A69,$K$1)</f>
        <v>0</v>
      </c>
      <c r="S69" s="36">
        <f>_xll.DBRW($B$1,S$13,$O$15,$M$1,Input_Prod_04!$I$11,$C$11,$E$33,$A$57,$A69,$K$1)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_xll.DBRW($B$1,Input_Prod_04!$G$11,Input_Prod_04!C$14,$M$1,Input_Prod_04!$I$11,$C$11,$E$33,$A$57,$A70,$K$1)</f>
        <v>0</v>
      </c>
      <c r="D70" s="36">
        <f>_xll.DBRW($B$1,Input_Prod_04!$G$11,Input_Prod_04!D$14,$M$1,Input_Prod_04!$I$11,$C$11,$E$33,$A$57,$A70,$K$1)</f>
        <v>0</v>
      </c>
      <c r="E70" s="36">
        <f>_xll.DBRW($B$1,Input_Prod_04!$G$11,Input_Prod_04!E$14,$M$1,Input_Prod_04!$I$11,$C$11,$E$33,$A$57,$A70,$K$1)</f>
        <v>0</v>
      </c>
      <c r="F70" s="36">
        <f>_xll.DBRW($B$1,Input_Prod_04!$G$11,Input_Prod_04!F$14,$M$1,Input_Prod_04!$I$11,$C$11,$E$33,$A$57,$A70,$K$1)</f>
        <v>0</v>
      </c>
      <c r="G70" s="36">
        <f>_xll.DBRW($B$1,Input_Prod_04!$G$11,Input_Prod_04!G$14,$M$1,Input_Prod_04!$I$11,$C$11,$E$33,$A$57,$A70,$K$1)</f>
        <v>0</v>
      </c>
      <c r="H70" s="36">
        <f>_xll.DBRW($B$1,Input_Prod_04!$G$11,Input_Prod_04!H$14,$M$1,Input_Prod_04!$I$11,$C$11,$E$33,$A$57,$A70,$K$1)</f>
        <v>0</v>
      </c>
      <c r="I70" s="36">
        <f>_xll.DBRW($B$1,Input_Prod_04!$G$11,Input_Prod_04!I$14,$M$1,Input_Prod_04!$I$11,$C$11,$E$33,$A$57,$A70,$K$1)</f>
        <v>0</v>
      </c>
      <c r="J70" s="36">
        <f>_xll.DBRW($B$1,Input_Prod_04!$G$11,Input_Prod_04!J$14,$M$1,Input_Prod_04!$I$11,$C$11,$E$33,$A$57,$A70,$K$1)</f>
        <v>0</v>
      </c>
      <c r="K70" s="36">
        <f>_xll.DBRW($B$1,Input_Prod_04!$G$11,Input_Prod_04!K$14,$M$1,Input_Prod_04!$I$11,$C$11,$E$33,$A$57,$A70,$K$1)</f>
        <v>0</v>
      </c>
      <c r="L70" s="36">
        <f>_xll.DBRW($B$1,Input_Prod_04!$G$11,Input_Prod_04!L$14,$M$1,Input_Prod_04!$I$11,$C$11,$E$33,$A$57,$A70,$K$1)</f>
        <v>0</v>
      </c>
      <c r="M70" s="36">
        <f>_xll.DBRW($B$1,Input_Prod_04!$G$11,Input_Prod_04!M$14,$M$1,Input_Prod_04!$I$11,$C$11,$E$33,$A$57,$A70,$K$1)</f>
        <v>0</v>
      </c>
      <c r="N70" s="36">
        <f>_xll.DBRW($B$1,Input_Prod_04!$G$11,Input_Prod_04!N$14,$M$1,Input_Prod_04!$I$11,$C$11,$E$33,$A$57,$A70,$K$1)</f>
        <v>0</v>
      </c>
      <c r="O70" s="36">
        <f>_xll.DBRW($B$1,O$13,$O$15,$M$1,Input_Prod_04!$I$11,$C$11,$E$33,$A$57,$A70,$K$1)</f>
        <v>0</v>
      </c>
      <c r="P70" s="36">
        <f>_xll.DBRW($B$1,P$13,$O$15,$M$1,Input_Prod_04!$I$11,$C$11,$E$33,$A$57,$A70,$K$1)</f>
        <v>0</v>
      </c>
      <c r="Q70" s="36">
        <f>_xll.DBRW($B$1,Q$13,$O$15,$M$1,Input_Prod_04!$I$11,$C$11,$E$33,$A$57,$A70,$K$1)</f>
        <v>0</v>
      </c>
      <c r="R70" s="36">
        <f>_xll.DBRW($B$1,R$13,$O$15,$M$1,Input_Prod_04!$I$11,$C$11,$E$33,$A$57,$A70,$K$1)</f>
        <v>0</v>
      </c>
      <c r="S70" s="36">
        <f>_xll.DBRW($B$1,S$13,$O$15,$M$1,Input_Prod_04!$I$11,$C$11,$E$33,$A$57,$A70,$K$1)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_xll.DBRW($B$1,Input_Prod_04!$G$11,Input_Prod_04!C$14,$M$1,Input_Prod_04!$I$11,$C$11,$E$33,$A$57,$A71,$K$1)</f>
        <v>0</v>
      </c>
      <c r="D71" s="36">
        <f>_xll.DBRW($B$1,Input_Prod_04!$G$11,Input_Prod_04!D$14,$M$1,Input_Prod_04!$I$11,$C$11,$E$33,$A$57,$A71,$K$1)</f>
        <v>0</v>
      </c>
      <c r="E71" s="36">
        <f>_xll.DBRW($B$1,Input_Prod_04!$G$11,Input_Prod_04!E$14,$M$1,Input_Prod_04!$I$11,$C$11,$E$33,$A$57,$A71,$K$1)</f>
        <v>0</v>
      </c>
      <c r="F71" s="36">
        <f>_xll.DBRW($B$1,Input_Prod_04!$G$11,Input_Prod_04!F$14,$M$1,Input_Prod_04!$I$11,$C$11,$E$33,$A$57,$A71,$K$1)</f>
        <v>0</v>
      </c>
      <c r="G71" s="36">
        <f>_xll.DBRW($B$1,Input_Prod_04!$G$11,Input_Prod_04!G$14,$M$1,Input_Prod_04!$I$11,$C$11,$E$33,$A$57,$A71,$K$1)</f>
        <v>0</v>
      </c>
      <c r="H71" s="36">
        <f>_xll.DBRW($B$1,Input_Prod_04!$G$11,Input_Prod_04!H$14,$M$1,Input_Prod_04!$I$11,$C$11,$E$33,$A$57,$A71,$K$1)</f>
        <v>0</v>
      </c>
      <c r="I71" s="36">
        <f>_xll.DBRW($B$1,Input_Prod_04!$G$11,Input_Prod_04!I$14,$M$1,Input_Prod_04!$I$11,$C$11,$E$33,$A$57,$A71,$K$1)</f>
        <v>0</v>
      </c>
      <c r="J71" s="36">
        <f>_xll.DBRW($B$1,Input_Prod_04!$G$11,Input_Prod_04!J$14,$M$1,Input_Prod_04!$I$11,$C$11,$E$33,$A$57,$A71,$K$1)</f>
        <v>0</v>
      </c>
      <c r="K71" s="36">
        <f>_xll.DBRW($B$1,Input_Prod_04!$G$11,Input_Prod_04!K$14,$M$1,Input_Prod_04!$I$11,$C$11,$E$33,$A$57,$A71,$K$1)</f>
        <v>0</v>
      </c>
      <c r="L71" s="36">
        <f>_xll.DBRW($B$1,Input_Prod_04!$G$11,Input_Prod_04!L$14,$M$1,Input_Prod_04!$I$11,$C$11,$E$33,$A$57,$A71,$K$1)</f>
        <v>0</v>
      </c>
      <c r="M71" s="36">
        <f>_xll.DBRW($B$1,Input_Prod_04!$G$11,Input_Prod_04!M$14,$M$1,Input_Prod_04!$I$11,$C$11,$E$33,$A$57,$A71,$K$1)</f>
        <v>0</v>
      </c>
      <c r="N71" s="36">
        <f>_xll.DBRW($B$1,Input_Prod_04!$G$11,Input_Prod_04!N$14,$M$1,Input_Prod_04!$I$11,$C$11,$E$33,$A$57,$A71,$K$1)</f>
        <v>0</v>
      </c>
      <c r="O71" s="36">
        <f>_xll.DBRW($B$1,O$13,$O$15,$M$1,Input_Prod_04!$I$11,$C$11,$E$33,$A$57,$A71,$K$1)</f>
        <v>0</v>
      </c>
      <c r="P71" s="36">
        <f>_xll.DBRW($B$1,P$13,$O$15,$M$1,Input_Prod_04!$I$11,$C$11,$E$33,$A$57,$A71,$K$1)</f>
        <v>0</v>
      </c>
      <c r="Q71" s="36">
        <f>_xll.DBRW($B$1,Q$13,$O$15,$M$1,Input_Prod_04!$I$11,$C$11,$E$33,$A$57,$A71,$K$1)</f>
        <v>0</v>
      </c>
      <c r="R71" s="36">
        <f>_xll.DBRW($B$1,R$13,$O$15,$M$1,Input_Prod_04!$I$11,$C$11,$E$33,$A$57,$A71,$K$1)</f>
        <v>0</v>
      </c>
      <c r="S71" s="36">
        <f>_xll.DBRW($B$1,S$13,$O$15,$M$1,Input_Prod_04!$I$11,$C$11,$E$33,$A$57,$A71,$K$1)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_xll.DBRW($B$1,Input_Prod_04!$G$11,Input_Prod_04!C$14,$M$1,Input_Prod_04!$I$11,$C$11,$E$33,$A$57,$A72,$K$1)</f>
        <v>0</v>
      </c>
      <c r="D72" s="36">
        <f>_xll.DBRW($B$1,Input_Prod_04!$G$11,Input_Prod_04!D$14,$M$1,Input_Prod_04!$I$11,$C$11,$E$33,$A$57,$A72,$K$1)</f>
        <v>0</v>
      </c>
      <c r="E72" s="36">
        <f>_xll.DBRW($B$1,Input_Prod_04!$G$11,Input_Prod_04!E$14,$M$1,Input_Prod_04!$I$11,$C$11,$E$33,$A$57,$A72,$K$1)</f>
        <v>0</v>
      </c>
      <c r="F72" s="36">
        <f>_xll.DBRW($B$1,Input_Prod_04!$G$11,Input_Prod_04!F$14,$M$1,Input_Prod_04!$I$11,$C$11,$E$33,$A$57,$A72,$K$1)</f>
        <v>0</v>
      </c>
      <c r="G72" s="36">
        <f>_xll.DBRW($B$1,Input_Prod_04!$G$11,Input_Prod_04!G$14,$M$1,Input_Prod_04!$I$11,$C$11,$E$33,$A$57,$A72,$K$1)</f>
        <v>0</v>
      </c>
      <c r="H72" s="36">
        <f>_xll.DBRW($B$1,Input_Prod_04!$G$11,Input_Prod_04!H$14,$M$1,Input_Prod_04!$I$11,$C$11,$E$33,$A$57,$A72,$K$1)</f>
        <v>0</v>
      </c>
      <c r="I72" s="36">
        <f>_xll.DBRW($B$1,Input_Prod_04!$G$11,Input_Prod_04!I$14,$M$1,Input_Prod_04!$I$11,$C$11,$E$33,$A$57,$A72,$K$1)</f>
        <v>0</v>
      </c>
      <c r="J72" s="36">
        <f>_xll.DBRW($B$1,Input_Prod_04!$G$11,Input_Prod_04!J$14,$M$1,Input_Prod_04!$I$11,$C$11,$E$33,$A$57,$A72,$K$1)</f>
        <v>0</v>
      </c>
      <c r="K72" s="36">
        <f>_xll.DBRW($B$1,Input_Prod_04!$G$11,Input_Prod_04!K$14,$M$1,Input_Prod_04!$I$11,$C$11,$E$33,$A$57,$A72,$K$1)</f>
        <v>0</v>
      </c>
      <c r="L72" s="36">
        <f>_xll.DBRW($B$1,Input_Prod_04!$G$11,Input_Prod_04!L$14,$M$1,Input_Prod_04!$I$11,$C$11,$E$33,$A$57,$A72,$K$1)</f>
        <v>0</v>
      </c>
      <c r="M72" s="36">
        <f>_xll.DBRW($B$1,Input_Prod_04!$G$11,Input_Prod_04!M$14,$M$1,Input_Prod_04!$I$11,$C$11,$E$33,$A$57,$A72,$K$1)</f>
        <v>0</v>
      </c>
      <c r="N72" s="36">
        <f>_xll.DBRW($B$1,Input_Prod_04!$G$11,Input_Prod_04!N$14,$M$1,Input_Prod_04!$I$11,$C$11,$E$33,$A$57,$A72,$K$1)</f>
        <v>0</v>
      </c>
      <c r="O72" s="36">
        <f>_xll.DBRW($B$1,O$13,$O$15,$M$1,Input_Prod_04!$I$11,$C$11,$E$33,$A$57,$A72,$K$1)</f>
        <v>0</v>
      </c>
      <c r="P72" s="36">
        <f>_xll.DBRW($B$1,P$13,$O$15,$M$1,Input_Prod_04!$I$11,$C$11,$E$33,$A$57,$A72,$K$1)</f>
        <v>0</v>
      </c>
      <c r="Q72" s="36">
        <f>_xll.DBRW($B$1,Q$13,$O$15,$M$1,Input_Prod_04!$I$11,$C$11,$E$33,$A$57,$A72,$K$1)</f>
        <v>0</v>
      </c>
      <c r="R72" s="36">
        <f>_xll.DBRW($B$1,R$13,$O$15,$M$1,Input_Prod_04!$I$11,$C$11,$E$33,$A$57,$A72,$K$1)</f>
        <v>0</v>
      </c>
      <c r="S72" s="36">
        <f>_xll.DBRW($B$1,S$13,$O$15,$M$1,Input_Prod_04!$I$11,$C$11,$E$33,$A$57,$A72,$K$1)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_xll.DBRW($B$1,Input_Prod_04!$G$11,Input_Prod_04!C$14,$M$1,Input_Prod_04!$I$11,$C$11,$E$33,$A$57,$A73,$K$1)</f>
        <v>0</v>
      </c>
      <c r="D73" s="36">
        <f>_xll.DBRW($B$1,Input_Prod_04!$G$11,Input_Prod_04!D$14,$M$1,Input_Prod_04!$I$11,$C$11,$E$33,$A$57,$A73,$K$1)</f>
        <v>0</v>
      </c>
      <c r="E73" s="36">
        <f>_xll.DBRW($B$1,Input_Prod_04!$G$11,Input_Prod_04!E$14,$M$1,Input_Prod_04!$I$11,$C$11,$E$33,$A$57,$A73,$K$1)</f>
        <v>0</v>
      </c>
      <c r="F73" s="36">
        <f>_xll.DBRW($B$1,Input_Prod_04!$G$11,Input_Prod_04!F$14,$M$1,Input_Prod_04!$I$11,$C$11,$E$33,$A$57,$A73,$K$1)</f>
        <v>0</v>
      </c>
      <c r="G73" s="36">
        <f>_xll.DBRW($B$1,Input_Prod_04!$G$11,Input_Prod_04!G$14,$M$1,Input_Prod_04!$I$11,$C$11,$E$33,$A$57,$A73,$K$1)</f>
        <v>0</v>
      </c>
      <c r="H73" s="36">
        <f>_xll.DBRW($B$1,Input_Prod_04!$G$11,Input_Prod_04!H$14,$M$1,Input_Prod_04!$I$11,$C$11,$E$33,$A$57,$A73,$K$1)</f>
        <v>0</v>
      </c>
      <c r="I73" s="36">
        <f>_xll.DBRW($B$1,Input_Prod_04!$G$11,Input_Prod_04!I$14,$M$1,Input_Prod_04!$I$11,$C$11,$E$33,$A$57,$A73,$K$1)</f>
        <v>0</v>
      </c>
      <c r="J73" s="36">
        <f>_xll.DBRW($B$1,Input_Prod_04!$G$11,Input_Prod_04!J$14,$M$1,Input_Prod_04!$I$11,$C$11,$E$33,$A$57,$A73,$K$1)</f>
        <v>0</v>
      </c>
      <c r="K73" s="36">
        <f>_xll.DBRW($B$1,Input_Prod_04!$G$11,Input_Prod_04!K$14,$M$1,Input_Prod_04!$I$11,$C$11,$E$33,$A$57,$A73,$K$1)</f>
        <v>0</v>
      </c>
      <c r="L73" s="36">
        <f>_xll.DBRW($B$1,Input_Prod_04!$G$11,Input_Prod_04!L$14,$M$1,Input_Prod_04!$I$11,$C$11,$E$33,$A$57,$A73,$K$1)</f>
        <v>0</v>
      </c>
      <c r="M73" s="36">
        <f>_xll.DBRW($B$1,Input_Prod_04!$G$11,Input_Prod_04!M$14,$M$1,Input_Prod_04!$I$11,$C$11,$E$33,$A$57,$A73,$K$1)</f>
        <v>0</v>
      </c>
      <c r="N73" s="36">
        <f>_xll.DBRW($B$1,Input_Prod_04!$G$11,Input_Prod_04!N$14,$M$1,Input_Prod_04!$I$11,$C$11,$E$33,$A$57,$A73,$K$1)</f>
        <v>0</v>
      </c>
      <c r="O73" s="36">
        <f>_xll.DBRW($B$1,O$13,$O$15,$M$1,Input_Prod_04!$I$11,$C$11,$E$33,$A$57,$A73,$K$1)</f>
        <v>0</v>
      </c>
      <c r="P73" s="36">
        <f>_xll.DBRW($B$1,P$13,$O$15,$M$1,Input_Prod_04!$I$11,$C$11,$E$33,$A$57,$A73,$K$1)</f>
        <v>0</v>
      </c>
      <c r="Q73" s="36">
        <f>_xll.DBRW($B$1,Q$13,$O$15,$M$1,Input_Prod_04!$I$11,$C$11,$E$33,$A$57,$A73,$K$1)</f>
        <v>0</v>
      </c>
      <c r="R73" s="36">
        <f>_xll.DBRW($B$1,R$13,$O$15,$M$1,Input_Prod_04!$I$11,$C$11,$E$33,$A$57,$A73,$K$1)</f>
        <v>0</v>
      </c>
      <c r="S73" s="36">
        <f>_xll.DBRW($B$1,S$13,$O$15,$M$1,Input_Prod_04!$I$11,$C$11,$E$33,$A$57,$A73,$K$1)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_xll.DBRW($B$3,Input_Prod_04!$G$11,Input_Prod_04!C$14,$M$1,Input_Prod_04!$I$11,$C$11,$E$33,$A74,$K$1)</f>
        <v>0</v>
      </c>
      <c r="D74" s="48">
        <f>_xll.DBRW($B$3,Input_Prod_04!$G$11,Input_Prod_04!D$14,$M$1,Input_Prod_04!$I$11,$C$11,$E$33,$A74,$K$1)</f>
        <v>0</v>
      </c>
      <c r="E74" s="48">
        <f>_xll.DBRW($B$3,Input_Prod_04!$G$11,Input_Prod_04!E$14,$M$1,Input_Prod_04!$I$11,$C$11,$E$33,$A74,$K$1)</f>
        <v>0</v>
      </c>
      <c r="F74" s="48">
        <f>_xll.DBRW($B$3,Input_Prod_04!$G$11,Input_Prod_04!F$14,$M$1,Input_Prod_04!$I$11,$C$11,$E$33,$A74,$K$1)</f>
        <v>0</v>
      </c>
      <c r="G74" s="48">
        <f>_xll.DBRW($B$3,Input_Prod_04!$G$11,Input_Prod_04!G$14,$M$1,Input_Prod_04!$I$11,$C$11,$E$33,$A74,$K$1)</f>
        <v>0</v>
      </c>
      <c r="H74" s="48">
        <f>_xll.DBRW($B$3,Input_Prod_04!$G$11,Input_Prod_04!H$14,$M$1,Input_Prod_04!$I$11,$C$11,$E$33,$A74,$K$1)</f>
        <v>0</v>
      </c>
      <c r="I74" s="48">
        <f>_xll.DBRW($B$3,Input_Prod_04!$G$11,Input_Prod_04!I$14,$M$1,Input_Prod_04!$I$11,$C$11,$E$33,$A74,$K$1)</f>
        <v>0</v>
      </c>
      <c r="J74" s="48">
        <f>_xll.DBRW($B$3,Input_Prod_04!$G$11,Input_Prod_04!J$14,$M$1,Input_Prod_04!$I$11,$C$11,$E$33,$A74,$K$1)</f>
        <v>0</v>
      </c>
      <c r="K74" s="48">
        <f>_xll.DBRW($B$3,Input_Prod_04!$G$11,Input_Prod_04!K$14,$M$1,Input_Prod_04!$I$11,$C$11,$E$33,$A74,$K$1)</f>
        <v>0</v>
      </c>
      <c r="L74" s="48">
        <f>_xll.DBRW($B$3,Input_Prod_04!$G$11,Input_Prod_04!L$14,$M$1,Input_Prod_04!$I$11,$C$11,$E$33,$A74,$K$1)</f>
        <v>0</v>
      </c>
      <c r="M74" s="48">
        <f>_xll.DBRW($B$3,Input_Prod_04!$G$11,Input_Prod_04!M$14,$M$1,Input_Prod_04!$I$11,$C$11,$E$33,$A74,$K$1)</f>
        <v>0</v>
      </c>
      <c r="N74" s="48">
        <f>_xll.DBRW($B$3,Input_Prod_04!$G$11,Input_Prod_04!N$14,$M$1,Input_Prod_04!$I$11,$C$11,$E$33,$A74,$K$1)</f>
        <v>0</v>
      </c>
      <c r="O74" s="48">
        <f>_xll.DBRW($B$3,O$13,$O$15,$M$1,Input_Prod_04!$I$11,$C$11,$E$33,$A74,$K$1)</f>
        <v>0</v>
      </c>
      <c r="P74" s="48">
        <f>_xll.DBRW($B$3,P$13,$O$15,$M$1,Input_Prod_04!$I$11,$C$11,$E$33,$A74,$K$1)</f>
        <v>0</v>
      </c>
      <c r="Q74" s="48">
        <f>_xll.DBRW($B$3,Q$13,$O$15,$M$1,Input_Prod_04!$I$11,$C$11,$E$33,$A74,$K$1)</f>
        <v>0</v>
      </c>
      <c r="R74" s="48">
        <f>_xll.DBRW($B$3,R$13,$O$15,$M$1,Input_Prod_04!$I$11,$C$11,$E$33,$A74,$K$1)</f>
        <v>0</v>
      </c>
      <c r="S74" s="48">
        <f>_xll.DBRW($B$3,S$13,$O$15,$M$1,Input_Prod_04!$I$11,$C$11,$E$33,$A74,$K$1)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8">
        <f>$G$11+1</f>
        <v>2027</v>
      </c>
      <c r="P78" s="98">
        <f>$G$11+2</f>
        <v>2028</v>
      </c>
      <c r="Q78" s="98">
        <f>$G$11+3</f>
        <v>2029</v>
      </c>
      <c r="R78" s="98">
        <f>$G$11+4</f>
        <v>2030</v>
      </c>
      <c r="S78" s="98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_xll.DBRW($B$1,Input_Prod_04!$G$11,Input_Prod_04!C$14,$M$1,Input_Prod_04!$I$11,$C$11,$E$33,Input_Prod_04!$A80,$L$1,$K$1)</f>
        <v>0</v>
      </c>
      <c r="D80" s="65">
        <f>_xll.DBRW($B$1,Input_Prod_04!$G$11,Input_Prod_04!D$14,$M$1,Input_Prod_04!$I$11,$C$11,$E$33,Input_Prod_04!$A80,$L$1,$K$1)</f>
        <v>0</v>
      </c>
      <c r="E80" s="65">
        <f>_xll.DBRW($B$1,Input_Prod_04!$G$11,Input_Prod_04!E$14,$M$1,Input_Prod_04!$I$11,$C$11,$E$33,Input_Prod_04!$A80,$L$1,$K$1)</f>
        <v>0</v>
      </c>
      <c r="F80" s="65">
        <f>_xll.DBRW($B$1,Input_Prod_04!$G$11,Input_Prod_04!F$14,$M$1,Input_Prod_04!$I$11,$C$11,$E$33,Input_Prod_04!$A80,$L$1,$K$1)</f>
        <v>0</v>
      </c>
      <c r="G80" s="65">
        <f>_xll.DBRW($B$1,Input_Prod_04!$G$11,Input_Prod_04!G$14,$M$1,Input_Prod_04!$I$11,$C$11,$E$33,Input_Prod_04!$A80,$L$1,$K$1)</f>
        <v>0</v>
      </c>
      <c r="H80" s="65">
        <f>_xll.DBRW($B$1,Input_Prod_04!$G$11,Input_Prod_04!H$14,$M$1,Input_Prod_04!$I$11,$C$11,$E$33,Input_Prod_04!$A80,$L$1,$K$1)</f>
        <v>0</v>
      </c>
      <c r="I80" s="65">
        <f>_xll.DBRW($B$1,Input_Prod_04!$G$11,Input_Prod_04!I$14,$M$1,Input_Prod_04!$I$11,$C$11,$E$33,Input_Prod_04!$A80,$L$1,$K$1)</f>
        <v>0</v>
      </c>
      <c r="J80" s="65">
        <f>_xll.DBRW($B$1,Input_Prod_04!$G$11,Input_Prod_04!J$14,$M$1,Input_Prod_04!$I$11,$C$11,$E$33,Input_Prod_04!$A80,$L$1,$K$1)</f>
        <v>0</v>
      </c>
      <c r="K80" s="65">
        <f>_xll.DBRW($B$1,Input_Prod_04!$G$11,Input_Prod_04!K$14,$M$1,Input_Prod_04!$I$11,$C$11,$E$33,Input_Prod_04!$A80,$L$1,$K$1)</f>
        <v>0</v>
      </c>
      <c r="L80" s="65">
        <f>_xll.DBRW($B$1,Input_Prod_04!$G$11,Input_Prod_04!L$14,$M$1,Input_Prod_04!$I$11,$C$11,$E$33,Input_Prod_04!$A80,$L$1,$K$1)</f>
        <v>0</v>
      </c>
      <c r="M80" s="65">
        <f>_xll.DBRW($B$1,Input_Prod_04!$G$11,Input_Prod_04!M$14,$M$1,Input_Prod_04!$I$11,$C$11,$E$33,Input_Prod_04!$A80,$L$1,$K$1)</f>
        <v>0</v>
      </c>
      <c r="N80" s="65">
        <f>_xll.DBRW($B$1,Input_Prod_04!$G$11,Input_Prod_04!N$14,$M$1,Input_Prod_04!$I$11,$C$11,$E$33,Input_Prod_04!$A80,$L$1,$K$1)</f>
        <v>0</v>
      </c>
      <c r="O80" s="65">
        <f>_xll.DBRW($B$1,O$13,$O$15,$M$1,Input_Prod_04!$I$11,$C$11,$E$33,Input_Prod_04!$A80,$L$1,$K$1)</f>
        <v>0</v>
      </c>
      <c r="P80" s="65">
        <f>_xll.DBRW($B$1,P$13,$O$15,$M$1,Input_Prod_04!$I$11,$C$11,$E$33,Input_Prod_04!$A80,$L$1,$K$1)</f>
        <v>0</v>
      </c>
      <c r="Q80" s="65">
        <f>_xll.DBRW($B$1,Q$13,$O$15,$M$1,Input_Prod_04!$I$11,$C$11,$E$33,Input_Prod_04!$A80,$L$1,$K$1)</f>
        <v>0</v>
      </c>
      <c r="R80" s="65">
        <f>_xll.DBRW($B$1,R$13,$O$15,$M$1,Input_Prod_04!$I$11,$C$11,$E$33,Input_Prod_04!$A80,$L$1,$K$1)</f>
        <v>0</v>
      </c>
      <c r="S80" s="65">
        <f>_xll.DBRW($B$1,S$13,$O$15,$M$1,Input_Prod_04!$I$11,$C$11,$E$33,Input_Prod_04!$A80,$L$1,$K$1)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_xll.DBRW($B$3,Input_Prod_04!$G$11,Input_Prod_04!C$14,$M$1,Input_Prod_04!$I$11,$C$11,$E$33,Input_Prod_04!$B81,$K$1)</f>
        <v>0</v>
      </c>
      <c r="D81" s="48">
        <f>_xll.DBRW($B$3,Input_Prod_04!$G$11,Input_Prod_04!D$14,$M$1,Input_Prod_04!$I$11,$C$11,$E$33,Input_Prod_04!$B81,$K$1)</f>
        <v>0</v>
      </c>
      <c r="E81" s="48">
        <f>_xll.DBRW($B$3,Input_Prod_04!$G$11,Input_Prod_04!E$14,$M$1,Input_Prod_04!$I$11,$C$11,$E$33,Input_Prod_04!$B81,$K$1)</f>
        <v>0</v>
      </c>
      <c r="F81" s="48">
        <f>_xll.DBRW($B$3,Input_Prod_04!$G$11,Input_Prod_04!F$14,$M$1,Input_Prod_04!$I$11,$C$11,$E$33,Input_Prod_04!$B81,$K$1)</f>
        <v>0</v>
      </c>
      <c r="G81" s="48">
        <f>_xll.DBRW($B$3,Input_Prod_04!$G$11,Input_Prod_04!G$14,$M$1,Input_Prod_04!$I$11,$C$11,$E$33,Input_Prod_04!$B81,$K$1)</f>
        <v>0</v>
      </c>
      <c r="H81" s="48">
        <f>_xll.DBRW($B$3,Input_Prod_04!$G$11,Input_Prod_04!H$14,$M$1,Input_Prod_04!$I$11,$C$11,$E$33,Input_Prod_04!$B81,$K$1)</f>
        <v>0</v>
      </c>
      <c r="I81" s="48">
        <f>_xll.DBRW($B$3,Input_Prod_04!$G$11,Input_Prod_04!I$14,$M$1,Input_Prod_04!$I$11,$C$11,$E$33,Input_Prod_04!$B81,$K$1)</f>
        <v>0</v>
      </c>
      <c r="J81" s="48">
        <f>_xll.DBRW($B$3,Input_Prod_04!$G$11,Input_Prod_04!J$14,$M$1,Input_Prod_04!$I$11,$C$11,$E$33,Input_Prod_04!$B81,$K$1)</f>
        <v>0</v>
      </c>
      <c r="K81" s="48">
        <f>_xll.DBRW($B$3,Input_Prod_04!$G$11,Input_Prod_04!K$14,$M$1,Input_Prod_04!$I$11,$C$11,$E$33,Input_Prod_04!$B81,$K$1)</f>
        <v>0</v>
      </c>
      <c r="L81" s="48">
        <f>_xll.DBRW($B$3,Input_Prod_04!$G$11,Input_Prod_04!L$14,$M$1,Input_Prod_04!$I$11,$C$11,$E$33,Input_Prod_04!$B81,$K$1)</f>
        <v>0</v>
      </c>
      <c r="M81" s="48">
        <f>_xll.DBRW($B$3,Input_Prod_04!$G$11,Input_Prod_04!M$14,$M$1,Input_Prod_04!$I$11,$C$11,$E$33,Input_Prod_04!$B81,$K$1)</f>
        <v>0</v>
      </c>
      <c r="N81" s="48">
        <f>_xll.DBRW($B$3,Input_Prod_04!$G$11,Input_Prod_04!N$14,$M$1,Input_Prod_04!$I$11,$C$11,$E$33,Input_Prod_04!$B81,$K$1)</f>
        <v>0</v>
      </c>
      <c r="O81" s="48">
        <f>_xll.DBRW($B$3,O$13,$O$15,$M$1,Input_Prod_04!$I$11,$C$11,$E$33,Input_Prod_04!$B81,$K$1)</f>
        <v>0</v>
      </c>
      <c r="P81" s="48">
        <f>_xll.DBRW($B$3,P$13,$O$15,$M$1,Input_Prod_04!$I$11,$C$11,$E$33,Input_Prod_04!$B81,$K$1)</f>
        <v>0</v>
      </c>
      <c r="Q81" s="48">
        <f>_xll.DBRW($B$3,Q$13,$O$15,$M$1,Input_Prod_04!$I$11,$C$11,$E$33,Input_Prod_04!$B81,$K$1)</f>
        <v>0</v>
      </c>
      <c r="R81" s="48">
        <f>_xll.DBRW($B$3,R$13,$O$15,$M$1,Input_Prod_04!$I$11,$C$11,$E$33,Input_Prod_04!$B81,$K$1)</f>
        <v>0</v>
      </c>
      <c r="S81" s="48">
        <f>_xll.DBRW($B$3,S$13,$O$15,$M$1,Input_Prod_04!$I$11,$C$11,$E$33,Input_Prod_04!$B81,$K$1)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_xll.DBRW($B$3,Input_Prod_04!$G$11,Input_Prod_04!C$14,$M$1,Input_Prod_04!$I$11,Input_Prod_04!$C$11,$E$33,$A82,$K$1)</f>
        <v>0</v>
      </c>
      <c r="D82" s="40">
        <f>_xll.DBRW($B$3,Input_Prod_04!$G$11,Input_Prod_04!D$14,$M$1,Input_Prod_04!$I$11,Input_Prod_04!$C$11,$E$33,$A82,$K$1)</f>
        <v>0</v>
      </c>
      <c r="E82" s="40">
        <f>_xll.DBRW($B$3,Input_Prod_04!$G$11,Input_Prod_04!E$14,$M$1,Input_Prod_04!$I$11,Input_Prod_04!$C$11,$E$33,$A82,$K$1)</f>
        <v>0</v>
      </c>
      <c r="F82" s="40">
        <f>_xll.DBRW($B$3,Input_Prod_04!$G$11,Input_Prod_04!F$14,$M$1,Input_Prod_04!$I$11,Input_Prod_04!$C$11,$E$33,$A82,$K$1)</f>
        <v>0</v>
      </c>
      <c r="G82" s="40">
        <f>_xll.DBRW($B$3,Input_Prod_04!$G$11,Input_Prod_04!G$14,$M$1,Input_Prod_04!$I$11,Input_Prod_04!$C$11,$E$33,$A82,$K$1)</f>
        <v>0</v>
      </c>
      <c r="H82" s="40">
        <f>_xll.DBRW($B$3,Input_Prod_04!$G$11,Input_Prod_04!H$14,$M$1,Input_Prod_04!$I$11,Input_Prod_04!$C$11,$E$33,$A82,$K$1)</f>
        <v>0</v>
      </c>
      <c r="I82" s="40">
        <f>_xll.DBRW($B$3,Input_Prod_04!$G$11,Input_Prod_04!I$14,$M$1,Input_Prod_04!$I$11,Input_Prod_04!$C$11,$E$33,$A82,$K$1)</f>
        <v>0</v>
      </c>
      <c r="J82" s="40">
        <f>_xll.DBRW($B$3,Input_Prod_04!$G$11,Input_Prod_04!J$14,$M$1,Input_Prod_04!$I$11,Input_Prod_04!$C$11,$E$33,$A82,$K$1)</f>
        <v>0</v>
      </c>
      <c r="K82" s="40">
        <f>_xll.DBRW($B$3,Input_Prod_04!$G$11,Input_Prod_04!K$14,$M$1,Input_Prod_04!$I$11,Input_Prod_04!$C$11,$E$33,$A82,$K$1)</f>
        <v>0</v>
      </c>
      <c r="L82" s="40">
        <f>_xll.DBRW($B$3,Input_Prod_04!$G$11,Input_Prod_04!L$14,$M$1,Input_Prod_04!$I$11,Input_Prod_04!$C$11,$E$33,$A82,$K$1)</f>
        <v>0</v>
      </c>
      <c r="M82" s="40">
        <f>_xll.DBRW($B$3,Input_Prod_04!$G$11,Input_Prod_04!M$14,$M$1,Input_Prod_04!$I$11,Input_Prod_04!$C$11,$E$33,$A82,$K$1)</f>
        <v>0</v>
      </c>
      <c r="N82" s="40">
        <f>_xll.DBRW($B$3,Input_Prod_04!$G$11,Input_Prod_04!N$14,$M$1,Input_Prod_04!$I$11,Input_Prod_04!$C$11,$E$33,$A82,$K$1)</f>
        <v>0</v>
      </c>
      <c r="O82" s="48">
        <f>_xll.DBRW($B$3,O$13,$O$15,$M$1,Input_Prod_04!$I$11,$C$11,$E$33,$A82,$K$1)</f>
        <v>0</v>
      </c>
      <c r="P82" s="48">
        <f>_xll.DBRW($B$3,P$13,$O$15,$M$1,Input_Prod_04!$I$11,$C$11,$E$33,$A82,$K$1)</f>
        <v>0</v>
      </c>
      <c r="Q82" s="48">
        <f>_xll.DBRW($B$3,Q$13,$O$15,$M$1,Input_Prod_04!$I$11,$C$11,$E$33,$A82,$K$1)</f>
        <v>0</v>
      </c>
      <c r="R82" s="48">
        <f>_xll.DBRW($B$3,R$13,$O$15,$M$1,Input_Prod_04!$I$11,$C$11,$E$33,$A82,$K$1)</f>
        <v>0</v>
      </c>
      <c r="S82" s="48">
        <f>_xll.DBRW($B$3,S$13,$O$15,$M$1,Input_Prod_04!$I$11,$C$11,$E$33,$A82,$K$1)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11" priority="3">
      <formula>C$5="ACTUAL"</formula>
    </cfRule>
  </conditionalFormatting>
  <conditionalFormatting sqref="C53:S56">
    <cfRule type="expression" dxfId="10" priority="2">
      <formula>C$5="ACTUAL"</formula>
    </cfRule>
  </conditionalFormatting>
  <conditionalFormatting sqref="C58:S73">
    <cfRule type="expression" dxfId="9" priority="1">
      <formula>C$5="ACTUAL"</formula>
    </cfRule>
  </conditionalFormatting>
  <conditionalFormatting sqref="C80:S80">
    <cfRule type="expression" dxfId="8" priority="6">
      <formula>C$5="ACTUAL"</formula>
    </cfRule>
  </conditionalFormatting>
  <conditionalFormatting sqref="L11">
    <cfRule type="cellIs" dxfId="7" priority="4" operator="equal">
      <formula>"Open"</formula>
    </cfRule>
    <cfRule type="cellIs" dxfId="6" priority="5" operator="equal">
      <formula>"Closed"</formula>
    </cfRule>
  </conditionalFormatting>
  <dataValidations count="1">
    <dataValidation type="list" errorStyle="information" allowBlank="1" showInputMessage="1" sqref="D5:N5" xr:uid="{5487477F-08AD-49BB-96DE-A30BBA40CCAD}">
      <formula1>cafe_validation_temp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66AA-E87C-4DF3-87CF-8B80ADDF60A5}">
  <dimension ref="A1:X84"/>
  <sheetViews>
    <sheetView showGridLines="0" topLeftCell="A6" zoomScaleNormal="100" workbookViewId="0">
      <selection activeCell="I7" sqref="I7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CONS_VC_PRD:STG.100.DataBase_Uploads:12384823671936389100</v>
      </c>
      <c r="C1" s="29" t="str">
        <f>_xll.VIEW("CONS_VC_PRD:ALL.015.Region_Assumptions")</f>
        <v>CONS_VC_PRD:ALL.015.Region_Assumptions:1238482367-437198057</v>
      </c>
      <c r="D1" s="29" t="str">
        <f>_xll.VIEW("CONS_VC_PRD:DFS.120.Financial_Results")</f>
        <v>CONS_VC_PRD:DFS.120.Financial_Results:12384823671682459318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CONS_VC_PRD:REV.100.Revenue_Consolidated:12384823671309568944</v>
      </c>
      <c r="C2" s="29" t="str">
        <f>_xll.VIEW("CONS_VC_PRD:ALL.010.Economic_Assumptions")</f>
        <v>CONS_VC_PRD:ALL.010.Economic_Assumptions:1238482367-2134551129</v>
      </c>
      <c r="D2" s="29" t="str">
        <f>_xll.VIEW("CONS_VC_PRD:DFS.140.Indirect_Cash_Flow")</f>
        <v>CONS_VC_PRD:DFS.140.Indirect_Cash_Flow:1238482367-1259693962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CONS_VC_PRD:DFS.100.Profit_and_Loss:1238482367160115961</v>
      </c>
      <c r="C3" s="29" t="str">
        <f>_xll.VIEW("CONS_VC_PRD:DFS.160.Working_Capital")</f>
        <v>CONS_VC_PRD:DFS.160.Working_Capital:1238482367-370110290</v>
      </c>
      <c r="D3" s="29" t="str">
        <f>_xll.VIEW("CONS_VC_PRD:ALL.004.Uploads_Status_Planning")</f>
        <v>CONS_VC_PRD:ALL.004.Uploads_Status_Planning:1238482367-1466234609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CONS_VC_PRD:ALL.001.Actual_Control:12384823671668604953</v>
      </c>
      <c r="C4" s="29" t="str">
        <f>_xll.VIEW("CONS_VC_PRD:DFS.180.Gross_Debt")</f>
        <v>CONS_VC_PRD:DFS.180.Gross_Debt:1238482367-75867558</v>
      </c>
      <c r="D4" s="29" t="str">
        <f>_xll.VIEW("CONS_VC_PRD:}ElementAttributes_ALL.D.Accounts")</f>
        <v>CONS_VC_PRD:}ElementAttributes_ALL.D.Accounts:1238482367149563567</v>
      </c>
    </row>
    <row r="5" spans="1:19" s="29" customFormat="1" ht="30" hidden="1" customHeight="1">
      <c r="A5" s="66"/>
      <c r="C5" t="str">
        <f>_xll.DBRW(Input_Prod_05!$B$4,Input_Prod_05!$G$11,Input_Prod_05!C14,$M$1,$G$3)</f>
        <v>ACTUAL</v>
      </c>
      <c r="D5" t="str">
        <f>_xll.DBRW(Input_Prod_05!$B$4,Input_Prod_05!$G$11,Input_Prod_05!D14,$M$1,$G$3)</f>
        <v/>
      </c>
      <c r="E5" t="str">
        <f>_xll.DBRW(Input_Prod_05!$B$4,Input_Prod_05!$G$11,Input_Prod_05!E14,$M$1,$G$3)</f>
        <v/>
      </c>
      <c r="F5" t="str">
        <f>_xll.DBRW(Input_Prod_05!$B$4,Input_Prod_05!$G$11,Input_Prod_05!F14,$M$1,$G$3)</f>
        <v/>
      </c>
      <c r="G5" t="str">
        <f>_xll.DBRW(Input_Prod_05!$B$4,Input_Prod_05!$G$11,Input_Prod_05!G14,$M$1,$G$3)</f>
        <v/>
      </c>
      <c r="H5" t="str">
        <f>_xll.DBRW(Input_Prod_05!$B$4,Input_Prod_05!$G$11,Input_Prod_05!H14,$M$1,$G$3)</f>
        <v/>
      </c>
      <c r="I5" t="str">
        <f>_xll.DBRW(Input_Prod_05!$B$4,Input_Prod_05!$G$11,Input_Prod_05!I14,$M$1,$G$3)</f>
        <v/>
      </c>
      <c r="J5" t="str">
        <f>_xll.DBRW(Input_Prod_05!$B$4,Input_Prod_05!$G$11,Input_Prod_05!J14,$M$1,$G$3)</f>
        <v/>
      </c>
      <c r="K5" t="str">
        <f>_xll.DBRW(Input_Prod_05!$B$4,Input_Prod_05!$G$11,Input_Prod_05!K14,$M$1,$G$3)</f>
        <v/>
      </c>
      <c r="L5" t="str">
        <f>_xll.DBRW(Input_Prod_05!$B$4,Input_Prod_05!$G$11,Input_Prod_05!L14,$M$1,$G$3)</f>
        <v/>
      </c>
      <c r="M5" t="str">
        <f>_xll.DBRW(Input_Prod_05!$B$4,Input_Prod_05!$G$11,Input_Prod_05!M14,$M$1,$G$3)</f>
        <v/>
      </c>
      <c r="N5" t="str">
        <f>_xll.DBRW(Input_Prod_05!$B$4,Input_Prod_05!$G$11,Input_Prod_05!N14,$M$1,$G$3)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9" s="29" customFormat="1" ht="15.6" customHeight="1">
      <c r="A10" s="66"/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s="29" customFormat="1" ht="21.6" customHeight="1">
      <c r="A11" s="66"/>
      <c r="B11" s="91"/>
      <c r="C11" s="104" t="str">
        <f>Cons_Region!$C$12</f>
        <v>VCBR</v>
      </c>
      <c r="D11" s="104"/>
      <c r="E11" s="99"/>
      <c r="F11" s="100"/>
      <c r="G11" s="101" t="str">
        <f>Cons_Region!$F$12</f>
        <v>2026</v>
      </c>
      <c r="H11" s="100"/>
      <c r="I11" s="101" t="str">
        <f>Cons_Region!$H$12</f>
        <v>BRL</v>
      </c>
      <c r="J11" s="102"/>
      <c r="K11" s="103" t="s">
        <v>523</v>
      </c>
      <c r="L11" s="101" t="str">
        <f>_xll.DBRW($D$3,$M$1,$C$11,"Financial_Planning","Status")</f>
        <v>Open</v>
      </c>
      <c r="M11" s="92"/>
      <c r="N11" s="90"/>
      <c r="O11" s="90"/>
      <c r="P11" s="90"/>
      <c r="Q11" s="90"/>
      <c r="R11" s="90"/>
      <c r="S11" s="90"/>
    </row>
    <row r="12" spans="1:19" s="29" customFormat="1" ht="14.4" customHeight="1">
      <c r="A12" s="66"/>
      <c r="B12" s="93"/>
      <c r="C12" s="94"/>
      <c r="D12" s="93"/>
      <c r="E12" s="93"/>
      <c r="F12" s="94"/>
      <c r="G12" s="93"/>
      <c r="H12" s="93"/>
      <c r="I12" s="94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spans="1:19" s="29" customFormat="1" ht="14.4" customHeight="1">
      <c r="A13" s="66"/>
      <c r="B13" s="86"/>
      <c r="C13" s="87"/>
      <c r="D13" s="88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97">
        <f>$G$11+1</f>
        <v>2027</v>
      </c>
      <c r="P13" s="98">
        <f>$G$11+2</f>
        <v>2028</v>
      </c>
      <c r="Q13" s="98">
        <f>$G$11+3</f>
        <v>2029</v>
      </c>
      <c r="R13" s="98">
        <f>$G$11+4</f>
        <v>2030</v>
      </c>
      <c r="S13" s="98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_xll.DBRW($C$2,Input_Prod_05!$G$11,Input_Prod_05!$C$14,$M$1,$B16,$K$1)</f>
        <v>0</v>
      </c>
      <c r="D16" s="40">
        <f>_xll.DBRW($C$2,Input_Prod_05!$G$11,Input_Prod_05!$C$14,$M$1,$B16,$K$1)</f>
        <v>0</v>
      </c>
      <c r="E16" s="40">
        <f>_xll.DBRW($C$2,Input_Prod_05!$G$11,Input_Prod_05!$C$14,$M$1,$B16,$K$1)</f>
        <v>0</v>
      </c>
      <c r="F16" s="40">
        <f>_xll.DBRW($C$2,Input_Prod_05!$G$11,Input_Prod_05!$C$14,$M$1,$B16,$K$1)</f>
        <v>0</v>
      </c>
      <c r="G16" s="40">
        <f>_xll.DBRW($C$2,Input_Prod_05!$G$11,Input_Prod_05!$C$14,$M$1,$B16,$K$1)</f>
        <v>0</v>
      </c>
      <c r="H16" s="40">
        <f>_xll.DBRW($C$2,Input_Prod_05!$G$11,Input_Prod_05!$C$14,$M$1,$B16,$K$1)</f>
        <v>0</v>
      </c>
      <c r="I16" s="40">
        <f>_xll.DBRW($C$2,Input_Prod_05!$G$11,Input_Prod_05!$C$14,$M$1,$B16,$K$1)</f>
        <v>0</v>
      </c>
      <c r="J16" s="40">
        <f>_xll.DBRW($C$2,Input_Prod_05!$G$11,Input_Prod_05!$C$14,$M$1,$B16,$K$1)</f>
        <v>0</v>
      </c>
      <c r="K16" s="40">
        <f>_xll.DBRW($C$2,Input_Prod_05!$G$11,Input_Prod_05!$C$14,$M$1,$B16,$K$1)</f>
        <v>0</v>
      </c>
      <c r="L16" s="40">
        <f>_xll.DBRW($C$2,Input_Prod_05!$G$11,Input_Prod_05!$C$14,$M$1,$B16,$K$1)</f>
        <v>0</v>
      </c>
      <c r="M16" s="40">
        <f>_xll.DBRW($C$2,Input_Prod_05!$G$11,Input_Prod_05!$C$14,$M$1,$B16,$K$1)</f>
        <v>0</v>
      </c>
      <c r="N16" s="40">
        <f>_xll.DBRW($C$2,Input_Prod_05!$G$11,Input_Prod_05!$C$14,$M$1,$B16,$K$1)</f>
        <v>0</v>
      </c>
      <c r="O16" s="40">
        <f>_xll.DBRW($C$2,O$13,$O$15,$M$1,$B16,$K$1)</f>
        <v>0</v>
      </c>
      <c r="P16" s="40">
        <f>_xll.DBRW($C$2,P$13,$O$15,$M$1,$B16,$K$1)</f>
        <v>0</v>
      </c>
      <c r="Q16" s="40">
        <f>_xll.DBRW($C$2,Q$13,$O$15,$M$1,$B16,$K$1)</f>
        <v>0</v>
      </c>
      <c r="R16" s="40">
        <f>_xll.DBRW($C$2,R$13,$O$15,$M$1,$B16,$K$1)</f>
        <v>0</v>
      </c>
      <c r="S16" s="40">
        <f>_xll.DBRW($C$2,S$13,$O$15,$M$1,$B16,$K$1)</f>
        <v>0</v>
      </c>
    </row>
    <row r="17" spans="1:19" s="29" customFormat="1" ht="15.75" customHeight="1">
      <c r="A17" s="66"/>
      <c r="B17" s="45" t="s">
        <v>1</v>
      </c>
      <c r="C17" s="40">
        <f>_xll.DBRW($C$2,Input_Prod_05!$G$11,Input_Prod_05!$C$14,$M$1,$B17,$K$1)</f>
        <v>0</v>
      </c>
      <c r="D17" s="40">
        <f>_xll.DBRW($C$2,Input_Prod_05!$G$11,Input_Prod_05!$C$14,$M$1,$B17,$K$1)</f>
        <v>0</v>
      </c>
      <c r="E17" s="40">
        <f>_xll.DBRW($C$2,Input_Prod_05!$G$11,Input_Prod_05!$C$14,$M$1,$B17,$K$1)</f>
        <v>0</v>
      </c>
      <c r="F17" s="40">
        <f>_xll.DBRW($C$2,Input_Prod_05!$G$11,Input_Prod_05!$C$14,$M$1,$B17,$K$1)</f>
        <v>0</v>
      </c>
      <c r="G17" s="40">
        <f>_xll.DBRW($C$2,Input_Prod_05!$G$11,Input_Prod_05!$C$14,$M$1,$B17,$K$1)</f>
        <v>0</v>
      </c>
      <c r="H17" s="40">
        <f>_xll.DBRW($C$2,Input_Prod_05!$G$11,Input_Prod_05!$C$14,$M$1,$B17,$K$1)</f>
        <v>0</v>
      </c>
      <c r="I17" s="40">
        <f>_xll.DBRW($C$2,Input_Prod_05!$G$11,Input_Prod_05!$C$14,$M$1,$B17,$K$1)</f>
        <v>0</v>
      </c>
      <c r="J17" s="40">
        <f>_xll.DBRW($C$2,Input_Prod_05!$G$11,Input_Prod_05!$C$14,$M$1,$B17,$K$1)</f>
        <v>0</v>
      </c>
      <c r="K17" s="40">
        <f>_xll.DBRW($C$2,Input_Prod_05!$G$11,Input_Prod_05!$C$14,$M$1,$B17,$K$1)</f>
        <v>0</v>
      </c>
      <c r="L17" s="40">
        <f>_xll.DBRW($C$2,Input_Prod_05!$G$11,Input_Prod_05!$C$14,$M$1,$B17,$K$1)</f>
        <v>0</v>
      </c>
      <c r="M17" s="40">
        <f>_xll.DBRW($C$2,Input_Prod_05!$G$11,Input_Prod_05!$C$14,$M$1,$B17,$K$1)</f>
        <v>0</v>
      </c>
      <c r="N17" s="40">
        <f>_xll.DBRW($C$2,Input_Prod_05!$G$11,Input_Prod_05!$C$14,$M$1,$B17,$K$1)</f>
        <v>0</v>
      </c>
      <c r="O17" s="40">
        <f>_xll.DBRW($C$2,O$13,$O$15,$M$1,$B17,$K$1)</f>
        <v>0</v>
      </c>
      <c r="P17" s="40">
        <f>_xll.DBRW($C$2,P$13,$O$15,$M$1,$B17,$K$1)</f>
        <v>0</v>
      </c>
      <c r="Q17" s="40">
        <f>_xll.DBRW($C$2,Q$13,$O$15,$M$1,$B17,$K$1)</f>
        <v>0</v>
      </c>
      <c r="R17" s="40">
        <f>_xll.DBRW($C$2,R$13,$O$15,$M$1,$B17,$K$1)</f>
        <v>0</v>
      </c>
      <c r="S17" s="40">
        <f>_xll.DBRW($C$2,S$13,$O$15,$M$1,$B17,$K$1)</f>
        <v>0</v>
      </c>
    </row>
    <row r="18" spans="1:19" s="29" customFormat="1" ht="15.75" customHeight="1">
      <c r="A18" s="66"/>
      <c r="B18" s="45" t="s">
        <v>2</v>
      </c>
      <c r="C18" s="40">
        <f>_xll.DBRW($C$2,Input_Prod_05!$G$11,Input_Prod_05!$C$14,$M$1,$B18,$K$1)</f>
        <v>0</v>
      </c>
      <c r="D18" s="40">
        <f>_xll.DBRW($C$2,Input_Prod_05!$G$11,Input_Prod_05!$C$14,$M$1,$B18,$K$1)</f>
        <v>0</v>
      </c>
      <c r="E18" s="40">
        <f>_xll.DBRW($C$2,Input_Prod_05!$G$11,Input_Prod_05!$C$14,$M$1,$B18,$K$1)</f>
        <v>0</v>
      </c>
      <c r="F18" s="40">
        <f>_xll.DBRW($C$2,Input_Prod_05!$G$11,Input_Prod_05!$C$14,$M$1,$B18,$K$1)</f>
        <v>0</v>
      </c>
      <c r="G18" s="40">
        <f>_xll.DBRW($C$2,Input_Prod_05!$G$11,Input_Prod_05!$C$14,$M$1,$B18,$K$1)</f>
        <v>0</v>
      </c>
      <c r="H18" s="40">
        <f>_xll.DBRW($C$2,Input_Prod_05!$G$11,Input_Prod_05!$C$14,$M$1,$B18,$K$1)</f>
        <v>0</v>
      </c>
      <c r="I18" s="40">
        <f>_xll.DBRW($C$2,Input_Prod_05!$G$11,Input_Prod_05!$C$14,$M$1,$B18,$K$1)</f>
        <v>0</v>
      </c>
      <c r="J18" s="40">
        <f>_xll.DBRW($C$2,Input_Prod_05!$G$11,Input_Prod_05!$C$14,$M$1,$B18,$K$1)</f>
        <v>0</v>
      </c>
      <c r="K18" s="40">
        <f>_xll.DBRW($C$2,Input_Prod_05!$G$11,Input_Prod_05!$C$14,$M$1,$B18,$K$1)</f>
        <v>0</v>
      </c>
      <c r="L18" s="40">
        <f>_xll.DBRW($C$2,Input_Prod_05!$G$11,Input_Prod_05!$C$14,$M$1,$B18,$K$1)</f>
        <v>0</v>
      </c>
      <c r="M18" s="40">
        <f>_xll.DBRW($C$2,Input_Prod_05!$G$11,Input_Prod_05!$C$14,$M$1,$B18,$K$1)</f>
        <v>0</v>
      </c>
      <c r="N18" s="40">
        <f>_xll.DBRW($C$2,Input_Prod_05!$G$11,Input_Prod_05!$C$14,$M$1,$B18,$K$1)</f>
        <v>0</v>
      </c>
      <c r="O18" s="40">
        <f>_xll.DBRW($C$2,O$13,$O$15,$M$1,$B18,$K$1)</f>
        <v>0</v>
      </c>
      <c r="P18" s="40">
        <f>_xll.DBRW($C$2,P$13,$O$15,$M$1,$B18,$K$1)</f>
        <v>0</v>
      </c>
      <c r="Q18" s="40">
        <f>_xll.DBRW($C$2,Q$13,$O$15,$M$1,$B18,$K$1)</f>
        <v>0</v>
      </c>
      <c r="R18" s="40">
        <f>_xll.DBRW($C$2,R$13,$O$15,$M$1,$B18,$K$1)</f>
        <v>0</v>
      </c>
      <c r="S18" s="40">
        <f>_xll.DBRW($C$2,S$13,$O$15,$M$1,$B18,$K$1)</f>
        <v>0</v>
      </c>
    </row>
    <row r="19" spans="1:19" s="29" customFormat="1" ht="15.75" customHeight="1">
      <c r="A19" s="66"/>
      <c r="B19" s="45" t="s">
        <v>3</v>
      </c>
      <c r="C19" s="40">
        <f>_xll.DBRW($C$2,Input_Prod_05!$G$11,Input_Prod_05!$C$14,$M$1,$B19,$K$1)</f>
        <v>0</v>
      </c>
      <c r="D19" s="40">
        <f>_xll.DBRW($C$2,Input_Prod_05!$G$11,Input_Prod_05!$C$14,$M$1,$B19,$K$1)</f>
        <v>0</v>
      </c>
      <c r="E19" s="40">
        <f>_xll.DBRW($C$2,Input_Prod_05!$G$11,Input_Prod_05!$C$14,$M$1,$B19,$K$1)</f>
        <v>0</v>
      </c>
      <c r="F19" s="40">
        <f>_xll.DBRW($C$2,Input_Prod_05!$G$11,Input_Prod_05!$C$14,$M$1,$B19,$K$1)</f>
        <v>0</v>
      </c>
      <c r="G19" s="40">
        <f>_xll.DBRW($C$2,Input_Prod_05!$G$11,Input_Prod_05!$C$14,$M$1,$B19,$K$1)</f>
        <v>0</v>
      </c>
      <c r="H19" s="40">
        <f>_xll.DBRW($C$2,Input_Prod_05!$G$11,Input_Prod_05!$C$14,$M$1,$B19,$K$1)</f>
        <v>0</v>
      </c>
      <c r="I19" s="40">
        <f>_xll.DBRW($C$2,Input_Prod_05!$G$11,Input_Prod_05!$C$14,$M$1,$B19,$K$1)</f>
        <v>0</v>
      </c>
      <c r="J19" s="40">
        <f>_xll.DBRW($C$2,Input_Prod_05!$G$11,Input_Prod_05!$C$14,$M$1,$B19,$K$1)</f>
        <v>0</v>
      </c>
      <c r="K19" s="40">
        <f>_xll.DBRW($C$2,Input_Prod_05!$G$11,Input_Prod_05!$C$14,$M$1,$B19,$K$1)</f>
        <v>0</v>
      </c>
      <c r="L19" s="40">
        <f>_xll.DBRW($C$2,Input_Prod_05!$G$11,Input_Prod_05!$C$14,$M$1,$B19,$K$1)</f>
        <v>0</v>
      </c>
      <c r="M19" s="40">
        <f>_xll.DBRW($C$2,Input_Prod_05!$G$11,Input_Prod_05!$C$14,$M$1,$B19,$K$1)</f>
        <v>0</v>
      </c>
      <c r="N19" s="40">
        <f>_xll.DBRW($C$2,Input_Prod_05!$G$11,Input_Prod_05!$C$14,$M$1,$B19,$K$1)</f>
        <v>0</v>
      </c>
      <c r="O19" s="40">
        <f>_xll.DBRW($C$2,O$13,$O$15,$M$1,$B19,$K$1)</f>
        <v>0</v>
      </c>
      <c r="P19" s="40">
        <f>_xll.DBRW($C$2,P$13,$O$15,$M$1,$B19,$K$1)</f>
        <v>0</v>
      </c>
      <c r="Q19" s="40">
        <f>_xll.DBRW($C$2,Q$13,$O$15,$M$1,$B19,$K$1)</f>
        <v>0</v>
      </c>
      <c r="R19" s="40">
        <f>_xll.DBRW($C$2,R$13,$O$15,$M$1,$B19,$K$1)</f>
        <v>0</v>
      </c>
      <c r="S19" s="40">
        <f>_xll.DBRW($C$2,S$13,$O$15,$M$1,$B19,$K$1)</f>
        <v>0</v>
      </c>
    </row>
    <row r="20" spans="1:19" s="29" customFormat="1" ht="15.75" customHeight="1">
      <c r="A20" s="66"/>
      <c r="B20" s="45" t="s">
        <v>4</v>
      </c>
      <c r="C20" s="40">
        <f>_xll.DBRW($C$2,Input_Prod_05!$G$11,Input_Prod_05!$C$14,$M$1,$B20,$K$1)</f>
        <v>5</v>
      </c>
      <c r="D20" s="40">
        <f>_xll.DBRW($C$2,Input_Prod_05!$G$11,Input_Prod_05!$C$14,$M$1,$B20,$K$1)</f>
        <v>5</v>
      </c>
      <c r="E20" s="40">
        <f>_xll.DBRW($C$2,Input_Prod_05!$G$11,Input_Prod_05!$C$14,$M$1,$B20,$K$1)</f>
        <v>5</v>
      </c>
      <c r="F20" s="40">
        <f>_xll.DBRW($C$2,Input_Prod_05!$G$11,Input_Prod_05!$C$14,$M$1,$B20,$K$1)</f>
        <v>5</v>
      </c>
      <c r="G20" s="40">
        <f>_xll.DBRW($C$2,Input_Prod_05!$G$11,Input_Prod_05!$C$14,$M$1,$B20,$K$1)</f>
        <v>5</v>
      </c>
      <c r="H20" s="40">
        <f>_xll.DBRW($C$2,Input_Prod_05!$G$11,Input_Prod_05!$C$14,$M$1,$B20,$K$1)</f>
        <v>5</v>
      </c>
      <c r="I20" s="40">
        <f>_xll.DBRW($C$2,Input_Prod_05!$G$11,Input_Prod_05!$C$14,$M$1,$B20,$K$1)</f>
        <v>5</v>
      </c>
      <c r="J20" s="40">
        <f>_xll.DBRW($C$2,Input_Prod_05!$G$11,Input_Prod_05!$C$14,$M$1,$B20,$K$1)</f>
        <v>5</v>
      </c>
      <c r="K20" s="40">
        <f>_xll.DBRW($C$2,Input_Prod_05!$G$11,Input_Prod_05!$C$14,$M$1,$B20,$K$1)</f>
        <v>5</v>
      </c>
      <c r="L20" s="40">
        <f>_xll.DBRW($C$2,Input_Prod_05!$G$11,Input_Prod_05!$C$14,$M$1,$B20,$K$1)</f>
        <v>5</v>
      </c>
      <c r="M20" s="40">
        <f>_xll.DBRW($C$2,Input_Prod_05!$G$11,Input_Prod_05!$C$14,$M$1,$B20,$K$1)</f>
        <v>5</v>
      </c>
      <c r="N20" s="40">
        <f>_xll.DBRW($C$2,Input_Prod_05!$G$11,Input_Prod_05!$C$14,$M$1,$B20,$K$1)</f>
        <v>5</v>
      </c>
      <c r="O20" s="40">
        <f>_xll.DBRW($C$2,O$13,$O$15,$M$1,$B20,$K$1)</f>
        <v>0</v>
      </c>
      <c r="P20" s="40">
        <f>_xll.DBRW($C$2,P$13,$O$15,$M$1,$B20,$K$1)</f>
        <v>0</v>
      </c>
      <c r="Q20" s="40">
        <f>_xll.DBRW($C$2,Q$13,$O$15,$M$1,$B20,$K$1)</f>
        <v>0</v>
      </c>
      <c r="R20" s="40">
        <f>_xll.DBRW($C$2,R$13,$O$15,$M$1,$B20,$K$1)</f>
        <v>0</v>
      </c>
      <c r="S20" s="40">
        <f>_xll.DBRW($C$2,S$13,$O$15,$M$1,$B20,$K$1)</f>
        <v>0</v>
      </c>
    </row>
    <row r="21" spans="1:19" s="29" customFormat="1" ht="15.75" customHeight="1">
      <c r="A21" s="66"/>
      <c r="B21" s="45" t="s">
        <v>5</v>
      </c>
      <c r="C21" s="40">
        <f>_xll.DBRW($C$2,Input_Prod_05!$G$11,Input_Prod_05!$C$14,$M$1,$B21,$K$1)</f>
        <v>0</v>
      </c>
      <c r="D21" s="40">
        <f>_xll.DBRW($C$2,Input_Prod_05!$G$11,Input_Prod_05!$C$14,$M$1,$B21,$K$1)</f>
        <v>0</v>
      </c>
      <c r="E21" s="40">
        <f>_xll.DBRW($C$2,Input_Prod_05!$G$11,Input_Prod_05!$C$14,$M$1,$B21,$K$1)</f>
        <v>0</v>
      </c>
      <c r="F21" s="40">
        <f>_xll.DBRW($C$2,Input_Prod_05!$G$11,Input_Prod_05!$C$14,$M$1,$B21,$K$1)</f>
        <v>0</v>
      </c>
      <c r="G21" s="40">
        <f>_xll.DBRW($C$2,Input_Prod_05!$G$11,Input_Prod_05!$C$14,$M$1,$B21,$K$1)</f>
        <v>0</v>
      </c>
      <c r="H21" s="40">
        <f>_xll.DBRW($C$2,Input_Prod_05!$G$11,Input_Prod_05!$C$14,$M$1,$B21,$K$1)</f>
        <v>0</v>
      </c>
      <c r="I21" s="40">
        <f>_xll.DBRW($C$2,Input_Prod_05!$G$11,Input_Prod_05!$C$14,$M$1,$B21,$K$1)</f>
        <v>0</v>
      </c>
      <c r="J21" s="40">
        <f>_xll.DBRW($C$2,Input_Prod_05!$G$11,Input_Prod_05!$C$14,$M$1,$B21,$K$1)</f>
        <v>0</v>
      </c>
      <c r="K21" s="40">
        <f>_xll.DBRW($C$2,Input_Prod_05!$G$11,Input_Prod_05!$C$14,$M$1,$B21,$K$1)</f>
        <v>0</v>
      </c>
      <c r="L21" s="40">
        <f>_xll.DBRW($C$2,Input_Prod_05!$G$11,Input_Prod_05!$C$14,$M$1,$B21,$K$1)</f>
        <v>0</v>
      </c>
      <c r="M21" s="40">
        <f>_xll.DBRW($C$2,Input_Prod_05!$G$11,Input_Prod_05!$C$14,$M$1,$B21,$K$1)</f>
        <v>0</v>
      </c>
      <c r="N21" s="40">
        <f>_xll.DBRW($C$2,Input_Prod_05!$G$11,Input_Prod_05!$C$14,$M$1,$B21,$K$1)</f>
        <v>0</v>
      </c>
      <c r="O21" s="40">
        <f>_xll.DBRW($C$2,O$13,$O$15,$M$1,$B21,$K$1)</f>
        <v>0</v>
      </c>
      <c r="P21" s="40">
        <f>_xll.DBRW($C$2,P$13,$O$15,$M$1,$B21,$K$1)</f>
        <v>0</v>
      </c>
      <c r="Q21" s="40">
        <f>_xll.DBRW($C$2,Q$13,$O$15,$M$1,$B21,$K$1)</f>
        <v>0</v>
      </c>
      <c r="R21" s="40">
        <f>_xll.DBRW($C$2,R$13,$O$15,$M$1,$B21,$K$1)</f>
        <v>0</v>
      </c>
      <c r="S21" s="40">
        <f>_xll.DBRW($C$2,S$13,$O$15,$M$1,$B21,$K$1)</f>
        <v>0</v>
      </c>
    </row>
    <row r="22" spans="1:19" s="29" customFormat="1" ht="15.75" customHeight="1">
      <c r="A22" s="66"/>
      <c r="B22" s="45" t="s">
        <v>6</v>
      </c>
      <c r="C22" s="40">
        <f>_xll.DBRW($C$2,Input_Prod_05!$G$11,Input_Prod_05!$C$14,$M$1,$B22,$K$1)</f>
        <v>0</v>
      </c>
      <c r="D22" s="40">
        <f>_xll.DBRW($C$2,Input_Prod_05!$G$11,Input_Prod_05!$C$14,$M$1,$B22,$K$1)</f>
        <v>0</v>
      </c>
      <c r="E22" s="40">
        <f>_xll.DBRW($C$2,Input_Prod_05!$G$11,Input_Prod_05!$C$14,$M$1,$B22,$K$1)</f>
        <v>0</v>
      </c>
      <c r="F22" s="40">
        <f>_xll.DBRW($C$2,Input_Prod_05!$G$11,Input_Prod_05!$C$14,$M$1,$B22,$K$1)</f>
        <v>0</v>
      </c>
      <c r="G22" s="40">
        <f>_xll.DBRW($C$2,Input_Prod_05!$G$11,Input_Prod_05!$C$14,$M$1,$B22,$K$1)</f>
        <v>0</v>
      </c>
      <c r="H22" s="40">
        <f>_xll.DBRW($C$2,Input_Prod_05!$G$11,Input_Prod_05!$C$14,$M$1,$B22,$K$1)</f>
        <v>0</v>
      </c>
      <c r="I22" s="40">
        <f>_xll.DBRW($C$2,Input_Prod_05!$G$11,Input_Prod_05!$C$14,$M$1,$B22,$K$1)</f>
        <v>0</v>
      </c>
      <c r="J22" s="40">
        <f>_xll.DBRW($C$2,Input_Prod_05!$G$11,Input_Prod_05!$C$14,$M$1,$B22,$K$1)</f>
        <v>0</v>
      </c>
      <c r="K22" s="40">
        <f>_xll.DBRW($C$2,Input_Prod_05!$G$11,Input_Prod_05!$C$14,$M$1,$B22,$K$1)</f>
        <v>0</v>
      </c>
      <c r="L22" s="40">
        <f>_xll.DBRW($C$2,Input_Prod_05!$G$11,Input_Prod_05!$C$14,$M$1,$B22,$K$1)</f>
        <v>0</v>
      </c>
      <c r="M22" s="40">
        <f>_xll.DBRW($C$2,Input_Prod_05!$G$11,Input_Prod_05!$C$14,$M$1,$B22,$K$1)</f>
        <v>0</v>
      </c>
      <c r="N22" s="40">
        <f>_xll.DBRW($C$2,Input_Prod_05!$G$11,Input_Prod_05!$C$14,$M$1,$B22,$K$1)</f>
        <v>0</v>
      </c>
      <c r="O22" s="40">
        <f>_xll.DBRW($C$2,O$13,$O$15,$M$1,$B22,$K$1)</f>
        <v>0</v>
      </c>
      <c r="P22" s="40">
        <f>_xll.DBRW($C$2,P$13,$O$15,$M$1,$B22,$K$1)</f>
        <v>0</v>
      </c>
      <c r="Q22" s="40">
        <f>_xll.DBRW($C$2,Q$13,$O$15,$M$1,$B22,$K$1)</f>
        <v>0</v>
      </c>
      <c r="R22" s="40">
        <f>_xll.DBRW($C$2,R$13,$O$15,$M$1,$B22,$K$1)</f>
        <v>0</v>
      </c>
      <c r="S22" s="40">
        <f>_xll.DBRW($C$2,S$13,$O$15,$M$1,$B22,$K$1)</f>
        <v>0</v>
      </c>
    </row>
    <row r="23" spans="1:19" s="29" customFormat="1" ht="15.75" customHeight="1">
      <c r="A23" s="66"/>
      <c r="B23" s="45" t="s">
        <v>7</v>
      </c>
      <c r="C23" s="40">
        <f>_xll.DBRW($C$2,Input_Prod_05!$G$11,Input_Prod_05!$C$14,$M$1,$B23,$K$1)</f>
        <v>0</v>
      </c>
      <c r="D23" s="40">
        <f>_xll.DBRW($C$2,Input_Prod_05!$G$11,Input_Prod_05!$C$14,$M$1,$B23,$K$1)</f>
        <v>0</v>
      </c>
      <c r="E23" s="40">
        <f>_xll.DBRW($C$2,Input_Prod_05!$G$11,Input_Prod_05!$C$14,$M$1,$B23,$K$1)</f>
        <v>0</v>
      </c>
      <c r="F23" s="40">
        <f>_xll.DBRW($C$2,Input_Prod_05!$G$11,Input_Prod_05!$C$14,$M$1,$B23,$K$1)</f>
        <v>0</v>
      </c>
      <c r="G23" s="40">
        <f>_xll.DBRW($C$2,Input_Prod_05!$G$11,Input_Prod_05!$C$14,$M$1,$B23,$K$1)</f>
        <v>0</v>
      </c>
      <c r="H23" s="40">
        <f>_xll.DBRW($C$2,Input_Prod_05!$G$11,Input_Prod_05!$C$14,$M$1,$B23,$K$1)</f>
        <v>0</v>
      </c>
      <c r="I23" s="40">
        <f>_xll.DBRW($C$2,Input_Prod_05!$G$11,Input_Prod_05!$C$14,$M$1,$B23,$K$1)</f>
        <v>0</v>
      </c>
      <c r="J23" s="40">
        <f>_xll.DBRW($C$2,Input_Prod_05!$G$11,Input_Prod_05!$C$14,$M$1,$B23,$K$1)</f>
        <v>0</v>
      </c>
      <c r="K23" s="40">
        <f>_xll.DBRW($C$2,Input_Prod_05!$G$11,Input_Prod_05!$C$14,$M$1,$B23,$K$1)</f>
        <v>0</v>
      </c>
      <c r="L23" s="40">
        <f>_xll.DBRW($C$2,Input_Prod_05!$G$11,Input_Prod_05!$C$14,$M$1,$B23,$K$1)</f>
        <v>0</v>
      </c>
      <c r="M23" s="40">
        <f>_xll.DBRW($C$2,Input_Prod_05!$G$11,Input_Prod_05!$C$14,$M$1,$B23,$K$1)</f>
        <v>0</v>
      </c>
      <c r="N23" s="40">
        <f>_xll.DBRW($C$2,Input_Prod_05!$G$11,Input_Prod_05!$C$14,$M$1,$B23,$K$1)</f>
        <v>0</v>
      </c>
      <c r="O23" s="40">
        <f>_xll.DBRW($C$2,O$13,$O$15,$M$1,$B23,$K$1)</f>
        <v>0</v>
      </c>
      <c r="P23" s="40">
        <f>_xll.DBRW($C$2,P$13,$O$15,$M$1,$B23,$K$1)</f>
        <v>0</v>
      </c>
      <c r="Q23" s="40">
        <f>_xll.DBRW($C$2,Q$13,$O$15,$M$1,$B23,$K$1)</f>
        <v>0</v>
      </c>
      <c r="R23" s="40">
        <f>_xll.DBRW($C$2,R$13,$O$15,$M$1,$B23,$K$1)</f>
        <v>0</v>
      </c>
      <c r="S23" s="40">
        <f>_xll.DBRW($C$2,S$13,$O$15,$M$1,$B23,$K$1)</f>
        <v>0</v>
      </c>
    </row>
    <row r="24" spans="1:19" s="29" customFormat="1" ht="15.75" customHeight="1">
      <c r="A24" s="66"/>
      <c r="B24" s="45" t="s">
        <v>8</v>
      </c>
      <c r="C24" s="40">
        <f>_xll.DBRW($C$2,Input_Prod_05!$G$11,Input_Prod_05!$C$14,$M$1,$B24,$K$1)</f>
        <v>0</v>
      </c>
      <c r="D24" s="40">
        <f>_xll.DBRW($C$2,Input_Prod_05!$G$11,Input_Prod_05!$C$14,$M$1,$B24,$K$1)</f>
        <v>0</v>
      </c>
      <c r="E24" s="40">
        <f>_xll.DBRW($C$2,Input_Prod_05!$G$11,Input_Prod_05!$C$14,$M$1,$B24,$K$1)</f>
        <v>0</v>
      </c>
      <c r="F24" s="40">
        <f>_xll.DBRW($C$2,Input_Prod_05!$G$11,Input_Prod_05!$C$14,$M$1,$B24,$K$1)</f>
        <v>0</v>
      </c>
      <c r="G24" s="40">
        <f>_xll.DBRW($C$2,Input_Prod_05!$G$11,Input_Prod_05!$C$14,$M$1,$B24,$K$1)</f>
        <v>0</v>
      </c>
      <c r="H24" s="40">
        <f>_xll.DBRW($C$2,Input_Prod_05!$G$11,Input_Prod_05!$C$14,$M$1,$B24,$K$1)</f>
        <v>0</v>
      </c>
      <c r="I24" s="40">
        <f>_xll.DBRW($C$2,Input_Prod_05!$G$11,Input_Prod_05!$C$14,$M$1,$B24,$K$1)</f>
        <v>0</v>
      </c>
      <c r="J24" s="40">
        <f>_xll.DBRW($C$2,Input_Prod_05!$G$11,Input_Prod_05!$C$14,$M$1,$B24,$K$1)</f>
        <v>0</v>
      </c>
      <c r="K24" s="40">
        <f>_xll.DBRW($C$2,Input_Prod_05!$G$11,Input_Prod_05!$C$14,$M$1,$B24,$K$1)</f>
        <v>0</v>
      </c>
      <c r="L24" s="40">
        <f>_xll.DBRW($C$2,Input_Prod_05!$G$11,Input_Prod_05!$C$14,$M$1,$B24,$K$1)</f>
        <v>0</v>
      </c>
      <c r="M24" s="40">
        <f>_xll.DBRW($C$2,Input_Prod_05!$G$11,Input_Prod_05!$C$14,$M$1,$B24,$K$1)</f>
        <v>0</v>
      </c>
      <c r="N24" s="40">
        <f>_xll.DBRW($C$2,Input_Prod_05!$G$11,Input_Prod_05!$C$14,$M$1,$B24,$K$1)</f>
        <v>0</v>
      </c>
      <c r="O24" s="40">
        <f>_xll.DBRW($C$2,O$13,$O$15,$M$1,$B24,$K$1)</f>
        <v>0</v>
      </c>
      <c r="P24" s="40">
        <f>_xll.DBRW($C$2,P$13,$O$15,$M$1,$B24,$K$1)</f>
        <v>0</v>
      </c>
      <c r="Q24" s="40">
        <f>_xll.DBRW($C$2,Q$13,$O$15,$M$1,$B24,$K$1)</f>
        <v>0</v>
      </c>
      <c r="R24" s="40">
        <f>_xll.DBRW($C$2,R$13,$O$15,$M$1,$B24,$K$1)</f>
        <v>0</v>
      </c>
      <c r="S24" s="40">
        <f>_xll.DBRW($C$2,S$13,$O$15,$M$1,$B24,$K$1)</f>
        <v>0</v>
      </c>
    </row>
    <row r="25" spans="1:19" s="29" customFormat="1" ht="15.75" customHeight="1">
      <c r="A25" s="66"/>
      <c r="B25" s="45" t="s">
        <v>9</v>
      </c>
      <c r="C25" s="40">
        <f>_xll.DBRW($C$2,Input_Prod_05!$G$11,Input_Prod_05!$C$14,$M$1,$B25,$K$1)</f>
        <v>0</v>
      </c>
      <c r="D25" s="40">
        <f>_xll.DBRW($C$2,Input_Prod_05!$G$11,Input_Prod_05!$C$14,$M$1,$B25,$K$1)</f>
        <v>0</v>
      </c>
      <c r="E25" s="40">
        <f>_xll.DBRW($C$2,Input_Prod_05!$G$11,Input_Prod_05!$C$14,$M$1,$B25,$K$1)</f>
        <v>0</v>
      </c>
      <c r="F25" s="40">
        <f>_xll.DBRW($C$2,Input_Prod_05!$G$11,Input_Prod_05!$C$14,$M$1,$B25,$K$1)</f>
        <v>0</v>
      </c>
      <c r="G25" s="40">
        <f>_xll.DBRW($C$2,Input_Prod_05!$G$11,Input_Prod_05!$C$14,$M$1,$B25,$K$1)</f>
        <v>0</v>
      </c>
      <c r="H25" s="40">
        <f>_xll.DBRW($C$2,Input_Prod_05!$G$11,Input_Prod_05!$C$14,$M$1,$B25,$K$1)</f>
        <v>0</v>
      </c>
      <c r="I25" s="40">
        <f>_xll.DBRW($C$2,Input_Prod_05!$G$11,Input_Prod_05!$C$14,$M$1,$B25,$K$1)</f>
        <v>0</v>
      </c>
      <c r="J25" s="40">
        <f>_xll.DBRW($C$2,Input_Prod_05!$G$11,Input_Prod_05!$C$14,$M$1,$B25,$K$1)</f>
        <v>0</v>
      </c>
      <c r="K25" s="40">
        <f>_xll.DBRW($C$2,Input_Prod_05!$G$11,Input_Prod_05!$C$14,$M$1,$B25,$K$1)</f>
        <v>0</v>
      </c>
      <c r="L25" s="40">
        <f>_xll.DBRW($C$2,Input_Prod_05!$G$11,Input_Prod_05!$C$14,$M$1,$B25,$K$1)</f>
        <v>0</v>
      </c>
      <c r="M25" s="40">
        <f>_xll.DBRW($C$2,Input_Prod_05!$G$11,Input_Prod_05!$C$14,$M$1,$B25,$K$1)</f>
        <v>0</v>
      </c>
      <c r="N25" s="40">
        <f>_xll.DBRW($C$2,Input_Prod_05!$G$11,Input_Prod_05!$C$14,$M$1,$B25,$K$1)</f>
        <v>0</v>
      </c>
      <c r="O25" s="40">
        <f>_xll.DBRW($C$2,O$13,$O$15,$M$1,$B25,$K$1)</f>
        <v>0</v>
      </c>
      <c r="P25" s="40">
        <f>_xll.DBRW($C$2,P$13,$O$15,$M$1,$B25,$K$1)</f>
        <v>0</v>
      </c>
      <c r="Q25" s="40">
        <f>_xll.DBRW($C$2,Q$13,$O$15,$M$1,$B25,$K$1)</f>
        <v>0</v>
      </c>
      <c r="R25" s="40">
        <f>_xll.DBRW($C$2,R$13,$O$15,$M$1,$B25,$K$1)</f>
        <v>0</v>
      </c>
      <c r="S25" s="40">
        <f>_xll.DBRW($C$2,S$13,$O$15,$M$1,$B25,$K$1)</f>
        <v>0</v>
      </c>
    </row>
    <row r="26" spans="1:19" s="29" customFormat="1" ht="15.75" customHeight="1">
      <c r="A26" s="66"/>
      <c r="B26" s="45" t="s">
        <v>10</v>
      </c>
      <c r="C26" s="40">
        <f>_xll.DBRW($C$2,Input_Prod_05!$G$11,Input_Prod_05!$C$14,$M$1,$B26,$K$1)</f>
        <v>0</v>
      </c>
      <c r="D26" s="40">
        <f>_xll.DBRW($C$2,Input_Prod_05!$G$11,Input_Prod_05!$C$14,$M$1,$B26,$K$1)</f>
        <v>0</v>
      </c>
      <c r="E26" s="40">
        <f>_xll.DBRW($C$2,Input_Prod_05!$G$11,Input_Prod_05!$C$14,$M$1,$B26,$K$1)</f>
        <v>0</v>
      </c>
      <c r="F26" s="40">
        <f>_xll.DBRW($C$2,Input_Prod_05!$G$11,Input_Prod_05!$C$14,$M$1,$B26,$K$1)</f>
        <v>0</v>
      </c>
      <c r="G26" s="40">
        <f>_xll.DBRW($C$2,Input_Prod_05!$G$11,Input_Prod_05!$C$14,$M$1,$B26,$K$1)</f>
        <v>0</v>
      </c>
      <c r="H26" s="40">
        <f>_xll.DBRW($C$2,Input_Prod_05!$G$11,Input_Prod_05!$C$14,$M$1,$B26,$K$1)</f>
        <v>0</v>
      </c>
      <c r="I26" s="40">
        <f>_xll.DBRW($C$2,Input_Prod_05!$G$11,Input_Prod_05!$C$14,$M$1,$B26,$K$1)</f>
        <v>0</v>
      </c>
      <c r="J26" s="40">
        <f>_xll.DBRW($C$2,Input_Prod_05!$G$11,Input_Prod_05!$C$14,$M$1,$B26,$K$1)</f>
        <v>0</v>
      </c>
      <c r="K26" s="40">
        <f>_xll.DBRW($C$2,Input_Prod_05!$G$11,Input_Prod_05!$C$14,$M$1,$B26,$K$1)</f>
        <v>0</v>
      </c>
      <c r="L26" s="40">
        <f>_xll.DBRW($C$2,Input_Prod_05!$G$11,Input_Prod_05!$C$14,$M$1,$B26,$K$1)</f>
        <v>0</v>
      </c>
      <c r="M26" s="40">
        <f>_xll.DBRW($C$2,Input_Prod_05!$G$11,Input_Prod_05!$C$14,$M$1,$B26,$K$1)</f>
        <v>0</v>
      </c>
      <c r="N26" s="40">
        <f>_xll.DBRW($C$2,Input_Prod_05!$G$11,Input_Prod_05!$C$14,$M$1,$B26,$K$1)</f>
        <v>0</v>
      </c>
      <c r="O26" s="40">
        <f>_xll.DBRW($C$2,O$13,$O$15,$M$1,$B26,$K$1)</f>
        <v>0</v>
      </c>
      <c r="P26" s="40">
        <f>_xll.DBRW($C$2,P$13,$O$15,$M$1,$B26,$K$1)</f>
        <v>0</v>
      </c>
      <c r="Q26" s="40">
        <f>_xll.DBRW($C$2,Q$13,$O$15,$M$1,$B26,$K$1)</f>
        <v>0</v>
      </c>
      <c r="R26" s="40">
        <f>_xll.DBRW($C$2,R$13,$O$15,$M$1,$B26,$K$1)</f>
        <v>0</v>
      </c>
      <c r="S26" s="40">
        <f>_xll.DBRW($C$2,S$13,$O$15,$M$1,$B26,$K$1)</f>
        <v>0</v>
      </c>
    </row>
    <row r="27" spans="1:19" s="29" customFormat="1" ht="15.75" customHeight="1">
      <c r="A27" s="66"/>
      <c r="B27" s="45" t="s">
        <v>11</v>
      </c>
      <c r="C27" s="40">
        <f>_xll.DBRW($C$2,Input_Prod_05!$G$11,Input_Prod_05!$C$14,$M$1,$B27,$K$1)</f>
        <v>0</v>
      </c>
      <c r="D27" s="40">
        <f>_xll.DBRW($C$2,Input_Prod_05!$G$11,Input_Prod_05!$C$14,$M$1,$B27,$K$1)</f>
        <v>0</v>
      </c>
      <c r="E27" s="40">
        <f>_xll.DBRW($C$2,Input_Prod_05!$G$11,Input_Prod_05!$C$14,$M$1,$B27,$K$1)</f>
        <v>0</v>
      </c>
      <c r="F27" s="40">
        <f>_xll.DBRW($C$2,Input_Prod_05!$G$11,Input_Prod_05!$C$14,$M$1,$B27,$K$1)</f>
        <v>0</v>
      </c>
      <c r="G27" s="40">
        <f>_xll.DBRW($C$2,Input_Prod_05!$G$11,Input_Prod_05!$C$14,$M$1,$B27,$K$1)</f>
        <v>0</v>
      </c>
      <c r="H27" s="40">
        <f>_xll.DBRW($C$2,Input_Prod_05!$G$11,Input_Prod_05!$C$14,$M$1,$B27,$K$1)</f>
        <v>0</v>
      </c>
      <c r="I27" s="40">
        <f>_xll.DBRW($C$2,Input_Prod_05!$G$11,Input_Prod_05!$C$14,$M$1,$B27,$K$1)</f>
        <v>0</v>
      </c>
      <c r="J27" s="40">
        <f>_xll.DBRW($C$2,Input_Prod_05!$G$11,Input_Prod_05!$C$14,$M$1,$B27,$K$1)</f>
        <v>0</v>
      </c>
      <c r="K27" s="40">
        <f>_xll.DBRW($C$2,Input_Prod_05!$G$11,Input_Prod_05!$C$14,$M$1,$B27,$K$1)</f>
        <v>0</v>
      </c>
      <c r="L27" s="40">
        <f>_xll.DBRW($C$2,Input_Prod_05!$G$11,Input_Prod_05!$C$14,$M$1,$B27,$K$1)</f>
        <v>0</v>
      </c>
      <c r="M27" s="40">
        <f>_xll.DBRW($C$2,Input_Prod_05!$G$11,Input_Prod_05!$C$14,$M$1,$B27,$K$1)</f>
        <v>0</v>
      </c>
      <c r="N27" s="40">
        <f>_xll.DBRW($C$2,Input_Prod_05!$G$11,Input_Prod_05!$C$14,$M$1,$B27,$K$1)</f>
        <v>0</v>
      </c>
      <c r="O27" s="40">
        <f>_xll.DBRW($C$2,O$13,$O$15,$M$1,$B27,$K$1)</f>
        <v>0</v>
      </c>
      <c r="P27" s="40">
        <f>_xll.DBRW($C$2,P$13,$O$15,$M$1,$B27,$K$1)</f>
        <v>0</v>
      </c>
      <c r="Q27" s="40">
        <f>_xll.DBRW($C$2,Q$13,$O$15,$M$1,$B27,$K$1)</f>
        <v>0</v>
      </c>
      <c r="R27" s="40">
        <f>_xll.DBRW($C$2,R$13,$O$15,$M$1,$B27,$K$1)</f>
        <v>0</v>
      </c>
      <c r="S27" s="40">
        <f>_xll.DBRW($C$2,S$13,$O$15,$M$1,$B27,$K$1)</f>
        <v>0</v>
      </c>
    </row>
    <row r="28" spans="1:19" s="29" customFormat="1" ht="15.75" customHeight="1">
      <c r="A28" s="66"/>
      <c r="B28" s="45" t="s">
        <v>12</v>
      </c>
      <c r="C28" s="40">
        <f>_xll.DBRW($C$2,Input_Prod_05!$G$11,Input_Prod_05!$C$14,$M$1,$B28,$K$1)</f>
        <v>0</v>
      </c>
      <c r="D28" s="40">
        <f>_xll.DBRW($C$2,Input_Prod_05!$G$11,Input_Prod_05!$C$14,$M$1,$B28,$K$1)</f>
        <v>0</v>
      </c>
      <c r="E28" s="40">
        <f>_xll.DBRW($C$2,Input_Prod_05!$G$11,Input_Prod_05!$C$14,$M$1,$B28,$K$1)</f>
        <v>0</v>
      </c>
      <c r="F28" s="40">
        <f>_xll.DBRW($C$2,Input_Prod_05!$G$11,Input_Prod_05!$C$14,$M$1,$B28,$K$1)</f>
        <v>0</v>
      </c>
      <c r="G28" s="40">
        <f>_xll.DBRW($C$2,Input_Prod_05!$G$11,Input_Prod_05!$C$14,$M$1,$B28,$K$1)</f>
        <v>0</v>
      </c>
      <c r="H28" s="40">
        <f>_xll.DBRW($C$2,Input_Prod_05!$G$11,Input_Prod_05!$C$14,$M$1,$B28,$K$1)</f>
        <v>0</v>
      </c>
      <c r="I28" s="40">
        <f>_xll.DBRW($C$2,Input_Prod_05!$G$11,Input_Prod_05!$C$14,$M$1,$B28,$K$1)</f>
        <v>0</v>
      </c>
      <c r="J28" s="40">
        <f>_xll.DBRW($C$2,Input_Prod_05!$G$11,Input_Prod_05!$C$14,$M$1,$B28,$K$1)</f>
        <v>0</v>
      </c>
      <c r="K28" s="40">
        <f>_xll.DBRW($C$2,Input_Prod_05!$G$11,Input_Prod_05!$C$14,$M$1,$B28,$K$1)</f>
        <v>0</v>
      </c>
      <c r="L28" s="40">
        <f>_xll.DBRW($C$2,Input_Prod_05!$G$11,Input_Prod_05!$C$14,$M$1,$B28,$K$1)</f>
        <v>0</v>
      </c>
      <c r="M28" s="40">
        <f>_xll.DBRW($C$2,Input_Prod_05!$G$11,Input_Prod_05!$C$14,$M$1,$B28,$K$1)</f>
        <v>0</v>
      </c>
      <c r="N28" s="40">
        <f>_xll.DBRW($C$2,Input_Prod_05!$G$11,Input_Prod_05!$C$14,$M$1,$B28,$K$1)</f>
        <v>0</v>
      </c>
      <c r="O28" s="40">
        <f>_xll.DBRW($C$2,O$13,$O$15,$M$1,$B28,$K$1)</f>
        <v>0</v>
      </c>
      <c r="P28" s="40">
        <f>_xll.DBRW($C$2,P$13,$O$15,$M$1,$B28,$K$1)</f>
        <v>0</v>
      </c>
      <c r="Q28" s="40">
        <f>_xll.DBRW($C$2,Q$13,$O$15,$M$1,$B28,$K$1)</f>
        <v>0</v>
      </c>
      <c r="R28" s="40">
        <f>_xll.DBRW($C$2,R$13,$O$15,$M$1,$B28,$K$1)</f>
        <v>0</v>
      </c>
      <c r="S28" s="40">
        <f>_xll.DBRW($C$2,S$13,$O$15,$M$1,$B28,$K$1)</f>
        <v>0</v>
      </c>
    </row>
    <row r="29" spans="1:19" s="29" customFormat="1" ht="15.75" customHeight="1">
      <c r="A29" s="66"/>
      <c r="B29" s="45" t="s">
        <v>13</v>
      </c>
      <c r="C29" s="40">
        <f>_xll.DBRW($C$2,Input_Prod_05!$G$11,Input_Prod_05!$C$14,$M$1,$B29,$K$1)</f>
        <v>0</v>
      </c>
      <c r="D29" s="40">
        <f>_xll.DBRW($C$2,Input_Prod_05!$G$11,Input_Prod_05!$C$14,$M$1,$B29,$K$1)</f>
        <v>0</v>
      </c>
      <c r="E29" s="40">
        <f>_xll.DBRW($C$2,Input_Prod_05!$G$11,Input_Prod_05!$C$14,$M$1,$B29,$K$1)</f>
        <v>0</v>
      </c>
      <c r="F29" s="40">
        <f>_xll.DBRW($C$2,Input_Prod_05!$G$11,Input_Prod_05!$C$14,$M$1,$B29,$K$1)</f>
        <v>0</v>
      </c>
      <c r="G29" s="40">
        <f>_xll.DBRW($C$2,Input_Prod_05!$G$11,Input_Prod_05!$C$14,$M$1,$B29,$K$1)</f>
        <v>0</v>
      </c>
      <c r="H29" s="40">
        <f>_xll.DBRW($C$2,Input_Prod_05!$G$11,Input_Prod_05!$C$14,$M$1,$B29,$K$1)</f>
        <v>0</v>
      </c>
      <c r="I29" s="40">
        <f>_xll.DBRW($C$2,Input_Prod_05!$G$11,Input_Prod_05!$C$14,$M$1,$B29,$K$1)</f>
        <v>0</v>
      </c>
      <c r="J29" s="40">
        <f>_xll.DBRW($C$2,Input_Prod_05!$G$11,Input_Prod_05!$C$14,$M$1,$B29,$K$1)</f>
        <v>0</v>
      </c>
      <c r="K29" s="40">
        <f>_xll.DBRW($C$2,Input_Prod_05!$G$11,Input_Prod_05!$C$14,$M$1,$B29,$K$1)</f>
        <v>0</v>
      </c>
      <c r="L29" s="40">
        <f>_xll.DBRW($C$2,Input_Prod_05!$G$11,Input_Prod_05!$C$14,$M$1,$B29,$K$1)</f>
        <v>0</v>
      </c>
      <c r="M29" s="40">
        <f>_xll.DBRW($C$2,Input_Prod_05!$G$11,Input_Prod_05!$C$14,$M$1,$B29,$K$1)</f>
        <v>0</v>
      </c>
      <c r="N29" s="40">
        <f>_xll.DBRW($C$2,Input_Prod_05!$G$11,Input_Prod_05!$C$14,$M$1,$B29,$K$1)</f>
        <v>0</v>
      </c>
      <c r="O29" s="40">
        <f>_xll.DBRW($C$2,O$13,$O$15,$M$1,$B29,$K$1)</f>
        <v>0</v>
      </c>
      <c r="P29" s="40">
        <f>_xll.DBRW($C$2,P$13,$O$15,$M$1,$B29,$K$1)</f>
        <v>0</v>
      </c>
      <c r="Q29" s="40">
        <f>_xll.DBRW($C$2,Q$13,$O$15,$M$1,$B29,$K$1)</f>
        <v>0</v>
      </c>
      <c r="R29" s="40">
        <f>_xll.DBRW($C$2,R$13,$O$15,$M$1,$B29,$K$1)</f>
        <v>0</v>
      </c>
      <c r="S29" s="40">
        <f>_xll.DBRW($C$2,S$13,$O$15,$M$1,$B29,$K$1)</f>
        <v>0</v>
      </c>
    </row>
    <row r="30" spans="1:19" s="29" customFormat="1" ht="15.75" customHeight="1">
      <c r="A30" s="66"/>
      <c r="B30" s="45" t="s">
        <v>14</v>
      </c>
      <c r="C30" s="40">
        <f>_xll.DBRW($C$2,Input_Prod_05!$G$11,Input_Prod_05!$C$14,$M$1,$B30,$K$1)</f>
        <v>31</v>
      </c>
      <c r="D30" s="40">
        <f>_xll.DBRW($C$2,Input_Prod_05!$G$11,Input_Prod_05!$C$14,$M$1,$B30,$K$1)</f>
        <v>31</v>
      </c>
      <c r="E30" s="40">
        <f>_xll.DBRW($C$2,Input_Prod_05!$G$11,Input_Prod_05!$C$14,$M$1,$B30,$K$1)</f>
        <v>31</v>
      </c>
      <c r="F30" s="40">
        <f>_xll.DBRW($C$2,Input_Prod_05!$G$11,Input_Prod_05!$C$14,$M$1,$B30,$K$1)</f>
        <v>31</v>
      </c>
      <c r="G30" s="40">
        <f>_xll.DBRW($C$2,Input_Prod_05!$G$11,Input_Prod_05!$C$14,$M$1,$B30,$K$1)</f>
        <v>31</v>
      </c>
      <c r="H30" s="40">
        <f>_xll.DBRW($C$2,Input_Prod_05!$G$11,Input_Prod_05!$C$14,$M$1,$B30,$K$1)</f>
        <v>31</v>
      </c>
      <c r="I30" s="40">
        <f>_xll.DBRW($C$2,Input_Prod_05!$G$11,Input_Prod_05!$C$14,$M$1,$B30,$K$1)</f>
        <v>31</v>
      </c>
      <c r="J30" s="40">
        <f>_xll.DBRW($C$2,Input_Prod_05!$G$11,Input_Prod_05!$C$14,$M$1,$B30,$K$1)</f>
        <v>31</v>
      </c>
      <c r="K30" s="40">
        <f>_xll.DBRW($C$2,Input_Prod_05!$G$11,Input_Prod_05!$C$14,$M$1,$B30,$K$1)</f>
        <v>31</v>
      </c>
      <c r="L30" s="40">
        <f>_xll.DBRW($C$2,Input_Prod_05!$G$11,Input_Prod_05!$C$14,$M$1,$B30,$K$1)</f>
        <v>31</v>
      </c>
      <c r="M30" s="40">
        <f>_xll.DBRW($C$2,Input_Prod_05!$G$11,Input_Prod_05!$C$14,$M$1,$B30,$K$1)</f>
        <v>31</v>
      </c>
      <c r="N30" s="40">
        <f>_xll.DBRW($C$2,Input_Prod_05!$G$11,Input_Prod_05!$C$14,$M$1,$B30,$K$1)</f>
        <v>31</v>
      </c>
      <c r="O30" s="40">
        <f>_xll.DBRW($C$2,O$13,$O$15,$M$1,$B30,$K$1)</f>
        <v>0</v>
      </c>
      <c r="P30" s="40">
        <f>_xll.DBRW($C$2,P$13,$O$15,$M$1,$B30,$K$1)</f>
        <v>0</v>
      </c>
      <c r="Q30" s="40">
        <f>_xll.DBRW($C$2,Q$13,$O$15,$M$1,$B30,$K$1)</f>
        <v>0</v>
      </c>
      <c r="R30" s="40">
        <f>_xll.DBRW($C$2,R$13,$O$15,$M$1,$B30,$K$1)</f>
        <v>0</v>
      </c>
      <c r="S30" s="40">
        <f>_xll.DBRW($C$2,S$13,$O$15,$M$1,$B30,$K$1)</f>
        <v>0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7" t="str">
        <f>_xll.SUBNM("CONS_VC_PRD:ALL.D.Products","Nivel_0","PRODMZ010 - Motz","Código e Descrição")</f>
        <v>PRODMZ010 - Motz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8">
        <f>$G$11+1</f>
        <v>2027</v>
      </c>
      <c r="P35" s="98">
        <f>$G$11+2</f>
        <v>2028</v>
      </c>
      <c r="Q35" s="98">
        <f>$G$11+3</f>
        <v>2029</v>
      </c>
      <c r="R35" s="98">
        <f>$G$11+4</f>
        <v>2030</v>
      </c>
      <c r="S35" s="98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_xll.DBRW($B$1,Input_Prod_05!$G$11,Input_Prod_05!C$14,$M$1,Input_Prod_05!$I$11,$C$11,Input_Prod_05!$E$33,Input_Prod_05!$A37,$L$1,$K$1)</f>
        <v>0</v>
      </c>
      <c r="D37" s="36">
        <f>_xll.DBRW($B$1,Input_Prod_05!$G$11,Input_Prod_05!D$14,$M$1,Input_Prod_05!$I$11,$C$11,Input_Prod_05!$E$33,Input_Prod_05!$A37,$L$1,$K$1)</f>
        <v>0</v>
      </c>
      <c r="E37" s="36">
        <f>_xll.DBRW($B$1,Input_Prod_05!$G$11,Input_Prod_05!E$14,$M$1,Input_Prod_05!$I$11,$C$11,Input_Prod_05!$E$33,Input_Prod_05!$A37,$L$1,$K$1)</f>
        <v>0</v>
      </c>
      <c r="F37" s="36">
        <f>_xll.DBRW($B$1,Input_Prod_05!$G$11,Input_Prod_05!F$14,$M$1,Input_Prod_05!$I$11,$C$11,Input_Prod_05!$E$33,Input_Prod_05!$A37,$L$1,$K$1)</f>
        <v>0</v>
      </c>
      <c r="G37" s="36">
        <f>_xll.DBRW($B$1,Input_Prod_05!$G$11,Input_Prod_05!G$14,$M$1,Input_Prod_05!$I$11,$C$11,Input_Prod_05!$E$33,Input_Prod_05!$A37,$L$1,$K$1)</f>
        <v>0</v>
      </c>
      <c r="H37" s="36">
        <f>_xll.DBRW($B$1,Input_Prod_05!$G$11,Input_Prod_05!H$14,$M$1,Input_Prod_05!$I$11,$C$11,Input_Prod_05!$E$33,Input_Prod_05!$A37,$L$1,$K$1)</f>
        <v>0</v>
      </c>
      <c r="I37" s="36">
        <f>_xll.DBRW($B$1,Input_Prod_05!$G$11,Input_Prod_05!I$14,$M$1,Input_Prod_05!$I$11,$C$11,Input_Prod_05!$E$33,Input_Prod_05!$A37,$L$1,$K$1)</f>
        <v>0</v>
      </c>
      <c r="J37" s="36">
        <f>_xll.DBRW($B$1,Input_Prod_05!$G$11,Input_Prod_05!J$14,$M$1,Input_Prod_05!$I$11,$C$11,Input_Prod_05!$E$33,Input_Prod_05!$A37,$L$1,$K$1)</f>
        <v>0</v>
      </c>
      <c r="K37" s="36">
        <f>_xll.DBRW($B$1,Input_Prod_05!$G$11,Input_Prod_05!K$14,$M$1,Input_Prod_05!$I$11,$C$11,Input_Prod_05!$E$33,Input_Prod_05!$A37,$L$1,$K$1)</f>
        <v>0</v>
      </c>
      <c r="L37" s="36">
        <f>_xll.DBRW($B$1,Input_Prod_05!$G$11,Input_Prod_05!L$14,$M$1,Input_Prod_05!$I$11,$C$11,Input_Prod_05!$E$33,Input_Prod_05!$A37,$L$1,$K$1)</f>
        <v>0</v>
      </c>
      <c r="M37" s="36">
        <f>_xll.DBRW($B$1,Input_Prod_05!$G$11,Input_Prod_05!M$14,$M$1,Input_Prod_05!$I$11,$C$11,Input_Prod_05!$E$33,Input_Prod_05!$A37,$L$1,$K$1)</f>
        <v>0</v>
      </c>
      <c r="N37" s="36">
        <f>_xll.DBRW($B$1,Input_Prod_05!$G$11,Input_Prod_05!N$14,$M$1,Input_Prod_05!$I$11,$C$11,Input_Prod_05!$E$33,Input_Prod_05!$A37,$L$1,$K$1)</f>
        <v>0</v>
      </c>
      <c r="O37" s="36">
        <f>_xll.DBRW($B$1,O$13,O$15,$M$1,Input_Prod_05!$I$11,$C$11,Input_Prod_05!$E$33,Input_Prod_05!$A37,$L$1,$K$1)</f>
        <v>0</v>
      </c>
      <c r="P37" s="36">
        <f>_xll.DBRW($B$1,P$13,P$15,$M$1,Input_Prod_05!$I$11,$C$11,Input_Prod_05!$E$33,Input_Prod_05!$A37,$L$1,$K$1)</f>
        <v>0</v>
      </c>
      <c r="Q37" s="36">
        <f>_xll.DBRW($B$1,Q$13,Q$15,$M$1,Input_Prod_05!$I$11,$C$11,Input_Prod_05!$E$33,Input_Prod_05!$A37,$L$1,$K$1)</f>
        <v>0</v>
      </c>
      <c r="R37" s="36">
        <f>_xll.DBRW($B$1,R$13,R$15,$M$1,Input_Prod_05!$I$11,$C$11,Input_Prod_05!$E$33,Input_Prod_05!$A37,$L$1,$K$1)</f>
        <v>0</v>
      </c>
      <c r="S37" s="36">
        <f>_xll.DBRW($B$1,S$13,S$15,$M$1,Input_Prod_05!$I$11,$C$11,Input_Prod_05!$E$33,Input_Prod_05!$A37,$L$1,$K$1)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_xll.DBRW($B$1,Input_Prod_05!$G$11,Input_Prod_05!C$14,$M$1,Input_Prod_05!$I$11,$C$11,Input_Prod_05!$E$33,Input_Prod_05!$A38,$L$1,$K$1)</f>
        <v>0</v>
      </c>
      <c r="D38" s="36">
        <f>_xll.DBRW($B$1,Input_Prod_05!$G$11,Input_Prod_05!D$14,$M$1,Input_Prod_05!$I$11,$C$11,Input_Prod_05!$E$33,Input_Prod_05!$A38,$L$1,$K$1)</f>
        <v>0</v>
      </c>
      <c r="E38" s="36">
        <f>_xll.DBRW($B$1,Input_Prod_05!$G$11,Input_Prod_05!E$14,$M$1,Input_Prod_05!$I$11,$C$11,Input_Prod_05!$E$33,Input_Prod_05!$A38,$L$1,$K$1)</f>
        <v>0</v>
      </c>
      <c r="F38" s="36">
        <f>_xll.DBRW($B$1,Input_Prod_05!$G$11,Input_Prod_05!F$14,$M$1,Input_Prod_05!$I$11,$C$11,Input_Prod_05!$E$33,Input_Prod_05!$A38,$L$1,$K$1)</f>
        <v>0</v>
      </c>
      <c r="G38" s="36">
        <f>_xll.DBRW($B$1,Input_Prod_05!$G$11,Input_Prod_05!G$14,$M$1,Input_Prod_05!$I$11,$C$11,Input_Prod_05!$E$33,Input_Prod_05!$A38,$L$1,$K$1)</f>
        <v>0</v>
      </c>
      <c r="H38" s="36">
        <f>_xll.DBRW($B$1,Input_Prod_05!$G$11,Input_Prod_05!H$14,$M$1,Input_Prod_05!$I$11,$C$11,Input_Prod_05!$E$33,Input_Prod_05!$A38,$L$1,$K$1)</f>
        <v>0</v>
      </c>
      <c r="I38" s="36">
        <f>_xll.DBRW($B$1,Input_Prod_05!$G$11,Input_Prod_05!I$14,$M$1,Input_Prod_05!$I$11,$C$11,Input_Prod_05!$E$33,Input_Prod_05!$A38,$L$1,$K$1)</f>
        <v>0</v>
      </c>
      <c r="J38" s="36">
        <f>_xll.DBRW($B$1,Input_Prod_05!$G$11,Input_Prod_05!J$14,$M$1,Input_Prod_05!$I$11,$C$11,Input_Prod_05!$E$33,Input_Prod_05!$A38,$L$1,$K$1)</f>
        <v>0</v>
      </c>
      <c r="K38" s="36">
        <f>_xll.DBRW($B$1,Input_Prod_05!$G$11,Input_Prod_05!K$14,$M$1,Input_Prod_05!$I$11,$C$11,Input_Prod_05!$E$33,Input_Prod_05!$A38,$L$1,$K$1)</f>
        <v>0</v>
      </c>
      <c r="L38" s="36">
        <f>_xll.DBRW($B$1,Input_Prod_05!$G$11,Input_Prod_05!L$14,$M$1,Input_Prod_05!$I$11,$C$11,Input_Prod_05!$E$33,Input_Prod_05!$A38,$L$1,$K$1)</f>
        <v>0</v>
      </c>
      <c r="M38" s="36">
        <f>_xll.DBRW($B$1,Input_Prod_05!$G$11,Input_Prod_05!M$14,$M$1,Input_Prod_05!$I$11,$C$11,Input_Prod_05!$E$33,Input_Prod_05!$A38,$L$1,$K$1)</f>
        <v>0</v>
      </c>
      <c r="N38" s="36">
        <f>_xll.DBRW($B$1,Input_Prod_05!$G$11,Input_Prod_05!N$14,$M$1,Input_Prod_05!$I$11,$C$11,Input_Prod_05!$E$33,Input_Prod_05!$A38,$L$1,$K$1)</f>
        <v>0</v>
      </c>
      <c r="O38" s="36">
        <f>_xll.DBRW($B$1,O$13,O$15,$M$1,Input_Prod_05!$I$11,$C$11,Input_Prod_05!$E$33,Input_Prod_05!$A38,$L$1,$K$1)</f>
        <v>0</v>
      </c>
      <c r="P38" s="36">
        <f>_xll.DBRW($B$1,P$13,P$15,$M$1,Input_Prod_05!$I$11,$C$11,Input_Prod_05!$E$33,Input_Prod_05!$A38,$L$1,$K$1)</f>
        <v>0</v>
      </c>
      <c r="Q38" s="36">
        <f>_xll.DBRW($B$1,Q$13,Q$15,$M$1,Input_Prod_05!$I$11,$C$11,Input_Prod_05!$E$33,Input_Prod_05!$A38,$L$1,$K$1)</f>
        <v>0</v>
      </c>
      <c r="R38" s="36">
        <f>_xll.DBRW($B$1,R$13,R$15,$M$1,Input_Prod_05!$I$11,$C$11,Input_Prod_05!$E$33,Input_Prod_05!$A38,$L$1,$K$1)</f>
        <v>0</v>
      </c>
      <c r="S38" s="36">
        <f>_xll.DBRW($B$1,S$13,S$15,$M$1,Input_Prod_05!$I$11,$C$11,Input_Prod_05!$E$33,Input_Prod_05!$A38,$L$1,$K$1)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_xll.DBRW($B$1,Input_Prod_05!$G$11,Input_Prod_05!C$14,$M$1,Input_Prod_05!$I$11,$C$11,Input_Prod_05!$E$33,Input_Prod_05!$A39,$L$1,$K$1)</f>
        <v>0</v>
      </c>
      <c r="D39" s="36">
        <f>_xll.DBRW($B$1,Input_Prod_05!$G$11,Input_Prod_05!D$14,$M$1,Input_Prod_05!$I$11,$C$11,Input_Prod_05!$E$33,Input_Prod_05!$A39,$L$1,$K$1)</f>
        <v>0</v>
      </c>
      <c r="E39" s="36">
        <f>_xll.DBRW($B$1,Input_Prod_05!$G$11,Input_Prod_05!E$14,$M$1,Input_Prod_05!$I$11,$C$11,Input_Prod_05!$E$33,Input_Prod_05!$A39,$L$1,$K$1)</f>
        <v>0</v>
      </c>
      <c r="F39" s="36">
        <f>_xll.DBRW($B$1,Input_Prod_05!$G$11,Input_Prod_05!F$14,$M$1,Input_Prod_05!$I$11,$C$11,Input_Prod_05!$E$33,Input_Prod_05!$A39,$L$1,$K$1)</f>
        <v>0</v>
      </c>
      <c r="G39" s="36">
        <f>_xll.DBRW($B$1,Input_Prod_05!$G$11,Input_Prod_05!G$14,$M$1,Input_Prod_05!$I$11,$C$11,Input_Prod_05!$E$33,Input_Prod_05!$A39,$L$1,$K$1)</f>
        <v>0</v>
      </c>
      <c r="H39" s="36">
        <f>_xll.DBRW($B$1,Input_Prod_05!$G$11,Input_Prod_05!H$14,$M$1,Input_Prod_05!$I$11,$C$11,Input_Prod_05!$E$33,Input_Prod_05!$A39,$L$1,$K$1)</f>
        <v>0</v>
      </c>
      <c r="I39" s="36">
        <f>_xll.DBRW($B$1,Input_Prod_05!$G$11,Input_Prod_05!I$14,$M$1,Input_Prod_05!$I$11,$C$11,Input_Prod_05!$E$33,Input_Prod_05!$A39,$L$1,$K$1)</f>
        <v>0</v>
      </c>
      <c r="J39" s="36">
        <f>_xll.DBRW($B$1,Input_Prod_05!$G$11,Input_Prod_05!J$14,$M$1,Input_Prod_05!$I$11,$C$11,Input_Prod_05!$E$33,Input_Prod_05!$A39,$L$1,$K$1)</f>
        <v>0</v>
      </c>
      <c r="K39" s="36">
        <f>_xll.DBRW($B$1,Input_Prod_05!$G$11,Input_Prod_05!K$14,$M$1,Input_Prod_05!$I$11,$C$11,Input_Prod_05!$E$33,Input_Prod_05!$A39,$L$1,$K$1)</f>
        <v>0</v>
      </c>
      <c r="L39" s="36">
        <f>_xll.DBRW($B$1,Input_Prod_05!$G$11,Input_Prod_05!L$14,$M$1,Input_Prod_05!$I$11,$C$11,Input_Prod_05!$E$33,Input_Prod_05!$A39,$L$1,$K$1)</f>
        <v>0</v>
      </c>
      <c r="M39" s="36">
        <f>_xll.DBRW($B$1,Input_Prod_05!$G$11,Input_Prod_05!M$14,$M$1,Input_Prod_05!$I$11,$C$11,Input_Prod_05!$E$33,Input_Prod_05!$A39,$L$1,$K$1)</f>
        <v>0</v>
      </c>
      <c r="N39" s="36">
        <f>_xll.DBRW($B$1,Input_Prod_05!$G$11,Input_Prod_05!N$14,$M$1,Input_Prod_05!$I$11,$C$11,Input_Prod_05!$E$33,Input_Prod_05!$A39,$L$1,$K$1)</f>
        <v>0</v>
      </c>
      <c r="O39" s="36">
        <f>_xll.DBRW($B$1,O$13,O$15,$M$1,Input_Prod_05!$I$11,$C$11,Input_Prod_05!$E$33,Input_Prod_05!$A39,$L$1,$K$1)</f>
        <v>0</v>
      </c>
      <c r="P39" s="36">
        <f>_xll.DBRW($B$1,P$13,P$15,$M$1,Input_Prod_05!$I$11,$C$11,Input_Prod_05!$E$33,Input_Prod_05!$A39,$L$1,$K$1)</f>
        <v>0</v>
      </c>
      <c r="Q39" s="36">
        <f>_xll.DBRW($B$1,Q$13,Q$15,$M$1,Input_Prod_05!$I$11,$C$11,Input_Prod_05!$E$33,Input_Prod_05!$A39,$L$1,$K$1)</f>
        <v>0</v>
      </c>
      <c r="R39" s="36">
        <f>_xll.DBRW($B$1,R$13,R$15,$M$1,Input_Prod_05!$I$11,$C$11,Input_Prod_05!$E$33,Input_Prod_05!$A39,$L$1,$K$1)</f>
        <v>0</v>
      </c>
      <c r="S39" s="36">
        <f>_xll.DBRW($B$1,S$13,S$15,$M$1,Input_Prod_05!$I$11,$C$11,Input_Prod_05!$E$33,Input_Prod_05!$A39,$L$1,$K$1)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_xll.DBRW($B$1,Input_Prod_05!$G$11,Input_Prod_05!C$14,$M$1,Input_Prod_05!$I$11,$C$11,Input_Prod_05!$E$33,Input_Prod_05!$A40,$L$1,$K$1)</f>
        <v>0</v>
      </c>
      <c r="D40" s="36">
        <f>_xll.DBRW($B$1,Input_Prod_05!$G$11,Input_Prod_05!D$14,$M$1,Input_Prod_05!$I$11,$C$11,Input_Prod_05!$E$33,Input_Prod_05!$A40,$L$1,$K$1)</f>
        <v>0</v>
      </c>
      <c r="E40" s="36">
        <f>_xll.DBRW($B$1,Input_Prod_05!$G$11,Input_Prod_05!E$14,$M$1,Input_Prod_05!$I$11,$C$11,Input_Prod_05!$E$33,Input_Prod_05!$A40,$L$1,$K$1)</f>
        <v>0</v>
      </c>
      <c r="F40" s="36">
        <f>_xll.DBRW($B$1,Input_Prod_05!$G$11,Input_Prod_05!F$14,$M$1,Input_Prod_05!$I$11,$C$11,Input_Prod_05!$E$33,Input_Prod_05!$A40,$L$1,$K$1)</f>
        <v>0</v>
      </c>
      <c r="G40" s="36">
        <f>_xll.DBRW($B$1,Input_Prod_05!$G$11,Input_Prod_05!G$14,$M$1,Input_Prod_05!$I$11,$C$11,Input_Prod_05!$E$33,Input_Prod_05!$A40,$L$1,$K$1)</f>
        <v>0</v>
      </c>
      <c r="H40" s="36">
        <f>_xll.DBRW($B$1,Input_Prod_05!$G$11,Input_Prod_05!H$14,$M$1,Input_Prod_05!$I$11,$C$11,Input_Prod_05!$E$33,Input_Prod_05!$A40,$L$1,$K$1)</f>
        <v>0</v>
      </c>
      <c r="I40" s="36">
        <f>_xll.DBRW($B$1,Input_Prod_05!$G$11,Input_Prod_05!I$14,$M$1,Input_Prod_05!$I$11,$C$11,Input_Prod_05!$E$33,Input_Prod_05!$A40,$L$1,$K$1)</f>
        <v>0</v>
      </c>
      <c r="J40" s="36">
        <f>_xll.DBRW($B$1,Input_Prod_05!$G$11,Input_Prod_05!J$14,$M$1,Input_Prod_05!$I$11,$C$11,Input_Prod_05!$E$33,Input_Prod_05!$A40,$L$1,$K$1)</f>
        <v>0</v>
      </c>
      <c r="K40" s="36">
        <f>_xll.DBRW($B$1,Input_Prod_05!$G$11,Input_Prod_05!K$14,$M$1,Input_Prod_05!$I$11,$C$11,Input_Prod_05!$E$33,Input_Prod_05!$A40,$L$1,$K$1)</f>
        <v>0</v>
      </c>
      <c r="L40" s="36">
        <f>_xll.DBRW($B$1,Input_Prod_05!$G$11,Input_Prod_05!L$14,$M$1,Input_Prod_05!$I$11,$C$11,Input_Prod_05!$E$33,Input_Prod_05!$A40,$L$1,$K$1)</f>
        <v>0</v>
      </c>
      <c r="M40" s="36">
        <f>_xll.DBRW($B$1,Input_Prod_05!$G$11,Input_Prod_05!M$14,$M$1,Input_Prod_05!$I$11,$C$11,Input_Prod_05!$E$33,Input_Prod_05!$A40,$L$1,$K$1)</f>
        <v>0</v>
      </c>
      <c r="N40" s="36">
        <f>_xll.DBRW($B$1,Input_Prod_05!$G$11,Input_Prod_05!N$14,$M$1,Input_Prod_05!$I$11,$C$11,Input_Prod_05!$E$33,Input_Prod_05!$A40,$L$1,$K$1)</f>
        <v>0</v>
      </c>
      <c r="O40" s="36">
        <f>_xll.DBRW($B$1,O$13,O$15,$M$1,Input_Prod_05!$I$11,$C$11,Input_Prod_05!$E$33,Input_Prod_05!$A40,$L$1,$K$1)</f>
        <v>0</v>
      </c>
      <c r="P40" s="36">
        <f>_xll.DBRW($B$1,P$13,P$15,$M$1,Input_Prod_05!$I$11,$C$11,Input_Prod_05!$E$33,Input_Prod_05!$A40,$L$1,$K$1)</f>
        <v>0</v>
      </c>
      <c r="Q40" s="36">
        <f>_xll.DBRW($B$1,Q$13,Q$15,$M$1,Input_Prod_05!$I$11,$C$11,Input_Prod_05!$E$33,Input_Prod_05!$A40,$L$1,$K$1)</f>
        <v>0</v>
      </c>
      <c r="R40" s="36">
        <f>_xll.DBRW($B$1,R$13,R$15,$M$1,Input_Prod_05!$I$11,$C$11,Input_Prod_05!$E$33,Input_Prod_05!$A40,$L$1,$K$1)</f>
        <v>0</v>
      </c>
      <c r="S40" s="36">
        <f>_xll.DBRW($B$1,S$13,S$15,$M$1,Input_Prod_05!$I$11,$C$11,Input_Prod_05!$E$33,Input_Prod_05!$A40,$L$1,$K$1)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_xll.DBRW($B$1,Input_Prod_05!$G$11,Input_Prod_05!C$14,$M$1,Input_Prod_05!$I$11,$C$11,Input_Prod_05!$E$33,Input_Prod_05!$A41,$L$1,$K$1)</f>
        <v>0</v>
      </c>
      <c r="D41" s="36">
        <f>_xll.DBRW($B$1,Input_Prod_05!$G$11,Input_Prod_05!D$14,$M$1,Input_Prod_05!$I$11,$C$11,Input_Prod_05!$E$33,Input_Prod_05!$A41,$L$1,$K$1)</f>
        <v>0</v>
      </c>
      <c r="E41" s="36">
        <f>_xll.DBRW($B$1,Input_Prod_05!$G$11,Input_Prod_05!E$14,$M$1,Input_Prod_05!$I$11,$C$11,Input_Prod_05!$E$33,Input_Prod_05!$A41,$L$1,$K$1)</f>
        <v>0</v>
      </c>
      <c r="F41" s="36">
        <f>_xll.DBRW($B$1,Input_Prod_05!$G$11,Input_Prod_05!F$14,$M$1,Input_Prod_05!$I$11,$C$11,Input_Prod_05!$E$33,Input_Prod_05!$A41,$L$1,$K$1)</f>
        <v>0</v>
      </c>
      <c r="G41" s="36">
        <f>_xll.DBRW($B$1,Input_Prod_05!$G$11,Input_Prod_05!G$14,$M$1,Input_Prod_05!$I$11,$C$11,Input_Prod_05!$E$33,Input_Prod_05!$A41,$L$1,$K$1)</f>
        <v>0</v>
      </c>
      <c r="H41" s="36">
        <f>_xll.DBRW($B$1,Input_Prod_05!$G$11,Input_Prod_05!H$14,$M$1,Input_Prod_05!$I$11,$C$11,Input_Prod_05!$E$33,Input_Prod_05!$A41,$L$1,$K$1)</f>
        <v>0</v>
      </c>
      <c r="I41" s="36">
        <f>_xll.DBRW($B$1,Input_Prod_05!$G$11,Input_Prod_05!I$14,$M$1,Input_Prod_05!$I$11,$C$11,Input_Prod_05!$E$33,Input_Prod_05!$A41,$L$1,$K$1)</f>
        <v>0</v>
      </c>
      <c r="J41" s="36">
        <f>_xll.DBRW($B$1,Input_Prod_05!$G$11,Input_Prod_05!J$14,$M$1,Input_Prod_05!$I$11,$C$11,Input_Prod_05!$E$33,Input_Prod_05!$A41,$L$1,$K$1)</f>
        <v>0</v>
      </c>
      <c r="K41" s="36">
        <f>_xll.DBRW($B$1,Input_Prod_05!$G$11,Input_Prod_05!K$14,$M$1,Input_Prod_05!$I$11,$C$11,Input_Prod_05!$E$33,Input_Prod_05!$A41,$L$1,$K$1)</f>
        <v>0</v>
      </c>
      <c r="L41" s="36">
        <f>_xll.DBRW($B$1,Input_Prod_05!$G$11,Input_Prod_05!L$14,$M$1,Input_Prod_05!$I$11,$C$11,Input_Prod_05!$E$33,Input_Prod_05!$A41,$L$1,$K$1)</f>
        <v>0</v>
      </c>
      <c r="M41" s="36">
        <f>_xll.DBRW($B$1,Input_Prod_05!$G$11,Input_Prod_05!M$14,$M$1,Input_Prod_05!$I$11,$C$11,Input_Prod_05!$E$33,Input_Prod_05!$A41,$L$1,$K$1)</f>
        <v>0</v>
      </c>
      <c r="N41" s="36">
        <f>_xll.DBRW($B$1,Input_Prod_05!$G$11,Input_Prod_05!N$14,$M$1,Input_Prod_05!$I$11,$C$11,Input_Prod_05!$E$33,Input_Prod_05!$A41,$L$1,$K$1)</f>
        <v>0</v>
      </c>
      <c r="O41" s="36">
        <f>_xll.DBRW($B$1,O$13,O$15,$M$1,Input_Prod_05!$I$11,$C$11,Input_Prod_05!$E$33,Input_Prod_05!$A41,$L$1,$K$1)</f>
        <v>0</v>
      </c>
      <c r="P41" s="36">
        <f>_xll.DBRW($B$1,P$13,P$15,$M$1,Input_Prod_05!$I$11,$C$11,Input_Prod_05!$E$33,Input_Prod_05!$A41,$L$1,$K$1)</f>
        <v>0</v>
      </c>
      <c r="Q41" s="36">
        <f>_xll.DBRW($B$1,Q$13,Q$15,$M$1,Input_Prod_05!$I$11,$C$11,Input_Prod_05!$E$33,Input_Prod_05!$A41,$L$1,$K$1)</f>
        <v>0</v>
      </c>
      <c r="R41" s="36">
        <f>_xll.DBRW($B$1,R$13,R$15,$M$1,Input_Prod_05!$I$11,$C$11,Input_Prod_05!$E$33,Input_Prod_05!$A41,$L$1,$K$1)</f>
        <v>0</v>
      </c>
      <c r="S41" s="36">
        <f>_xll.DBRW($B$1,S$13,S$15,$M$1,Input_Prod_05!$I$11,$C$11,Input_Prod_05!$E$33,Input_Prod_05!$A41,$L$1,$K$1)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_xll.DBRW($B$1,Input_Prod_05!$G$11,Input_Prod_05!C$14,$M$1,Input_Prod_05!$I$11,$C$11,Input_Prod_05!$E$33,Input_Prod_05!$A42,$L$1,$K$1)</f>
        <v>0</v>
      </c>
      <c r="D42" s="36">
        <f>_xll.DBRW($B$1,Input_Prod_05!$G$11,Input_Prod_05!D$14,$M$1,Input_Prod_05!$I$11,$C$11,Input_Prod_05!$E$33,Input_Prod_05!$A42,$L$1,$K$1)</f>
        <v>0</v>
      </c>
      <c r="E42" s="36">
        <f>_xll.DBRW($B$1,Input_Prod_05!$G$11,Input_Prod_05!E$14,$M$1,Input_Prod_05!$I$11,$C$11,Input_Prod_05!$E$33,Input_Prod_05!$A42,$L$1,$K$1)</f>
        <v>0</v>
      </c>
      <c r="F42" s="36">
        <f>_xll.DBRW($B$1,Input_Prod_05!$G$11,Input_Prod_05!F$14,$M$1,Input_Prod_05!$I$11,$C$11,Input_Prod_05!$E$33,Input_Prod_05!$A42,$L$1,$K$1)</f>
        <v>0</v>
      </c>
      <c r="G42" s="36">
        <f>_xll.DBRW($B$1,Input_Prod_05!$G$11,Input_Prod_05!G$14,$M$1,Input_Prod_05!$I$11,$C$11,Input_Prod_05!$E$33,Input_Prod_05!$A42,$L$1,$K$1)</f>
        <v>0</v>
      </c>
      <c r="H42" s="36">
        <f>_xll.DBRW($B$1,Input_Prod_05!$G$11,Input_Prod_05!H$14,$M$1,Input_Prod_05!$I$11,$C$11,Input_Prod_05!$E$33,Input_Prod_05!$A42,$L$1,$K$1)</f>
        <v>0</v>
      </c>
      <c r="I42" s="36">
        <f>_xll.DBRW($B$1,Input_Prod_05!$G$11,Input_Prod_05!I$14,$M$1,Input_Prod_05!$I$11,$C$11,Input_Prod_05!$E$33,Input_Prod_05!$A42,$L$1,$K$1)</f>
        <v>0</v>
      </c>
      <c r="J42" s="36">
        <f>_xll.DBRW($B$1,Input_Prod_05!$G$11,Input_Prod_05!J$14,$M$1,Input_Prod_05!$I$11,$C$11,Input_Prod_05!$E$33,Input_Prod_05!$A42,$L$1,$K$1)</f>
        <v>0</v>
      </c>
      <c r="K42" s="36">
        <f>_xll.DBRW($B$1,Input_Prod_05!$G$11,Input_Prod_05!K$14,$M$1,Input_Prod_05!$I$11,$C$11,Input_Prod_05!$E$33,Input_Prod_05!$A42,$L$1,$K$1)</f>
        <v>0</v>
      </c>
      <c r="L42" s="36">
        <f>_xll.DBRW($B$1,Input_Prod_05!$G$11,Input_Prod_05!L$14,$M$1,Input_Prod_05!$I$11,$C$11,Input_Prod_05!$E$33,Input_Prod_05!$A42,$L$1,$K$1)</f>
        <v>0</v>
      </c>
      <c r="M42" s="36">
        <f>_xll.DBRW($B$1,Input_Prod_05!$G$11,Input_Prod_05!M$14,$M$1,Input_Prod_05!$I$11,$C$11,Input_Prod_05!$E$33,Input_Prod_05!$A42,$L$1,$K$1)</f>
        <v>0</v>
      </c>
      <c r="N42" s="36">
        <f>_xll.DBRW($B$1,Input_Prod_05!$G$11,Input_Prod_05!N$14,$M$1,Input_Prod_05!$I$11,$C$11,Input_Prod_05!$E$33,Input_Prod_05!$A42,$L$1,$K$1)</f>
        <v>0</v>
      </c>
      <c r="O42" s="36">
        <f>_xll.DBRW($B$1,O$13,O$15,$M$1,Input_Prod_05!$I$11,$C$11,Input_Prod_05!$E$33,Input_Prod_05!$A42,$L$1,$K$1)</f>
        <v>0</v>
      </c>
      <c r="P42" s="36">
        <f>_xll.DBRW($B$1,P$13,P$15,$M$1,Input_Prod_05!$I$11,$C$11,Input_Prod_05!$E$33,Input_Prod_05!$A42,$L$1,$K$1)</f>
        <v>0</v>
      </c>
      <c r="Q42" s="36">
        <f>_xll.DBRW($B$1,Q$13,Q$15,$M$1,Input_Prod_05!$I$11,$C$11,Input_Prod_05!$E$33,Input_Prod_05!$A42,$L$1,$K$1)</f>
        <v>0</v>
      </c>
      <c r="R42" s="36">
        <f>_xll.DBRW($B$1,R$13,R$15,$M$1,Input_Prod_05!$I$11,$C$11,Input_Prod_05!$E$33,Input_Prod_05!$A42,$L$1,$K$1)</f>
        <v>0</v>
      </c>
      <c r="S42" s="36">
        <f>_xll.DBRW($B$1,S$13,S$15,$M$1,Input_Prod_05!$I$11,$C$11,Input_Prod_05!$E$33,Input_Prod_05!$A42,$L$1,$K$1)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_xll.DBRW($B$1,Input_Prod_05!$G$11,Input_Prod_05!C$14,$M$1,Input_Prod_05!$I$11,$C$11,Input_Prod_05!$E$33,Input_Prod_05!$A43,$L$1,$K$1)</f>
        <v>0</v>
      </c>
      <c r="D43" s="36">
        <f>_xll.DBRW($B$1,Input_Prod_05!$G$11,Input_Prod_05!D$14,$M$1,Input_Prod_05!$I$11,$C$11,Input_Prod_05!$E$33,Input_Prod_05!$A43,$L$1,$K$1)</f>
        <v>0</v>
      </c>
      <c r="E43" s="36">
        <f>_xll.DBRW($B$1,Input_Prod_05!$G$11,Input_Prod_05!E$14,$M$1,Input_Prod_05!$I$11,$C$11,Input_Prod_05!$E$33,Input_Prod_05!$A43,$L$1,$K$1)</f>
        <v>0</v>
      </c>
      <c r="F43" s="36">
        <f>_xll.DBRW($B$1,Input_Prod_05!$G$11,Input_Prod_05!F$14,$M$1,Input_Prod_05!$I$11,$C$11,Input_Prod_05!$E$33,Input_Prod_05!$A43,$L$1,$K$1)</f>
        <v>0</v>
      </c>
      <c r="G43" s="36">
        <f>_xll.DBRW($B$1,Input_Prod_05!$G$11,Input_Prod_05!G$14,$M$1,Input_Prod_05!$I$11,$C$11,Input_Prod_05!$E$33,Input_Prod_05!$A43,$L$1,$K$1)</f>
        <v>0</v>
      </c>
      <c r="H43" s="36">
        <f>_xll.DBRW($B$1,Input_Prod_05!$G$11,Input_Prod_05!H$14,$M$1,Input_Prod_05!$I$11,$C$11,Input_Prod_05!$E$33,Input_Prod_05!$A43,$L$1,$K$1)</f>
        <v>0</v>
      </c>
      <c r="I43" s="36">
        <f>_xll.DBRW($B$1,Input_Prod_05!$G$11,Input_Prod_05!I$14,$M$1,Input_Prod_05!$I$11,$C$11,Input_Prod_05!$E$33,Input_Prod_05!$A43,$L$1,$K$1)</f>
        <v>0</v>
      </c>
      <c r="J43" s="36">
        <f>_xll.DBRW($B$1,Input_Prod_05!$G$11,Input_Prod_05!J$14,$M$1,Input_Prod_05!$I$11,$C$11,Input_Prod_05!$E$33,Input_Prod_05!$A43,$L$1,$K$1)</f>
        <v>0</v>
      </c>
      <c r="K43" s="36">
        <f>_xll.DBRW($B$1,Input_Prod_05!$G$11,Input_Prod_05!K$14,$M$1,Input_Prod_05!$I$11,$C$11,Input_Prod_05!$E$33,Input_Prod_05!$A43,$L$1,$K$1)</f>
        <v>0</v>
      </c>
      <c r="L43" s="36">
        <f>_xll.DBRW($B$1,Input_Prod_05!$G$11,Input_Prod_05!L$14,$M$1,Input_Prod_05!$I$11,$C$11,Input_Prod_05!$E$33,Input_Prod_05!$A43,$L$1,$K$1)</f>
        <v>0</v>
      </c>
      <c r="M43" s="36">
        <f>_xll.DBRW($B$1,Input_Prod_05!$G$11,Input_Prod_05!M$14,$M$1,Input_Prod_05!$I$11,$C$11,Input_Prod_05!$E$33,Input_Prod_05!$A43,$L$1,$K$1)</f>
        <v>0</v>
      </c>
      <c r="N43" s="36">
        <f>_xll.DBRW($B$1,Input_Prod_05!$G$11,Input_Prod_05!N$14,$M$1,Input_Prod_05!$I$11,$C$11,Input_Prod_05!$E$33,Input_Prod_05!$A43,$L$1,$K$1)</f>
        <v>0</v>
      </c>
      <c r="O43" s="36">
        <f>_xll.DBRW($B$1,O$13,O$15,$M$1,Input_Prod_05!$I$11,$C$11,Input_Prod_05!$E$33,Input_Prod_05!$A43,$L$1,$K$1)</f>
        <v>0</v>
      </c>
      <c r="P43" s="36">
        <f>_xll.DBRW($B$1,P$13,P$15,$M$1,Input_Prod_05!$I$11,$C$11,Input_Prod_05!$E$33,Input_Prod_05!$A43,$L$1,$K$1)</f>
        <v>0</v>
      </c>
      <c r="Q43" s="36">
        <f>_xll.DBRW($B$1,Q$13,Q$15,$M$1,Input_Prod_05!$I$11,$C$11,Input_Prod_05!$E$33,Input_Prod_05!$A43,$L$1,$K$1)</f>
        <v>0</v>
      </c>
      <c r="R43" s="36">
        <f>_xll.DBRW($B$1,R$13,R$15,$M$1,Input_Prod_05!$I$11,$C$11,Input_Prod_05!$E$33,Input_Prod_05!$A43,$L$1,$K$1)</f>
        <v>0</v>
      </c>
      <c r="S43" s="36">
        <f>_xll.DBRW($B$1,S$13,S$15,$M$1,Input_Prod_05!$I$11,$C$11,Input_Prod_05!$E$33,Input_Prod_05!$A43,$L$1,$K$1)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_xll.DBRW($B$2,Input_Prod_05!$G$11,Input_Prod_05!C$14,$M$1,Input_Prod_05!$I$11,$C$11,$E$33,$K$2,$B$44)</f>
        <v>0</v>
      </c>
      <c r="D44" s="48">
        <f>_xll.DBRW($B$2,Input_Prod_05!$G$11,Input_Prod_05!D$14,$M$1,Input_Prod_05!$I$11,$C$11,$E$33,$K$2,$B$44)</f>
        <v>0</v>
      </c>
      <c r="E44" s="48">
        <f>_xll.DBRW($B$2,Input_Prod_05!$G$11,Input_Prod_05!E$14,$M$1,Input_Prod_05!$I$11,$C$11,$E$33,$K$2,$B$44)</f>
        <v>0</v>
      </c>
      <c r="F44" s="48">
        <f>_xll.DBRW($B$2,Input_Prod_05!$G$11,Input_Prod_05!F$14,$M$1,Input_Prod_05!$I$11,$C$11,$E$33,$K$2,$B$44)</f>
        <v>0</v>
      </c>
      <c r="G44" s="48">
        <f>_xll.DBRW($B$2,Input_Prod_05!$G$11,Input_Prod_05!G$14,$M$1,Input_Prod_05!$I$11,$C$11,$E$33,$K$2,$B$44)</f>
        <v>0</v>
      </c>
      <c r="H44" s="48">
        <f>_xll.DBRW($B$2,Input_Prod_05!$G$11,Input_Prod_05!H$14,$M$1,Input_Prod_05!$I$11,$C$11,$E$33,$K$2,$B$44)</f>
        <v>0</v>
      </c>
      <c r="I44" s="48">
        <f>_xll.DBRW($B$2,Input_Prod_05!$G$11,Input_Prod_05!I$14,$M$1,Input_Prod_05!$I$11,$C$11,$E$33,$K$2,$B$44)</f>
        <v>0</v>
      </c>
      <c r="J44" s="48">
        <f>_xll.DBRW($B$2,Input_Prod_05!$G$11,Input_Prod_05!J$14,$M$1,Input_Prod_05!$I$11,$C$11,$E$33,$K$2,$B$44)</f>
        <v>0</v>
      </c>
      <c r="K44" s="48">
        <f>_xll.DBRW($B$2,Input_Prod_05!$G$11,Input_Prod_05!K$14,$M$1,Input_Prod_05!$I$11,$C$11,$E$33,$K$2,$B$44)</f>
        <v>0</v>
      </c>
      <c r="L44" s="48">
        <f>_xll.DBRW($B$2,Input_Prod_05!$G$11,Input_Prod_05!L$14,$M$1,Input_Prod_05!$I$11,$C$11,$E$33,$K$2,$B$44)</f>
        <v>0</v>
      </c>
      <c r="M44" s="48">
        <f>_xll.DBRW($B$2,Input_Prod_05!$G$11,Input_Prod_05!M$14,$M$1,Input_Prod_05!$I$11,$C$11,$E$33,$K$2,$B$44)</f>
        <v>0</v>
      </c>
      <c r="N44" s="48">
        <f>_xll.DBRW($B$2,Input_Prod_05!$G$11,Input_Prod_05!N$14,$M$1,Input_Prod_05!$I$11,$C$11,$E$33,$K$2,$B$44)</f>
        <v>0</v>
      </c>
      <c r="O44" s="48">
        <f>_xll.DBRW($B$2,O$13,$O$15,$M$1,Input_Prod_05!$I$11,$C$11,$E$33,$K$2,$B$44)</f>
        <v>0</v>
      </c>
      <c r="P44" s="48">
        <f>_xll.DBRW($B$2,P$13,$O$15,$M$1,Input_Prod_05!$I$11,$C$11,$E$33,$K$2,$B$44)</f>
        <v>0</v>
      </c>
      <c r="Q44" s="48">
        <f>_xll.DBRW($B$2,Q$13,$O$15,$M$1,Input_Prod_05!$I$11,$C$11,$E$33,$K$2,$B$44)</f>
        <v>0</v>
      </c>
      <c r="R44" s="48">
        <f>_xll.DBRW($B$2,R$13,$O$15,$M$1,Input_Prod_05!$I$11,$C$11,$E$33,$K$2,$B$44)</f>
        <v>0</v>
      </c>
      <c r="S44" s="48">
        <f>_xll.DBRW($B$2,S$13,$O$15,$M$1,Input_Prod_05!$I$11,$C$11,$E$33,$K$2,$B$44)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_xll.DBRW($B$2,Input_Prod_05!$G$11,Input_Prod_05!C$14,$M$1,Input_Prod_05!$I$11,$C$11,$E$33,$K$2,$B$45)</f>
        <v>0</v>
      </c>
      <c r="D45" s="41">
        <f>_xll.DBRW($B$2,Input_Prod_05!$G$11,Input_Prod_05!D$14,$M$1,Input_Prod_05!$I$11,$C$11,$E$33,$K$2,$B$45)</f>
        <v>0</v>
      </c>
      <c r="E45" s="41">
        <f>_xll.DBRW($B$2,Input_Prod_05!$G$11,Input_Prod_05!E$14,$M$1,Input_Prod_05!$I$11,$C$11,$E$33,$K$2,$B$45)</f>
        <v>0</v>
      </c>
      <c r="F45" s="41">
        <f>_xll.DBRW($B$2,Input_Prod_05!$G$11,Input_Prod_05!F$14,$M$1,Input_Prod_05!$I$11,$C$11,$E$33,$K$2,$B$45)</f>
        <v>0</v>
      </c>
      <c r="G45" s="41">
        <f>_xll.DBRW($B$2,Input_Prod_05!$G$11,Input_Prod_05!G$14,$M$1,Input_Prod_05!$I$11,$C$11,$E$33,$K$2,$B$45)</f>
        <v>0</v>
      </c>
      <c r="H45" s="41">
        <f>_xll.DBRW($B$2,Input_Prod_05!$G$11,Input_Prod_05!H$14,$M$1,Input_Prod_05!$I$11,$C$11,$E$33,$K$2,$B$45)</f>
        <v>0</v>
      </c>
      <c r="I45" s="41">
        <f>_xll.DBRW($B$2,Input_Prod_05!$G$11,Input_Prod_05!I$14,$M$1,Input_Prod_05!$I$11,$C$11,$E$33,$K$2,$B$45)</f>
        <v>0</v>
      </c>
      <c r="J45" s="41">
        <f>_xll.DBRW($B$2,Input_Prod_05!$G$11,Input_Prod_05!J$14,$M$1,Input_Prod_05!$I$11,$C$11,$E$33,$K$2,$B$45)</f>
        <v>0</v>
      </c>
      <c r="K45" s="41">
        <f>_xll.DBRW($B$2,Input_Prod_05!$G$11,Input_Prod_05!K$14,$M$1,Input_Prod_05!$I$11,$C$11,$E$33,$K$2,$B$45)</f>
        <v>0</v>
      </c>
      <c r="L45" s="41">
        <f>_xll.DBRW($B$2,Input_Prod_05!$G$11,Input_Prod_05!L$14,$M$1,Input_Prod_05!$I$11,$C$11,$E$33,$K$2,$B$45)</f>
        <v>0</v>
      </c>
      <c r="M45" s="41">
        <f>_xll.DBRW($B$2,Input_Prod_05!$G$11,Input_Prod_05!M$14,$M$1,Input_Prod_05!$I$11,$C$11,$E$33,$K$2,$B$45)</f>
        <v>0</v>
      </c>
      <c r="N45" s="41">
        <f>_xll.DBRW($B$2,Input_Prod_05!$G$11,Input_Prod_05!N$14,$M$1,Input_Prod_05!$I$11,$C$11,$E$33,$K$2,$B$45)</f>
        <v>0</v>
      </c>
      <c r="O45" s="48">
        <f>_xll.DBRW($B$2,O$13,$O$15,$M$1,Input_Prod_05!$I$11,$C$11,$E$33,$K$2,$B$44)</f>
        <v>0</v>
      </c>
      <c r="P45" s="48">
        <f>_xll.DBRW($B$2,P$13,$O$15,$M$1,Input_Prod_05!$I$11,$C$11,$E$33,$K$2,$B$44)</f>
        <v>0</v>
      </c>
      <c r="Q45" s="48">
        <f>_xll.DBRW($B$2,Q$13,$O$15,$M$1,Input_Prod_05!$I$11,$C$11,$E$33,$K$2,$B$44)</f>
        <v>0</v>
      </c>
      <c r="R45" s="48">
        <f>_xll.DBRW($B$2,R$13,$O$15,$M$1,Input_Prod_05!$I$11,$C$11,$E$33,$K$2,$B$44)</f>
        <v>0</v>
      </c>
      <c r="S45" s="48">
        <f>_xll.DBRW($B$2,S$13,$O$15,$M$1,Input_Prod_05!$I$11,$C$11,$E$33,$K$2,$B$44)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8">
        <f>$G$11+1</f>
        <v>2027</v>
      </c>
      <c r="P51" s="98">
        <f>$G$11+2</f>
        <v>2028</v>
      </c>
      <c r="Q51" s="98">
        <f>$G$11+3</f>
        <v>2029</v>
      </c>
      <c r="R51" s="98">
        <f>$G$11+4</f>
        <v>2030</v>
      </c>
      <c r="S51" s="98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_xll.DBRW($B$1,Input_Prod_05!$G$11,Input_Prod_05!C$14,$M$1,Input_Prod_05!$I$11,$C$11,Input_Prod_05!$E$33,Input_Prod_05!$A53,$L$1,$K$1)</f>
        <v>0</v>
      </c>
      <c r="D53" s="36">
        <f>_xll.DBRW($B$1,Input_Prod_05!$G$11,Input_Prod_05!D$14,$M$1,Input_Prod_05!$I$11,$C$11,Input_Prod_05!$E$33,Input_Prod_05!$A53,$L$1,$K$1)</f>
        <v>0</v>
      </c>
      <c r="E53" s="36">
        <f>_xll.DBRW($B$1,Input_Prod_05!$G$11,Input_Prod_05!E$14,$M$1,Input_Prod_05!$I$11,$C$11,Input_Prod_05!$E$33,Input_Prod_05!$A53,$L$1,$K$1)</f>
        <v>0</v>
      </c>
      <c r="F53" s="36">
        <f>_xll.DBRW($B$1,Input_Prod_05!$G$11,Input_Prod_05!F$14,$M$1,Input_Prod_05!$I$11,$C$11,Input_Prod_05!$E$33,Input_Prod_05!$A53,$L$1,$K$1)</f>
        <v>0</v>
      </c>
      <c r="G53" s="36">
        <f>_xll.DBRW($B$1,Input_Prod_05!$G$11,Input_Prod_05!G$14,$M$1,Input_Prod_05!$I$11,$C$11,Input_Prod_05!$E$33,Input_Prod_05!$A53,$L$1,$K$1)</f>
        <v>0</v>
      </c>
      <c r="H53" s="36">
        <f>_xll.DBRW($B$1,Input_Prod_05!$G$11,Input_Prod_05!H$14,$M$1,Input_Prod_05!$I$11,$C$11,Input_Prod_05!$E$33,Input_Prod_05!$A53,$L$1,$K$1)</f>
        <v>0</v>
      </c>
      <c r="I53" s="36">
        <f>_xll.DBRW($B$1,Input_Prod_05!$G$11,Input_Prod_05!I$14,$M$1,Input_Prod_05!$I$11,$C$11,Input_Prod_05!$E$33,Input_Prod_05!$A53,$L$1,$K$1)</f>
        <v>0</v>
      </c>
      <c r="J53" s="36">
        <f>_xll.DBRW($B$1,Input_Prod_05!$G$11,Input_Prod_05!J$14,$M$1,Input_Prod_05!$I$11,$C$11,Input_Prod_05!$E$33,Input_Prod_05!$A53,$L$1,$K$1)</f>
        <v>0</v>
      </c>
      <c r="K53" s="36">
        <f>_xll.DBRW($B$1,Input_Prod_05!$G$11,Input_Prod_05!K$14,$M$1,Input_Prod_05!$I$11,$C$11,Input_Prod_05!$E$33,Input_Prod_05!$A53,$L$1,$K$1)</f>
        <v>0</v>
      </c>
      <c r="L53" s="36">
        <f>_xll.DBRW($B$1,Input_Prod_05!$G$11,Input_Prod_05!L$14,$M$1,Input_Prod_05!$I$11,$C$11,Input_Prod_05!$E$33,Input_Prod_05!$A53,$L$1,$K$1)</f>
        <v>0</v>
      </c>
      <c r="M53" s="36">
        <f>_xll.DBRW($B$1,Input_Prod_05!$G$11,Input_Prod_05!M$14,$M$1,Input_Prod_05!$I$11,$C$11,Input_Prod_05!$E$33,Input_Prod_05!$A53,$L$1,$K$1)</f>
        <v>0</v>
      </c>
      <c r="N53" s="36">
        <f>_xll.DBRW($B$1,Input_Prod_05!$G$11,Input_Prod_05!N$14,$M$1,Input_Prod_05!$I$11,$C$11,Input_Prod_05!$E$33,Input_Prod_05!$A53,$L$1,$K$1)</f>
        <v>0</v>
      </c>
      <c r="O53" s="36">
        <f>_xll.DBRW($B$1,O$13,O$15,$M$1,Input_Prod_05!$I$11,$C$11,Input_Prod_05!$E$33,Input_Prod_05!$A53,$L$1,$K$1)</f>
        <v>0</v>
      </c>
      <c r="P53" s="36">
        <f>_xll.DBRW($B$1,P$13,P$15,$M$1,Input_Prod_05!$I$11,$C$11,Input_Prod_05!$E$33,Input_Prod_05!$A53,$L$1,$K$1)</f>
        <v>0</v>
      </c>
      <c r="Q53" s="36">
        <f>_xll.DBRW($B$1,Q$13,Q$15,$M$1,Input_Prod_05!$I$11,$C$11,Input_Prod_05!$E$33,Input_Prod_05!$A53,$L$1,$K$1)</f>
        <v>0</v>
      </c>
      <c r="R53" s="36">
        <f>_xll.DBRW($B$1,R$13,R$15,$M$1,Input_Prod_05!$I$11,$C$11,Input_Prod_05!$E$33,Input_Prod_05!$A53,$L$1,$K$1)</f>
        <v>0</v>
      </c>
      <c r="S53" s="36">
        <f>_xll.DBRW($B$1,S$13,S$15,$M$1,Input_Prod_05!$I$11,$C$11,Input_Prod_05!$E$33,Input_Prod_05!$A53,$L$1,$K$1)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_xll.DBRW($B$1,Input_Prod_05!$G$11,Input_Prod_05!C$14,$M$1,Input_Prod_05!$I$11,$C$11,Input_Prod_05!$E$33,Input_Prod_05!$A54,$L$1,$K$1)</f>
        <v>0</v>
      </c>
      <c r="D54" s="36">
        <f>_xll.DBRW($B$1,Input_Prod_05!$G$11,Input_Prod_05!D$14,$M$1,Input_Prod_05!$I$11,$C$11,Input_Prod_05!$E$33,Input_Prod_05!$A54,$L$1,$K$1)</f>
        <v>0</v>
      </c>
      <c r="E54" s="36">
        <f>_xll.DBRW($B$1,Input_Prod_05!$G$11,Input_Prod_05!E$14,$M$1,Input_Prod_05!$I$11,$C$11,Input_Prod_05!$E$33,Input_Prod_05!$A54,$L$1,$K$1)</f>
        <v>0</v>
      </c>
      <c r="F54" s="36">
        <f>_xll.DBRW($B$1,Input_Prod_05!$G$11,Input_Prod_05!F$14,$M$1,Input_Prod_05!$I$11,$C$11,Input_Prod_05!$E$33,Input_Prod_05!$A54,$L$1,$K$1)</f>
        <v>0</v>
      </c>
      <c r="G54" s="36">
        <f>_xll.DBRW($B$1,Input_Prod_05!$G$11,Input_Prod_05!G$14,$M$1,Input_Prod_05!$I$11,$C$11,Input_Prod_05!$E$33,Input_Prod_05!$A54,$L$1,$K$1)</f>
        <v>0</v>
      </c>
      <c r="H54" s="36">
        <f>_xll.DBRW($B$1,Input_Prod_05!$G$11,Input_Prod_05!H$14,$M$1,Input_Prod_05!$I$11,$C$11,Input_Prod_05!$E$33,Input_Prod_05!$A54,$L$1,$K$1)</f>
        <v>0</v>
      </c>
      <c r="I54" s="36">
        <f>_xll.DBRW($B$1,Input_Prod_05!$G$11,Input_Prod_05!I$14,$M$1,Input_Prod_05!$I$11,$C$11,Input_Prod_05!$E$33,Input_Prod_05!$A54,$L$1,$K$1)</f>
        <v>0</v>
      </c>
      <c r="J54" s="36">
        <f>_xll.DBRW($B$1,Input_Prod_05!$G$11,Input_Prod_05!J$14,$M$1,Input_Prod_05!$I$11,$C$11,Input_Prod_05!$E$33,Input_Prod_05!$A54,$L$1,$K$1)</f>
        <v>0</v>
      </c>
      <c r="K54" s="36">
        <f>_xll.DBRW($B$1,Input_Prod_05!$G$11,Input_Prod_05!K$14,$M$1,Input_Prod_05!$I$11,$C$11,Input_Prod_05!$E$33,Input_Prod_05!$A54,$L$1,$K$1)</f>
        <v>0</v>
      </c>
      <c r="L54" s="36">
        <f>_xll.DBRW($B$1,Input_Prod_05!$G$11,Input_Prod_05!L$14,$M$1,Input_Prod_05!$I$11,$C$11,Input_Prod_05!$E$33,Input_Prod_05!$A54,$L$1,$K$1)</f>
        <v>0</v>
      </c>
      <c r="M54" s="36">
        <f>_xll.DBRW($B$1,Input_Prod_05!$G$11,Input_Prod_05!M$14,$M$1,Input_Prod_05!$I$11,$C$11,Input_Prod_05!$E$33,Input_Prod_05!$A54,$L$1,$K$1)</f>
        <v>0</v>
      </c>
      <c r="N54" s="36">
        <f>_xll.DBRW($B$1,Input_Prod_05!$G$11,Input_Prod_05!N$14,$M$1,Input_Prod_05!$I$11,$C$11,Input_Prod_05!$E$33,Input_Prod_05!$A54,$L$1,$K$1)</f>
        <v>0</v>
      </c>
      <c r="O54" s="36">
        <f>_xll.DBRW($B$1,O$13,O$15,$M$1,Input_Prod_05!$I$11,$C$11,Input_Prod_05!$E$33,Input_Prod_05!$A54,$L$1,$K$1)</f>
        <v>0</v>
      </c>
      <c r="P54" s="36">
        <f>_xll.DBRW($B$1,P$13,P$15,$M$1,Input_Prod_05!$I$11,$C$11,Input_Prod_05!$E$33,Input_Prod_05!$A54,$L$1,$K$1)</f>
        <v>0</v>
      </c>
      <c r="Q54" s="36">
        <f>_xll.DBRW($B$1,Q$13,Q$15,$M$1,Input_Prod_05!$I$11,$C$11,Input_Prod_05!$E$33,Input_Prod_05!$A54,$L$1,$K$1)</f>
        <v>0</v>
      </c>
      <c r="R54" s="36">
        <f>_xll.DBRW($B$1,R$13,R$15,$M$1,Input_Prod_05!$I$11,$C$11,Input_Prod_05!$E$33,Input_Prod_05!$A54,$L$1,$K$1)</f>
        <v>0</v>
      </c>
      <c r="S54" s="36">
        <f>_xll.DBRW($B$1,S$13,S$15,$M$1,Input_Prod_05!$I$11,$C$11,Input_Prod_05!$E$33,Input_Prod_05!$A54,$L$1,$K$1)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_xll.DBRW($B$1,Input_Prod_05!$G$11,Input_Prod_05!C$14,$M$1,Input_Prod_05!$I$11,$C$11,Input_Prod_05!$E$33,Input_Prod_05!$A55,$L$1,$K$1)</f>
        <v>0</v>
      </c>
      <c r="D55" s="36">
        <f>_xll.DBRW($B$1,Input_Prod_05!$G$11,Input_Prod_05!D$14,$M$1,Input_Prod_05!$I$11,$C$11,Input_Prod_05!$E$33,Input_Prod_05!$A55,$L$1,$K$1)</f>
        <v>0</v>
      </c>
      <c r="E55" s="36">
        <f>_xll.DBRW($B$1,Input_Prod_05!$G$11,Input_Prod_05!E$14,$M$1,Input_Prod_05!$I$11,$C$11,Input_Prod_05!$E$33,Input_Prod_05!$A55,$L$1,$K$1)</f>
        <v>0</v>
      </c>
      <c r="F55" s="36">
        <f>_xll.DBRW($B$1,Input_Prod_05!$G$11,Input_Prod_05!F$14,$M$1,Input_Prod_05!$I$11,$C$11,Input_Prod_05!$E$33,Input_Prod_05!$A55,$L$1,$K$1)</f>
        <v>0</v>
      </c>
      <c r="G55" s="36">
        <f>_xll.DBRW($B$1,Input_Prod_05!$G$11,Input_Prod_05!G$14,$M$1,Input_Prod_05!$I$11,$C$11,Input_Prod_05!$E$33,Input_Prod_05!$A55,$L$1,$K$1)</f>
        <v>0</v>
      </c>
      <c r="H55" s="36">
        <f>_xll.DBRW($B$1,Input_Prod_05!$G$11,Input_Prod_05!H$14,$M$1,Input_Prod_05!$I$11,$C$11,Input_Prod_05!$E$33,Input_Prod_05!$A55,$L$1,$K$1)</f>
        <v>0</v>
      </c>
      <c r="I55" s="36">
        <f>_xll.DBRW($B$1,Input_Prod_05!$G$11,Input_Prod_05!I$14,$M$1,Input_Prod_05!$I$11,$C$11,Input_Prod_05!$E$33,Input_Prod_05!$A55,$L$1,$K$1)</f>
        <v>0</v>
      </c>
      <c r="J55" s="36">
        <f>_xll.DBRW($B$1,Input_Prod_05!$G$11,Input_Prod_05!J$14,$M$1,Input_Prod_05!$I$11,$C$11,Input_Prod_05!$E$33,Input_Prod_05!$A55,$L$1,$K$1)</f>
        <v>0</v>
      </c>
      <c r="K55" s="36">
        <f>_xll.DBRW($B$1,Input_Prod_05!$G$11,Input_Prod_05!K$14,$M$1,Input_Prod_05!$I$11,$C$11,Input_Prod_05!$E$33,Input_Prod_05!$A55,$L$1,$K$1)</f>
        <v>0</v>
      </c>
      <c r="L55" s="36">
        <f>_xll.DBRW($B$1,Input_Prod_05!$G$11,Input_Prod_05!L$14,$M$1,Input_Prod_05!$I$11,$C$11,Input_Prod_05!$E$33,Input_Prod_05!$A55,$L$1,$K$1)</f>
        <v>0</v>
      </c>
      <c r="M55" s="36">
        <f>_xll.DBRW($B$1,Input_Prod_05!$G$11,Input_Prod_05!M$14,$M$1,Input_Prod_05!$I$11,$C$11,Input_Prod_05!$E$33,Input_Prod_05!$A55,$L$1,$K$1)</f>
        <v>0</v>
      </c>
      <c r="N55" s="36">
        <f>_xll.DBRW($B$1,Input_Prod_05!$G$11,Input_Prod_05!N$14,$M$1,Input_Prod_05!$I$11,$C$11,Input_Prod_05!$E$33,Input_Prod_05!$A55,$L$1,$K$1)</f>
        <v>0</v>
      </c>
      <c r="O55" s="36">
        <f>_xll.DBRW($B$1,O$13,O$15,$M$1,Input_Prod_05!$I$11,$C$11,Input_Prod_05!$E$33,Input_Prod_05!$A55,$L$1,$K$1)</f>
        <v>0</v>
      </c>
      <c r="P55" s="36">
        <f>_xll.DBRW($B$1,P$13,P$15,$M$1,Input_Prod_05!$I$11,$C$11,Input_Prod_05!$E$33,Input_Prod_05!$A55,$L$1,$K$1)</f>
        <v>0</v>
      </c>
      <c r="Q55" s="36">
        <f>_xll.DBRW($B$1,Q$13,Q$15,$M$1,Input_Prod_05!$I$11,$C$11,Input_Prod_05!$E$33,Input_Prod_05!$A55,$L$1,$K$1)</f>
        <v>0</v>
      </c>
      <c r="R55" s="36">
        <f>_xll.DBRW($B$1,R$13,R$15,$M$1,Input_Prod_05!$I$11,$C$11,Input_Prod_05!$E$33,Input_Prod_05!$A55,$L$1,$K$1)</f>
        <v>0</v>
      </c>
      <c r="S55" s="36">
        <f>_xll.DBRW($B$1,S$13,S$15,$M$1,Input_Prod_05!$I$11,$C$11,Input_Prod_05!$E$33,Input_Prod_05!$A55,$L$1,$K$1)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_xll.DBRW($B$1,Input_Prod_05!$G$11,Input_Prod_05!C$14,$M$1,Input_Prod_05!$I$11,$C$11,Input_Prod_05!$E$33,Input_Prod_05!$A56,$L$1,$K$1)</f>
        <v>0</v>
      </c>
      <c r="D56" s="36">
        <f>_xll.DBRW($B$1,Input_Prod_05!$G$11,Input_Prod_05!D$14,$M$1,Input_Prod_05!$I$11,$C$11,Input_Prod_05!$E$33,Input_Prod_05!$A56,$L$1,$K$1)</f>
        <v>0</v>
      </c>
      <c r="E56" s="36">
        <f>_xll.DBRW($B$1,Input_Prod_05!$G$11,Input_Prod_05!E$14,$M$1,Input_Prod_05!$I$11,$C$11,Input_Prod_05!$E$33,Input_Prod_05!$A56,$L$1,$K$1)</f>
        <v>0</v>
      </c>
      <c r="F56" s="36">
        <f>_xll.DBRW($B$1,Input_Prod_05!$G$11,Input_Prod_05!F$14,$M$1,Input_Prod_05!$I$11,$C$11,Input_Prod_05!$E$33,Input_Prod_05!$A56,$L$1,$K$1)</f>
        <v>0</v>
      </c>
      <c r="G56" s="36">
        <f>_xll.DBRW($B$1,Input_Prod_05!$G$11,Input_Prod_05!G$14,$M$1,Input_Prod_05!$I$11,$C$11,Input_Prod_05!$E$33,Input_Prod_05!$A56,$L$1,$K$1)</f>
        <v>0</v>
      </c>
      <c r="H56" s="36">
        <f>_xll.DBRW($B$1,Input_Prod_05!$G$11,Input_Prod_05!H$14,$M$1,Input_Prod_05!$I$11,$C$11,Input_Prod_05!$E$33,Input_Prod_05!$A56,$L$1,$K$1)</f>
        <v>0</v>
      </c>
      <c r="I56" s="36">
        <f>_xll.DBRW($B$1,Input_Prod_05!$G$11,Input_Prod_05!I$14,$M$1,Input_Prod_05!$I$11,$C$11,Input_Prod_05!$E$33,Input_Prod_05!$A56,$L$1,$K$1)</f>
        <v>0</v>
      </c>
      <c r="J56" s="36">
        <f>_xll.DBRW($B$1,Input_Prod_05!$G$11,Input_Prod_05!J$14,$M$1,Input_Prod_05!$I$11,$C$11,Input_Prod_05!$E$33,Input_Prod_05!$A56,$L$1,$K$1)</f>
        <v>0</v>
      </c>
      <c r="K56" s="36">
        <f>_xll.DBRW($B$1,Input_Prod_05!$G$11,Input_Prod_05!K$14,$M$1,Input_Prod_05!$I$11,$C$11,Input_Prod_05!$E$33,Input_Prod_05!$A56,$L$1,$K$1)</f>
        <v>0</v>
      </c>
      <c r="L56" s="36">
        <f>_xll.DBRW($B$1,Input_Prod_05!$G$11,Input_Prod_05!L$14,$M$1,Input_Prod_05!$I$11,$C$11,Input_Prod_05!$E$33,Input_Prod_05!$A56,$L$1,$K$1)</f>
        <v>0</v>
      </c>
      <c r="M56" s="36">
        <f>_xll.DBRW($B$1,Input_Prod_05!$G$11,Input_Prod_05!M$14,$M$1,Input_Prod_05!$I$11,$C$11,Input_Prod_05!$E$33,Input_Prod_05!$A56,$L$1,$K$1)</f>
        <v>0</v>
      </c>
      <c r="N56" s="36">
        <f>_xll.DBRW($B$1,Input_Prod_05!$G$11,Input_Prod_05!N$14,$M$1,Input_Prod_05!$I$11,$C$11,Input_Prod_05!$E$33,Input_Prod_05!$A56,$L$1,$K$1)</f>
        <v>0</v>
      </c>
      <c r="O56" s="36">
        <f>_xll.DBRW($B$1,O$13,O$15,$M$1,Input_Prod_05!$I$11,$C$11,Input_Prod_05!$E$33,Input_Prod_05!$A56,$L$1,$K$1)</f>
        <v>0</v>
      </c>
      <c r="P56" s="36">
        <f>_xll.DBRW($B$1,P$13,P$15,$M$1,Input_Prod_05!$I$11,$C$11,Input_Prod_05!$E$33,Input_Prod_05!$A56,$L$1,$K$1)</f>
        <v>0</v>
      </c>
      <c r="Q56" s="36">
        <f>_xll.DBRW($B$1,Q$13,Q$15,$M$1,Input_Prod_05!$I$11,$C$11,Input_Prod_05!$E$33,Input_Prod_05!$A56,$L$1,$K$1)</f>
        <v>0</v>
      </c>
      <c r="R56" s="36">
        <f>_xll.DBRW($B$1,R$13,R$15,$M$1,Input_Prod_05!$I$11,$C$11,Input_Prod_05!$E$33,Input_Prod_05!$A56,$L$1,$K$1)</f>
        <v>0</v>
      </c>
      <c r="S56" s="36">
        <f>_xll.DBRW($B$1,S$13,S$15,$M$1,Input_Prod_05!$I$11,$C$11,Input_Prod_05!$E$33,Input_Prod_05!$A56,$L$1,$K$1)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_xll.DBRW($B$1,Input_Prod_05!$G$11,Input_Prod_05!C$14,$M$1,Input_Prod_05!$I$11,$C$11,$E$33,$A$57,"Total Accounts Line",$K$1)</f>
        <v>0</v>
      </c>
      <c r="D57" s="48">
        <f>_xll.DBRW($B$1,Input_Prod_05!$G$11,Input_Prod_05!D$14,$M$1,Input_Prod_05!$I$11,$C$11,$E$33,$A$57,"Total Accounts Line",$K$1)</f>
        <v>0</v>
      </c>
      <c r="E57" s="48">
        <f>_xll.DBRW($B$1,Input_Prod_05!$G$11,Input_Prod_05!E$14,$M$1,Input_Prod_05!$I$11,$C$11,$E$33,$A$57,"Total Accounts Line",$K$1)</f>
        <v>0</v>
      </c>
      <c r="F57" s="48">
        <f>_xll.DBRW($B$1,Input_Prod_05!$G$11,Input_Prod_05!F$14,$M$1,Input_Prod_05!$I$11,$C$11,$E$33,$A$57,"Total Accounts Line",$K$1)</f>
        <v>0</v>
      </c>
      <c r="G57" s="48">
        <f>_xll.DBRW($B$1,Input_Prod_05!$G$11,Input_Prod_05!G$14,$M$1,Input_Prod_05!$I$11,$C$11,$E$33,$A$57,"Total Accounts Line",$K$1)</f>
        <v>0</v>
      </c>
      <c r="H57" s="48">
        <f>_xll.DBRW($B$1,Input_Prod_05!$G$11,Input_Prod_05!H$14,$M$1,Input_Prod_05!$I$11,$C$11,$E$33,$A$57,"Total Accounts Line",$K$1)</f>
        <v>0</v>
      </c>
      <c r="I57" s="48">
        <f>_xll.DBRW($B$1,Input_Prod_05!$G$11,Input_Prod_05!I$14,$M$1,Input_Prod_05!$I$11,$C$11,$E$33,$A$57,"Total Accounts Line",$K$1)</f>
        <v>0</v>
      </c>
      <c r="J57" s="48">
        <f>_xll.DBRW($B$1,Input_Prod_05!$G$11,Input_Prod_05!J$14,$M$1,Input_Prod_05!$I$11,$C$11,$E$33,$A$57,"Total Accounts Line",$K$1)</f>
        <v>0</v>
      </c>
      <c r="K57" s="48">
        <f>_xll.DBRW($B$1,Input_Prod_05!$G$11,Input_Prod_05!K$14,$M$1,Input_Prod_05!$I$11,$C$11,$E$33,$A$57,"Total Accounts Line",$K$1)</f>
        <v>0</v>
      </c>
      <c r="L57" s="48">
        <f>_xll.DBRW($B$1,Input_Prod_05!$G$11,Input_Prod_05!L$14,$M$1,Input_Prod_05!$I$11,$C$11,$E$33,$A$57,"Total Accounts Line",$K$1)</f>
        <v>0</v>
      </c>
      <c r="M57" s="48">
        <f>_xll.DBRW($B$1,Input_Prod_05!$G$11,Input_Prod_05!M$14,$M$1,Input_Prod_05!$I$11,$C$11,$E$33,$A$57,"Total Accounts Line",$K$1)</f>
        <v>0</v>
      </c>
      <c r="N57" s="48">
        <f>_xll.DBRW($B$1,Input_Prod_05!$G$11,Input_Prod_05!N$14,$M$1,Input_Prod_05!$I$11,$C$11,$E$33,$A$57,"Total Accounts Line",$K$1)</f>
        <v>0</v>
      </c>
      <c r="O57" s="48">
        <f>_xll.DBRW($B$1,O$13,$O$15,$M$1,Input_Prod_05!$I$11,$C$11,$E$33,$A$57,"Total Accounts Line",$K$1)</f>
        <v>0</v>
      </c>
      <c r="P57" s="48">
        <f>_xll.DBRW($B$1,P$13,$O$15,$M$1,Input_Prod_05!$I$11,$C$11,$E$33,$A$57,"Total Accounts Line",$K$1)</f>
        <v>0</v>
      </c>
      <c r="Q57" s="48">
        <f>_xll.DBRW($B$1,Q$13,$O$15,$M$1,Input_Prod_05!$I$11,$C$11,$E$33,$A$57,"Total Accounts Line",$K$1)</f>
        <v>0</v>
      </c>
      <c r="R57" s="48">
        <f>_xll.DBRW($B$1,R$13,$O$15,$M$1,Input_Prod_05!$I$11,$C$11,$E$33,$A$57,"Total Accounts Line",$K$1)</f>
        <v>0</v>
      </c>
      <c r="S57" s="48">
        <f>_xll.DBRW($B$1,S$13,$O$15,$M$1,Input_Prod_05!$I$11,$C$11,$E$33,$A$57,"Total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_xll.DBRW($B$1,Input_Prod_05!$G$11,Input_Prod_05!C$14,$M$1,Input_Prod_05!$I$11,$C$11,$E$33,$A$57,$A58,$K$1)</f>
        <v>0</v>
      </c>
      <c r="D58" s="36">
        <f>_xll.DBRW($B$1,Input_Prod_05!$G$11,Input_Prod_05!D$14,$M$1,Input_Prod_05!$I$11,$C$11,$E$33,$A$57,$A58,$K$1)</f>
        <v>0</v>
      </c>
      <c r="E58" s="36">
        <f>_xll.DBRW($B$1,Input_Prod_05!$G$11,Input_Prod_05!E$14,$M$1,Input_Prod_05!$I$11,$C$11,$E$33,$A$57,$A58,$K$1)</f>
        <v>0</v>
      </c>
      <c r="F58" s="36">
        <f>_xll.DBRW($B$1,Input_Prod_05!$G$11,Input_Prod_05!F$14,$M$1,Input_Prod_05!$I$11,$C$11,$E$33,$A$57,$A58,$K$1)</f>
        <v>0</v>
      </c>
      <c r="G58" s="36">
        <f>_xll.DBRW($B$1,Input_Prod_05!$G$11,Input_Prod_05!G$14,$M$1,Input_Prod_05!$I$11,$C$11,$E$33,$A$57,$A58,$K$1)</f>
        <v>0</v>
      </c>
      <c r="H58" s="36">
        <f>_xll.DBRW($B$1,Input_Prod_05!$G$11,Input_Prod_05!H$14,$M$1,Input_Prod_05!$I$11,$C$11,$E$33,$A$57,$A58,$K$1)</f>
        <v>0</v>
      </c>
      <c r="I58" s="36">
        <f>_xll.DBRW($B$1,Input_Prod_05!$G$11,Input_Prod_05!I$14,$M$1,Input_Prod_05!$I$11,$C$11,$E$33,$A$57,$A58,$K$1)</f>
        <v>0</v>
      </c>
      <c r="J58" s="36">
        <f>_xll.DBRW($B$1,Input_Prod_05!$G$11,Input_Prod_05!J$14,$M$1,Input_Prod_05!$I$11,$C$11,$E$33,$A$57,$A58,$K$1)</f>
        <v>0</v>
      </c>
      <c r="K58" s="36">
        <f>_xll.DBRW($B$1,Input_Prod_05!$G$11,Input_Prod_05!K$14,$M$1,Input_Prod_05!$I$11,$C$11,$E$33,$A$57,$A58,$K$1)</f>
        <v>0</v>
      </c>
      <c r="L58" s="36">
        <f>_xll.DBRW($B$1,Input_Prod_05!$G$11,Input_Prod_05!L$14,$M$1,Input_Prod_05!$I$11,$C$11,$E$33,$A$57,$A58,$K$1)</f>
        <v>0</v>
      </c>
      <c r="M58" s="36">
        <f>_xll.DBRW($B$1,Input_Prod_05!$G$11,Input_Prod_05!M$14,$M$1,Input_Prod_05!$I$11,$C$11,$E$33,$A$57,$A58,$K$1)</f>
        <v>0</v>
      </c>
      <c r="N58" s="36">
        <f>_xll.DBRW($B$1,Input_Prod_05!$G$11,Input_Prod_05!N$14,$M$1,Input_Prod_05!$I$11,$C$11,$E$33,$A$57,$A58,$K$1)</f>
        <v>0</v>
      </c>
      <c r="O58" s="36">
        <f>_xll.DBRW($B$1,O$13,$O$15,$M$1,Input_Prod_05!$I$11,$C$11,$E$33,$A$57,$A58,$K$1)</f>
        <v>0</v>
      </c>
      <c r="P58" s="36">
        <f>_xll.DBRW($B$1,P$13,$O$15,$M$1,Input_Prod_05!$I$11,$C$11,$E$33,$A$57,$A58,$K$1)</f>
        <v>0</v>
      </c>
      <c r="Q58" s="36">
        <f>_xll.DBRW($B$1,Q$13,$O$15,$M$1,Input_Prod_05!$I$11,$C$11,$E$33,$A$57,$A58,$K$1)</f>
        <v>0</v>
      </c>
      <c r="R58" s="36">
        <f>_xll.DBRW($B$1,R$13,$O$15,$M$1,Input_Prod_05!$I$11,$C$11,$E$33,$A$57,$A58,$K$1)</f>
        <v>0</v>
      </c>
      <c r="S58" s="36">
        <f>_xll.DBRW($B$1,S$13,$O$15,$M$1,Input_Prod_05!$I$11,$C$11,$E$33,$A$57,$A58,$K$1)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_xll.DBRW($B$1,Input_Prod_05!$G$11,Input_Prod_05!C$14,$M$1,Input_Prod_05!$I$11,$C$11,$E$33,$A$57,$A59,$K$1)</f>
        <v>0</v>
      </c>
      <c r="D59" s="36">
        <f>_xll.DBRW($B$1,Input_Prod_05!$G$11,Input_Prod_05!D$14,$M$1,Input_Prod_05!$I$11,$C$11,$E$33,$A$57,$A59,$K$1)</f>
        <v>0</v>
      </c>
      <c r="E59" s="36">
        <f>_xll.DBRW($B$1,Input_Prod_05!$G$11,Input_Prod_05!E$14,$M$1,Input_Prod_05!$I$11,$C$11,$E$33,$A$57,$A59,$K$1)</f>
        <v>0</v>
      </c>
      <c r="F59" s="36">
        <f>_xll.DBRW($B$1,Input_Prod_05!$G$11,Input_Prod_05!F$14,$M$1,Input_Prod_05!$I$11,$C$11,$E$33,$A$57,$A59,$K$1)</f>
        <v>0</v>
      </c>
      <c r="G59" s="36">
        <f>_xll.DBRW($B$1,Input_Prod_05!$G$11,Input_Prod_05!G$14,$M$1,Input_Prod_05!$I$11,$C$11,$E$33,$A$57,$A59,$K$1)</f>
        <v>0</v>
      </c>
      <c r="H59" s="36">
        <f>_xll.DBRW($B$1,Input_Prod_05!$G$11,Input_Prod_05!H$14,$M$1,Input_Prod_05!$I$11,$C$11,$E$33,$A$57,$A59,$K$1)</f>
        <v>0</v>
      </c>
      <c r="I59" s="36">
        <f>_xll.DBRW($B$1,Input_Prod_05!$G$11,Input_Prod_05!I$14,$M$1,Input_Prod_05!$I$11,$C$11,$E$33,$A$57,$A59,$K$1)</f>
        <v>0</v>
      </c>
      <c r="J59" s="36">
        <f>_xll.DBRW($B$1,Input_Prod_05!$G$11,Input_Prod_05!J$14,$M$1,Input_Prod_05!$I$11,$C$11,$E$33,$A$57,$A59,$K$1)</f>
        <v>0</v>
      </c>
      <c r="K59" s="36">
        <f>_xll.DBRW($B$1,Input_Prod_05!$G$11,Input_Prod_05!K$14,$M$1,Input_Prod_05!$I$11,$C$11,$E$33,$A$57,$A59,$K$1)</f>
        <v>0</v>
      </c>
      <c r="L59" s="36">
        <f>_xll.DBRW($B$1,Input_Prod_05!$G$11,Input_Prod_05!L$14,$M$1,Input_Prod_05!$I$11,$C$11,$E$33,$A$57,$A59,$K$1)</f>
        <v>0</v>
      </c>
      <c r="M59" s="36">
        <f>_xll.DBRW($B$1,Input_Prod_05!$G$11,Input_Prod_05!M$14,$M$1,Input_Prod_05!$I$11,$C$11,$E$33,$A$57,$A59,$K$1)</f>
        <v>0</v>
      </c>
      <c r="N59" s="36">
        <f>_xll.DBRW($B$1,Input_Prod_05!$G$11,Input_Prod_05!N$14,$M$1,Input_Prod_05!$I$11,$C$11,$E$33,$A$57,$A59,$K$1)</f>
        <v>0</v>
      </c>
      <c r="O59" s="36">
        <f>_xll.DBRW($B$1,O$13,$O$15,$M$1,Input_Prod_05!$I$11,$C$11,$E$33,$A$57,$A59,$K$1)</f>
        <v>0</v>
      </c>
      <c r="P59" s="36">
        <f>_xll.DBRW($B$1,P$13,$O$15,$M$1,Input_Prod_05!$I$11,$C$11,$E$33,$A$57,$A59,$K$1)</f>
        <v>0</v>
      </c>
      <c r="Q59" s="36">
        <f>_xll.DBRW($B$1,Q$13,$O$15,$M$1,Input_Prod_05!$I$11,$C$11,$E$33,$A$57,$A59,$K$1)</f>
        <v>0</v>
      </c>
      <c r="R59" s="36">
        <f>_xll.DBRW($B$1,R$13,$O$15,$M$1,Input_Prod_05!$I$11,$C$11,$E$33,$A$57,$A59,$K$1)</f>
        <v>0</v>
      </c>
      <c r="S59" s="36">
        <f>_xll.DBRW($B$1,S$13,$O$15,$M$1,Input_Prod_05!$I$11,$C$11,$E$33,$A$57,$A59,$K$1)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_xll.DBRW($B$1,Input_Prod_05!$G$11,Input_Prod_05!C$14,$M$1,Input_Prod_05!$I$11,$C$11,$E$33,$A$57,$A60,$K$1)</f>
        <v>0</v>
      </c>
      <c r="D60" s="36">
        <f>_xll.DBRW($B$1,Input_Prod_05!$G$11,Input_Prod_05!D$14,$M$1,Input_Prod_05!$I$11,$C$11,$E$33,$A$57,$A60,$K$1)</f>
        <v>0</v>
      </c>
      <c r="E60" s="36">
        <f>_xll.DBRW($B$1,Input_Prod_05!$G$11,Input_Prod_05!E$14,$M$1,Input_Prod_05!$I$11,$C$11,$E$33,$A$57,$A60,$K$1)</f>
        <v>0</v>
      </c>
      <c r="F60" s="36">
        <f>_xll.DBRW($B$1,Input_Prod_05!$G$11,Input_Prod_05!F$14,$M$1,Input_Prod_05!$I$11,$C$11,$E$33,$A$57,$A60,$K$1)</f>
        <v>0</v>
      </c>
      <c r="G60" s="36">
        <f>_xll.DBRW($B$1,Input_Prod_05!$G$11,Input_Prod_05!G$14,$M$1,Input_Prod_05!$I$11,$C$11,$E$33,$A$57,$A60,$K$1)</f>
        <v>0</v>
      </c>
      <c r="H60" s="36">
        <f>_xll.DBRW($B$1,Input_Prod_05!$G$11,Input_Prod_05!H$14,$M$1,Input_Prod_05!$I$11,$C$11,$E$33,$A$57,$A60,$K$1)</f>
        <v>0</v>
      </c>
      <c r="I60" s="36">
        <f>_xll.DBRW($B$1,Input_Prod_05!$G$11,Input_Prod_05!I$14,$M$1,Input_Prod_05!$I$11,$C$11,$E$33,$A$57,$A60,$K$1)</f>
        <v>0</v>
      </c>
      <c r="J60" s="36">
        <f>_xll.DBRW($B$1,Input_Prod_05!$G$11,Input_Prod_05!J$14,$M$1,Input_Prod_05!$I$11,$C$11,$E$33,$A$57,$A60,$K$1)</f>
        <v>0</v>
      </c>
      <c r="K60" s="36">
        <f>_xll.DBRW($B$1,Input_Prod_05!$G$11,Input_Prod_05!K$14,$M$1,Input_Prod_05!$I$11,$C$11,$E$33,$A$57,$A60,$K$1)</f>
        <v>0</v>
      </c>
      <c r="L60" s="36">
        <f>_xll.DBRW($B$1,Input_Prod_05!$G$11,Input_Prod_05!L$14,$M$1,Input_Prod_05!$I$11,$C$11,$E$33,$A$57,$A60,$K$1)</f>
        <v>0</v>
      </c>
      <c r="M60" s="36">
        <f>_xll.DBRW($B$1,Input_Prod_05!$G$11,Input_Prod_05!M$14,$M$1,Input_Prod_05!$I$11,$C$11,$E$33,$A$57,$A60,$K$1)</f>
        <v>0</v>
      </c>
      <c r="N60" s="36">
        <f>_xll.DBRW($B$1,Input_Prod_05!$G$11,Input_Prod_05!N$14,$M$1,Input_Prod_05!$I$11,$C$11,$E$33,$A$57,$A60,$K$1)</f>
        <v>0</v>
      </c>
      <c r="O60" s="36">
        <f>_xll.DBRW($B$1,O$13,$O$15,$M$1,Input_Prod_05!$I$11,$C$11,$E$33,$A$57,$A60,$K$1)</f>
        <v>0</v>
      </c>
      <c r="P60" s="36">
        <f>_xll.DBRW($B$1,P$13,$O$15,$M$1,Input_Prod_05!$I$11,$C$11,$E$33,$A$57,$A60,$K$1)</f>
        <v>0</v>
      </c>
      <c r="Q60" s="36">
        <f>_xll.DBRW($B$1,Q$13,$O$15,$M$1,Input_Prod_05!$I$11,$C$11,$E$33,$A$57,$A60,$K$1)</f>
        <v>0</v>
      </c>
      <c r="R60" s="36">
        <f>_xll.DBRW($B$1,R$13,$O$15,$M$1,Input_Prod_05!$I$11,$C$11,$E$33,$A$57,$A60,$K$1)</f>
        <v>0</v>
      </c>
      <c r="S60" s="36">
        <f>_xll.DBRW($B$1,S$13,$O$15,$M$1,Input_Prod_05!$I$11,$C$11,$E$33,$A$57,$A60,$K$1)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_xll.DBRW($B$1,Input_Prod_05!$G$11,Input_Prod_05!C$14,$M$1,Input_Prod_05!$I$11,$C$11,$E$33,$A$57,$A61,$K$1)</f>
        <v>0</v>
      </c>
      <c r="D61" s="36">
        <f>_xll.DBRW($B$1,Input_Prod_05!$G$11,Input_Prod_05!D$14,$M$1,Input_Prod_05!$I$11,$C$11,$E$33,$A$57,$A61,$K$1)</f>
        <v>0</v>
      </c>
      <c r="E61" s="36">
        <f>_xll.DBRW($B$1,Input_Prod_05!$G$11,Input_Prod_05!E$14,$M$1,Input_Prod_05!$I$11,$C$11,$E$33,$A$57,$A61,$K$1)</f>
        <v>0</v>
      </c>
      <c r="F61" s="36">
        <f>_xll.DBRW($B$1,Input_Prod_05!$G$11,Input_Prod_05!F$14,$M$1,Input_Prod_05!$I$11,$C$11,$E$33,$A$57,$A61,$K$1)</f>
        <v>0</v>
      </c>
      <c r="G61" s="36">
        <f>_xll.DBRW($B$1,Input_Prod_05!$G$11,Input_Prod_05!G$14,$M$1,Input_Prod_05!$I$11,$C$11,$E$33,$A$57,$A61,$K$1)</f>
        <v>0</v>
      </c>
      <c r="H61" s="36">
        <f>_xll.DBRW($B$1,Input_Prod_05!$G$11,Input_Prod_05!H$14,$M$1,Input_Prod_05!$I$11,$C$11,$E$33,$A$57,$A61,$K$1)</f>
        <v>0</v>
      </c>
      <c r="I61" s="36">
        <f>_xll.DBRW($B$1,Input_Prod_05!$G$11,Input_Prod_05!I$14,$M$1,Input_Prod_05!$I$11,$C$11,$E$33,$A$57,$A61,$K$1)</f>
        <v>0</v>
      </c>
      <c r="J61" s="36">
        <f>_xll.DBRW($B$1,Input_Prod_05!$G$11,Input_Prod_05!J$14,$M$1,Input_Prod_05!$I$11,$C$11,$E$33,$A$57,$A61,$K$1)</f>
        <v>0</v>
      </c>
      <c r="K61" s="36">
        <f>_xll.DBRW($B$1,Input_Prod_05!$G$11,Input_Prod_05!K$14,$M$1,Input_Prod_05!$I$11,$C$11,$E$33,$A$57,$A61,$K$1)</f>
        <v>0</v>
      </c>
      <c r="L61" s="36">
        <f>_xll.DBRW($B$1,Input_Prod_05!$G$11,Input_Prod_05!L$14,$M$1,Input_Prod_05!$I$11,$C$11,$E$33,$A$57,$A61,$K$1)</f>
        <v>0</v>
      </c>
      <c r="M61" s="36">
        <f>_xll.DBRW($B$1,Input_Prod_05!$G$11,Input_Prod_05!M$14,$M$1,Input_Prod_05!$I$11,$C$11,$E$33,$A$57,$A61,$K$1)</f>
        <v>0</v>
      </c>
      <c r="N61" s="36">
        <f>_xll.DBRW($B$1,Input_Prod_05!$G$11,Input_Prod_05!N$14,$M$1,Input_Prod_05!$I$11,$C$11,$E$33,$A$57,$A61,$K$1)</f>
        <v>0</v>
      </c>
      <c r="O61" s="36">
        <f>_xll.DBRW($B$1,O$13,$O$15,$M$1,Input_Prod_05!$I$11,$C$11,$E$33,$A$57,$A61,$K$1)</f>
        <v>0</v>
      </c>
      <c r="P61" s="36">
        <f>_xll.DBRW($B$1,P$13,$O$15,$M$1,Input_Prod_05!$I$11,$C$11,$E$33,$A$57,$A61,$K$1)</f>
        <v>0</v>
      </c>
      <c r="Q61" s="36">
        <f>_xll.DBRW($B$1,Q$13,$O$15,$M$1,Input_Prod_05!$I$11,$C$11,$E$33,$A$57,$A61,$K$1)</f>
        <v>0</v>
      </c>
      <c r="R61" s="36">
        <f>_xll.DBRW($B$1,R$13,$O$15,$M$1,Input_Prod_05!$I$11,$C$11,$E$33,$A$57,$A61,$K$1)</f>
        <v>0</v>
      </c>
      <c r="S61" s="36">
        <f>_xll.DBRW($B$1,S$13,$O$15,$M$1,Input_Prod_05!$I$11,$C$11,$E$33,$A$57,$A61,$K$1)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_xll.DBRW($B$1,Input_Prod_05!$G$11,Input_Prod_05!C$14,$M$1,Input_Prod_05!$I$11,$C$11,$E$33,$A$57,$A62,$K$1)</f>
        <v>0</v>
      </c>
      <c r="D62" s="36">
        <f>_xll.DBRW($B$1,Input_Prod_05!$G$11,Input_Prod_05!D$14,$M$1,Input_Prod_05!$I$11,$C$11,$E$33,$A$57,$A62,$K$1)</f>
        <v>0</v>
      </c>
      <c r="E62" s="36">
        <f>_xll.DBRW($B$1,Input_Prod_05!$G$11,Input_Prod_05!E$14,$M$1,Input_Prod_05!$I$11,$C$11,$E$33,$A$57,$A62,$K$1)</f>
        <v>0</v>
      </c>
      <c r="F62" s="36">
        <f>_xll.DBRW($B$1,Input_Prod_05!$G$11,Input_Prod_05!F$14,$M$1,Input_Prod_05!$I$11,$C$11,$E$33,$A$57,$A62,$K$1)</f>
        <v>0</v>
      </c>
      <c r="G62" s="36">
        <f>_xll.DBRW($B$1,Input_Prod_05!$G$11,Input_Prod_05!G$14,$M$1,Input_Prod_05!$I$11,$C$11,$E$33,$A$57,$A62,$K$1)</f>
        <v>0</v>
      </c>
      <c r="H62" s="36">
        <f>_xll.DBRW($B$1,Input_Prod_05!$G$11,Input_Prod_05!H$14,$M$1,Input_Prod_05!$I$11,$C$11,$E$33,$A$57,$A62,$K$1)</f>
        <v>0</v>
      </c>
      <c r="I62" s="36">
        <f>_xll.DBRW($B$1,Input_Prod_05!$G$11,Input_Prod_05!I$14,$M$1,Input_Prod_05!$I$11,$C$11,$E$33,$A$57,$A62,$K$1)</f>
        <v>0</v>
      </c>
      <c r="J62" s="36">
        <f>_xll.DBRW($B$1,Input_Prod_05!$G$11,Input_Prod_05!J$14,$M$1,Input_Prod_05!$I$11,$C$11,$E$33,$A$57,$A62,$K$1)</f>
        <v>0</v>
      </c>
      <c r="K62" s="36">
        <f>_xll.DBRW($B$1,Input_Prod_05!$G$11,Input_Prod_05!K$14,$M$1,Input_Prod_05!$I$11,$C$11,$E$33,$A$57,$A62,$K$1)</f>
        <v>0</v>
      </c>
      <c r="L62" s="36">
        <f>_xll.DBRW($B$1,Input_Prod_05!$G$11,Input_Prod_05!L$14,$M$1,Input_Prod_05!$I$11,$C$11,$E$33,$A$57,$A62,$K$1)</f>
        <v>0</v>
      </c>
      <c r="M62" s="36">
        <f>_xll.DBRW($B$1,Input_Prod_05!$G$11,Input_Prod_05!M$14,$M$1,Input_Prod_05!$I$11,$C$11,$E$33,$A$57,$A62,$K$1)</f>
        <v>0</v>
      </c>
      <c r="N62" s="36">
        <f>_xll.DBRW($B$1,Input_Prod_05!$G$11,Input_Prod_05!N$14,$M$1,Input_Prod_05!$I$11,$C$11,$E$33,$A$57,$A62,$K$1)</f>
        <v>0</v>
      </c>
      <c r="O62" s="36">
        <f>_xll.DBRW($B$1,O$13,$O$15,$M$1,Input_Prod_05!$I$11,$C$11,$E$33,$A$57,$A62,$K$1)</f>
        <v>0</v>
      </c>
      <c r="P62" s="36">
        <f>_xll.DBRW($B$1,P$13,$O$15,$M$1,Input_Prod_05!$I$11,$C$11,$E$33,$A$57,$A62,$K$1)</f>
        <v>0</v>
      </c>
      <c r="Q62" s="36">
        <f>_xll.DBRW($B$1,Q$13,$O$15,$M$1,Input_Prod_05!$I$11,$C$11,$E$33,$A$57,$A62,$K$1)</f>
        <v>0</v>
      </c>
      <c r="R62" s="36">
        <f>_xll.DBRW($B$1,R$13,$O$15,$M$1,Input_Prod_05!$I$11,$C$11,$E$33,$A$57,$A62,$K$1)</f>
        <v>0</v>
      </c>
      <c r="S62" s="36">
        <f>_xll.DBRW($B$1,S$13,$O$15,$M$1,Input_Prod_05!$I$11,$C$11,$E$33,$A$57,$A62,$K$1)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_xll.DBRW($B$1,Input_Prod_05!$G$11,Input_Prod_05!C$14,$M$1,Input_Prod_05!$I$11,$C$11,$E$33,$A$57,$A63,$K$1)</f>
        <v>0</v>
      </c>
      <c r="D63" s="36">
        <f>_xll.DBRW($B$1,Input_Prod_05!$G$11,Input_Prod_05!D$14,$M$1,Input_Prod_05!$I$11,$C$11,$E$33,$A$57,$A63,$K$1)</f>
        <v>0</v>
      </c>
      <c r="E63" s="36">
        <f>_xll.DBRW($B$1,Input_Prod_05!$G$11,Input_Prod_05!E$14,$M$1,Input_Prod_05!$I$11,$C$11,$E$33,$A$57,$A63,$K$1)</f>
        <v>0</v>
      </c>
      <c r="F63" s="36">
        <f>_xll.DBRW($B$1,Input_Prod_05!$G$11,Input_Prod_05!F$14,$M$1,Input_Prod_05!$I$11,$C$11,$E$33,$A$57,$A63,$K$1)</f>
        <v>0</v>
      </c>
      <c r="G63" s="36">
        <f>_xll.DBRW($B$1,Input_Prod_05!$G$11,Input_Prod_05!G$14,$M$1,Input_Prod_05!$I$11,$C$11,$E$33,$A$57,$A63,$K$1)</f>
        <v>0</v>
      </c>
      <c r="H63" s="36">
        <f>_xll.DBRW($B$1,Input_Prod_05!$G$11,Input_Prod_05!H$14,$M$1,Input_Prod_05!$I$11,$C$11,$E$33,$A$57,$A63,$K$1)</f>
        <v>0</v>
      </c>
      <c r="I63" s="36">
        <f>_xll.DBRW($B$1,Input_Prod_05!$G$11,Input_Prod_05!I$14,$M$1,Input_Prod_05!$I$11,$C$11,$E$33,$A$57,$A63,$K$1)</f>
        <v>0</v>
      </c>
      <c r="J63" s="36">
        <f>_xll.DBRW($B$1,Input_Prod_05!$G$11,Input_Prod_05!J$14,$M$1,Input_Prod_05!$I$11,$C$11,$E$33,$A$57,$A63,$K$1)</f>
        <v>0</v>
      </c>
      <c r="K63" s="36">
        <f>_xll.DBRW($B$1,Input_Prod_05!$G$11,Input_Prod_05!K$14,$M$1,Input_Prod_05!$I$11,$C$11,$E$33,$A$57,$A63,$K$1)</f>
        <v>0</v>
      </c>
      <c r="L63" s="36">
        <f>_xll.DBRW($B$1,Input_Prod_05!$G$11,Input_Prod_05!L$14,$M$1,Input_Prod_05!$I$11,$C$11,$E$33,$A$57,$A63,$K$1)</f>
        <v>0</v>
      </c>
      <c r="M63" s="36">
        <f>_xll.DBRW($B$1,Input_Prod_05!$G$11,Input_Prod_05!M$14,$M$1,Input_Prod_05!$I$11,$C$11,$E$33,$A$57,$A63,$K$1)</f>
        <v>0</v>
      </c>
      <c r="N63" s="36">
        <f>_xll.DBRW($B$1,Input_Prod_05!$G$11,Input_Prod_05!N$14,$M$1,Input_Prod_05!$I$11,$C$11,$E$33,$A$57,$A63,$K$1)</f>
        <v>0</v>
      </c>
      <c r="O63" s="36">
        <f>_xll.DBRW($B$1,O$13,$O$15,$M$1,Input_Prod_05!$I$11,$C$11,$E$33,$A$57,$A63,$K$1)</f>
        <v>0</v>
      </c>
      <c r="P63" s="36">
        <f>_xll.DBRW($B$1,P$13,$O$15,$M$1,Input_Prod_05!$I$11,$C$11,$E$33,$A$57,$A63,$K$1)</f>
        <v>0</v>
      </c>
      <c r="Q63" s="36">
        <f>_xll.DBRW($B$1,Q$13,$O$15,$M$1,Input_Prod_05!$I$11,$C$11,$E$33,$A$57,$A63,$K$1)</f>
        <v>0</v>
      </c>
      <c r="R63" s="36">
        <f>_xll.DBRW($B$1,R$13,$O$15,$M$1,Input_Prod_05!$I$11,$C$11,$E$33,$A$57,$A63,$K$1)</f>
        <v>0</v>
      </c>
      <c r="S63" s="36">
        <f>_xll.DBRW($B$1,S$13,$O$15,$M$1,Input_Prod_05!$I$11,$C$11,$E$33,$A$57,$A63,$K$1)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_xll.DBRW($B$1,Input_Prod_05!$G$11,Input_Prod_05!C$14,$M$1,Input_Prod_05!$I$11,$C$11,$E$33,$A$57,$A64,$K$1)</f>
        <v>0</v>
      </c>
      <c r="D64" s="36">
        <f>_xll.DBRW($B$1,Input_Prod_05!$G$11,Input_Prod_05!D$14,$M$1,Input_Prod_05!$I$11,$C$11,$E$33,$A$57,$A64,$K$1)</f>
        <v>0</v>
      </c>
      <c r="E64" s="36">
        <f>_xll.DBRW($B$1,Input_Prod_05!$G$11,Input_Prod_05!E$14,$M$1,Input_Prod_05!$I$11,$C$11,$E$33,$A$57,$A64,$K$1)</f>
        <v>0</v>
      </c>
      <c r="F64" s="36">
        <f>_xll.DBRW($B$1,Input_Prod_05!$G$11,Input_Prod_05!F$14,$M$1,Input_Prod_05!$I$11,$C$11,$E$33,$A$57,$A64,$K$1)</f>
        <v>0</v>
      </c>
      <c r="G64" s="36">
        <f>_xll.DBRW($B$1,Input_Prod_05!$G$11,Input_Prod_05!G$14,$M$1,Input_Prod_05!$I$11,$C$11,$E$33,$A$57,$A64,$K$1)</f>
        <v>0</v>
      </c>
      <c r="H64" s="36">
        <f>_xll.DBRW($B$1,Input_Prod_05!$G$11,Input_Prod_05!H$14,$M$1,Input_Prod_05!$I$11,$C$11,$E$33,$A$57,$A64,$K$1)</f>
        <v>0</v>
      </c>
      <c r="I64" s="36">
        <f>_xll.DBRW($B$1,Input_Prod_05!$G$11,Input_Prod_05!I$14,$M$1,Input_Prod_05!$I$11,$C$11,$E$33,$A$57,$A64,$K$1)</f>
        <v>0</v>
      </c>
      <c r="J64" s="36">
        <f>_xll.DBRW($B$1,Input_Prod_05!$G$11,Input_Prod_05!J$14,$M$1,Input_Prod_05!$I$11,$C$11,$E$33,$A$57,$A64,$K$1)</f>
        <v>0</v>
      </c>
      <c r="K64" s="36">
        <f>_xll.DBRW($B$1,Input_Prod_05!$G$11,Input_Prod_05!K$14,$M$1,Input_Prod_05!$I$11,$C$11,$E$33,$A$57,$A64,$K$1)</f>
        <v>0</v>
      </c>
      <c r="L64" s="36">
        <f>_xll.DBRW($B$1,Input_Prod_05!$G$11,Input_Prod_05!L$14,$M$1,Input_Prod_05!$I$11,$C$11,$E$33,$A$57,$A64,$K$1)</f>
        <v>0</v>
      </c>
      <c r="M64" s="36">
        <f>_xll.DBRW($B$1,Input_Prod_05!$G$11,Input_Prod_05!M$14,$M$1,Input_Prod_05!$I$11,$C$11,$E$33,$A$57,$A64,$K$1)</f>
        <v>0</v>
      </c>
      <c r="N64" s="36">
        <f>_xll.DBRW($B$1,Input_Prod_05!$G$11,Input_Prod_05!N$14,$M$1,Input_Prod_05!$I$11,$C$11,$E$33,$A$57,$A64,$K$1)</f>
        <v>0</v>
      </c>
      <c r="O64" s="36">
        <f>_xll.DBRW($B$1,O$13,$O$15,$M$1,Input_Prod_05!$I$11,$C$11,$E$33,$A$57,$A64,$K$1)</f>
        <v>0</v>
      </c>
      <c r="P64" s="36">
        <f>_xll.DBRW($B$1,P$13,$O$15,$M$1,Input_Prod_05!$I$11,$C$11,$E$33,$A$57,$A64,$K$1)</f>
        <v>0</v>
      </c>
      <c r="Q64" s="36">
        <f>_xll.DBRW($B$1,Q$13,$O$15,$M$1,Input_Prod_05!$I$11,$C$11,$E$33,$A$57,$A64,$K$1)</f>
        <v>0</v>
      </c>
      <c r="R64" s="36">
        <f>_xll.DBRW($B$1,R$13,$O$15,$M$1,Input_Prod_05!$I$11,$C$11,$E$33,$A$57,$A64,$K$1)</f>
        <v>0</v>
      </c>
      <c r="S64" s="36">
        <f>_xll.DBRW($B$1,S$13,$O$15,$M$1,Input_Prod_05!$I$11,$C$11,$E$33,$A$57,$A64,$K$1)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_xll.DBRW($B$1,Input_Prod_05!$G$11,Input_Prod_05!C$14,$M$1,Input_Prod_05!$I$11,$C$11,$E$33,$A$57,$A65,$K$1)</f>
        <v>0</v>
      </c>
      <c r="D65" s="36">
        <f>_xll.DBRW($B$1,Input_Prod_05!$G$11,Input_Prod_05!D$14,$M$1,Input_Prod_05!$I$11,$C$11,$E$33,$A$57,$A65,$K$1)</f>
        <v>0</v>
      </c>
      <c r="E65" s="36">
        <f>_xll.DBRW($B$1,Input_Prod_05!$G$11,Input_Prod_05!E$14,$M$1,Input_Prod_05!$I$11,$C$11,$E$33,$A$57,$A65,$K$1)</f>
        <v>0</v>
      </c>
      <c r="F65" s="36">
        <f>_xll.DBRW($B$1,Input_Prod_05!$G$11,Input_Prod_05!F$14,$M$1,Input_Prod_05!$I$11,$C$11,$E$33,$A$57,$A65,$K$1)</f>
        <v>0</v>
      </c>
      <c r="G65" s="36">
        <f>_xll.DBRW($B$1,Input_Prod_05!$G$11,Input_Prod_05!G$14,$M$1,Input_Prod_05!$I$11,$C$11,$E$33,$A$57,$A65,$K$1)</f>
        <v>0</v>
      </c>
      <c r="H65" s="36">
        <f>_xll.DBRW($B$1,Input_Prod_05!$G$11,Input_Prod_05!H$14,$M$1,Input_Prod_05!$I$11,$C$11,$E$33,$A$57,$A65,$K$1)</f>
        <v>0</v>
      </c>
      <c r="I65" s="36">
        <f>_xll.DBRW($B$1,Input_Prod_05!$G$11,Input_Prod_05!I$14,$M$1,Input_Prod_05!$I$11,$C$11,$E$33,$A$57,$A65,$K$1)</f>
        <v>0</v>
      </c>
      <c r="J65" s="36">
        <f>_xll.DBRW($B$1,Input_Prod_05!$G$11,Input_Prod_05!J$14,$M$1,Input_Prod_05!$I$11,$C$11,$E$33,$A$57,$A65,$K$1)</f>
        <v>0</v>
      </c>
      <c r="K65" s="36">
        <f>_xll.DBRW($B$1,Input_Prod_05!$G$11,Input_Prod_05!K$14,$M$1,Input_Prod_05!$I$11,$C$11,$E$33,$A$57,$A65,$K$1)</f>
        <v>0</v>
      </c>
      <c r="L65" s="36">
        <f>_xll.DBRW($B$1,Input_Prod_05!$G$11,Input_Prod_05!L$14,$M$1,Input_Prod_05!$I$11,$C$11,$E$33,$A$57,$A65,$K$1)</f>
        <v>0</v>
      </c>
      <c r="M65" s="36">
        <f>_xll.DBRW($B$1,Input_Prod_05!$G$11,Input_Prod_05!M$14,$M$1,Input_Prod_05!$I$11,$C$11,$E$33,$A$57,$A65,$K$1)</f>
        <v>0</v>
      </c>
      <c r="N65" s="36">
        <f>_xll.DBRW($B$1,Input_Prod_05!$G$11,Input_Prod_05!N$14,$M$1,Input_Prod_05!$I$11,$C$11,$E$33,$A$57,$A65,$K$1)</f>
        <v>0</v>
      </c>
      <c r="O65" s="36">
        <f>_xll.DBRW($B$1,O$13,$O$15,$M$1,Input_Prod_05!$I$11,$C$11,$E$33,$A$57,$A65,$K$1)</f>
        <v>0</v>
      </c>
      <c r="P65" s="36">
        <f>_xll.DBRW($B$1,P$13,$O$15,$M$1,Input_Prod_05!$I$11,$C$11,$E$33,$A$57,$A65,$K$1)</f>
        <v>0</v>
      </c>
      <c r="Q65" s="36">
        <f>_xll.DBRW($B$1,Q$13,$O$15,$M$1,Input_Prod_05!$I$11,$C$11,$E$33,$A$57,$A65,$K$1)</f>
        <v>0</v>
      </c>
      <c r="R65" s="36">
        <f>_xll.DBRW($B$1,R$13,$O$15,$M$1,Input_Prod_05!$I$11,$C$11,$E$33,$A$57,$A65,$K$1)</f>
        <v>0</v>
      </c>
      <c r="S65" s="36">
        <f>_xll.DBRW($B$1,S$13,$O$15,$M$1,Input_Prod_05!$I$11,$C$11,$E$33,$A$57,$A65,$K$1)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_xll.DBRW($B$1,Input_Prod_05!$G$11,Input_Prod_05!C$14,$M$1,Input_Prod_05!$I$11,$C$11,$E$33,$A$57,$A66,$K$1)</f>
        <v>0</v>
      </c>
      <c r="D66" s="36">
        <f>_xll.DBRW($B$1,Input_Prod_05!$G$11,Input_Prod_05!D$14,$M$1,Input_Prod_05!$I$11,$C$11,$E$33,$A$57,$A66,$K$1)</f>
        <v>0</v>
      </c>
      <c r="E66" s="36">
        <f>_xll.DBRW($B$1,Input_Prod_05!$G$11,Input_Prod_05!E$14,$M$1,Input_Prod_05!$I$11,$C$11,$E$33,$A$57,$A66,$K$1)</f>
        <v>0</v>
      </c>
      <c r="F66" s="36">
        <f>_xll.DBRW($B$1,Input_Prod_05!$G$11,Input_Prod_05!F$14,$M$1,Input_Prod_05!$I$11,$C$11,$E$33,$A$57,$A66,$K$1)</f>
        <v>0</v>
      </c>
      <c r="G66" s="36">
        <f>_xll.DBRW($B$1,Input_Prod_05!$G$11,Input_Prod_05!G$14,$M$1,Input_Prod_05!$I$11,$C$11,$E$33,$A$57,$A66,$K$1)</f>
        <v>0</v>
      </c>
      <c r="H66" s="36">
        <f>_xll.DBRW($B$1,Input_Prod_05!$G$11,Input_Prod_05!H$14,$M$1,Input_Prod_05!$I$11,$C$11,$E$33,$A$57,$A66,$K$1)</f>
        <v>0</v>
      </c>
      <c r="I66" s="36">
        <f>_xll.DBRW($B$1,Input_Prod_05!$G$11,Input_Prod_05!I$14,$M$1,Input_Prod_05!$I$11,$C$11,$E$33,$A$57,$A66,$K$1)</f>
        <v>0</v>
      </c>
      <c r="J66" s="36">
        <f>_xll.DBRW($B$1,Input_Prod_05!$G$11,Input_Prod_05!J$14,$M$1,Input_Prod_05!$I$11,$C$11,$E$33,$A$57,$A66,$K$1)</f>
        <v>0</v>
      </c>
      <c r="K66" s="36">
        <f>_xll.DBRW($B$1,Input_Prod_05!$G$11,Input_Prod_05!K$14,$M$1,Input_Prod_05!$I$11,$C$11,$E$33,$A$57,$A66,$K$1)</f>
        <v>0</v>
      </c>
      <c r="L66" s="36">
        <f>_xll.DBRW($B$1,Input_Prod_05!$G$11,Input_Prod_05!L$14,$M$1,Input_Prod_05!$I$11,$C$11,$E$33,$A$57,$A66,$K$1)</f>
        <v>0</v>
      </c>
      <c r="M66" s="36">
        <f>_xll.DBRW($B$1,Input_Prod_05!$G$11,Input_Prod_05!M$14,$M$1,Input_Prod_05!$I$11,$C$11,$E$33,$A$57,$A66,$K$1)</f>
        <v>0</v>
      </c>
      <c r="N66" s="36">
        <f>_xll.DBRW($B$1,Input_Prod_05!$G$11,Input_Prod_05!N$14,$M$1,Input_Prod_05!$I$11,$C$11,$E$33,$A$57,$A66,$K$1)</f>
        <v>0</v>
      </c>
      <c r="O66" s="36">
        <f>_xll.DBRW($B$1,O$13,$O$15,$M$1,Input_Prod_05!$I$11,$C$11,$E$33,$A$57,$A66,$K$1)</f>
        <v>0</v>
      </c>
      <c r="P66" s="36">
        <f>_xll.DBRW($B$1,P$13,$O$15,$M$1,Input_Prod_05!$I$11,$C$11,$E$33,$A$57,$A66,$K$1)</f>
        <v>0</v>
      </c>
      <c r="Q66" s="36">
        <f>_xll.DBRW($B$1,Q$13,$O$15,$M$1,Input_Prod_05!$I$11,$C$11,$E$33,$A$57,$A66,$K$1)</f>
        <v>0</v>
      </c>
      <c r="R66" s="36">
        <f>_xll.DBRW($B$1,R$13,$O$15,$M$1,Input_Prod_05!$I$11,$C$11,$E$33,$A$57,$A66,$K$1)</f>
        <v>0</v>
      </c>
      <c r="S66" s="36">
        <f>_xll.DBRW($B$1,S$13,$O$15,$M$1,Input_Prod_05!$I$11,$C$11,$E$33,$A$57,$A66,$K$1)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_xll.DBRW($B$1,Input_Prod_05!$G$11,Input_Prod_05!C$14,$M$1,Input_Prod_05!$I$11,$C$11,$E$33,$A$57,$A67,$K$1)</f>
        <v>0</v>
      </c>
      <c r="D67" s="36">
        <f>_xll.DBRW($B$1,Input_Prod_05!$G$11,Input_Prod_05!D$14,$M$1,Input_Prod_05!$I$11,$C$11,$E$33,$A$57,$A67,$K$1)</f>
        <v>0</v>
      </c>
      <c r="E67" s="36">
        <f>_xll.DBRW($B$1,Input_Prod_05!$G$11,Input_Prod_05!E$14,$M$1,Input_Prod_05!$I$11,$C$11,$E$33,$A$57,$A67,$K$1)</f>
        <v>0</v>
      </c>
      <c r="F67" s="36">
        <f>_xll.DBRW($B$1,Input_Prod_05!$G$11,Input_Prod_05!F$14,$M$1,Input_Prod_05!$I$11,$C$11,$E$33,$A$57,$A67,$K$1)</f>
        <v>0</v>
      </c>
      <c r="G67" s="36">
        <f>_xll.DBRW($B$1,Input_Prod_05!$G$11,Input_Prod_05!G$14,$M$1,Input_Prod_05!$I$11,$C$11,$E$33,$A$57,$A67,$K$1)</f>
        <v>0</v>
      </c>
      <c r="H67" s="36">
        <f>_xll.DBRW($B$1,Input_Prod_05!$G$11,Input_Prod_05!H$14,$M$1,Input_Prod_05!$I$11,$C$11,$E$33,$A$57,$A67,$K$1)</f>
        <v>0</v>
      </c>
      <c r="I67" s="36">
        <f>_xll.DBRW($B$1,Input_Prod_05!$G$11,Input_Prod_05!I$14,$M$1,Input_Prod_05!$I$11,$C$11,$E$33,$A$57,$A67,$K$1)</f>
        <v>0</v>
      </c>
      <c r="J67" s="36">
        <f>_xll.DBRW($B$1,Input_Prod_05!$G$11,Input_Prod_05!J$14,$M$1,Input_Prod_05!$I$11,$C$11,$E$33,$A$57,$A67,$K$1)</f>
        <v>0</v>
      </c>
      <c r="K67" s="36">
        <f>_xll.DBRW($B$1,Input_Prod_05!$G$11,Input_Prod_05!K$14,$M$1,Input_Prod_05!$I$11,$C$11,$E$33,$A$57,$A67,$K$1)</f>
        <v>0</v>
      </c>
      <c r="L67" s="36">
        <f>_xll.DBRW($B$1,Input_Prod_05!$G$11,Input_Prod_05!L$14,$M$1,Input_Prod_05!$I$11,$C$11,$E$33,$A$57,$A67,$K$1)</f>
        <v>0</v>
      </c>
      <c r="M67" s="36">
        <f>_xll.DBRW($B$1,Input_Prod_05!$G$11,Input_Prod_05!M$14,$M$1,Input_Prod_05!$I$11,$C$11,$E$33,$A$57,$A67,$K$1)</f>
        <v>0</v>
      </c>
      <c r="N67" s="36">
        <f>_xll.DBRW($B$1,Input_Prod_05!$G$11,Input_Prod_05!N$14,$M$1,Input_Prod_05!$I$11,$C$11,$E$33,$A$57,$A67,$K$1)</f>
        <v>0</v>
      </c>
      <c r="O67" s="36">
        <f>_xll.DBRW($B$1,O$13,$O$15,$M$1,Input_Prod_05!$I$11,$C$11,$E$33,$A$57,$A67,$K$1)</f>
        <v>0</v>
      </c>
      <c r="P67" s="36">
        <f>_xll.DBRW($B$1,P$13,$O$15,$M$1,Input_Prod_05!$I$11,$C$11,$E$33,$A$57,$A67,$K$1)</f>
        <v>0</v>
      </c>
      <c r="Q67" s="36">
        <f>_xll.DBRW($B$1,Q$13,$O$15,$M$1,Input_Prod_05!$I$11,$C$11,$E$33,$A$57,$A67,$K$1)</f>
        <v>0</v>
      </c>
      <c r="R67" s="36">
        <f>_xll.DBRW($B$1,R$13,$O$15,$M$1,Input_Prod_05!$I$11,$C$11,$E$33,$A$57,$A67,$K$1)</f>
        <v>0</v>
      </c>
      <c r="S67" s="36">
        <f>_xll.DBRW($B$1,S$13,$O$15,$M$1,Input_Prod_05!$I$11,$C$11,$E$33,$A$57,$A67,$K$1)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_xll.DBRW($B$1,Input_Prod_05!$G$11,Input_Prod_05!C$14,$M$1,Input_Prod_05!$I$11,$C$11,$E$33,$A$57,$A68,$K$1)</f>
        <v>0</v>
      </c>
      <c r="D68" s="36">
        <f>_xll.DBRW($B$1,Input_Prod_05!$G$11,Input_Prod_05!D$14,$M$1,Input_Prod_05!$I$11,$C$11,$E$33,$A$57,$A68,$K$1)</f>
        <v>0</v>
      </c>
      <c r="E68" s="36">
        <f>_xll.DBRW($B$1,Input_Prod_05!$G$11,Input_Prod_05!E$14,$M$1,Input_Prod_05!$I$11,$C$11,$E$33,$A$57,$A68,$K$1)</f>
        <v>0</v>
      </c>
      <c r="F68" s="36">
        <f>_xll.DBRW($B$1,Input_Prod_05!$G$11,Input_Prod_05!F$14,$M$1,Input_Prod_05!$I$11,$C$11,$E$33,$A$57,$A68,$K$1)</f>
        <v>0</v>
      </c>
      <c r="G68" s="36">
        <f>_xll.DBRW($B$1,Input_Prod_05!$G$11,Input_Prod_05!G$14,$M$1,Input_Prod_05!$I$11,$C$11,$E$33,$A$57,$A68,$K$1)</f>
        <v>0</v>
      </c>
      <c r="H68" s="36">
        <f>_xll.DBRW($B$1,Input_Prod_05!$G$11,Input_Prod_05!H$14,$M$1,Input_Prod_05!$I$11,$C$11,$E$33,$A$57,$A68,$K$1)</f>
        <v>0</v>
      </c>
      <c r="I68" s="36">
        <f>_xll.DBRW($B$1,Input_Prod_05!$G$11,Input_Prod_05!I$14,$M$1,Input_Prod_05!$I$11,$C$11,$E$33,$A$57,$A68,$K$1)</f>
        <v>0</v>
      </c>
      <c r="J68" s="36">
        <f>_xll.DBRW($B$1,Input_Prod_05!$G$11,Input_Prod_05!J$14,$M$1,Input_Prod_05!$I$11,$C$11,$E$33,$A$57,$A68,$K$1)</f>
        <v>0</v>
      </c>
      <c r="K68" s="36">
        <f>_xll.DBRW($B$1,Input_Prod_05!$G$11,Input_Prod_05!K$14,$M$1,Input_Prod_05!$I$11,$C$11,$E$33,$A$57,$A68,$K$1)</f>
        <v>0</v>
      </c>
      <c r="L68" s="36">
        <f>_xll.DBRW($B$1,Input_Prod_05!$G$11,Input_Prod_05!L$14,$M$1,Input_Prod_05!$I$11,$C$11,$E$33,$A$57,$A68,$K$1)</f>
        <v>0</v>
      </c>
      <c r="M68" s="36">
        <f>_xll.DBRW($B$1,Input_Prod_05!$G$11,Input_Prod_05!M$14,$M$1,Input_Prod_05!$I$11,$C$11,$E$33,$A$57,$A68,$K$1)</f>
        <v>0</v>
      </c>
      <c r="N68" s="36">
        <f>_xll.DBRW($B$1,Input_Prod_05!$G$11,Input_Prod_05!N$14,$M$1,Input_Prod_05!$I$11,$C$11,$E$33,$A$57,$A68,$K$1)</f>
        <v>0</v>
      </c>
      <c r="O68" s="36">
        <f>_xll.DBRW($B$1,O$13,$O$15,$M$1,Input_Prod_05!$I$11,$C$11,$E$33,$A$57,$A68,$K$1)</f>
        <v>0</v>
      </c>
      <c r="P68" s="36">
        <f>_xll.DBRW($B$1,P$13,$O$15,$M$1,Input_Prod_05!$I$11,$C$11,$E$33,$A$57,$A68,$K$1)</f>
        <v>0</v>
      </c>
      <c r="Q68" s="36">
        <f>_xll.DBRW($B$1,Q$13,$O$15,$M$1,Input_Prod_05!$I$11,$C$11,$E$33,$A$57,$A68,$K$1)</f>
        <v>0</v>
      </c>
      <c r="R68" s="36">
        <f>_xll.DBRW($B$1,R$13,$O$15,$M$1,Input_Prod_05!$I$11,$C$11,$E$33,$A$57,$A68,$K$1)</f>
        <v>0</v>
      </c>
      <c r="S68" s="36">
        <f>_xll.DBRW($B$1,S$13,$O$15,$M$1,Input_Prod_05!$I$11,$C$11,$E$33,$A$57,$A68,$K$1)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_xll.DBRW($B$1,Input_Prod_05!$G$11,Input_Prod_05!C$14,$M$1,Input_Prod_05!$I$11,$C$11,$E$33,$A$57,$A69,$K$1)</f>
        <v>0</v>
      </c>
      <c r="D69" s="36">
        <f>_xll.DBRW($B$1,Input_Prod_05!$G$11,Input_Prod_05!D$14,$M$1,Input_Prod_05!$I$11,$C$11,$E$33,$A$57,$A69,$K$1)</f>
        <v>0</v>
      </c>
      <c r="E69" s="36">
        <f>_xll.DBRW($B$1,Input_Prod_05!$G$11,Input_Prod_05!E$14,$M$1,Input_Prod_05!$I$11,$C$11,$E$33,$A$57,$A69,$K$1)</f>
        <v>0</v>
      </c>
      <c r="F69" s="36">
        <f>_xll.DBRW($B$1,Input_Prod_05!$G$11,Input_Prod_05!F$14,$M$1,Input_Prod_05!$I$11,$C$11,$E$33,$A$57,$A69,$K$1)</f>
        <v>0</v>
      </c>
      <c r="G69" s="36">
        <f>_xll.DBRW($B$1,Input_Prod_05!$G$11,Input_Prod_05!G$14,$M$1,Input_Prod_05!$I$11,$C$11,$E$33,$A$57,$A69,$K$1)</f>
        <v>0</v>
      </c>
      <c r="H69" s="36">
        <f>_xll.DBRW($B$1,Input_Prod_05!$G$11,Input_Prod_05!H$14,$M$1,Input_Prod_05!$I$11,$C$11,$E$33,$A$57,$A69,$K$1)</f>
        <v>0</v>
      </c>
      <c r="I69" s="36">
        <f>_xll.DBRW($B$1,Input_Prod_05!$G$11,Input_Prod_05!I$14,$M$1,Input_Prod_05!$I$11,$C$11,$E$33,$A$57,$A69,$K$1)</f>
        <v>0</v>
      </c>
      <c r="J69" s="36">
        <f>_xll.DBRW($B$1,Input_Prod_05!$G$11,Input_Prod_05!J$14,$M$1,Input_Prod_05!$I$11,$C$11,$E$33,$A$57,$A69,$K$1)</f>
        <v>0</v>
      </c>
      <c r="K69" s="36">
        <f>_xll.DBRW($B$1,Input_Prod_05!$G$11,Input_Prod_05!K$14,$M$1,Input_Prod_05!$I$11,$C$11,$E$33,$A$57,$A69,$K$1)</f>
        <v>0</v>
      </c>
      <c r="L69" s="36">
        <f>_xll.DBRW($B$1,Input_Prod_05!$G$11,Input_Prod_05!L$14,$M$1,Input_Prod_05!$I$11,$C$11,$E$33,$A$57,$A69,$K$1)</f>
        <v>0</v>
      </c>
      <c r="M69" s="36">
        <f>_xll.DBRW($B$1,Input_Prod_05!$G$11,Input_Prod_05!M$14,$M$1,Input_Prod_05!$I$11,$C$11,$E$33,$A$57,$A69,$K$1)</f>
        <v>0</v>
      </c>
      <c r="N69" s="36">
        <f>_xll.DBRW($B$1,Input_Prod_05!$G$11,Input_Prod_05!N$14,$M$1,Input_Prod_05!$I$11,$C$11,$E$33,$A$57,$A69,$K$1)</f>
        <v>0</v>
      </c>
      <c r="O69" s="36">
        <f>_xll.DBRW($B$1,O$13,$O$15,$M$1,Input_Prod_05!$I$11,$C$11,$E$33,$A$57,$A69,$K$1)</f>
        <v>0</v>
      </c>
      <c r="P69" s="36">
        <f>_xll.DBRW($B$1,P$13,$O$15,$M$1,Input_Prod_05!$I$11,$C$11,$E$33,$A$57,$A69,$K$1)</f>
        <v>0</v>
      </c>
      <c r="Q69" s="36">
        <f>_xll.DBRW($B$1,Q$13,$O$15,$M$1,Input_Prod_05!$I$11,$C$11,$E$33,$A$57,$A69,$K$1)</f>
        <v>0</v>
      </c>
      <c r="R69" s="36">
        <f>_xll.DBRW($B$1,R$13,$O$15,$M$1,Input_Prod_05!$I$11,$C$11,$E$33,$A$57,$A69,$K$1)</f>
        <v>0</v>
      </c>
      <c r="S69" s="36">
        <f>_xll.DBRW($B$1,S$13,$O$15,$M$1,Input_Prod_05!$I$11,$C$11,$E$33,$A$57,$A69,$K$1)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_xll.DBRW($B$1,Input_Prod_05!$G$11,Input_Prod_05!C$14,$M$1,Input_Prod_05!$I$11,$C$11,$E$33,$A$57,$A70,$K$1)</f>
        <v>0</v>
      </c>
      <c r="D70" s="36">
        <f>_xll.DBRW($B$1,Input_Prod_05!$G$11,Input_Prod_05!D$14,$M$1,Input_Prod_05!$I$11,$C$11,$E$33,$A$57,$A70,$K$1)</f>
        <v>0</v>
      </c>
      <c r="E70" s="36">
        <f>_xll.DBRW($B$1,Input_Prod_05!$G$11,Input_Prod_05!E$14,$M$1,Input_Prod_05!$I$11,$C$11,$E$33,$A$57,$A70,$K$1)</f>
        <v>0</v>
      </c>
      <c r="F70" s="36">
        <f>_xll.DBRW($B$1,Input_Prod_05!$G$11,Input_Prod_05!F$14,$M$1,Input_Prod_05!$I$11,$C$11,$E$33,$A$57,$A70,$K$1)</f>
        <v>0</v>
      </c>
      <c r="G70" s="36">
        <f>_xll.DBRW($B$1,Input_Prod_05!$G$11,Input_Prod_05!G$14,$M$1,Input_Prod_05!$I$11,$C$11,$E$33,$A$57,$A70,$K$1)</f>
        <v>0</v>
      </c>
      <c r="H70" s="36">
        <f>_xll.DBRW($B$1,Input_Prod_05!$G$11,Input_Prod_05!H$14,$M$1,Input_Prod_05!$I$11,$C$11,$E$33,$A$57,$A70,$K$1)</f>
        <v>0</v>
      </c>
      <c r="I70" s="36">
        <f>_xll.DBRW($B$1,Input_Prod_05!$G$11,Input_Prod_05!I$14,$M$1,Input_Prod_05!$I$11,$C$11,$E$33,$A$57,$A70,$K$1)</f>
        <v>0</v>
      </c>
      <c r="J70" s="36">
        <f>_xll.DBRW($B$1,Input_Prod_05!$G$11,Input_Prod_05!J$14,$M$1,Input_Prod_05!$I$11,$C$11,$E$33,$A$57,$A70,$K$1)</f>
        <v>0</v>
      </c>
      <c r="K70" s="36">
        <f>_xll.DBRW($B$1,Input_Prod_05!$G$11,Input_Prod_05!K$14,$M$1,Input_Prod_05!$I$11,$C$11,$E$33,$A$57,$A70,$K$1)</f>
        <v>0</v>
      </c>
      <c r="L70" s="36">
        <f>_xll.DBRW($B$1,Input_Prod_05!$G$11,Input_Prod_05!L$14,$M$1,Input_Prod_05!$I$11,$C$11,$E$33,$A$57,$A70,$K$1)</f>
        <v>0</v>
      </c>
      <c r="M70" s="36">
        <f>_xll.DBRW($B$1,Input_Prod_05!$G$11,Input_Prod_05!M$14,$M$1,Input_Prod_05!$I$11,$C$11,$E$33,$A$57,$A70,$K$1)</f>
        <v>0</v>
      </c>
      <c r="N70" s="36">
        <f>_xll.DBRW($B$1,Input_Prod_05!$G$11,Input_Prod_05!N$14,$M$1,Input_Prod_05!$I$11,$C$11,$E$33,$A$57,$A70,$K$1)</f>
        <v>0</v>
      </c>
      <c r="O70" s="36">
        <f>_xll.DBRW($B$1,O$13,$O$15,$M$1,Input_Prod_05!$I$11,$C$11,$E$33,$A$57,$A70,$K$1)</f>
        <v>0</v>
      </c>
      <c r="P70" s="36">
        <f>_xll.DBRW($B$1,P$13,$O$15,$M$1,Input_Prod_05!$I$11,$C$11,$E$33,$A$57,$A70,$K$1)</f>
        <v>0</v>
      </c>
      <c r="Q70" s="36">
        <f>_xll.DBRW($B$1,Q$13,$O$15,$M$1,Input_Prod_05!$I$11,$C$11,$E$33,$A$57,$A70,$K$1)</f>
        <v>0</v>
      </c>
      <c r="R70" s="36">
        <f>_xll.DBRW($B$1,R$13,$O$15,$M$1,Input_Prod_05!$I$11,$C$11,$E$33,$A$57,$A70,$K$1)</f>
        <v>0</v>
      </c>
      <c r="S70" s="36">
        <f>_xll.DBRW($B$1,S$13,$O$15,$M$1,Input_Prod_05!$I$11,$C$11,$E$33,$A$57,$A70,$K$1)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_xll.DBRW($B$1,Input_Prod_05!$G$11,Input_Prod_05!C$14,$M$1,Input_Prod_05!$I$11,$C$11,$E$33,$A$57,$A71,$K$1)</f>
        <v>0</v>
      </c>
      <c r="D71" s="36">
        <f>_xll.DBRW($B$1,Input_Prod_05!$G$11,Input_Prod_05!D$14,$M$1,Input_Prod_05!$I$11,$C$11,$E$33,$A$57,$A71,$K$1)</f>
        <v>0</v>
      </c>
      <c r="E71" s="36">
        <f>_xll.DBRW($B$1,Input_Prod_05!$G$11,Input_Prod_05!E$14,$M$1,Input_Prod_05!$I$11,$C$11,$E$33,$A$57,$A71,$K$1)</f>
        <v>0</v>
      </c>
      <c r="F71" s="36">
        <f>_xll.DBRW($B$1,Input_Prod_05!$G$11,Input_Prod_05!F$14,$M$1,Input_Prod_05!$I$11,$C$11,$E$33,$A$57,$A71,$K$1)</f>
        <v>0</v>
      </c>
      <c r="G71" s="36">
        <f>_xll.DBRW($B$1,Input_Prod_05!$G$11,Input_Prod_05!G$14,$M$1,Input_Prod_05!$I$11,$C$11,$E$33,$A$57,$A71,$K$1)</f>
        <v>0</v>
      </c>
      <c r="H71" s="36">
        <f>_xll.DBRW($B$1,Input_Prod_05!$G$11,Input_Prod_05!H$14,$M$1,Input_Prod_05!$I$11,$C$11,$E$33,$A$57,$A71,$K$1)</f>
        <v>0</v>
      </c>
      <c r="I71" s="36">
        <f>_xll.DBRW($B$1,Input_Prod_05!$G$11,Input_Prod_05!I$14,$M$1,Input_Prod_05!$I$11,$C$11,$E$33,$A$57,$A71,$K$1)</f>
        <v>0</v>
      </c>
      <c r="J71" s="36">
        <f>_xll.DBRW($B$1,Input_Prod_05!$G$11,Input_Prod_05!J$14,$M$1,Input_Prod_05!$I$11,$C$11,$E$33,$A$57,$A71,$K$1)</f>
        <v>0</v>
      </c>
      <c r="K71" s="36">
        <f>_xll.DBRW($B$1,Input_Prod_05!$G$11,Input_Prod_05!K$14,$M$1,Input_Prod_05!$I$11,$C$11,$E$33,$A$57,$A71,$K$1)</f>
        <v>0</v>
      </c>
      <c r="L71" s="36">
        <f>_xll.DBRW($B$1,Input_Prod_05!$G$11,Input_Prod_05!L$14,$M$1,Input_Prod_05!$I$11,$C$11,$E$33,$A$57,$A71,$K$1)</f>
        <v>0</v>
      </c>
      <c r="M71" s="36">
        <f>_xll.DBRW($B$1,Input_Prod_05!$G$11,Input_Prod_05!M$14,$M$1,Input_Prod_05!$I$11,$C$11,$E$33,$A$57,$A71,$K$1)</f>
        <v>0</v>
      </c>
      <c r="N71" s="36">
        <f>_xll.DBRW($B$1,Input_Prod_05!$G$11,Input_Prod_05!N$14,$M$1,Input_Prod_05!$I$11,$C$11,$E$33,$A$57,$A71,$K$1)</f>
        <v>0</v>
      </c>
      <c r="O71" s="36">
        <f>_xll.DBRW($B$1,O$13,$O$15,$M$1,Input_Prod_05!$I$11,$C$11,$E$33,$A$57,$A71,$K$1)</f>
        <v>0</v>
      </c>
      <c r="P71" s="36">
        <f>_xll.DBRW($B$1,P$13,$O$15,$M$1,Input_Prod_05!$I$11,$C$11,$E$33,$A$57,$A71,$K$1)</f>
        <v>0</v>
      </c>
      <c r="Q71" s="36">
        <f>_xll.DBRW($B$1,Q$13,$O$15,$M$1,Input_Prod_05!$I$11,$C$11,$E$33,$A$57,$A71,$K$1)</f>
        <v>0</v>
      </c>
      <c r="R71" s="36">
        <f>_xll.DBRW($B$1,R$13,$O$15,$M$1,Input_Prod_05!$I$11,$C$11,$E$33,$A$57,$A71,$K$1)</f>
        <v>0</v>
      </c>
      <c r="S71" s="36">
        <f>_xll.DBRW($B$1,S$13,$O$15,$M$1,Input_Prod_05!$I$11,$C$11,$E$33,$A$57,$A71,$K$1)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_xll.DBRW($B$1,Input_Prod_05!$G$11,Input_Prod_05!C$14,$M$1,Input_Prod_05!$I$11,$C$11,$E$33,$A$57,$A72,$K$1)</f>
        <v>0</v>
      </c>
      <c r="D72" s="36">
        <f>_xll.DBRW($B$1,Input_Prod_05!$G$11,Input_Prod_05!D$14,$M$1,Input_Prod_05!$I$11,$C$11,$E$33,$A$57,$A72,$K$1)</f>
        <v>0</v>
      </c>
      <c r="E72" s="36">
        <f>_xll.DBRW($B$1,Input_Prod_05!$G$11,Input_Prod_05!E$14,$M$1,Input_Prod_05!$I$11,$C$11,$E$33,$A$57,$A72,$K$1)</f>
        <v>0</v>
      </c>
      <c r="F72" s="36">
        <f>_xll.DBRW($B$1,Input_Prod_05!$G$11,Input_Prod_05!F$14,$M$1,Input_Prod_05!$I$11,$C$11,$E$33,$A$57,$A72,$K$1)</f>
        <v>0</v>
      </c>
      <c r="G72" s="36">
        <f>_xll.DBRW($B$1,Input_Prod_05!$G$11,Input_Prod_05!G$14,$M$1,Input_Prod_05!$I$11,$C$11,$E$33,$A$57,$A72,$K$1)</f>
        <v>0</v>
      </c>
      <c r="H72" s="36">
        <f>_xll.DBRW($B$1,Input_Prod_05!$G$11,Input_Prod_05!H$14,$M$1,Input_Prod_05!$I$11,$C$11,$E$33,$A$57,$A72,$K$1)</f>
        <v>0</v>
      </c>
      <c r="I72" s="36">
        <f>_xll.DBRW($B$1,Input_Prod_05!$G$11,Input_Prod_05!I$14,$M$1,Input_Prod_05!$I$11,$C$11,$E$33,$A$57,$A72,$K$1)</f>
        <v>0</v>
      </c>
      <c r="J72" s="36">
        <f>_xll.DBRW($B$1,Input_Prod_05!$G$11,Input_Prod_05!J$14,$M$1,Input_Prod_05!$I$11,$C$11,$E$33,$A$57,$A72,$K$1)</f>
        <v>0</v>
      </c>
      <c r="K72" s="36">
        <f>_xll.DBRW($B$1,Input_Prod_05!$G$11,Input_Prod_05!K$14,$M$1,Input_Prod_05!$I$11,$C$11,$E$33,$A$57,$A72,$K$1)</f>
        <v>0</v>
      </c>
      <c r="L72" s="36">
        <f>_xll.DBRW($B$1,Input_Prod_05!$G$11,Input_Prod_05!L$14,$M$1,Input_Prod_05!$I$11,$C$11,$E$33,$A$57,$A72,$K$1)</f>
        <v>0</v>
      </c>
      <c r="M72" s="36">
        <f>_xll.DBRW($B$1,Input_Prod_05!$G$11,Input_Prod_05!M$14,$M$1,Input_Prod_05!$I$11,$C$11,$E$33,$A$57,$A72,$K$1)</f>
        <v>0</v>
      </c>
      <c r="N72" s="36">
        <f>_xll.DBRW($B$1,Input_Prod_05!$G$11,Input_Prod_05!N$14,$M$1,Input_Prod_05!$I$11,$C$11,$E$33,$A$57,$A72,$K$1)</f>
        <v>0</v>
      </c>
      <c r="O72" s="36">
        <f>_xll.DBRW($B$1,O$13,$O$15,$M$1,Input_Prod_05!$I$11,$C$11,$E$33,$A$57,$A72,$K$1)</f>
        <v>0</v>
      </c>
      <c r="P72" s="36">
        <f>_xll.DBRW($B$1,P$13,$O$15,$M$1,Input_Prod_05!$I$11,$C$11,$E$33,$A$57,$A72,$K$1)</f>
        <v>0</v>
      </c>
      <c r="Q72" s="36">
        <f>_xll.DBRW($B$1,Q$13,$O$15,$M$1,Input_Prod_05!$I$11,$C$11,$E$33,$A$57,$A72,$K$1)</f>
        <v>0</v>
      </c>
      <c r="R72" s="36">
        <f>_xll.DBRW($B$1,R$13,$O$15,$M$1,Input_Prod_05!$I$11,$C$11,$E$33,$A$57,$A72,$K$1)</f>
        <v>0</v>
      </c>
      <c r="S72" s="36">
        <f>_xll.DBRW($B$1,S$13,$O$15,$M$1,Input_Prod_05!$I$11,$C$11,$E$33,$A$57,$A72,$K$1)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_xll.DBRW($B$1,Input_Prod_05!$G$11,Input_Prod_05!C$14,$M$1,Input_Prod_05!$I$11,$C$11,$E$33,$A$57,$A73,$K$1)</f>
        <v>0</v>
      </c>
      <c r="D73" s="36">
        <f>_xll.DBRW($B$1,Input_Prod_05!$G$11,Input_Prod_05!D$14,$M$1,Input_Prod_05!$I$11,$C$11,$E$33,$A$57,$A73,$K$1)</f>
        <v>0</v>
      </c>
      <c r="E73" s="36">
        <f>_xll.DBRW($B$1,Input_Prod_05!$G$11,Input_Prod_05!E$14,$M$1,Input_Prod_05!$I$11,$C$11,$E$33,$A$57,$A73,$K$1)</f>
        <v>0</v>
      </c>
      <c r="F73" s="36">
        <f>_xll.DBRW($B$1,Input_Prod_05!$G$11,Input_Prod_05!F$14,$M$1,Input_Prod_05!$I$11,$C$11,$E$33,$A$57,$A73,$K$1)</f>
        <v>0</v>
      </c>
      <c r="G73" s="36">
        <f>_xll.DBRW($B$1,Input_Prod_05!$G$11,Input_Prod_05!G$14,$M$1,Input_Prod_05!$I$11,$C$11,$E$33,$A$57,$A73,$K$1)</f>
        <v>0</v>
      </c>
      <c r="H73" s="36">
        <f>_xll.DBRW($B$1,Input_Prod_05!$G$11,Input_Prod_05!H$14,$M$1,Input_Prod_05!$I$11,$C$11,$E$33,$A$57,$A73,$K$1)</f>
        <v>0</v>
      </c>
      <c r="I73" s="36">
        <f>_xll.DBRW($B$1,Input_Prod_05!$G$11,Input_Prod_05!I$14,$M$1,Input_Prod_05!$I$11,$C$11,$E$33,$A$57,$A73,$K$1)</f>
        <v>0</v>
      </c>
      <c r="J73" s="36">
        <f>_xll.DBRW($B$1,Input_Prod_05!$G$11,Input_Prod_05!J$14,$M$1,Input_Prod_05!$I$11,$C$11,$E$33,$A$57,$A73,$K$1)</f>
        <v>0</v>
      </c>
      <c r="K73" s="36">
        <f>_xll.DBRW($B$1,Input_Prod_05!$G$11,Input_Prod_05!K$14,$M$1,Input_Prod_05!$I$11,$C$11,$E$33,$A$57,$A73,$K$1)</f>
        <v>0</v>
      </c>
      <c r="L73" s="36">
        <f>_xll.DBRW($B$1,Input_Prod_05!$G$11,Input_Prod_05!L$14,$M$1,Input_Prod_05!$I$11,$C$11,$E$33,$A$57,$A73,$K$1)</f>
        <v>0</v>
      </c>
      <c r="M73" s="36">
        <f>_xll.DBRW($B$1,Input_Prod_05!$G$11,Input_Prod_05!M$14,$M$1,Input_Prod_05!$I$11,$C$11,$E$33,$A$57,$A73,$K$1)</f>
        <v>0</v>
      </c>
      <c r="N73" s="36">
        <f>_xll.DBRW($B$1,Input_Prod_05!$G$11,Input_Prod_05!N$14,$M$1,Input_Prod_05!$I$11,$C$11,$E$33,$A$57,$A73,$K$1)</f>
        <v>0</v>
      </c>
      <c r="O73" s="36">
        <f>_xll.DBRW($B$1,O$13,$O$15,$M$1,Input_Prod_05!$I$11,$C$11,$E$33,$A$57,$A73,$K$1)</f>
        <v>0</v>
      </c>
      <c r="P73" s="36">
        <f>_xll.DBRW($B$1,P$13,$O$15,$M$1,Input_Prod_05!$I$11,$C$11,$E$33,$A$57,$A73,$K$1)</f>
        <v>0</v>
      </c>
      <c r="Q73" s="36">
        <f>_xll.DBRW($B$1,Q$13,$O$15,$M$1,Input_Prod_05!$I$11,$C$11,$E$33,$A$57,$A73,$K$1)</f>
        <v>0</v>
      </c>
      <c r="R73" s="36">
        <f>_xll.DBRW($B$1,R$13,$O$15,$M$1,Input_Prod_05!$I$11,$C$11,$E$33,$A$57,$A73,$K$1)</f>
        <v>0</v>
      </c>
      <c r="S73" s="36">
        <f>_xll.DBRW($B$1,S$13,$O$15,$M$1,Input_Prod_05!$I$11,$C$11,$E$33,$A$57,$A73,$K$1)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_xll.DBRW($B$3,Input_Prod_05!$G$11,Input_Prod_05!C$14,$M$1,Input_Prod_05!$I$11,$C$11,$E$33,$A74,$K$1)</f>
        <v>0</v>
      </c>
      <c r="D74" s="48">
        <f>_xll.DBRW($B$3,Input_Prod_05!$G$11,Input_Prod_05!D$14,$M$1,Input_Prod_05!$I$11,$C$11,$E$33,$A74,$K$1)</f>
        <v>0</v>
      </c>
      <c r="E74" s="48">
        <f>_xll.DBRW($B$3,Input_Prod_05!$G$11,Input_Prod_05!E$14,$M$1,Input_Prod_05!$I$11,$C$11,$E$33,$A74,$K$1)</f>
        <v>0</v>
      </c>
      <c r="F74" s="48">
        <f>_xll.DBRW($B$3,Input_Prod_05!$G$11,Input_Prod_05!F$14,$M$1,Input_Prod_05!$I$11,$C$11,$E$33,$A74,$K$1)</f>
        <v>0</v>
      </c>
      <c r="G74" s="48">
        <f>_xll.DBRW($B$3,Input_Prod_05!$G$11,Input_Prod_05!G$14,$M$1,Input_Prod_05!$I$11,$C$11,$E$33,$A74,$K$1)</f>
        <v>0</v>
      </c>
      <c r="H74" s="48">
        <f>_xll.DBRW($B$3,Input_Prod_05!$G$11,Input_Prod_05!H$14,$M$1,Input_Prod_05!$I$11,$C$11,$E$33,$A74,$K$1)</f>
        <v>0</v>
      </c>
      <c r="I74" s="48">
        <f>_xll.DBRW($B$3,Input_Prod_05!$G$11,Input_Prod_05!I$14,$M$1,Input_Prod_05!$I$11,$C$11,$E$33,$A74,$K$1)</f>
        <v>0</v>
      </c>
      <c r="J74" s="48">
        <f>_xll.DBRW($B$3,Input_Prod_05!$G$11,Input_Prod_05!J$14,$M$1,Input_Prod_05!$I$11,$C$11,$E$33,$A74,$K$1)</f>
        <v>0</v>
      </c>
      <c r="K74" s="48">
        <f>_xll.DBRW($B$3,Input_Prod_05!$G$11,Input_Prod_05!K$14,$M$1,Input_Prod_05!$I$11,$C$11,$E$33,$A74,$K$1)</f>
        <v>0</v>
      </c>
      <c r="L74" s="48">
        <f>_xll.DBRW($B$3,Input_Prod_05!$G$11,Input_Prod_05!L$14,$M$1,Input_Prod_05!$I$11,$C$11,$E$33,$A74,$K$1)</f>
        <v>0</v>
      </c>
      <c r="M74" s="48">
        <f>_xll.DBRW($B$3,Input_Prod_05!$G$11,Input_Prod_05!M$14,$M$1,Input_Prod_05!$I$11,$C$11,$E$33,$A74,$K$1)</f>
        <v>0</v>
      </c>
      <c r="N74" s="48">
        <f>_xll.DBRW($B$3,Input_Prod_05!$G$11,Input_Prod_05!N$14,$M$1,Input_Prod_05!$I$11,$C$11,$E$33,$A74,$K$1)</f>
        <v>0</v>
      </c>
      <c r="O74" s="48">
        <f>_xll.DBRW($B$3,O$13,$O$15,$M$1,Input_Prod_05!$I$11,$C$11,$E$33,$A74,$K$1)</f>
        <v>0</v>
      </c>
      <c r="P74" s="48">
        <f>_xll.DBRW($B$3,P$13,$O$15,$M$1,Input_Prod_05!$I$11,$C$11,$E$33,$A74,$K$1)</f>
        <v>0</v>
      </c>
      <c r="Q74" s="48">
        <f>_xll.DBRW($B$3,Q$13,$O$15,$M$1,Input_Prod_05!$I$11,$C$11,$E$33,$A74,$K$1)</f>
        <v>0</v>
      </c>
      <c r="R74" s="48">
        <f>_xll.DBRW($B$3,R$13,$O$15,$M$1,Input_Prod_05!$I$11,$C$11,$E$33,$A74,$K$1)</f>
        <v>0</v>
      </c>
      <c r="S74" s="48">
        <f>_xll.DBRW($B$3,S$13,$O$15,$M$1,Input_Prod_05!$I$11,$C$11,$E$33,$A74,$K$1)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8">
        <f>$G$11+1</f>
        <v>2027</v>
      </c>
      <c r="P78" s="98">
        <f>$G$11+2</f>
        <v>2028</v>
      </c>
      <c r="Q78" s="98">
        <f>$G$11+3</f>
        <v>2029</v>
      </c>
      <c r="R78" s="98">
        <f>$G$11+4</f>
        <v>2030</v>
      </c>
      <c r="S78" s="98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_xll.DBRW($B$1,Input_Prod_05!$G$11,Input_Prod_05!C$14,$M$1,Input_Prod_05!$I$11,$C$11,$E$33,Input_Prod_05!$A80,$L$1,$K$1)</f>
        <v>0</v>
      </c>
      <c r="D80" s="65">
        <f>_xll.DBRW($B$1,Input_Prod_05!$G$11,Input_Prod_05!D$14,$M$1,Input_Prod_05!$I$11,$C$11,$E$33,Input_Prod_05!$A80,$L$1,$K$1)</f>
        <v>0</v>
      </c>
      <c r="E80" s="65">
        <f>_xll.DBRW($B$1,Input_Prod_05!$G$11,Input_Prod_05!E$14,$M$1,Input_Prod_05!$I$11,$C$11,$E$33,Input_Prod_05!$A80,$L$1,$K$1)</f>
        <v>0</v>
      </c>
      <c r="F80" s="65">
        <f>_xll.DBRW($B$1,Input_Prod_05!$G$11,Input_Prod_05!F$14,$M$1,Input_Prod_05!$I$11,$C$11,$E$33,Input_Prod_05!$A80,$L$1,$K$1)</f>
        <v>0</v>
      </c>
      <c r="G80" s="65">
        <f>_xll.DBRW($B$1,Input_Prod_05!$G$11,Input_Prod_05!G$14,$M$1,Input_Prod_05!$I$11,$C$11,$E$33,Input_Prod_05!$A80,$L$1,$K$1)</f>
        <v>0</v>
      </c>
      <c r="H80" s="65">
        <f>_xll.DBRW($B$1,Input_Prod_05!$G$11,Input_Prod_05!H$14,$M$1,Input_Prod_05!$I$11,$C$11,$E$33,Input_Prod_05!$A80,$L$1,$K$1)</f>
        <v>0</v>
      </c>
      <c r="I80" s="65">
        <f>_xll.DBRW($B$1,Input_Prod_05!$G$11,Input_Prod_05!I$14,$M$1,Input_Prod_05!$I$11,$C$11,$E$33,Input_Prod_05!$A80,$L$1,$K$1)</f>
        <v>0</v>
      </c>
      <c r="J80" s="65">
        <f>_xll.DBRW($B$1,Input_Prod_05!$G$11,Input_Prod_05!J$14,$M$1,Input_Prod_05!$I$11,$C$11,$E$33,Input_Prod_05!$A80,$L$1,$K$1)</f>
        <v>0</v>
      </c>
      <c r="K80" s="65">
        <f>_xll.DBRW($B$1,Input_Prod_05!$G$11,Input_Prod_05!K$14,$M$1,Input_Prod_05!$I$11,$C$11,$E$33,Input_Prod_05!$A80,$L$1,$K$1)</f>
        <v>0</v>
      </c>
      <c r="L80" s="65">
        <f>_xll.DBRW($B$1,Input_Prod_05!$G$11,Input_Prod_05!L$14,$M$1,Input_Prod_05!$I$11,$C$11,$E$33,Input_Prod_05!$A80,$L$1,$K$1)</f>
        <v>0</v>
      </c>
      <c r="M80" s="65">
        <f>_xll.DBRW($B$1,Input_Prod_05!$G$11,Input_Prod_05!M$14,$M$1,Input_Prod_05!$I$11,$C$11,$E$33,Input_Prod_05!$A80,$L$1,$K$1)</f>
        <v>0</v>
      </c>
      <c r="N80" s="65">
        <f>_xll.DBRW($B$1,Input_Prod_05!$G$11,Input_Prod_05!N$14,$M$1,Input_Prod_05!$I$11,$C$11,$E$33,Input_Prod_05!$A80,$L$1,$K$1)</f>
        <v>0</v>
      </c>
      <c r="O80" s="65">
        <f>_xll.DBRW($B$1,O$13,$O$15,$M$1,Input_Prod_05!$I$11,$C$11,$E$33,Input_Prod_05!$A80,$L$1,$K$1)</f>
        <v>0</v>
      </c>
      <c r="P80" s="65">
        <f>_xll.DBRW($B$1,P$13,$O$15,$M$1,Input_Prod_05!$I$11,$C$11,$E$33,Input_Prod_05!$A80,$L$1,$K$1)</f>
        <v>0</v>
      </c>
      <c r="Q80" s="65">
        <f>_xll.DBRW($B$1,Q$13,$O$15,$M$1,Input_Prod_05!$I$11,$C$11,$E$33,Input_Prod_05!$A80,$L$1,$K$1)</f>
        <v>0</v>
      </c>
      <c r="R80" s="65">
        <f>_xll.DBRW($B$1,R$13,$O$15,$M$1,Input_Prod_05!$I$11,$C$11,$E$33,Input_Prod_05!$A80,$L$1,$K$1)</f>
        <v>0</v>
      </c>
      <c r="S80" s="65">
        <f>_xll.DBRW($B$1,S$13,$O$15,$M$1,Input_Prod_05!$I$11,$C$11,$E$33,Input_Prod_05!$A80,$L$1,$K$1)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_xll.DBRW($B$3,Input_Prod_05!$G$11,Input_Prod_05!C$14,$M$1,Input_Prod_05!$I$11,$C$11,$E$33,Input_Prod_05!$B81,$K$1)</f>
        <v>0</v>
      </c>
      <c r="D81" s="48">
        <f>_xll.DBRW($B$3,Input_Prod_05!$G$11,Input_Prod_05!D$14,$M$1,Input_Prod_05!$I$11,$C$11,$E$33,Input_Prod_05!$B81,$K$1)</f>
        <v>0</v>
      </c>
      <c r="E81" s="48">
        <f>_xll.DBRW($B$3,Input_Prod_05!$G$11,Input_Prod_05!E$14,$M$1,Input_Prod_05!$I$11,$C$11,$E$33,Input_Prod_05!$B81,$K$1)</f>
        <v>0</v>
      </c>
      <c r="F81" s="48">
        <f>_xll.DBRW($B$3,Input_Prod_05!$G$11,Input_Prod_05!F$14,$M$1,Input_Prod_05!$I$11,$C$11,$E$33,Input_Prod_05!$B81,$K$1)</f>
        <v>0</v>
      </c>
      <c r="G81" s="48">
        <f>_xll.DBRW($B$3,Input_Prod_05!$G$11,Input_Prod_05!G$14,$M$1,Input_Prod_05!$I$11,$C$11,$E$33,Input_Prod_05!$B81,$K$1)</f>
        <v>0</v>
      </c>
      <c r="H81" s="48">
        <f>_xll.DBRW($B$3,Input_Prod_05!$G$11,Input_Prod_05!H$14,$M$1,Input_Prod_05!$I$11,$C$11,$E$33,Input_Prod_05!$B81,$K$1)</f>
        <v>0</v>
      </c>
      <c r="I81" s="48">
        <f>_xll.DBRW($B$3,Input_Prod_05!$G$11,Input_Prod_05!I$14,$M$1,Input_Prod_05!$I$11,$C$11,$E$33,Input_Prod_05!$B81,$K$1)</f>
        <v>0</v>
      </c>
      <c r="J81" s="48">
        <f>_xll.DBRW($B$3,Input_Prod_05!$G$11,Input_Prod_05!J$14,$M$1,Input_Prod_05!$I$11,$C$11,$E$33,Input_Prod_05!$B81,$K$1)</f>
        <v>0</v>
      </c>
      <c r="K81" s="48">
        <f>_xll.DBRW($B$3,Input_Prod_05!$G$11,Input_Prod_05!K$14,$M$1,Input_Prod_05!$I$11,$C$11,$E$33,Input_Prod_05!$B81,$K$1)</f>
        <v>0</v>
      </c>
      <c r="L81" s="48">
        <f>_xll.DBRW($B$3,Input_Prod_05!$G$11,Input_Prod_05!L$14,$M$1,Input_Prod_05!$I$11,$C$11,$E$33,Input_Prod_05!$B81,$K$1)</f>
        <v>0</v>
      </c>
      <c r="M81" s="48">
        <f>_xll.DBRW($B$3,Input_Prod_05!$G$11,Input_Prod_05!M$14,$M$1,Input_Prod_05!$I$11,$C$11,$E$33,Input_Prod_05!$B81,$K$1)</f>
        <v>0</v>
      </c>
      <c r="N81" s="48">
        <f>_xll.DBRW($B$3,Input_Prod_05!$G$11,Input_Prod_05!N$14,$M$1,Input_Prod_05!$I$11,$C$11,$E$33,Input_Prod_05!$B81,$K$1)</f>
        <v>0</v>
      </c>
      <c r="O81" s="48">
        <f>_xll.DBRW($B$3,O$13,$O$15,$M$1,Input_Prod_05!$I$11,$C$11,$E$33,Input_Prod_05!$B81,$K$1)</f>
        <v>0</v>
      </c>
      <c r="P81" s="48">
        <f>_xll.DBRW($B$3,P$13,$O$15,$M$1,Input_Prod_05!$I$11,$C$11,$E$33,Input_Prod_05!$B81,$K$1)</f>
        <v>0</v>
      </c>
      <c r="Q81" s="48">
        <f>_xll.DBRW($B$3,Q$13,$O$15,$M$1,Input_Prod_05!$I$11,$C$11,$E$33,Input_Prod_05!$B81,$K$1)</f>
        <v>0</v>
      </c>
      <c r="R81" s="48">
        <f>_xll.DBRW($B$3,R$13,$O$15,$M$1,Input_Prod_05!$I$11,$C$11,$E$33,Input_Prod_05!$B81,$K$1)</f>
        <v>0</v>
      </c>
      <c r="S81" s="48">
        <f>_xll.DBRW($B$3,S$13,$O$15,$M$1,Input_Prod_05!$I$11,$C$11,$E$33,Input_Prod_05!$B81,$K$1)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_xll.DBRW($B$3,Input_Prod_05!$G$11,Input_Prod_05!C$14,$M$1,Input_Prod_05!$I$11,Input_Prod_05!$C$11,$E$33,$A82,$K$1)</f>
        <v>0</v>
      </c>
      <c r="D82" s="40">
        <f>_xll.DBRW($B$3,Input_Prod_05!$G$11,Input_Prod_05!D$14,$M$1,Input_Prod_05!$I$11,Input_Prod_05!$C$11,$E$33,$A82,$K$1)</f>
        <v>0</v>
      </c>
      <c r="E82" s="40">
        <f>_xll.DBRW($B$3,Input_Prod_05!$G$11,Input_Prod_05!E$14,$M$1,Input_Prod_05!$I$11,Input_Prod_05!$C$11,$E$33,$A82,$K$1)</f>
        <v>0</v>
      </c>
      <c r="F82" s="40">
        <f>_xll.DBRW($B$3,Input_Prod_05!$G$11,Input_Prod_05!F$14,$M$1,Input_Prod_05!$I$11,Input_Prod_05!$C$11,$E$33,$A82,$K$1)</f>
        <v>0</v>
      </c>
      <c r="G82" s="40">
        <f>_xll.DBRW($B$3,Input_Prod_05!$G$11,Input_Prod_05!G$14,$M$1,Input_Prod_05!$I$11,Input_Prod_05!$C$11,$E$33,$A82,$K$1)</f>
        <v>0</v>
      </c>
      <c r="H82" s="40">
        <f>_xll.DBRW($B$3,Input_Prod_05!$G$11,Input_Prod_05!H$14,$M$1,Input_Prod_05!$I$11,Input_Prod_05!$C$11,$E$33,$A82,$K$1)</f>
        <v>0</v>
      </c>
      <c r="I82" s="40">
        <f>_xll.DBRW($B$3,Input_Prod_05!$G$11,Input_Prod_05!I$14,$M$1,Input_Prod_05!$I$11,Input_Prod_05!$C$11,$E$33,$A82,$K$1)</f>
        <v>0</v>
      </c>
      <c r="J82" s="40">
        <f>_xll.DBRW($B$3,Input_Prod_05!$G$11,Input_Prod_05!J$14,$M$1,Input_Prod_05!$I$11,Input_Prod_05!$C$11,$E$33,$A82,$K$1)</f>
        <v>0</v>
      </c>
      <c r="K82" s="40">
        <f>_xll.DBRW($B$3,Input_Prod_05!$G$11,Input_Prod_05!K$14,$M$1,Input_Prod_05!$I$11,Input_Prod_05!$C$11,$E$33,$A82,$K$1)</f>
        <v>0</v>
      </c>
      <c r="L82" s="40">
        <f>_xll.DBRW($B$3,Input_Prod_05!$G$11,Input_Prod_05!L$14,$M$1,Input_Prod_05!$I$11,Input_Prod_05!$C$11,$E$33,$A82,$K$1)</f>
        <v>0</v>
      </c>
      <c r="M82" s="40">
        <f>_xll.DBRW($B$3,Input_Prod_05!$G$11,Input_Prod_05!M$14,$M$1,Input_Prod_05!$I$11,Input_Prod_05!$C$11,$E$33,$A82,$K$1)</f>
        <v>0</v>
      </c>
      <c r="N82" s="40">
        <f>_xll.DBRW($B$3,Input_Prod_05!$G$11,Input_Prod_05!N$14,$M$1,Input_Prod_05!$I$11,Input_Prod_05!$C$11,$E$33,$A82,$K$1)</f>
        <v>0</v>
      </c>
      <c r="O82" s="48">
        <f>_xll.DBRW($B$3,O$13,$O$15,$M$1,Input_Prod_05!$I$11,$C$11,$E$33,$A82,$K$1)</f>
        <v>0</v>
      </c>
      <c r="P82" s="48">
        <f>_xll.DBRW($B$3,P$13,$O$15,$M$1,Input_Prod_05!$I$11,$C$11,$E$33,$A82,$K$1)</f>
        <v>0</v>
      </c>
      <c r="Q82" s="48">
        <f>_xll.DBRW($B$3,Q$13,$O$15,$M$1,Input_Prod_05!$I$11,$C$11,$E$33,$A82,$K$1)</f>
        <v>0</v>
      </c>
      <c r="R82" s="48">
        <f>_xll.DBRW($B$3,R$13,$O$15,$M$1,Input_Prod_05!$I$11,$C$11,$E$33,$A82,$K$1)</f>
        <v>0</v>
      </c>
      <c r="S82" s="48">
        <f>_xll.DBRW($B$3,S$13,$O$15,$M$1,Input_Prod_05!$I$11,$C$11,$E$33,$A82,$K$1)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5" priority="3">
      <formula>C$5="ACTUAL"</formula>
    </cfRule>
  </conditionalFormatting>
  <conditionalFormatting sqref="C53:S56">
    <cfRule type="expression" dxfId="4" priority="2">
      <formula>C$5="ACTUAL"</formula>
    </cfRule>
  </conditionalFormatting>
  <conditionalFormatting sqref="C58:S73">
    <cfRule type="expression" dxfId="3" priority="1">
      <formula>C$5="ACTUAL"</formula>
    </cfRule>
  </conditionalFormatting>
  <conditionalFormatting sqref="C80:S80">
    <cfRule type="expression" dxfId="2" priority="6">
      <formula>C$5="ACTUAL"</formula>
    </cfRule>
  </conditionalFormatting>
  <conditionalFormatting sqref="L11">
    <cfRule type="cellIs" dxfId="1" priority="4" operator="equal">
      <formula>"Open"</formula>
    </cfRule>
    <cfRule type="cellIs" dxfId="0" priority="5" operator="equal">
      <formula>"Closed"</formula>
    </cfRule>
  </conditionalFormatting>
  <dataValidations count="1">
    <dataValidation type="list" errorStyle="information" allowBlank="1" showInputMessage="1" sqref="D5:N5" xr:uid="{C54F8498-0B9D-4598-8D2E-245DA3C81C46}">
      <formula1>cafe_validation_temp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1413-80D0-4C6B-8C2B-6F3533A7D1B7}">
  <sheetPr codeName="Planilha4"/>
  <dimension ref="B1:B23"/>
  <sheetViews>
    <sheetView workbookViewId="0"/>
  </sheetViews>
  <sheetFormatPr defaultRowHeight="14.4"/>
  <sheetData>
    <row r="1" spans="2:2">
      <c r="B1" t="s">
        <v>537</v>
      </c>
    </row>
    <row r="2" spans="2:2">
      <c r="B2" s="84" t="s">
        <v>292</v>
      </c>
    </row>
    <row r="3" spans="2:2">
      <c r="B3" s="84" t="s">
        <v>293</v>
      </c>
    </row>
    <row r="4" spans="2:2">
      <c r="B4" s="84" t="s">
        <v>525</v>
      </c>
    </row>
    <row r="5" spans="2:2">
      <c r="B5" s="84" t="s">
        <v>526</v>
      </c>
    </row>
    <row r="6" spans="2:2">
      <c r="B6" s="84" t="s">
        <v>527</v>
      </c>
    </row>
    <row r="7" spans="2:2">
      <c r="B7" s="84" t="s">
        <v>528</v>
      </c>
    </row>
    <row r="8" spans="2:2">
      <c r="B8" s="84" t="s">
        <v>294</v>
      </c>
    </row>
    <row r="9" spans="2:2">
      <c r="B9" s="84" t="s">
        <v>529</v>
      </c>
    </row>
    <row r="10" spans="2:2">
      <c r="B10" s="84" t="s">
        <v>530</v>
      </c>
    </row>
    <row r="11" spans="2:2">
      <c r="B11" s="84" t="s">
        <v>531</v>
      </c>
    </row>
    <row r="12" spans="2:2">
      <c r="B12" s="84" t="s">
        <v>295</v>
      </c>
    </row>
    <row r="13" spans="2:2">
      <c r="B13" s="84" t="s">
        <v>296</v>
      </c>
    </row>
    <row r="14" spans="2:2">
      <c r="B14" s="84" t="s">
        <v>297</v>
      </c>
    </row>
    <row r="15" spans="2:2">
      <c r="B15" s="84" t="s">
        <v>300</v>
      </c>
    </row>
    <row r="16" spans="2:2">
      <c r="B16" s="84" t="s">
        <v>298</v>
      </c>
    </row>
    <row r="17" spans="2:2">
      <c r="B17" s="84" t="s">
        <v>299</v>
      </c>
    </row>
    <row r="18" spans="2:2">
      <c r="B18" s="84" t="s">
        <v>532</v>
      </c>
    </row>
    <row r="19" spans="2:2">
      <c r="B19" s="84" t="s">
        <v>533</v>
      </c>
    </row>
    <row r="20" spans="2:2">
      <c r="B20" s="84" t="s">
        <v>534</v>
      </c>
    </row>
    <row r="21" spans="2:2">
      <c r="B21" s="84" t="s">
        <v>535</v>
      </c>
    </row>
    <row r="22" spans="2:2">
      <c r="B22" s="84" t="s">
        <v>536</v>
      </c>
    </row>
    <row r="23" spans="2:2">
      <c r="B23" s="84" t="s">
        <v>49</v>
      </c>
    </row>
  </sheetData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E8AD4D95D7F445A2895D0644042872" ma:contentTypeVersion="18" ma:contentTypeDescription="Create a new document." ma:contentTypeScope="" ma:versionID="61d509613791b4b698d7389fe2d934ec">
  <xsd:schema xmlns:xsd="http://www.w3.org/2001/XMLSchema" xmlns:xs="http://www.w3.org/2001/XMLSchema" xmlns:p="http://schemas.microsoft.com/office/2006/metadata/properties" xmlns:ns3="3b3f7668-f8c7-4f2d-9222-b5a7b53abe03" xmlns:ns4="ca05545a-2b2e-426f-ac34-2c1b9c2bc617" targetNamespace="http://schemas.microsoft.com/office/2006/metadata/properties" ma:root="true" ma:fieldsID="b4731dd100d825b9bc86c6a4e7f927ad" ns3:_="" ns4:_="">
    <xsd:import namespace="3b3f7668-f8c7-4f2d-9222-b5a7b53abe03"/>
    <xsd:import namespace="ca05545a-2b2e-426f-ac34-2c1b9c2bc61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f7668-f8c7-4f2d-9222-b5a7b53abe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5545a-2b2e-426f-ac34-2c1b9c2bc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05545a-2b2e-426f-ac34-2c1b9c2bc617" xsi:nil="true"/>
  </documentManagement>
</p:properties>
</file>

<file path=customXml/itemProps1.xml><?xml version="1.0" encoding="utf-8"?>
<ds:datastoreItem xmlns:ds="http://schemas.openxmlformats.org/officeDocument/2006/customXml" ds:itemID="{AFE6EC82-4D3A-4E00-A11E-CF1ADB20B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3f7668-f8c7-4f2d-9222-b5a7b53abe03"/>
    <ds:schemaRef ds:uri="ca05545a-2b2e-426f-ac34-2c1b9c2bc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11BB5-5885-44C1-90DA-3F0647591A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81D0CD-F97E-42F9-8733-3AEA8347BA90}">
  <ds:schemaRefs>
    <ds:schemaRef ds:uri="http://schemas.microsoft.com/office/2006/documentManagement/types"/>
    <ds:schemaRef ds:uri="ca05545a-2b2e-426f-ac34-2c1b9c2bc617"/>
    <ds:schemaRef ds:uri="http://purl.org/dc/elements/1.1/"/>
    <ds:schemaRef ds:uri="http://purl.org/dc/dcmitype/"/>
    <ds:schemaRef ds:uri="3b3f7668-f8c7-4f2d-9222-b5a7b53abe0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Cons_Region</vt:lpstr>
      <vt:lpstr>Opening</vt:lpstr>
      <vt:lpstr>Input_Prod_01</vt:lpstr>
      <vt:lpstr>Input_Prod_02</vt:lpstr>
      <vt:lpstr>Input_Prod_03</vt:lpstr>
      <vt:lpstr>Input_Prod_04</vt:lpstr>
      <vt:lpstr>Input_Prod_05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Miranda</dc:creator>
  <cp:lastModifiedBy>Enrico Athayde</cp:lastModifiedBy>
  <dcterms:created xsi:type="dcterms:W3CDTF">2026-03-10T17:26:26Z</dcterms:created>
  <dcterms:modified xsi:type="dcterms:W3CDTF">2026-04-28T12:37:40Z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0x010100CDE8AD4D95D7F445A2895D0644042872</vt:lpwstr>
  </property>
</Properties>
</file>