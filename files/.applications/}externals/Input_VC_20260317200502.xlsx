
<file path=[Content_Types].xml><?xml version="1.0" encoding="utf-8"?>
<Types xmlns="http://schemas.openxmlformats.org/package/2006/content-types">
  <Default Extension="bin" ContentType="application/vnd.openxmlformats-officedocument.spreadsheetml.customProperty"/>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FelipeMiranda\AppData\Local\Temp\"/>
    </mc:Choice>
  </mc:AlternateContent>
  <xr:revisionPtr revIDLastSave="0" documentId="8_{12F09BEE-D605-4207-B1E4-4064FC863D61}" xr6:coauthVersionLast="47" xr6:coauthVersionMax="47" xr10:uidLastSave="{00000000-0000-0000-0000-000000000000}"/>
  <bookViews>
    <workbookView xWindow="-120" yWindow="-120" windowWidth="29040" windowHeight="15720" xr2:uid="{CDA19FDD-75B2-41E7-A310-50001757EE51}"/>
  </bookViews>
  <sheets>
    <sheet name="Input" sheetId="4" r:id="rId1"/>
    <sheet name="Data Table Style #2" sheetId="3" state="hidden" r:id="rId2"/>
    <sheet name="Cognos_Office_Connection_Cache" sheetId="5" state="veryHidden" r:id="rId3"/>
  </sheets>
  <externalReferences>
    <externalReference r:id="rId4"/>
  </externalReferences>
  <definedNames>
    <definedName name="__123Graph_A" hidden="1">#REF!</definedName>
    <definedName name="__123Graph_ACOMPARA" hidden="1">#REF!</definedName>
    <definedName name="__123Graph_ACONSMED" hidden="1">#REF!</definedName>
    <definedName name="__123Graph_APREVRCOM" hidden="1">#REF!</definedName>
    <definedName name="__123Graph_APREVREALI" hidden="1">#REF!</definedName>
    <definedName name="__123Graph_APREVRIND" hidden="1">#REF!</definedName>
    <definedName name="__123Graph_APREVROUT" hidden="1">#REF!</definedName>
    <definedName name="__123Graph_APREVRRES" hidden="1">#REF!</definedName>
    <definedName name="__123Graph_APREVRTOT" hidden="1">#REF!</definedName>
    <definedName name="__123Graph_B" hidden="1">#REF!</definedName>
    <definedName name="__123Graph_BCOMPARA" hidden="1">#REF!</definedName>
    <definedName name="__123Graph_BPREVREALI" hidden="1">#REF!</definedName>
    <definedName name="__123Graph_CPREVREALI" hidden="1">#REF!</definedName>
    <definedName name="__123Graph_D" hidden="1">#REF!</definedName>
    <definedName name="__123Graph_DCOMPARA" hidden="1">#REF!</definedName>
    <definedName name="__123Graph_DPREVREALI" hidden="1">#REF!</definedName>
    <definedName name="__123Graph_EPREVREALI" hidden="1">#REF!</definedName>
    <definedName name="__123Graph_F" hidden="1">#REF!</definedName>
    <definedName name="__123Graph_FCOMPARA" hidden="1">#REF!</definedName>
    <definedName name="__123Graph_XCONSMED" hidden="1">#REF!</definedName>
    <definedName name="__123Graph_XELASTIC" hidden="1">#REF!</definedName>
    <definedName name="__123Graph_XPREVRCOM" hidden="1">#REF!</definedName>
    <definedName name="__123Graph_XPREVREALI" hidden="1">#REF!</definedName>
    <definedName name="__123Graph_XPREVRIND" hidden="1">#REF!</definedName>
    <definedName name="__123Graph_XPREVROUT" hidden="1">[1]Mercado!#REF!</definedName>
    <definedName name="__123Graph_XPREVRRES" hidden="1">#REF!</definedName>
    <definedName name="__123Graph_XPREVRTOT" hidden="1">#REF!</definedName>
    <definedName name="_2_0_Dist_Val" hidden="1">#REF!</definedName>
    <definedName name="_4_0_F"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ist_Bin" hidden="1">#REF!</definedName>
    <definedName name="_Dist_Values" hidden="1">#REF!</definedName>
    <definedName name="_Fill" hidden="1">#REF!</definedName>
    <definedName name="_Key1" hidden="1">#REF!</definedName>
    <definedName name="_Order1" hidden="1">0</definedName>
    <definedName name="_xleta.N" hidden="1">#NAME?</definedName>
    <definedName name="_xleta.T" hidden="1">#NAME?</definedName>
    <definedName name="a">#N/A</definedName>
    <definedName name="aaaaaaaaaaaaaaaaaaaaaaaaaa" hidden="1">"(GMT-03:00)24/06/2015 16:31:05"</definedName>
    <definedName name="anscount" hidden="1">3</definedName>
    <definedName name="CC">#REF!</definedName>
    <definedName name="Conta">#REF!</definedName>
    <definedName name="Efeito">#REF!</definedName>
    <definedName name="EPMWorkbookOptions_1" hidden="1">"dgEAAB+LCAAAAAAABADtvQdgHEmWJSYvbcp7f0r1StfgdKEIgGATJNiQQBDswYjN5pLsHWlHIymrKoHKZVZlXWYWQMztnbz33nvvvffee++997o7nU4n99//P1xmZAFs9s5K2smeIYCqyB8/fnwfPyIe/x7vFmV6mddNUS0/+2h3vPNRmi+n1axYXnz20bo939799KPf4+g3Th5/t6rfTqrq7Zerlpo2Kb23bB69a4rPPpq37erR3btXV1fj"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"q3vjqr64u7ezs3v39/7i+evpPF9k28WyabPlNP/IvjW7+a2PqNc0ffwqP6/zZv7l8stVvjw6z8omf3w3/JDbnZR5Vj/N2uzL5evsMjctux9zWzOWl3XV5tM2n5nW/S/C9lez9K58dNb8ZFYX2aTMv8jrCweh9zmRzoJV2h39P45h/1l2AQAA"</definedName>
    <definedName name="EV__EVCOM_OPTIONS__" hidden="1">8</definedName>
    <definedName name="EV__EXPOPTIONS__" hidden="1">0</definedName>
    <definedName name="EV__LASTREFTIME__" hidden="1">"(GMT-03:00)19/08/2015 17:08:16"</definedName>
    <definedName name="EV__LASTREFTIME___1" hidden="1">"(GMT-03:00)19/08/2015 17:08:16"</definedName>
    <definedName name="EV__MAXEXPCOLS__" hidden="1">100</definedName>
    <definedName name="EV__MAXEXPROWS__" hidden="1">1000</definedName>
    <definedName name="EV__MEMORYCVW__" hidden="1">0</definedName>
    <definedName name="EV__WBEVMODE__" hidden="1">1</definedName>
    <definedName name="EV__WBREFOPTIONS__" hidden="1">134217732</definedName>
    <definedName name="EV__WBVERSION__" hidden="1">0</definedName>
    <definedName name="EXPLIC">#N/A</definedName>
    <definedName name="ID" localSheetId="2" hidden="1">"8cf5af60-f32c-4d17-a048-978f4aaf10e7"</definedName>
    <definedName name="ID" localSheetId="1" hidden="1">"182707c2-558b-4bdb-8ec3-7d5f11558c6a"</definedName>
    <definedName name="ID" localSheetId="0" hidden="1">"d88367c1-eea5-4e4d-9529-bb0b9173de43"</definedName>
    <definedName name="ID_1" localSheetId="0" hidden="1">"a376d371-2eeb-41d5-a15e-b1b031ed95af"</definedName>
    <definedName name="limcount" hidden="1">3</definedName>
    <definedName name="Macro3">#N/A</definedName>
    <definedName name="Mes">#REF!</definedName>
    <definedName name="Mês">#REF!</definedName>
    <definedName name="Pal_Workbook_GUID" hidden="1">"8K8KFLBWNVJH1BNZRXPZ8WSS"</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revision" hidden="1">14</definedName>
    <definedName name="SAPBEXsysID" hidden="1">"BW3"</definedName>
    <definedName name="SAPBEXwbID" hidden="1">"3SO04G3IWYENSZLK6QOKKYLB2"</definedName>
    <definedName name="sencount" hidden="1">3</definedName>
    <definedName name="XRefCopy16" hidden="1">#REF!</definedName>
    <definedName name="XRefCopy18" hidden="1">#REF!</definedName>
    <definedName name="XRefCopy2" hidden="1">#REF!</definedName>
    <definedName name="XRefCopy3" hidden="1">#REF!</definedName>
    <definedName name="XRefCopy4" hidden="1">#REF!</definedName>
    <definedName name="XRefCopy5" hidden="1">#REF!</definedName>
    <definedName name="XRefCopy6" hidden="1">#REF!</definedName>
    <definedName name="XRefCopyRangeCount" hidden="1">1</definedName>
    <definedName name="XRefPaste1" hidden="1">#REF!</definedName>
    <definedName name="XRefPaste18" hidden="1">#REF!</definedName>
    <definedName name="XRefPaste2" hidden="1">#REF!</definedName>
    <definedName name="XRefPaste3" hidden="1">#REF!</definedName>
    <definedName name="XRefPaste4" hidden="1">#REF!</definedName>
    <definedName name="XRefPaste5" hidden="1">#REF!</definedName>
    <definedName name="XRefPaste6" hidden="1">#REF!</definedName>
    <definedName name="XRefPasteRangeCount" hidden="1">1</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C2" i="4"/>
  <c r="C1" i="4"/>
  <c r="B3" i="4"/>
  <c r="B2" i="4"/>
  <c r="D9" i="4"/>
  <c r="D31" i="4"/>
  <c r="D60" i="4"/>
  <c r="M1" i="4"/>
  <c r="C13" i="4"/>
  <c r="F18" i="4"/>
  <c r="D16" i="4"/>
  <c r="K27" i="4"/>
  <c r="L23" i="4"/>
  <c r="I21" i="4"/>
  <c r="E15" i="4"/>
  <c r="J20" i="4"/>
  <c r="I5" i="4"/>
  <c r="D44" i="4"/>
  <c r="K16" i="4"/>
  <c r="K22" i="4"/>
  <c r="K14" i="4"/>
  <c r="M14" i="4"/>
  <c r="N18" i="4"/>
  <c r="F24" i="4"/>
  <c r="D18" i="4"/>
  <c r="F16" i="4"/>
  <c r="K17" i="4"/>
  <c r="C23" i="4"/>
  <c r="G13" i="4"/>
  <c r="L13" i="4"/>
  <c r="D19" i="4"/>
  <c r="H24" i="4"/>
  <c r="L22" i="4"/>
  <c r="I14" i="4"/>
  <c r="E23" i="4"/>
  <c r="C14" i="4"/>
  <c r="M18" i="4"/>
  <c r="M15" i="4"/>
  <c r="N15" i="4"/>
  <c r="F21" i="4"/>
  <c r="J26" i="4"/>
  <c r="G5" i="4"/>
  <c r="J9" i="4"/>
  <c r="G92" i="4"/>
  <c r="F92" i="4"/>
  <c r="I100" i="4"/>
  <c r="D100" i="4"/>
  <c r="C18" i="4"/>
  <c r="G23" i="4"/>
  <c r="H13" i="4"/>
  <c r="M16" i="4"/>
  <c r="J19" i="4"/>
  <c r="N24" i="4"/>
  <c r="H19" i="4"/>
  <c r="N16" i="4"/>
  <c r="G18" i="4"/>
  <c r="K23" i="4"/>
  <c r="G15" i="4"/>
  <c r="H14" i="4"/>
  <c r="L19" i="4"/>
  <c r="D25" i="4"/>
  <c r="L24" i="4"/>
  <c r="M17" i="4"/>
  <c r="M23" i="4"/>
  <c r="L14" i="4"/>
  <c r="E20" i="4"/>
  <c r="I16" i="4"/>
  <c r="J16" i="4"/>
  <c r="N21" i="4"/>
  <c r="F27" i="4"/>
  <c r="D5" i="4"/>
  <c r="G9" i="4"/>
  <c r="H54" i="4"/>
  <c r="G55" i="4"/>
  <c r="J68" i="4"/>
  <c r="C75" i="4"/>
  <c r="N75" i="4"/>
  <c r="J85" i="4"/>
  <c r="G85" i="4"/>
  <c r="J94" i="4"/>
  <c r="K92" i="4"/>
  <c r="E101" i="4"/>
  <c r="L100" i="4"/>
  <c r="K18" i="4"/>
  <c r="H15" i="4"/>
  <c r="F20" i="4"/>
  <c r="H21" i="4"/>
  <c r="C19" i="4"/>
  <c r="G17" i="4"/>
  <c r="H20" i="4"/>
  <c r="L26" i="4"/>
  <c r="I24" i="4"/>
  <c r="E22" i="4"/>
  <c r="C54" i="4"/>
  <c r="E68" i="4"/>
  <c r="G84" i="4"/>
  <c r="C93" i="4"/>
  <c r="M101" i="4"/>
  <c r="G19" i="4"/>
  <c r="N20" i="4"/>
  <c r="K19" i="4"/>
  <c r="D21" i="4"/>
  <c r="E25" i="4"/>
  <c r="F17" i="4"/>
  <c r="H5" i="4"/>
  <c r="M68" i="4"/>
  <c r="H93" i="4"/>
  <c r="C20" i="4"/>
  <c r="J21" i="4"/>
  <c r="M25" i="4"/>
  <c r="N5" i="4"/>
  <c r="D85" i="4"/>
  <c r="G100" i="4"/>
  <c r="F26" i="4"/>
  <c r="C25" i="4"/>
  <c r="H23" i="4"/>
  <c r="F5" i="4"/>
  <c r="D75" i="4"/>
  <c r="G93" i="4"/>
  <c r="G25" i="4"/>
  <c r="K25" i="4"/>
  <c r="F23" i="4"/>
  <c r="E84" i="4"/>
  <c r="H101" i="4"/>
  <c r="D14" i="4"/>
  <c r="N23" i="4"/>
  <c r="J84" i="4"/>
  <c r="D22" i="4"/>
  <c r="N27" i="4"/>
  <c r="M76" i="4"/>
  <c r="N100" i="4"/>
  <c r="I18" i="4"/>
  <c r="D54" i="4"/>
  <c r="H25" i="4"/>
  <c r="H92" i="4"/>
  <c r="E14" i="4"/>
  <c r="J55" i="4"/>
  <c r="D102" i="4"/>
  <c r="E16" i="4"/>
  <c r="C68" i="4"/>
  <c r="G102" i="4"/>
  <c r="G14" i="4"/>
  <c r="K54" i="4"/>
  <c r="M19" i="4"/>
  <c r="I55" i="4"/>
  <c r="L15" i="4"/>
  <c r="H68" i="4"/>
  <c r="D76" i="4"/>
  <c r="E94" i="4"/>
  <c r="H100" i="4"/>
  <c r="J101" i="4"/>
  <c r="I25" i="4"/>
  <c r="C15" i="4"/>
  <c r="H16" i="4"/>
  <c r="I20" i="4"/>
  <c r="F13" i="4"/>
  <c r="K5" i="4"/>
  <c r="C85" i="4"/>
  <c r="I102" i="4"/>
  <c r="G20" i="4"/>
  <c r="L21" i="4"/>
  <c r="N17" i="4"/>
  <c r="K75" i="4"/>
  <c r="M93" i="4"/>
  <c r="K24" i="4"/>
  <c r="H26" i="4"/>
  <c r="J18" i="4"/>
  <c r="G54" i="4"/>
  <c r="L85" i="4"/>
  <c r="K100" i="4"/>
  <c r="N26" i="4"/>
  <c r="D27" i="4"/>
  <c r="C76" i="4"/>
  <c r="L16" i="4"/>
  <c r="M26" i="4"/>
  <c r="E24" i="4"/>
  <c r="L76" i="4"/>
  <c r="D92" i="4"/>
  <c r="J13" i="4"/>
  <c r="H17" i="4"/>
  <c r="E26" i="4"/>
  <c r="C94" i="4"/>
  <c r="I23" i="4"/>
  <c r="C5" i="4"/>
  <c r="G41" i="4"/>
  <c r="D42" i="4"/>
  <c r="I42" i="4"/>
  <c r="M41" i="4"/>
  <c r="G42" i="4"/>
  <c r="L41" i="4"/>
  <c r="K41" i="4"/>
  <c r="K42" i="4"/>
  <c r="D41" i="4"/>
  <c r="M42" i="4"/>
  <c r="N41" i="4"/>
  <c r="C42" i="4"/>
  <c r="E42" i="4"/>
  <c r="F41" i="4"/>
  <c r="C41" i="4"/>
  <c r="N42" i="4"/>
  <c r="H41" i="4"/>
  <c r="J42" i="4"/>
  <c r="F42" i="4"/>
  <c r="E41" i="4"/>
  <c r="H42" i="4"/>
  <c r="J22" i="4"/>
  <c r="E17" i="4"/>
  <c r="L20" i="4"/>
  <c r="E19" i="4"/>
  <c r="L25" i="4"/>
  <c r="D15" i="4"/>
  <c r="G24" i="4"/>
  <c r="K13" i="4"/>
  <c r="J25" i="4"/>
  <c r="I19" i="4"/>
  <c r="C24" i="4"/>
  <c r="M102" i="4"/>
  <c r="J102" i="4"/>
  <c r="N92" i="4"/>
  <c r="E93" i="4"/>
  <c r="N94" i="4"/>
  <c r="H84" i="4"/>
  <c r="E76" i="4"/>
  <c r="N55" i="4"/>
  <c r="E102" i="4"/>
  <c r="N25" i="4"/>
  <c r="F15" i="4"/>
  <c r="I17" i="4"/>
  <c r="M27" i="4"/>
  <c r="I22" i="4"/>
  <c r="D20" i="4"/>
  <c r="H18" i="4"/>
  <c r="D13" i="4"/>
  <c r="G22" i="4"/>
  <c r="C17" i="4"/>
  <c r="J15" i="4"/>
  <c r="J23" i="4"/>
  <c r="I13" i="4"/>
  <c r="G27" i="4"/>
  <c r="C22" i="4"/>
  <c r="M100" i="4"/>
  <c r="K102" i="4"/>
  <c r="H102" i="4"/>
  <c r="C92" i="4"/>
  <c r="L94" i="4"/>
  <c r="I84" i="4"/>
  <c r="L84" i="4"/>
  <c r="K76" i="4"/>
  <c r="I75" i="4"/>
  <c r="K55" i="4"/>
  <c r="C55" i="4"/>
  <c r="E5" i="4"/>
  <c r="J5" i="4"/>
  <c r="F25" i="4"/>
  <c r="N19" i="4"/>
  <c r="J14" i="4"/>
  <c r="M13" i="4"/>
  <c r="I15" i="4"/>
  <c r="E27" i="4"/>
  <c r="M21" i="4"/>
  <c r="M20" i="4"/>
  <c r="L18" i="4"/>
  <c r="D23" i="4"/>
  <c r="L17" i="4"/>
  <c r="M24" i="4"/>
  <c r="C27" i="4"/>
  <c r="K21" i="4"/>
  <c r="G16" i="4"/>
  <c r="N14" i="4"/>
  <c r="C16" i="4"/>
  <c r="N22" i="4"/>
  <c r="J17" i="4"/>
  <c r="D26" i="4"/>
  <c r="K26" i="4"/>
  <c r="G21" i="4"/>
  <c r="N102" i="4"/>
  <c r="E100" i="4"/>
  <c r="C102" i="4"/>
  <c r="C101" i="4"/>
  <c r="L101" i="4"/>
  <c r="E92" i="4"/>
  <c r="N93" i="4"/>
  <c r="J93" i="4"/>
  <c r="H94" i="4"/>
  <c r="N85" i="4"/>
  <c r="F84" i="4"/>
  <c r="K84" i="4"/>
  <c r="N76" i="4"/>
  <c r="J76" i="4"/>
  <c r="E75" i="4"/>
  <c r="N68" i="4"/>
  <c r="G68" i="4"/>
  <c r="H55" i="4"/>
  <c r="J54" i="4"/>
  <c r="M54" i="4"/>
  <c r="M5" i="4"/>
  <c r="L5" i="4"/>
  <c r="J24" i="4"/>
  <c r="F19" i="4"/>
  <c r="N13" i="4"/>
  <c r="E13" i="4"/>
  <c r="H27" i="4"/>
  <c r="I26" i="4"/>
  <c r="E21" i="4"/>
  <c r="E18" i="4"/>
  <c r="L27" i="4"/>
  <c r="H22" i="4"/>
  <c r="D17" i="4"/>
  <c r="M22" i="4"/>
  <c r="G26" i="4"/>
  <c r="C21" i="4"/>
  <c r="K15" i="4"/>
  <c r="F14" i="4"/>
  <c r="J27" i="4"/>
  <c r="F22" i="4"/>
  <c r="I27" i="4"/>
  <c r="D24" i="4"/>
  <c r="C26" i="4"/>
  <c r="K20" i="4"/>
  <c r="F102" i="4"/>
  <c r="L102" i="4"/>
  <c r="G101" i="4"/>
  <c r="F100" i="4"/>
  <c r="D101" i="4"/>
  <c r="L92" i="4"/>
  <c r="F93" i="4"/>
  <c r="I93" i="4"/>
  <c r="G94" i="4"/>
  <c r="F85" i="4"/>
  <c r="D84" i="4"/>
  <c r="K85" i="4"/>
  <c r="F76" i="4"/>
  <c r="G76" i="4"/>
  <c r="L75" i="4"/>
  <c r="F68" i="4"/>
  <c r="I68" i="4"/>
  <c r="D55" i="4"/>
  <c r="I54" i="4"/>
  <c r="E54" i="4"/>
  <c r="C100" i="4"/>
  <c r="J92" i="4"/>
  <c r="I92" i="4"/>
  <c r="J100" i="4"/>
  <c r="M92" i="4"/>
  <c r="N101" i="4"/>
  <c r="L93" i="4"/>
  <c r="K94" i="4"/>
  <c r="F94" i="4"/>
  <c r="M85" i="4"/>
  <c r="N84" i="4"/>
  <c r="C84" i="4"/>
  <c r="I76" i="4"/>
  <c r="F75" i="4"/>
  <c r="J75" i="4"/>
  <c r="L68" i="4"/>
  <c r="F55" i="4"/>
  <c r="M55" i="4"/>
  <c r="N54" i="4"/>
  <c r="I101" i="4"/>
  <c r="F101" i="4"/>
  <c r="K101" i="4"/>
  <c r="D93" i="4"/>
  <c r="I94" i="4"/>
  <c r="M94" i="4"/>
  <c r="E85" i="4"/>
  <c r="M84" i="4"/>
  <c r="I85" i="4"/>
  <c r="H76" i="4"/>
  <c r="G75" i="4"/>
  <c r="H75" i="4"/>
  <c r="D68" i="4"/>
  <c r="E55" i="4"/>
  <c r="L55" i="4"/>
  <c r="F54" i="4"/>
  <c r="K93" i="4"/>
  <c r="D94" i="4"/>
  <c r="H85" i="4"/>
  <c r="M75" i="4"/>
  <c r="K68" i="4"/>
  <c r="L54" i="4"/>
  <c r="J41" i="4"/>
  <c r="L42" i="4"/>
  <c r="I41" i="4"/>
  <c r="G99" i="4" l="1"/>
  <c r="D46" i="4"/>
  <c r="E99" i="4"/>
  <c r="M33" i="4"/>
  <c r="F99" i="4"/>
  <c r="L99" i="4"/>
  <c r="I46" i="4"/>
  <c r="C81" i="4"/>
  <c r="E46" i="4"/>
  <c r="J62" i="4"/>
  <c r="E90" i="4"/>
  <c r="M12" i="4"/>
  <c r="B1" i="4"/>
  <c r="K90" i="4"/>
  <c r="G33" i="4"/>
  <c r="I90" i="4"/>
  <c r="E33" i="4"/>
  <c r="J90" i="4"/>
  <c r="D99" i="4"/>
  <c r="L33" i="4"/>
  <c r="G73" i="4"/>
  <c r="D12" i="4"/>
  <c r="C46" i="4"/>
  <c r="I81" i="4"/>
  <c r="E12" i="4"/>
  <c r="C90" i="4"/>
  <c r="K12" i="4"/>
  <c r="M81" i="4"/>
  <c r="I12" i="4"/>
  <c r="N81" i="4"/>
  <c r="H90" i="4"/>
  <c r="D33" i="4"/>
  <c r="K62" i="4"/>
  <c r="J99" i="4"/>
  <c r="G46" i="4"/>
  <c r="M73" i="4"/>
  <c r="H99" i="4"/>
  <c r="G81" i="4"/>
  <c r="C12" i="4"/>
  <c r="E81" i="4"/>
  <c r="L90" i="4"/>
  <c r="F81" i="4"/>
  <c r="L81" i="4"/>
  <c r="H12" i="4"/>
  <c r="C62" i="4"/>
  <c r="N90" i="4"/>
  <c r="J33" i="4"/>
  <c r="E73" i="4"/>
  <c r="D90" i="4"/>
  <c r="K73" i="4"/>
  <c r="N62" i="4"/>
  <c r="I73" i="4"/>
  <c r="L73" i="4"/>
  <c r="J73" i="4"/>
  <c r="D81" i="4"/>
  <c r="K99" i="4"/>
  <c r="H46" i="4"/>
  <c r="F90" i="4"/>
  <c r="N12" i="4"/>
  <c r="I62" i="4"/>
  <c r="H81" i="4"/>
  <c r="C73" i="4"/>
  <c r="K46" i="4"/>
  <c r="M62" i="4"/>
  <c r="M46" i="4"/>
  <c r="F62" i="4"/>
  <c r="H73" i="4"/>
  <c r="C99" i="4"/>
  <c r="K33" i="4"/>
  <c r="J81" i="4"/>
  <c r="F12" i="4"/>
  <c r="N46" i="4"/>
  <c r="D73" i="4"/>
  <c r="G62" i="4"/>
  <c r="F33" i="4"/>
  <c r="E62" i="4"/>
  <c r="L12" i="4"/>
  <c r="N33" i="4"/>
  <c r="L62" i="4"/>
  <c r="G90" i="4"/>
  <c r="C33" i="4"/>
  <c r="N73" i="4"/>
  <c r="I99" i="4"/>
  <c r="F46" i="4"/>
  <c r="H62" i="4"/>
  <c r="L46" i="4"/>
  <c r="J12" i="4"/>
  <c r="J46" i="4"/>
  <c r="N99" i="4"/>
  <c r="M99" i="4"/>
  <c r="D62" i="4"/>
  <c r="K81" i="4"/>
  <c r="G12" i="4"/>
  <c r="F73" i="4"/>
  <c r="M90" i="4"/>
  <c r="I33" i="4"/>
  <c r="H33" i="4"/>
  <c r="C64" i="4"/>
  <c r="C35" i="4"/>
  <c r="D35" i="4"/>
  <c r="H34" i="4"/>
  <c r="F35" i="4"/>
  <c r="N35" i="4"/>
  <c r="M40" i="4"/>
  <c r="I36" i="4"/>
  <c r="K36" i="4"/>
  <c r="N39" i="4"/>
  <c r="D40" i="4"/>
  <c r="M38" i="4"/>
  <c r="F36" i="4"/>
  <c r="N51" i="4"/>
  <c r="G50" i="4"/>
  <c r="E49" i="4"/>
  <c r="H49" i="4"/>
  <c r="L47" i="4"/>
  <c r="I47" i="4"/>
  <c r="E52" i="4"/>
  <c r="K50" i="4"/>
  <c r="C49" i="4"/>
  <c r="F66" i="4"/>
  <c r="I66" i="4"/>
  <c r="D65" i="4"/>
  <c r="M63" i="4"/>
  <c r="G64" i="4"/>
  <c r="H63" i="4"/>
  <c r="M53" i="4"/>
  <c r="E53" i="4"/>
  <c r="M82" i="4"/>
  <c r="I74" i="4"/>
  <c r="N74" i="4"/>
  <c r="L83" i="4"/>
  <c r="M91" i="4"/>
  <c r="E91" i="4"/>
  <c r="I67" i="4"/>
  <c r="I34" i="4"/>
  <c r="G35" i="4"/>
  <c r="F40" i="4"/>
  <c r="N40" i="4"/>
  <c r="E37" i="4"/>
  <c r="G37" i="4"/>
  <c r="D34" i="4"/>
  <c r="C37" i="4"/>
  <c r="I39" i="4"/>
  <c r="N36" i="4"/>
  <c r="F51" i="4"/>
  <c r="K47" i="4"/>
  <c r="I48" i="4"/>
  <c r="H52" i="4"/>
  <c r="D47" i="4"/>
  <c r="D48" i="4"/>
  <c r="I51" i="4"/>
  <c r="C50" i="4"/>
  <c r="J51" i="4"/>
  <c r="M66" i="4"/>
  <c r="J66" i="4"/>
  <c r="L63" i="4"/>
  <c r="E63" i="4"/>
  <c r="K63" i="4"/>
  <c r="I65" i="4"/>
  <c r="L53" i="4"/>
  <c r="D53" i="4"/>
  <c r="E82" i="4"/>
  <c r="H74" i="4"/>
  <c r="M74" i="4"/>
  <c r="K83" i="4"/>
  <c r="I91" i="4"/>
  <c r="L91" i="4"/>
  <c r="H67" i="4"/>
  <c r="E35" i="4"/>
  <c r="J34" i="4"/>
  <c r="H35" i="4"/>
  <c r="G40" i="4"/>
  <c r="C34" i="4"/>
  <c r="M37" i="4"/>
  <c r="C38" i="4"/>
  <c r="D36" i="4"/>
  <c r="K39" i="4"/>
  <c r="K37" i="4"/>
  <c r="J37" i="4"/>
  <c r="J50" i="4"/>
  <c r="F48" i="4"/>
  <c r="E47" i="4"/>
  <c r="L51" i="4"/>
  <c r="C51" i="4"/>
  <c r="N52" i="4"/>
  <c r="I49" i="4"/>
  <c r="G49" i="4"/>
  <c r="J49" i="4"/>
  <c r="E66" i="4"/>
  <c r="H66" i="4"/>
  <c r="D63" i="4"/>
  <c r="H64" i="4"/>
  <c r="L64" i="4"/>
  <c r="G65" i="4"/>
  <c r="K53" i="4"/>
  <c r="C53" i="4"/>
  <c r="I82" i="4"/>
  <c r="D74" i="4"/>
  <c r="E74" i="4"/>
  <c r="J83" i="4"/>
  <c r="D91" i="4"/>
  <c r="K91" i="4"/>
  <c r="G67" i="4"/>
  <c r="E40" i="4"/>
  <c r="K34" i="4"/>
  <c r="I35" i="4"/>
  <c r="H40" i="4"/>
  <c r="G36" i="4"/>
  <c r="I38" i="4"/>
  <c r="K38" i="4"/>
  <c r="L36" i="4"/>
  <c r="J38" i="4"/>
  <c r="C39" i="4"/>
  <c r="F38" i="4"/>
  <c r="N49" i="4"/>
  <c r="I52" i="4"/>
  <c r="K51" i="4"/>
  <c r="D51" i="4"/>
  <c r="G48" i="4"/>
  <c r="F52" i="4"/>
  <c r="L52" i="4"/>
  <c r="K48" i="4"/>
  <c r="M50" i="4"/>
  <c r="L66" i="4"/>
  <c r="N65" i="4"/>
  <c r="M64" i="4"/>
  <c r="E64" i="4"/>
  <c r="J65" i="4"/>
  <c r="K64" i="4"/>
  <c r="J53" i="4"/>
  <c r="C82" i="4"/>
  <c r="L82" i="4"/>
  <c r="K74" i="4"/>
  <c r="N83" i="4"/>
  <c r="I83" i="4"/>
  <c r="C91" i="4"/>
  <c r="N67" i="4"/>
  <c r="F67" i="4"/>
  <c r="L34" i="4"/>
  <c r="J35" i="4"/>
  <c r="I40" i="4"/>
  <c r="G38" i="4"/>
  <c r="E39" i="4"/>
  <c r="G39" i="4"/>
  <c r="H37" i="4"/>
  <c r="E36" i="4"/>
  <c r="H38" i="4"/>
  <c r="N38" i="4"/>
  <c r="F49" i="4"/>
  <c r="M51" i="4"/>
  <c r="K49" i="4"/>
  <c r="H50" i="4"/>
  <c r="N50" i="4"/>
  <c r="N48" i="4"/>
  <c r="D50" i="4"/>
  <c r="C48" i="4"/>
  <c r="H51" i="4"/>
  <c r="D66" i="4"/>
  <c r="F65" i="4"/>
  <c r="I63" i="4"/>
  <c r="D64" i="4"/>
  <c r="N64" i="4"/>
  <c r="I53" i="4"/>
  <c r="N82" i="4"/>
  <c r="K82" i="4"/>
  <c r="C74" i="4"/>
  <c r="F83" i="4"/>
  <c r="H83" i="4"/>
  <c r="H91" i="4"/>
  <c r="M67" i="4"/>
  <c r="E67" i="4"/>
  <c r="E34" i="4"/>
  <c r="M34" i="4"/>
  <c r="K35" i="4"/>
  <c r="J40" i="4"/>
  <c r="L37" i="4"/>
  <c r="M39" i="4"/>
  <c r="C40" i="4"/>
  <c r="D38" i="4"/>
  <c r="M36" i="4"/>
  <c r="J36" i="4"/>
  <c r="J39" i="4"/>
  <c r="J48" i="4"/>
  <c r="E51" i="4"/>
  <c r="E50" i="4"/>
  <c r="L49" i="4"/>
  <c r="F50" i="4"/>
  <c r="L50" i="4"/>
  <c r="K52" i="4"/>
  <c r="G47" i="4"/>
  <c r="L48" i="4"/>
  <c r="G66" i="4"/>
  <c r="J64" i="4"/>
  <c r="M65" i="4"/>
  <c r="L65" i="4"/>
  <c r="F64" i="4"/>
  <c r="G63" i="4"/>
  <c r="H53" i="4"/>
  <c r="F82" i="4"/>
  <c r="H82" i="4"/>
  <c r="G74" i="4"/>
  <c r="D83" i="4"/>
  <c r="G83" i="4"/>
  <c r="G91" i="4"/>
  <c r="L67" i="4"/>
  <c r="D67" i="4"/>
  <c r="F34" i="4"/>
  <c r="N34" i="4"/>
  <c r="L35" i="4"/>
  <c r="K40" i="4"/>
  <c r="D39" i="4"/>
  <c r="H36" i="4"/>
  <c r="D37" i="4"/>
  <c r="L38" i="4"/>
  <c r="I37" i="4"/>
  <c r="N37" i="4"/>
  <c r="N47" i="4"/>
  <c r="I50" i="4"/>
  <c r="E48" i="4"/>
  <c r="D49" i="4"/>
  <c r="J47" i="4"/>
  <c r="H47" i="4"/>
  <c r="C52" i="4"/>
  <c r="F47" i="4"/>
  <c r="C47" i="4"/>
  <c r="K66" i="4"/>
  <c r="N63" i="4"/>
  <c r="E65" i="4"/>
  <c r="K65" i="4"/>
  <c r="J63" i="4"/>
  <c r="C63" i="4"/>
  <c r="G53" i="4"/>
  <c r="D82" i="4"/>
  <c r="G82" i="4"/>
  <c r="F74" i="4"/>
  <c r="M83" i="4"/>
  <c r="C83" i="4"/>
  <c r="N91" i="4"/>
  <c r="K67" i="4"/>
  <c r="C67" i="4"/>
  <c r="G34" i="4"/>
  <c r="M35" i="4"/>
  <c r="L40" i="4"/>
  <c r="L39" i="4"/>
  <c r="C36" i="4"/>
  <c r="F37" i="4"/>
  <c r="H39" i="4"/>
  <c r="E38" i="4"/>
  <c r="F39" i="4"/>
  <c r="J52" i="4"/>
  <c r="M47" i="4"/>
  <c r="M49" i="4"/>
  <c r="D52" i="4"/>
  <c r="H48" i="4"/>
  <c r="M48" i="4"/>
  <c r="M52" i="4"/>
  <c r="G51" i="4"/>
  <c r="G52" i="4"/>
  <c r="N66" i="4"/>
  <c r="C66" i="4"/>
  <c r="F63" i="4"/>
  <c r="I64" i="4"/>
  <c r="C65" i="4"/>
  <c r="H65" i="4"/>
  <c r="N53" i="4"/>
  <c r="F53" i="4"/>
  <c r="J82" i="4"/>
  <c r="J74" i="4"/>
  <c r="L74" i="4"/>
  <c r="E83" i="4"/>
  <c r="J91" i="4"/>
  <c r="F91" i="4"/>
  <c r="J67" i="4"/>
</calcChain>
</file>

<file path=xl/sharedStrings.xml><?xml version="1.0" encoding="utf-8"?>
<sst xmlns="http://schemas.openxmlformats.org/spreadsheetml/2006/main" count="186" uniqueCount="83">
  <si>
    <t>GLOBAL ASSUMPTIONS</t>
  </si>
  <si>
    <t>Begining FX Rate R$/US$</t>
  </si>
  <si>
    <t>Average FX Rate R$/US$</t>
  </si>
  <si>
    <t>Final FX Rate R$/US$</t>
  </si>
  <si>
    <t>Begining FX Rate  US$/EUR</t>
  </si>
  <si>
    <t>Average FX Rate US$/EUR</t>
  </si>
  <si>
    <t>Final FX Rate US$/EUR</t>
  </si>
  <si>
    <t>Câmbio Inicial UYU$/US$</t>
  </si>
  <si>
    <t>Câmbio Médio UYU$/US$</t>
  </si>
  <si>
    <t>Câmbio Final UYU$/US$</t>
  </si>
  <si>
    <t>Câmbio Inicial ARS$/US$</t>
  </si>
  <si>
    <t>Câmbio Médio ARS$/US$</t>
  </si>
  <si>
    <t>Câmbio Final ARS$/US$</t>
  </si>
  <si>
    <t>Brazilian CPI</t>
  </si>
  <si>
    <t>American CPI</t>
  </si>
  <si>
    <t>Number of Days</t>
  </si>
  <si>
    <t>Local Market Sales Volume [kt]</t>
  </si>
  <si>
    <t>Export Market Sales Volume [kt]</t>
  </si>
  <si>
    <t>Gross Revenue [$MM]</t>
  </si>
  <si>
    <t>Third Part Sales Volume [kt]</t>
  </si>
  <si>
    <t>Final Variable Sales Expenses</t>
  </si>
  <si>
    <t>Other Variable Costs</t>
  </si>
  <si>
    <t>Fixed Costs</t>
  </si>
  <si>
    <t>Operating Expenses</t>
  </si>
  <si>
    <t>Other</t>
  </si>
  <si>
    <t>EBITDA</t>
  </si>
  <si>
    <t>Depreciation / amortization / depletion - Corporate</t>
  </si>
  <si>
    <t>Financial Results</t>
  </si>
  <si>
    <t>Additions/Low IT Income Statement</t>
  </si>
  <si>
    <t>Income Tax</t>
  </si>
  <si>
    <t>CONTRIBUTION MARGIN</t>
  </si>
  <si>
    <r>
      <rPr>
        <b/>
        <sz val="36"/>
        <color theme="1" tint="0.249977111117893"/>
        <rFont val="Arial Black"/>
        <family val="2"/>
      </rPr>
      <t>ADD TEXT</t>
    </r>
    <r>
      <rPr>
        <b/>
        <sz val="36"/>
        <color theme="1"/>
        <rFont val="Arial Black"/>
        <family val="2"/>
      </rPr>
      <t xml:space="preserve"> </t>
    </r>
    <r>
      <rPr>
        <b/>
        <sz val="36"/>
        <color rgb="FF15B39E"/>
        <rFont val="Arial Black"/>
        <family val="2"/>
      </rPr>
      <t>2022-2023</t>
    </r>
  </si>
  <si>
    <t>Add table headers with icon</t>
  </si>
  <si>
    <t>Header 1</t>
  </si>
  <si>
    <t>Data</t>
  </si>
  <si>
    <t>Header 2</t>
  </si>
  <si>
    <t>Header 3</t>
  </si>
  <si>
    <t>Header 4</t>
  </si>
  <si>
    <t>Header 5</t>
  </si>
  <si>
    <t>Header 6</t>
  </si>
  <si>
    <t>Header 7</t>
  </si>
  <si>
    <t>Header 8</t>
  </si>
  <si>
    <t>Header 9</t>
  </si>
  <si>
    <t>Header 10</t>
  </si>
  <si>
    <t>Header 11</t>
  </si>
  <si>
    <t>Add some text here. Add some text here.Add some text here. Add some text here.Add some text here. Add some text here.Add some text here. Add some text here.Add some text here. Add some text here.Add some text here. Add some text here.Add some text here. Add some text here.</t>
  </si>
  <si>
    <t>01</t>
  </si>
  <si>
    <t>02</t>
  </si>
  <si>
    <t>03</t>
  </si>
  <si>
    <t>04</t>
  </si>
  <si>
    <t>05</t>
  </si>
  <si>
    <t>06</t>
  </si>
  <si>
    <t>07</t>
  </si>
  <si>
    <t>08</t>
  </si>
  <si>
    <t>09</t>
  </si>
  <si>
    <t>10</t>
  </si>
  <si>
    <t>11</t>
  </si>
  <si>
    <t>12</t>
  </si>
  <si>
    <t>Reference Price [$/ton]</t>
  </si>
  <si>
    <t>Local Market Price Premium [$/ton]</t>
  </si>
  <si>
    <t>Export Market Price Premium [$/ton]</t>
  </si>
  <si>
    <t>% Operational Tax</t>
  </si>
  <si>
    <t>Equity Pick-Up Results</t>
  </si>
  <si>
    <t>Other Non Operating Results</t>
  </si>
  <si>
    <t>NET REVENUES</t>
  </si>
  <si>
    <t>Products:</t>
  </si>
  <si>
    <t>N/A</t>
  </si>
  <si>
    <t>Year:</t>
  </si>
  <si>
    <t>Currency:</t>
  </si>
  <si>
    <t>Region:</t>
  </si>
  <si>
    <t>Net Revenue [$MM]</t>
  </si>
  <si>
    <t>Total Market</t>
  </si>
  <si>
    <t>Value</t>
  </si>
  <si>
    <t>PROD099</t>
  </si>
  <si>
    <t>Total Products</t>
  </si>
  <si>
    <t>Operating Profit</t>
  </si>
  <si>
    <t>Profit Before Income Tax</t>
  </si>
  <si>
    <t>Net Profit Before Minority Int.</t>
  </si>
  <si>
    <t>% Income Tax</t>
  </si>
  <si>
    <t>% Minoritários</t>
  </si>
  <si>
    <t xml:space="preserve">Net Profit </t>
  </si>
  <si>
    <t>Minority Interests</t>
  </si>
  <si>
    <t>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</si>
</sst>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4" x14ac:knownFonts="1">
    <font>
      <sz val="11"/>
      <color theme="1"/>
      <name val="Aptos Narrow"/>
      <family val="2"/>
      <scheme val="minor"/>
    </font>
    <font>
      <sz val="11"/>
      <color theme="1"/>
      <name val="Aptos Narrow"/>
      <family val="2"/>
      <scheme val="minor"/>
    </font>
    <font>
      <sz val="12"/>
      <color theme="1"/>
      <name val="Aptos Narrow"/>
      <family val="2"/>
      <scheme val="minor"/>
    </font>
    <font>
      <sz val="10"/>
      <name val="Arial"/>
      <family val="2"/>
    </font>
    <font>
      <sz val="16"/>
      <color theme="1"/>
      <name val="Arial"/>
      <family val="2"/>
    </font>
    <font>
      <b/>
      <sz val="36"/>
      <color rgb="FF15B39E"/>
      <name val="Arial Black"/>
      <family val="2"/>
    </font>
    <font>
      <sz val="16"/>
      <color rgb="FF15B39E"/>
      <name val="Arial"/>
      <family val="2"/>
    </font>
    <font>
      <b/>
      <sz val="36"/>
      <color theme="1"/>
      <name val="Arial Black"/>
      <family val="2"/>
    </font>
    <font>
      <b/>
      <sz val="36"/>
      <color theme="1" tint="0.249977111117893"/>
      <name val="Arial Black"/>
      <family val="2"/>
    </font>
    <font>
      <sz val="28"/>
      <color theme="1" tint="0.249977111117893"/>
      <name val="Arial"/>
      <family val="2"/>
    </font>
    <font>
      <b/>
      <sz val="18"/>
      <color theme="1"/>
      <name val="Arial"/>
      <family val="2"/>
    </font>
    <font>
      <b/>
      <sz val="18"/>
      <color theme="0"/>
      <name val="Arial"/>
      <family val="2"/>
    </font>
    <font>
      <sz val="16"/>
      <color theme="0" tint="-0.499984740745262"/>
      <name val="Arial"/>
      <family val="2"/>
    </font>
    <font>
      <sz val="8"/>
      <name val="Aptos Narrow"/>
      <family val="2"/>
      <scheme val="minor"/>
    </font>
    <font>
      <b/>
      <sz val="14"/>
      <color theme="1" tint="0.249977111117893"/>
      <name val="Verdana"/>
      <family val="2"/>
    </font>
    <font>
      <b/>
      <sz val="10.5"/>
      <color rgb="FF165D81"/>
      <name val="Calibri"/>
      <family val="2"/>
    </font>
    <font>
      <b/>
      <sz val="10.5"/>
      <color theme="1" tint="0.24994659260841701"/>
      <name val="Calibri"/>
      <family val="2"/>
    </font>
    <font>
      <b/>
      <sz val="10.5"/>
      <color theme="1" tint="0.34998626667073579"/>
      <name val="Calibri"/>
      <family val="2"/>
    </font>
    <font>
      <b/>
      <sz val="10.5"/>
      <color theme="4"/>
      <name val="Calibri"/>
      <family val="2"/>
    </font>
    <font>
      <b/>
      <sz val="10.5"/>
      <color theme="7"/>
      <name val="Calibri"/>
      <family val="2"/>
    </font>
    <font>
      <b/>
      <sz val="10.5"/>
      <color theme="5" tint="0.39994506668294322"/>
      <name val="Calibri"/>
      <family val="2"/>
    </font>
    <font>
      <b/>
      <sz val="10.5"/>
      <color rgb="FF336577"/>
      <name val="Calibri"/>
      <family val="2"/>
    </font>
    <font>
      <b/>
      <sz val="10.5"/>
      <color theme="6" tint="-0.24994659260841701"/>
      <name val="Calibri"/>
      <family val="2"/>
    </font>
    <font>
      <b/>
      <sz val="10.5"/>
      <color theme="3" tint="0.39994506668294322"/>
      <name val="Calibri"/>
      <family val="2"/>
    </font>
    <font>
      <sz val="10"/>
      <color theme="1" tint="0.249977111117893"/>
      <name val="Arial Black"/>
      <family val="2"/>
    </font>
    <font>
      <b/>
      <sz val="11"/>
      <color rgb="FF808080"/>
      <name val="Arial"/>
      <family val="2"/>
    </font>
    <font>
      <sz val="8"/>
      <color theme="1"/>
      <name val="Arial"/>
      <family val="2"/>
    </font>
    <font>
      <sz val="11"/>
      <color theme="0" tint="-0.499984740745262"/>
      <name val="Verdana"/>
      <family val="2"/>
    </font>
    <font>
      <sz val="11"/>
      <color theme="2" tint="-0.89999084444715716"/>
      <name val="Verdana"/>
      <family val="2"/>
    </font>
    <font>
      <sz val="9"/>
      <color theme="0" tint="-0.499984740745262"/>
      <name val="Verdana"/>
      <family val="2"/>
    </font>
    <font>
      <b/>
      <sz val="10"/>
      <color theme="0"/>
      <name val="Verdana"/>
      <family val="2"/>
    </font>
    <font>
      <b/>
      <sz val="10"/>
      <color theme="1" tint="0.249977111117893"/>
      <name val="Verdana"/>
      <family val="2"/>
    </font>
    <font>
      <b/>
      <sz val="11"/>
      <color rgb="FF808080"/>
      <name val="Verdana"/>
      <family val="2"/>
    </font>
    <font>
      <sz val="9"/>
      <color theme="1"/>
      <name val="Verdana"/>
      <family val="2"/>
    </font>
  </fonts>
  <fills count="10">
    <fill>
      <patternFill patternType="none"/>
    </fill>
    <fill>
      <patternFill patternType="gray125"/>
    </fill>
    <fill>
      <patternFill patternType="solid">
        <fgColor rgb="FFF7FBFE"/>
        <bgColor indexed="64"/>
      </patternFill>
    </fill>
    <fill>
      <patternFill patternType="solid">
        <fgColor rgb="FF15B39E"/>
        <bgColor indexed="64"/>
      </patternFill>
    </fill>
    <fill>
      <patternFill patternType="solid">
        <fgColor rgb="FF0000BF"/>
        <bgColor indexed="64"/>
      </patternFill>
    </fill>
    <fill>
      <patternFill patternType="solid">
        <fgColor rgb="FFBED7A5"/>
        <bgColor indexed="64"/>
      </patternFill>
    </fill>
    <fill>
      <patternFill patternType="solid">
        <fgColor theme="8" tint="0.79998168889431442"/>
        <bgColor indexed="64"/>
      </patternFill>
    </fill>
    <fill>
      <patternFill patternType="solid">
        <fgColor rgb="FFDEFBE6"/>
        <bgColor indexed="64"/>
      </patternFill>
    </fill>
    <fill>
      <patternFill patternType="solid">
        <fgColor rgb="FFF4F4F4"/>
        <bgColor indexed="64"/>
      </patternFill>
    </fill>
    <fill>
      <patternFill patternType="solid">
        <fgColor theme="2" tint="-9.9978637043366805E-2"/>
        <bgColor indexed="64"/>
      </patternFill>
    </fill>
  </fills>
  <borders count="17">
    <border>
      <left/>
      <right/>
      <top/>
      <bottom/>
      <diagonal/>
    </border>
    <border>
      <left/>
      <right/>
      <top/>
      <bottom style="thick">
        <color rgb="FF15B39E"/>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dotted">
        <color rgb="FF3BAB5A"/>
      </left>
      <right style="dotted">
        <color rgb="FF3BAB5A"/>
      </right>
      <top style="dotted">
        <color rgb="FF3BAB5A"/>
      </top>
      <bottom style="dotted">
        <color rgb="FF3BAB5A"/>
      </bottom>
      <diagonal/>
    </border>
    <border>
      <left style="dotted">
        <color rgb="FFA8A8A8"/>
      </left>
      <right style="dotted">
        <color rgb="FFA8A8A8"/>
      </right>
      <top style="dotted">
        <color rgb="FFA8A8A8"/>
      </top>
      <bottom style="dotted">
        <color rgb="FFA8A8A8"/>
      </bottom>
      <diagonal/>
    </border>
    <border>
      <left style="thin">
        <color theme="0"/>
      </left>
      <right style="thin">
        <color theme="0"/>
      </right>
      <top style="thin">
        <color theme="0"/>
      </top>
      <bottom style="thin">
        <color theme="0"/>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1"/>
      </bottom>
      <diagonal/>
    </border>
    <border>
      <left/>
      <right style="thin">
        <color theme="0" tint="-0.249977111117893"/>
      </right>
      <top style="thin">
        <color theme="1"/>
      </top>
      <bottom style="thin">
        <color theme="1"/>
      </bottom>
      <diagonal/>
    </border>
    <border>
      <left style="thin">
        <color theme="0" tint="-0.249977111117893"/>
      </left>
      <right style="thin">
        <color theme="0" tint="-0.249977111117893"/>
      </right>
      <top style="thin">
        <color theme="1"/>
      </top>
      <bottom style="thin">
        <color theme="1"/>
      </bottom>
      <diagonal/>
    </border>
    <border>
      <left/>
      <right style="thin">
        <color theme="0" tint="-0.249977111117893"/>
      </right>
      <top style="thin">
        <color theme="0" tint="-0.249977111117893"/>
      </top>
      <bottom style="thin">
        <color theme="1"/>
      </bottom>
      <diagonal/>
    </border>
  </borders>
  <cellStyleXfs count="81">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0" fontId="2" fillId="0" borderId="0"/>
    <xf numFmtId="0" fontId="15" fillId="0" borderId="4" applyNumberFormat="0" applyFill="0" applyProtection="0">
      <alignment horizontal="center" vertical="center"/>
    </xf>
    <xf numFmtId="3" fontId="16" fillId="0" borderId="5" applyFont="0" applyFill="0" applyAlignment="0" applyProtection="0"/>
    <xf numFmtId="3" fontId="16" fillId="0" borderId="5" applyFont="0" applyFill="0" applyAlignment="0" applyProtection="0"/>
    <xf numFmtId="3" fontId="16" fillId="0" borderId="5" applyFont="0" applyFill="0" applyAlignment="0" applyProtection="0"/>
    <xf numFmtId="3" fontId="16" fillId="0" borderId="5" applyFont="0" applyFill="0" applyAlignment="0" applyProtection="0"/>
    <xf numFmtId="3" fontId="16" fillId="0" borderId="5" applyFont="0" applyFill="0" applyAlignment="0" applyProtection="0"/>
    <xf numFmtId="3" fontId="16" fillId="0" borderId="5" applyFont="0" applyFill="0" applyAlignment="0" applyProtection="0"/>
    <xf numFmtId="3" fontId="16" fillId="0" borderId="5" applyFont="0" applyFill="0" applyAlignment="0" applyProtection="0"/>
    <xf numFmtId="3" fontId="16" fillId="0" borderId="5" applyFont="0" applyFill="0" applyAlignment="0" applyProtection="0"/>
    <xf numFmtId="3" fontId="15" fillId="0" borderId="4" applyNumberFormat="0" applyFill="0" applyAlignment="0" applyProtection="0"/>
    <xf numFmtId="0" fontId="15" fillId="0" borderId="4" applyNumberFormat="0" applyFill="0" applyAlignment="0" applyProtection="0"/>
    <xf numFmtId="3"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3" fontId="16" fillId="0" borderId="0" applyNumberFormat="0" applyBorder="0" applyAlignment="0" applyProtection="0"/>
    <xf numFmtId="3" fontId="16" fillId="0" borderId="0" applyNumberFormat="0" applyBorder="0" applyAlignment="0" applyProtection="0"/>
    <xf numFmtId="3" fontId="16" fillId="0" borderId="0" applyNumberFormat="0" applyBorder="0" applyAlignment="0" applyProtection="0"/>
    <xf numFmtId="3" fontId="16" fillId="0" borderId="0" applyNumberFormat="0" applyBorder="0" applyAlignment="0" applyProtection="0"/>
    <xf numFmtId="3" fontId="16" fillId="0" borderId="0" applyNumberFormat="0" applyBorder="0" applyAlignment="0" applyProtection="0"/>
    <xf numFmtId="3" fontId="16" fillId="0" borderId="5" applyNumberFormat="0" applyBorder="0" applyAlignment="0" applyProtection="0"/>
    <xf numFmtId="3" fontId="16" fillId="0" borderId="5" applyNumberFormat="0" applyBorder="0" applyAlignment="0" applyProtection="0"/>
    <xf numFmtId="3" fontId="16" fillId="0" borderId="5" applyNumberFormat="0" applyBorder="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lignment horizontal="right" vertical="center"/>
    </xf>
    <xf numFmtId="3" fontId="16" fillId="5" borderId="5">
      <alignment horizontal="center" vertical="center"/>
    </xf>
    <xf numFmtId="0" fontId="16" fillId="5" borderId="5">
      <alignment horizontal="right" vertical="center"/>
    </xf>
    <xf numFmtId="0" fontId="15" fillId="0" borderId="6">
      <alignment horizontal="left" vertical="center"/>
    </xf>
    <xf numFmtId="0" fontId="15" fillId="0" borderId="7">
      <alignment horizontal="center" vertical="center"/>
    </xf>
    <xf numFmtId="0" fontId="17" fillId="0" borderId="8">
      <alignment horizontal="center" vertical="center"/>
    </xf>
    <xf numFmtId="0" fontId="16" fillId="6" borderId="5"/>
    <xf numFmtId="3" fontId="15" fillId="0" borderId="4" applyFill="0" applyAlignment="0" applyProtection="0"/>
    <xf numFmtId="3" fontId="15" fillId="0" borderId="4" applyFill="0" applyAlignment="0" applyProtection="0"/>
    <xf numFmtId="3" fontId="15" fillId="0" borderId="4" applyFill="0" applyAlignment="0" applyProtection="0"/>
    <xf numFmtId="3" fontId="15" fillId="0" borderId="4" applyFill="0" applyAlignment="0" applyProtection="0"/>
    <xf numFmtId="0" fontId="15" fillId="0" borderId="4" applyFill="0" applyAlignment="0" applyProtection="0"/>
    <xf numFmtId="3" fontId="15" fillId="0" borderId="4" applyFill="0" applyAlignment="0" applyProtection="0"/>
    <xf numFmtId="0" fontId="15" fillId="0" borderId="7">
      <alignment horizontal="center" vertical="center"/>
    </xf>
    <xf numFmtId="0" fontId="15" fillId="0" borderId="7">
      <alignment horizontal="center" vertical="center"/>
    </xf>
    <xf numFmtId="3" fontId="16" fillId="0" borderId="5" applyFill="0" applyAlignment="0" applyProtection="0"/>
    <xf numFmtId="0" fontId="16" fillId="0" borderId="5" applyFill="0" applyAlignment="0" applyProtection="0"/>
    <xf numFmtId="3" fontId="15" fillId="7" borderId="9" applyNumberFormat="0" applyFont="0" applyAlignment="0" applyProtection="0"/>
    <xf numFmtId="0" fontId="1" fillId="8" borderId="10" applyNumberFormat="0" applyFont="0" applyAlignment="0" applyProtection="0"/>
    <xf numFmtId="0" fontId="15" fillId="0" borderId="4" applyFill="0" applyAlignment="0" applyProtection="0"/>
    <xf numFmtId="3" fontId="15" fillId="0" borderId="4" applyFill="0" applyAlignment="0" applyProtection="0"/>
    <xf numFmtId="0" fontId="15" fillId="0" borderId="4" applyFill="0" applyAlignment="0" applyProtection="0"/>
    <xf numFmtId="0" fontId="15" fillId="0" borderId="4" applyFill="0" applyAlignment="0" applyProtection="0"/>
    <xf numFmtId="0" fontId="15" fillId="0" borderId="4" applyFill="0" applyAlignment="0" applyProtection="0"/>
    <xf numFmtId="0" fontId="15" fillId="0" borderId="4" applyFill="0" applyAlignment="0" applyProtection="0"/>
    <xf numFmtId="0" fontId="15" fillId="0" borderId="6">
      <alignment horizontal="left" vertical="center"/>
    </xf>
    <xf numFmtId="3" fontId="15" fillId="0" borderId="4" applyFill="0" applyAlignment="0" applyProtection="0"/>
    <xf numFmtId="3" fontId="18" fillId="0" borderId="5"/>
    <xf numFmtId="3" fontId="19" fillId="0" borderId="5"/>
    <xf numFmtId="0" fontId="15" fillId="0" borderId="7">
      <alignment horizontal="left" vertical="top"/>
    </xf>
    <xf numFmtId="0" fontId="20" fillId="0" borderId="5"/>
    <xf numFmtId="0" fontId="15" fillId="0" borderId="7">
      <alignment horizontal="left" vertical="center"/>
    </xf>
    <xf numFmtId="0" fontId="16" fillId="5" borderId="11"/>
    <xf numFmtId="3" fontId="16" fillId="0" borderId="5">
      <alignment horizontal="right" vertical="center"/>
    </xf>
    <xf numFmtId="0" fontId="15" fillId="0" borderId="7">
      <alignment horizontal="right" vertical="center"/>
    </xf>
    <xf numFmtId="0" fontId="16" fillId="0" borderId="8">
      <alignment horizontal="center" vertical="center"/>
    </xf>
    <xf numFmtId="3" fontId="16" fillId="0" borderId="5"/>
    <xf numFmtId="3" fontId="16" fillId="0" borderId="5"/>
    <xf numFmtId="0" fontId="16" fillId="0" borderId="8">
      <alignment horizontal="center" vertical="center" wrapText="1"/>
    </xf>
    <xf numFmtId="0" fontId="21" fillId="0" borderId="8">
      <alignment horizontal="left" vertical="center" indent="1"/>
    </xf>
    <xf numFmtId="0" fontId="22" fillId="0" borderId="5"/>
    <xf numFmtId="0" fontId="15" fillId="0" borderId="6">
      <alignment horizontal="left" vertical="center"/>
    </xf>
    <xf numFmtId="3" fontId="16" fillId="0" borderId="5">
      <alignment horizontal="center" vertical="center"/>
    </xf>
    <xf numFmtId="0" fontId="15" fillId="0" borderId="7">
      <alignment horizontal="center" vertical="center"/>
    </xf>
    <xf numFmtId="0" fontId="15" fillId="0" borderId="7">
      <alignment horizontal="center" vertical="center"/>
    </xf>
    <xf numFmtId="0" fontId="15" fillId="0" borderId="6">
      <alignment horizontal="left" vertical="center"/>
    </xf>
    <xf numFmtId="0" fontId="15" fillId="0" borderId="6">
      <alignment horizontal="left" vertical="center"/>
    </xf>
    <xf numFmtId="0" fontId="23" fillId="0" borderId="5"/>
  </cellStyleXfs>
  <cellXfs count="33">
    <xf numFmtId="0" fontId="0" fillId="0" borderId="0" xfId="0"/>
    <xf numFmtId="0" fontId="4" fillId="2" borderId="0" xfId="5" applyFont="1" applyFill="1" applyAlignment="1">
      <alignment horizontal="center" vertical="center"/>
    </xf>
    <xf numFmtId="0" fontId="5" fillId="2" borderId="1" xfId="5" applyFont="1" applyFill="1" applyBorder="1" applyAlignment="1">
      <alignment horizontal="left" vertical="center"/>
    </xf>
    <xf numFmtId="0" fontId="6" fillId="2" borderId="1" xfId="5" applyFont="1" applyFill="1" applyBorder="1" applyAlignment="1">
      <alignment horizontal="center" vertical="center"/>
    </xf>
    <xf numFmtId="0" fontId="7" fillId="2" borderId="0" xfId="5" applyFont="1" applyFill="1" applyAlignment="1">
      <alignment horizontal="left" vertical="center"/>
    </xf>
    <xf numFmtId="0" fontId="9" fillId="2" borderId="0" xfId="5" applyFont="1" applyFill="1" applyAlignment="1">
      <alignment horizontal="left" vertical="center"/>
    </xf>
    <xf numFmtId="0" fontId="10" fillId="2" borderId="0" xfId="5" applyFont="1" applyFill="1" applyAlignment="1">
      <alignment horizontal="center" vertical="center"/>
    </xf>
    <xf numFmtId="0" fontId="10" fillId="2" borderId="0" xfId="5" applyFont="1" applyFill="1" applyAlignment="1">
      <alignment horizontal="center" vertical="center" wrapText="1"/>
    </xf>
    <xf numFmtId="0" fontId="11" fillId="3" borderId="0" xfId="5" applyFont="1" applyFill="1" applyAlignment="1">
      <alignment horizontal="center" vertical="center" wrapText="1"/>
    </xf>
    <xf numFmtId="0" fontId="12" fillId="2" borderId="2" xfId="5" applyFont="1" applyFill="1" applyBorder="1" applyAlignment="1">
      <alignment horizontal="center" vertical="center" wrapText="1"/>
    </xf>
    <xf numFmtId="0" fontId="12" fillId="2" borderId="3" xfId="5" applyFont="1" applyFill="1" applyBorder="1" applyAlignment="1">
      <alignment horizontal="center" vertical="center" wrapText="1"/>
    </xf>
    <xf numFmtId="0" fontId="14" fillId="2" borderId="0" xfId="5" applyFont="1" applyFill="1" applyAlignment="1">
      <alignment horizontal="left" vertical="center"/>
    </xf>
    <xf numFmtId="0" fontId="5" fillId="2" borderId="1" xfId="0" applyFont="1" applyFill="1" applyBorder="1" applyAlignment="1">
      <alignment horizontal="left" vertical="center"/>
    </xf>
    <xf numFmtId="3" fontId="16" fillId="0" borderId="5" xfId="70"/>
    <xf numFmtId="0" fontId="16" fillId="0" borderId="5" xfId="31" applyAlignment="1">
      <alignment horizontal="left"/>
    </xf>
    <xf numFmtId="0" fontId="24" fillId="2" borderId="0" xfId="0" applyFont="1" applyFill="1" applyAlignment="1">
      <alignment horizontal="left" vertical="center"/>
    </xf>
    <xf numFmtId="0" fontId="25" fillId="2" borderId="0" xfId="0" applyFont="1" applyFill="1" applyAlignment="1">
      <alignment horizontal="center" vertical="center"/>
    </xf>
    <xf numFmtId="0" fontId="26" fillId="2" borderId="0" xfId="5" applyFont="1" applyFill="1" applyAlignment="1">
      <alignment horizontal="center" vertical="center"/>
    </xf>
    <xf numFmtId="164" fontId="27" fillId="2" borderId="3" xfId="1" applyFont="1" applyFill="1" applyBorder="1" applyAlignment="1">
      <alignment horizontal="center" vertical="center" wrapText="1"/>
    </xf>
    <xf numFmtId="0" fontId="29" fillId="2" borderId="2" xfId="5" applyFont="1" applyFill="1" applyBorder="1" applyAlignment="1">
      <alignment horizontal="center" vertical="center" wrapText="1"/>
    </xf>
    <xf numFmtId="0" fontId="30" fillId="4" borderId="0" xfId="5" applyFont="1" applyFill="1" applyAlignment="1">
      <alignment horizontal="center" vertical="center" wrapText="1"/>
    </xf>
    <xf numFmtId="0" fontId="31" fillId="2" borderId="0" xfId="0" applyFont="1" applyFill="1" applyAlignment="1">
      <alignment horizontal="left" vertical="center"/>
    </xf>
    <xf numFmtId="0" fontId="32" fillId="2" borderId="1" xfId="0" applyFont="1" applyFill="1" applyBorder="1" applyAlignment="1">
      <alignment horizontal="center" vertical="center"/>
    </xf>
    <xf numFmtId="0" fontId="33" fillId="9" borderId="12" xfId="5" applyFont="1" applyFill="1" applyBorder="1" applyAlignment="1">
      <alignment horizontal="center" vertical="center" wrapText="1"/>
    </xf>
    <xf numFmtId="164" fontId="28" fillId="9" borderId="13" xfId="1" applyFont="1" applyFill="1" applyBorder="1" applyAlignment="1">
      <alignment horizontal="center" vertical="center" wrapText="1"/>
    </xf>
    <xf numFmtId="0" fontId="33" fillId="9" borderId="14" xfId="5" applyFont="1" applyFill="1" applyBorder="1" applyAlignment="1">
      <alignment horizontal="center" vertical="center" wrapText="1"/>
    </xf>
    <xf numFmtId="164" fontId="28" fillId="9" borderId="15" xfId="1" applyFont="1" applyFill="1" applyBorder="1" applyAlignment="1">
      <alignment horizontal="center" vertical="center" wrapText="1"/>
    </xf>
    <xf numFmtId="0" fontId="33" fillId="9" borderId="16" xfId="5" applyFont="1" applyFill="1" applyBorder="1" applyAlignment="1">
      <alignment horizontal="center" vertical="center" wrapText="1"/>
    </xf>
    <xf numFmtId="0" fontId="29" fillId="2" borderId="12" xfId="5" applyFont="1" applyFill="1" applyBorder="1" applyAlignment="1">
      <alignment horizontal="center" vertical="center" wrapText="1"/>
    </xf>
    <xf numFmtId="9" fontId="27" fillId="2" borderId="3" xfId="2" applyFont="1" applyFill="1" applyBorder="1" applyAlignment="1">
      <alignment horizontal="center" vertical="center" wrapText="1"/>
    </xf>
    <xf numFmtId="2" fontId="27" fillId="2" borderId="3" xfId="5" applyNumberFormat="1" applyFont="1" applyFill="1" applyBorder="1" applyAlignment="1">
      <alignment horizontal="center" vertical="center" wrapText="1"/>
    </xf>
    <xf numFmtId="0" fontId="32" fillId="2" borderId="1" xfId="0" applyFont="1" applyFill="1" applyBorder="1" applyAlignment="1">
      <alignment horizontal="center" vertical="center"/>
    </xf>
    <xf numFmtId="0" fontId="12" fillId="2" borderId="0" xfId="5" applyFont="1" applyFill="1" applyAlignment="1">
      <alignment horizontal="center" vertical="center" wrapText="1"/>
    </xf>
  </cellXfs>
  <cellStyles count="81">
    <cellStyle name="AF Column - IBM Cognos" xfId="6" xr:uid="{61788A6B-4773-42AD-AACD-FC236E080BE9}"/>
    <cellStyle name="AF Data - IBM Cognos" xfId="7" xr:uid="{3BBCA869-5B54-4D42-A4C7-CF4A86966DC4}"/>
    <cellStyle name="AF Data 0 - IBM Cognos" xfId="8" xr:uid="{C2B3D651-9E04-4FF3-AD29-5AF0EEF98952}"/>
    <cellStyle name="AF Data 1 - IBM Cognos" xfId="9" xr:uid="{941FAB52-A93F-4EDB-897C-AA550BC1085C}"/>
    <cellStyle name="AF Data 2 - IBM Cognos" xfId="10" xr:uid="{DBE4B2D5-478E-4DDB-BF3D-156E542142A3}"/>
    <cellStyle name="AF Data 3 - IBM Cognos" xfId="11" xr:uid="{824B938F-AA37-4DF3-B09C-9AAAF582495C}"/>
    <cellStyle name="AF Data 4 - IBM Cognos" xfId="12" xr:uid="{9F832220-9864-4575-BB4D-83A6F749BD6E}"/>
    <cellStyle name="AF Data 5 - IBM Cognos" xfId="13" xr:uid="{5D8C794F-293D-4134-9B3A-97A9ED745573}"/>
    <cellStyle name="AF Data Leaf - IBM Cognos" xfId="14" xr:uid="{35B3AD0F-797E-488D-B5DE-5A3BAA52B5D2}"/>
    <cellStyle name="AF Header - IBM Cognos" xfId="15" xr:uid="{D248EE70-7A2D-4E35-866E-584116938E64}"/>
    <cellStyle name="AF Header 0 - IBM Cognos" xfId="16" xr:uid="{31B7E2B7-6880-4E0E-9261-9270BAAA4400}"/>
    <cellStyle name="AF Header 1 - IBM Cognos" xfId="17" xr:uid="{2B367604-0D2D-4E46-8DBA-E50CF3AB052B}"/>
    <cellStyle name="AF Header 2 - IBM Cognos" xfId="18" xr:uid="{57FA7C40-1E61-4367-9076-D490125C78AA}"/>
    <cellStyle name="AF Header 3 - IBM Cognos" xfId="19" xr:uid="{BE214559-DB70-44AB-AC9C-CB8E526827B2}"/>
    <cellStyle name="AF Header 4 - IBM Cognos" xfId="20" xr:uid="{A979E9FB-D5C9-422B-90E8-69AF16E64AA2}"/>
    <cellStyle name="AF Header 5 - IBM Cognos" xfId="21" xr:uid="{60ED58DB-6518-44F1-9BE6-601D5F88A5CE}"/>
    <cellStyle name="AF Header Leaf - IBM Cognos" xfId="22" xr:uid="{F7EC28B8-2868-40B7-A1ED-D49BF4AE1919}"/>
    <cellStyle name="AF Row - IBM Cognos" xfId="23" xr:uid="{847348C2-E73C-4B4E-9D64-2C47659D619B}"/>
    <cellStyle name="AF Row 0 - IBM Cognos" xfId="24" xr:uid="{7C3E3824-ED36-40E5-A7C7-483A4B8817D2}"/>
    <cellStyle name="AF Row 1 - IBM Cognos" xfId="25" xr:uid="{A23BD204-0ABE-4904-8037-D9730A3E40EB}"/>
    <cellStyle name="AF Row 2 - IBM Cognos" xfId="26" xr:uid="{3CE2EEB1-D509-4B1C-8A17-3BE265D38405}"/>
    <cellStyle name="AF Row 3 - IBM Cognos" xfId="27" xr:uid="{37184F3A-2044-4D48-9B77-DDF4B2F9C8EE}"/>
    <cellStyle name="AF Row 4 - IBM Cognos" xfId="28" xr:uid="{BCC9340C-0311-4ED4-BAF5-4AEDC51F9507}"/>
    <cellStyle name="AF Row 5 - IBM Cognos" xfId="29" xr:uid="{97665592-DC8F-4E48-9296-C8CC5AFB3BDF}"/>
    <cellStyle name="AF Row Leaf - IBM Cognos" xfId="30" xr:uid="{57F37B60-7FB7-4D11-90F5-E393718DBAF7}"/>
    <cellStyle name="AF Subnm - IBM Cognos" xfId="31" xr:uid="{C557098B-5B1A-4A8D-8A92-2AD193FCEC28}"/>
    <cellStyle name="AF Title - IBM Cognos" xfId="32" xr:uid="{C710C097-9325-49D7-82CD-46ABDDCD1C69}"/>
    <cellStyle name="Calculated Column - IBM Cognos" xfId="33" xr:uid="{9DEB7824-AD21-489F-B3F1-BB8FD3B3F77A}"/>
    <cellStyle name="Calculated Column Name - IBM Cognos" xfId="34" xr:uid="{E6138D52-3ED7-428A-9440-FE35211C6CE1}"/>
    <cellStyle name="Calculated Row - IBM Cognos" xfId="35" xr:uid="{6331C913-5433-49D8-84D8-06E6C831F122}"/>
    <cellStyle name="Calculated Row Name - IBM Cognos" xfId="36" xr:uid="{FAE4B5B6-541B-47FB-BA6E-21662E1C9B89}"/>
    <cellStyle name="Column Name - IBM Cognos" xfId="37" xr:uid="{788C6D62-F378-4F3E-BFFE-B081A03927A0}"/>
    <cellStyle name="Column Template - IBM Cognos" xfId="38" xr:uid="{0E792CE5-439B-45B3-BE6E-27B717E05718}"/>
    <cellStyle name="Comma 3" xfId="4" xr:uid="{419D39F4-A9B4-4AB5-ABA7-E8FC4A7CE148}"/>
    <cellStyle name="Differs From Base - IBM Cognos" xfId="39" xr:uid="{67082EA1-480D-4030-9789-A5EEDACBF7DB}"/>
    <cellStyle name="DQR Column 0 - IBM Cognos" xfId="40" xr:uid="{B382D333-B43A-4ACA-8440-F0C7AB63CCF4}"/>
    <cellStyle name="DQR Column 1 - IBM Cognos" xfId="41" xr:uid="{14FEF05F-068C-454A-AF04-7F34511E05AC}"/>
    <cellStyle name="DQR Column 2 - IBM Cognos" xfId="42" xr:uid="{BD1F3C55-D9E0-4922-B86C-8B626327F43D}"/>
    <cellStyle name="DQR Column 3 - IBM Cognos" xfId="43" xr:uid="{89B54394-1C16-4255-8CE9-474FF035524C}"/>
    <cellStyle name="DQR Column 4 - IBM Cognos" xfId="44" xr:uid="{E2F76B63-C4E0-431A-8F42-C72DE56DEF8E}"/>
    <cellStyle name="DQR Column 5 - IBM Cognos" xfId="45" xr:uid="{0C2121B3-05F2-4961-8A66-2DDD49FAE876}"/>
    <cellStyle name="DQR Column Default - IBM Cognos" xfId="46" xr:uid="{36F0AC49-00A2-4467-A6F2-C4B6BDD4F2F5}"/>
    <cellStyle name="DQR Column Leaf - IBM Cognos" xfId="47" xr:uid="{7338F30F-276C-403B-B5FE-4EA5C76726A8}"/>
    <cellStyle name="DQR Data Default - IBM Cognos" xfId="48" xr:uid="{BEC935F2-16D4-4388-8EE3-FAEB9C939B9E}"/>
    <cellStyle name="DQR Default - IBM Cognos" xfId="49" xr:uid="{8C5582FF-A41C-4051-BF06-C113D8371B20}"/>
    <cellStyle name="DQR Gutter Default - IBM Cognos" xfId="50" xr:uid="{7DE8DD12-6C28-4113-BB7F-E7FD26C79A36}"/>
    <cellStyle name="DQR Gutter Default (OFF) - IBM Cognos" xfId="51" xr:uid="{D04CB1C3-B635-4A8B-8B1E-E549E9EEBABC}"/>
    <cellStyle name="DQR Row 0 - IBM Cognos" xfId="52" xr:uid="{007748CD-A644-48E6-A682-7DB8CBCA8992}"/>
    <cellStyle name="DQR Row 1 - IBM Cognos" xfId="53" xr:uid="{508486BA-E6E4-435B-A00F-5D3236C4AD89}"/>
    <cellStyle name="DQR Row 2 - IBM Cognos" xfId="54" xr:uid="{D01341C1-FE73-43D4-92C9-4AF8E216B6D4}"/>
    <cellStyle name="DQR Row 3 - IBM Cognos" xfId="55" xr:uid="{D6C9376A-D43E-4177-B185-D36CE579A911}"/>
    <cellStyle name="DQR Row 4 - IBM Cognos" xfId="56" xr:uid="{0A58495D-862E-4C9F-A8AC-990E646E2BF0}"/>
    <cellStyle name="DQR Row 5 - IBM Cognos" xfId="57" xr:uid="{59124146-0E20-40A5-A143-30DE1B91B09E}"/>
    <cellStyle name="DQR Row Default - IBM Cognos" xfId="58" xr:uid="{951C6215-59AF-486E-83F4-297F66AF6FDF}"/>
    <cellStyle name="DQR Row Leaf - IBM Cognos" xfId="59" xr:uid="{D419B56A-0370-4FA5-A080-A386D5423C5D}"/>
    <cellStyle name="Edit - IBM Cognos" xfId="60" xr:uid="{90730E3D-6B7F-448F-8DDD-DD590D831ED0}"/>
    <cellStyle name="Formula - IBM Cognos" xfId="61" xr:uid="{EB270823-1C28-44BE-84D1-712D27D18783}"/>
    <cellStyle name="Group Name - IBM Cognos" xfId="62" xr:uid="{926E8A28-B2CE-45B9-B8E0-18CB2A129C48}"/>
    <cellStyle name="Hold Values - IBM Cognos" xfId="63" xr:uid="{1A47DEFA-57EE-42F1-83C0-1087FFEBA798}"/>
    <cellStyle name="List Name - IBM Cognos" xfId="64" xr:uid="{0AB82591-D160-4503-9CEA-985070FA90DF}"/>
    <cellStyle name="Locked - IBM Cognos" xfId="65" xr:uid="{969B41C7-5F09-4437-AAB6-35F81230F8F4}"/>
    <cellStyle name="Measure - IBM Cognos" xfId="66" xr:uid="{9B6D0068-9B49-4B80-B415-D2861C0A1DF2}"/>
    <cellStyle name="Measure Header - IBM Cognos" xfId="67" xr:uid="{BD460DA7-C2CD-4310-B2C6-086324371C42}"/>
    <cellStyle name="Measure Name - IBM Cognos" xfId="68" xr:uid="{C1EA5462-6E81-4351-BE25-2BDBF80ED0A7}"/>
    <cellStyle name="Measure Summary - IBM Cognos" xfId="69" xr:uid="{D506D9C8-F72F-41F2-95E2-2D4C91B8C5EC}"/>
    <cellStyle name="Measure Summary TM1 - IBM Cognos" xfId="70" xr:uid="{A9B70544-D63D-4D77-BFDB-B599D2F7C808}"/>
    <cellStyle name="Measure Template - IBM Cognos" xfId="71" xr:uid="{35F3C7E5-B31B-4AB0-ADB3-43EFEB4BFD3D}"/>
    <cellStyle name="More - IBM Cognos" xfId="72" xr:uid="{9FABA09C-BD27-45C8-B8E8-3977CFB1D204}"/>
    <cellStyle name="Normal" xfId="0" builtinId="0" customBuiltin="1"/>
    <cellStyle name="Normal 2" xfId="5" xr:uid="{129EE009-5CEA-4E2A-9A28-DE85DC3E967E}"/>
    <cellStyle name="Pending Change - IBM Cognos" xfId="73" xr:uid="{3A38BC01-237D-487C-AD1E-88AD7EAADCB9}"/>
    <cellStyle name="Porcentagem" xfId="2" builtinId="5"/>
    <cellStyle name="Row Name - IBM Cognos" xfId="74" xr:uid="{3A1C11D5-4582-49B0-9440-F9F76908B2C1}"/>
    <cellStyle name="Row Template - IBM Cognos" xfId="75" xr:uid="{D0D0D85A-633D-4B49-8871-9FFDD57766F6}"/>
    <cellStyle name="Summary Column Name - IBM Cognos" xfId="76" xr:uid="{4B4D0DB7-E844-4BE1-ADF0-AB25488320C9}"/>
    <cellStyle name="Summary Column Name TM1 - IBM Cognos" xfId="77" xr:uid="{9317CCC7-0755-4809-91AF-D42ED20DC171}"/>
    <cellStyle name="Summary Row Name - IBM Cognos" xfId="78" xr:uid="{BBEDEA66-E355-4823-8E6A-76C536272B5E}"/>
    <cellStyle name="Summary Row Name TM1 - IBM Cognos" xfId="79" xr:uid="{159C62EA-CA88-495A-9386-31366BB3DC9C}"/>
    <cellStyle name="Unsaved Change - IBM Cognos" xfId="80" xr:uid="{969930DA-3D39-4241-B4FB-598E17825872}"/>
    <cellStyle name="Vírgula" xfId="1" builtinId="3"/>
    <cellStyle name="Vírgula 2" xfId="3" xr:uid="{328FC23C-6352-4D5A-9886-14551A36D347}"/>
  </cellStyles>
  <dxfs count="1">
    <dxf>
      <font>
        <color theme="1" tint="0.499984740745262"/>
      </font>
      <fill>
        <patternFill>
          <bgColor theme="0" tint="-0.14996795556505021"/>
        </patternFill>
      </fill>
    </dxf>
  </dxfs>
  <tableStyles count="0" defaultTableStyle="TableStyleMedium2" defaultPivotStyle="PivotStyleLight16"/>
  <colors>
    <mruColors>
      <color rgb="FF808080"/>
      <color rgb="FF00B23D"/>
      <color rgb="FF96E637"/>
      <color rgb="FF0000BF"/>
      <color rgb="FFD0D0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lzserv\Planejamento%20Financeiro\A-Eletrobr&#225;s\Auxiliares\A-Banco%20de%20Dados\Ban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Índice"/>
      <sheetName val="Consumidores"/>
      <sheetName val="Forfait"/>
      <sheetName val="Venda-MWh"/>
      <sheetName val="Outros"/>
      <sheetName val="Compra-Mwh"/>
      <sheetName val="Compra-R$"/>
      <sheetName val="Fatur. Bruto-Comercial"/>
      <sheetName val="T I P"/>
      <sheetName val="ICMS Fat."/>
      <sheetName val="Importe-Comercial"/>
      <sheetName val="Importe-Contábil"/>
      <sheetName val="ICMS Contábil"/>
      <sheetName val="Importe+ICMS"/>
      <sheetName val="Tarifa Comercial"/>
      <sheetName val="Tarifa Contabilidade"/>
      <sheetName val="Arrec. Bruta"/>
      <sheetName val="ICMS  Arrec."/>
      <sheetName val="Arrec.Líquida"/>
      <sheetName val="Pessoal"/>
      <sheetName val="Mercado"/>
      <sheetName val="OTR.CRED."/>
      <sheetName val="Balanço"/>
      <sheetName val="GASTOS LE2000"/>
      <sheetName val="SELIC"/>
      <sheetName val="Balancete"/>
      <sheetName val="Dados"/>
      <sheetName val="Referência Macro"/>
      <sheetName val=" PIB Brasil ( R$ de 1996 )"/>
      <sheetName val="FORMULÁRIO"/>
      <sheetName val="tarifas abertas internet"/>
      <sheetName val="BM&amp;F"/>
      <sheetName val="Plan1"/>
      <sheetName val="PAGAMENTO"/>
      <sheetName val="Suporte"/>
      <sheetName val="2000"/>
      <sheetName val="Banco"/>
      <sheetName val="INDIECO1"/>
      <sheetName val="ASSUM"/>
      <sheetName val="Sist.Transm.Dist.Glob. "/>
      <sheetName val="Spot"/>
      <sheetName val="Taxes"/>
      <sheetName val="RESUMO"/>
      <sheetName val="Dados2"/>
      <sheetName val="LISTAS"/>
      <sheetName val="Fatur__Bruto-Comercial"/>
      <sheetName val="T_I_P"/>
      <sheetName val="ICMS_Fat_"/>
      <sheetName val="ICMS_Contábil"/>
      <sheetName val="Tarifa_Comercial"/>
      <sheetName val="Tarifa_Contabilidade"/>
      <sheetName val="Arrec__Bruta"/>
      <sheetName val="ICMS__Arrec_"/>
      <sheetName val="Arrec_Líquida"/>
      <sheetName val="_PIB_Brasil_(_R$_de_1996_)"/>
      <sheetName val="Base FIN-NNG-PRE"/>
      <sheetName val="Base O&amp;M"/>
      <sheetName val="Classes"/>
      <sheetName val="ce"/>
      <sheetName val="CECO"/>
      <sheetName val="TESTE"/>
      <sheetName val="FATORES"/>
      <sheetName val="Base - Não apagar"/>
      <sheetName val="Column Test-S2"/>
      <sheetName val="DRE"/>
      <sheetName val="Lead"/>
      <sheetName val="Comparativos - Abr-02"/>
      <sheetName val="Comparativos _ Abr_02"/>
      <sheetName val="Comparativos - Fev-02"/>
      <sheetName val="Comparativos _ Fev_02"/>
      <sheetName val="Comparativos - Jan-02"/>
      <sheetName val="Comparativos _ Jan_02"/>
      <sheetName val="Comparativos - Mar-02"/>
      <sheetName val="Comparativos _ Mar_02"/>
      <sheetName val="Comentários Jan-02 "/>
      <sheetName val="Comentários Jan_02 "/>
      <sheetName val="Metalúrgica"/>
      <sheetName val="SETTINGS"/>
      <sheetName val="TermoPE"/>
      <sheetName val="DRE e FLUXO CAIXA"/>
      <sheetName val="Índices"/>
      <sheetName val="Tabela aux."/>
      <sheetName val="DEBE"/>
      <sheetName val="EOFI"/>
      <sheetName val="Validacao_Dados"/>
      <sheetName val="Consol. Energia Ger"/>
      <sheetName val="DRE_Cemar_Orçam"/>
      <sheetName val="  "/>
      <sheetName val="AA-10(Op.63)"/>
      <sheetName val="Inventário PA"/>
      <sheetName val="Aquisição"/>
      <sheetName val="ABRIL 2000"/>
      <sheetName val="FF3"/>
      <sheetName val="Apoio"/>
      <sheetName val="Classificação"/>
      <sheetName val="Fatur__Bruto-Comercial1"/>
      <sheetName val="T_I_P1"/>
      <sheetName val="ICMS_Fat_1"/>
      <sheetName val="ICMS_Contábil1"/>
      <sheetName val="Tarifa_Comercial1"/>
      <sheetName val="Tarifa_Contabilidade1"/>
      <sheetName val="Arrec__Bruta1"/>
      <sheetName val="ICMS__Arrec_1"/>
      <sheetName val="Arrec_Líquida1"/>
      <sheetName val="OTR_CRED_"/>
      <sheetName val="GASTOS_LE2000"/>
      <sheetName val="Referência_Macro"/>
      <sheetName val="_PIB_Brasil_(_R$_de_1996_)1"/>
      <sheetName val="tarifas_abertas_internet"/>
      <sheetName val="Sist_Transm_Dist_Glob__"/>
      <sheetName val="Base_FIN-NNG-PRE"/>
      <sheetName val="Base_O&amp;M"/>
      <sheetName val="Cursos"/>
      <sheetName val="DRE_e_FLUXO_CAIXA"/>
      <sheetName val="Tabela_aux_"/>
      <sheetName val="Comparativos_-_Abr-02"/>
      <sheetName val="Comparativos___Abr_02"/>
      <sheetName val="Comparativos_-_Fev-02"/>
      <sheetName val="Comparativos___Fev_02"/>
      <sheetName val="Comparativos_-_Jan-02"/>
      <sheetName val="Comparativos___Jan_02"/>
      <sheetName val="Comparativos_-_Mar-02"/>
      <sheetName val="Comparativos___Mar_02"/>
      <sheetName val="Comentários_Jan-02_"/>
      <sheetName val="Comentários_Jan_02_"/>
      <sheetName val="Consol__Energia_Ger"/>
      <sheetName val="ABRIL_2000"/>
      <sheetName val="__"/>
      <sheetName val="AA-10(Op_63)"/>
      <sheetName val="Inventário_PA"/>
      <sheetName val="BASE RATEIO DIRETORIA"/>
      <sheetName val="Validação de Dados"/>
      <sheetName val="Plan1 (2)"/>
      <sheetName val="Base_Calc"/>
      <sheetName val="Base_Dados"/>
      <sheetName val="Taxas"/>
      <sheetName val="tarifas_abertas_internet1"/>
      <sheetName val="Sist_Transm_Dist_Glob__1"/>
      <sheetName val="AUXILIAR"/>
      <sheetName val="AVC Garabi II Set18"/>
      <sheetName val="Listas e Tabelas"/>
      <sheetName val="Siglas e Legendas"/>
      <sheetName val="IREM"/>
      <sheetName val="Plan2"/>
      <sheetName val="Plan3"/>
      <sheetName val="CVA_Projetada12meses"/>
      <sheetName val="CUSTOS"/>
      <sheetName val="Tabela_valores_módulos"/>
      <sheetName val="Fatur__Bruto-Comercial2"/>
      <sheetName val="T_I_P2"/>
      <sheetName val="ICMS_Fat_2"/>
      <sheetName val="ICMS_Contábil2"/>
      <sheetName val="Tarifa_Comercial2"/>
      <sheetName val="Tarifa_Contabilidade2"/>
      <sheetName val="Arrec__Bruta2"/>
      <sheetName val="ICMS__Arrec_2"/>
      <sheetName val="Arrec_Líquida2"/>
      <sheetName val="_PIB_Brasil_(_R$_de_1996_)2"/>
      <sheetName val="tarifas_abertas_internet2"/>
      <sheetName val="Sist_Transm_Dist_Glob__2"/>
      <sheetName val="Base_FIN-NNG-PRE1"/>
      <sheetName val="Base_O&amp;M1"/>
      <sheetName val="DRE_e_FLUXO_CAIXA1"/>
      <sheetName val="Tabela_aux_1"/>
      <sheetName val="Comparativos_-_Abr-021"/>
      <sheetName val="Comparativos___Abr_021"/>
      <sheetName val="Comparativos_-_Fev-021"/>
      <sheetName val="Comparativos___Fev_021"/>
      <sheetName val="Comparativos_-_Jan-021"/>
      <sheetName val="Comparativos___Jan_021"/>
      <sheetName val="Comparativos_-_Mar-021"/>
      <sheetName val="Comparativos___Mar_021"/>
      <sheetName val="Comentários_Jan-02_1"/>
      <sheetName val="Comentários_Jan_02_1"/>
      <sheetName val="Consol__Energia_Ger1"/>
      <sheetName val="ABRIL_20001"/>
      <sheetName val="__1"/>
      <sheetName val="AA-10(Op_63)1"/>
      <sheetName val="Inventário_PA1"/>
      <sheetName val="BASE_RATEIO_DIRETORIA"/>
      <sheetName val="Validação_de_Dados"/>
      <sheetName val="Plan1_(2)"/>
      <sheetName val="AVC_Garabi_II_Set18"/>
      <sheetName val="Listas_e_Tabelas"/>
      <sheetName val="Siglas_e_Legendas"/>
      <sheetName val="Receivables"/>
      <sheetName val="Cash"/>
      <sheetName val="Avaliação"/>
      <sheetName val="#REF"/>
      <sheetName val="OCRE"/>
      <sheetName val="CSCCincSKR"/>
      <sheetName val="Tarifas_de_Fornecimento"/>
      <sheetName val="Tarifas_de_Suprimento"/>
      <sheetName val="DadosImportar"/>
      <sheetName val="DadosImportadosSamp"/>
      <sheetName val="Críticas"/>
      <sheetName val="DePara"/>
      <sheetName val="RTOS_APOIO"/>
      <sheetName val="apoio_data"/>
      <sheetName val="APOIO_LISTA"/>
      <sheetName val="RECEITAS_DE_TARIFAS"/>
      <sheetName val="SUBSIDIOS_CDE_TARIFAS"/>
      <sheetName val="Fatur__Bruto-Comercial3"/>
      <sheetName val="T_I_P3"/>
      <sheetName val="ICMS_Fat_3"/>
      <sheetName val="ICMS_Contábil3"/>
      <sheetName val="Tarifa_Comercial3"/>
      <sheetName val="Tarifa_Contabilidade3"/>
      <sheetName val="Arrec__Bruta3"/>
      <sheetName val="ICMS__Arrec_3"/>
      <sheetName val="Arrec_Líquida3"/>
      <sheetName val="_PIB_Brasil_(_R$_de_1996_)3"/>
      <sheetName val="tarifas_abertas_internet3"/>
      <sheetName val="Sist_Transm_Dist_Glob__3"/>
      <sheetName val="Comparativos_-_Abr-022"/>
      <sheetName val="Comparativos___Abr_022"/>
      <sheetName val="Comparativos_-_Fev-022"/>
      <sheetName val="Comparativos___Fev_022"/>
      <sheetName val="Comparativos_-_Jan-022"/>
      <sheetName val="Comparativos___Jan_022"/>
      <sheetName val="Comparativos_-_Mar-022"/>
      <sheetName val="Comparativos___Mar_022"/>
      <sheetName val="Comentários_Jan-02_2"/>
      <sheetName val="Comentários_Jan_02_2"/>
      <sheetName val="DRE_e_FLUXO_CAIXA2"/>
      <sheetName val="Tabela_aux_2"/>
      <sheetName val="Base_FIN-NNG-PRE2"/>
      <sheetName val="Base_O&amp;M2"/>
      <sheetName val="Consol__Energia_Ger2"/>
      <sheetName val="Plan1_(2)1"/>
      <sheetName val="__2"/>
      <sheetName val="AA-10(Op_63)2"/>
      <sheetName val="Inventário_PA2"/>
      <sheetName val="ABRIL_20002"/>
      <sheetName val="OTR_CRED_1"/>
      <sheetName val="BASE_RATEIO_DIRETORIA1"/>
      <sheetName val="Validação_de_Dados1"/>
      <sheetName val="AVC_Garabi_II_Set181"/>
      <sheetName val="Listas_e_Tabelas1"/>
      <sheetName val="Siglas_e_Legendas1"/>
      <sheetName val="Form09"/>
      <sheetName val="0_&lt;_VCM_&lt;_1_350"/>
      <sheetName val="BancoSegment"/>
      <sheetName val="CÁLCULO_GRÁFICO"/>
      <sheetName val="Dados_mensais"/>
      <sheetName val="DRA"/>
      <sheetName val="DRP"/>
      <sheetName val="FEV99"/>
      <sheetName val="Critérios"/>
      <sheetName val="Base Geral"/>
      <sheetName val="Planilha1"/>
      <sheetName val="Planilha2"/>
      <sheetName val="DIN_19"/>
      <sheetName val="DIN_18"/>
      <sheetName val="DIN_OBZ"/>
      <sheetName val="Centro de Custo"/>
      <sheetName val="Gráficos"/>
      <sheetName val="Painel"/>
      <sheetName val="DRE (Projetado)"/>
      <sheetName val="DRE_19"/>
      <sheetName val="DRE_18"/>
      <sheetName val="DRE_OBZ"/>
      <sheetName val="OP_COMP"/>
      <sheetName val="OP_19"/>
      <sheetName val="OP_18"/>
      <sheetName val="OP_OBZ"/>
      <sheetName val="Balanco"/>
      <sheetName val="Cash-flow"/>
      <sheetName val="BD_Tkt_18"/>
      <sheetName val="BD_Tkt_19"/>
      <sheetName val="BD_Saldo_18"/>
      <sheetName val="BD_Saldo_19"/>
      <sheetName val="MENSAL"/>
      <sheetName val="FX_RES"/>
      <sheetName val="TENSÃO"/>
      <sheetName val="VALIDADOR"/>
      <sheetName val="1996"/>
      <sheetName val="Projeção Receita"/>
      <sheetName val="Simulação Mensal"/>
      <sheetName val="Cotação Areva SE's 2008"/>
      <sheetName val="Drivers IAR 1 a 4 (3)"/>
      <sheetName val="Drivers IAR 1 a 4 (2)"/>
      <sheetName val="Drivers IAR 1 a 4"/>
      <sheetName val="Drivers IAR Global"/>
      <sheetName val="IAR Cepisa"/>
      <sheetName val="IAR Historico"/>
      <sheetName val="Simulação Anual"/>
      <sheetName val="PDD CNR"/>
      <sheetName val="Projeção CNR"/>
      <sheetName val="Dívida Serviço Publico (2)"/>
      <sheetName val="Dívida Serviço Publico"/>
      <sheetName val="CR CEPISA"/>
      <sheetName val="Planilha3"/>
      <sheetName val="Drivers 2"/>
      <sheetName val="Distribuidoras (2)"/>
      <sheetName val="Distribuidoras"/>
      <sheetName val="Plan7"/>
      <sheetName val="Evolução 2014 2015 2016"/>
      <sheetName val="IAR Longo Prazo Desafio"/>
      <sheetName val="IAR Longo Prazo Meta"/>
      <sheetName val="Drivers Novo"/>
      <sheetName val="Drivers Antigo"/>
      <sheetName val="Drivers"/>
      <sheetName val="Simuladores Desafio 45"/>
      <sheetName val="Simuladores Atual Plus"/>
      <sheetName val="Tarifas"/>
      <sheetName val="Arrecadação CNR Desafio"/>
      <sheetName val="Arrecadação CNR"/>
      <sheetName val="Evolução desde 2012 Desafio"/>
      <sheetName val="Evolução 2014 2015 2016 Des"/>
      <sheetName val="Evolução 2014 2015 2016 Haiama"/>
      <sheetName val="Evolução 2014 2015 2016 Beto"/>
      <sheetName val="Evolução Anual"/>
      <sheetName val="Contas Aberto Com CNR"/>
      <sheetName val="Demais distribuidoras (2)"/>
      <sheetName val="Cemar x Celpa (2)"/>
      <sheetName val="Cemar x Celpa"/>
      <sheetName val="Cemar Liquido de PDD"/>
      <sheetName val="Demais distribuidoras"/>
      <sheetName val="Contas Comercial Com CNR Perdas"/>
      <sheetName val="Contas Comercial Com CNR"/>
      <sheetName val="Build Up_Celpa_Set"/>
      <sheetName val="Build Up_frentes_Comaprativo"/>
      <sheetName val="Mercado_Receita"/>
      <sheetName val="Cotação_Areva_SE's_2008"/>
      <sheetName val="Fatur__Bruto-Comercial4"/>
      <sheetName val="T_I_P4"/>
      <sheetName val="ICMS_Fat_4"/>
      <sheetName val="ICMS_Contábil4"/>
      <sheetName val="Tarifa_Comercial4"/>
      <sheetName val="Tarifa_Contabilidade4"/>
      <sheetName val="Arrec__Bruta4"/>
      <sheetName val="ICMS__Arrec_4"/>
      <sheetName val="Arrec_Líquida4"/>
      <sheetName val="_PIB_Brasil_(_R$_de_1996_)4"/>
      <sheetName val="tarifas_abertas_internet4"/>
      <sheetName val="Sist_Transm_Dist_Glob__4"/>
      <sheetName val="Base_FIN-NNG-PRE3"/>
      <sheetName val="Base_O&amp;M3"/>
      <sheetName val="DRE_e_FLUXO_CAIXA3"/>
      <sheetName val="Tabela_aux_3"/>
      <sheetName val="Comparativos_-_Abr-023"/>
      <sheetName val="Comparativos___Abr_023"/>
      <sheetName val="Comparativos_-_Fev-023"/>
      <sheetName val="Comparativos___Fev_023"/>
      <sheetName val="Comparativos_-_Jan-023"/>
      <sheetName val="Comparativos___Jan_023"/>
      <sheetName val="Comparativos_-_Mar-023"/>
      <sheetName val="Comparativos___Mar_023"/>
      <sheetName val="Comentários_Jan-02_3"/>
      <sheetName val="Comentários_Jan_02_3"/>
      <sheetName val="Consol__Energia_Ger3"/>
      <sheetName val="__3"/>
      <sheetName val="AA-10(Op_63)3"/>
      <sheetName val="Inventário_PA3"/>
      <sheetName val="ABRIL_20003"/>
      <sheetName val="OTR_CRED_2"/>
      <sheetName val="Plan1_(2)2"/>
      <sheetName val="BASE_RATEIO_DIRETORIA2"/>
      <sheetName val="Validação_de_Dados2"/>
      <sheetName val="AVC_Garabi_II_Set182"/>
      <sheetName val="Listas_e_Tabelas2"/>
      <sheetName val="Siglas_e_Legendas2"/>
      <sheetName val="RDEG fev 07"/>
      <sheetName val="Definições_Consolidada"/>
      <sheetName val="PROCV"/>
      <sheetName val="P&amp;L_EBITDA"/>
      <sheetName val="Resumen"/>
      <sheetName val="Base_-_Não_apagar"/>
      <sheetName val="Column_Test-S2"/>
      <sheetName val="Razão"/>
      <sheetName val="Natureza"/>
      <sheetName val="Conta"/>
      <sheetName val="TD"/>
      <sheetName val="Base"/>
      <sheetName val="Planilha4"/>
      <sheetName val="Razão Contábil"/>
      <sheetName val="GASTOS_LE20001"/>
      <sheetName val="Referência_Macro1"/>
      <sheetName val="Base_-_Não_apagar1"/>
      <sheetName val="Column_Test-S21"/>
      <sheetName val="Bancos"/>
      <sheetName val="Margem Carteiras"/>
      <sheetName val="Result Ind Carteiras"/>
      <sheetName val="Result Ind Resumido"/>
      <sheetName val="Módulo1"/>
      <sheetName val="Módulo2"/>
      <sheetName val="Módulo3"/>
      <sheetName val="Inputs_Unidades_Geradoras"/>
      <sheetName val="Real Mensal"/>
      <sheetName val="Sispec99"/>
      <sheetName val="Tabelas"/>
      <sheetName val="Gráfico"/>
      <sheetName val="D.DRE_Acomp"/>
      <sheetName val="Cover"/>
      <sheetName val="Mapa Completo"/>
      <sheetName val="Folha"/>
      <sheetName val="Listas Auxiliares"/>
      <sheetName val="Base de dados"/>
      <sheetName val="Plan5"/>
      <sheetName val="HIDRAULI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sheetData sheetId="370"/>
      <sheetData sheetId="371" refreshError="1"/>
      <sheetData sheetId="372"/>
      <sheetData sheetId="373"/>
      <sheetData sheetId="374"/>
      <sheetData sheetId="375"/>
      <sheetData sheetId="376"/>
      <sheetData sheetId="377"/>
      <sheetData sheetId="378"/>
      <sheetData sheetId="379"/>
      <sheetData sheetId="380"/>
      <sheetData sheetId="381"/>
      <sheetData sheetId="382" refreshError="1"/>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8AF484-EF55-466C-91B7-525914096985}">
  <we:reference id="wa200005502" version="1.0.0.12" store="pt-BR" storeType="OMEX"/>
  <we:alternateReferences>
    <we:reference id="WA200005502" version="1.0.0.12" store="" storeType="OMEX"/>
  </we:alternateReferences>
  <we:properties>
    <we:property name="docId" value="&quot;6O1t3FdpdjunFvvvvw5F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8824-364E-48B1-8C06-51AC7BA20691}">
  <dimension ref="B1:AS102"/>
  <sheetViews>
    <sheetView showGridLines="0" tabSelected="1" topLeftCell="A7" zoomScaleNormal="100" workbookViewId="0"/>
  </sheetViews>
  <sheetFormatPr defaultColWidth="12.42578125" defaultRowHeight="15.75" customHeight="1" x14ac:dyDescent="0.25"/>
  <cols>
    <col min="1" max="1" width="3.28515625" style="1" customWidth="1"/>
    <col min="2" max="2" width="43.42578125" style="1" customWidth="1"/>
    <col min="3" max="14" width="12.7109375" style="1" customWidth="1"/>
    <col min="15" max="16384" width="12.42578125" style="1"/>
  </cols>
  <sheetData>
    <row r="1" spans="2:45" ht="45" hidden="1" customHeight="1" x14ac:dyDescent="0.25">
      <c r="B1" s="1" t="str">
        <f>_xll.VIEW("CONS_VC:STG.100.DataBase_Uploads",D9)</f>
        <v>CONS_VC:STG.100.DataBase_Uploads:682804457956426348</v>
      </c>
      <c r="C1" s="1" t="str">
        <f>_xll.VIEW("CONS_VC:ALL.015.Region_Assumptions")</f>
        <v>CONS_VC:ALL.015.Region_Assumptions:6828044571849741741</v>
      </c>
      <c r="K1" s="1" t="s">
        <v>72</v>
      </c>
      <c r="L1" s="1" t="s">
        <v>66</v>
      </c>
      <c r="M1" s="14" t="str">
        <f>_xll.SUBNM("CONS_VC:ALL.D.Version","","T4")</f>
        <v>T4</v>
      </c>
      <c r="N1" s="1" t="s">
        <v>73</v>
      </c>
    </row>
    <row r="2" spans="2:45" ht="45" hidden="1" customHeight="1" x14ac:dyDescent="0.25">
      <c r="B2" s="1" t="str">
        <f>_xll.VIEW("CONS_VC:REV.100.Revenue_Consolidated")</f>
        <v>CONS_VC:REV.100.Revenue_Consolidated:68280445742607536</v>
      </c>
      <c r="C2" s="1" t="str">
        <f>_xll.VIEW("CONS_VC:ALL.010.Economic_Assumptions")</f>
        <v>CONS_VC:ALL.010.Economic_Assumptions:682804457315016469</v>
      </c>
      <c r="K2" s="1" t="s">
        <v>71</v>
      </c>
      <c r="N2" s="1" t="s">
        <v>74</v>
      </c>
    </row>
    <row r="3" spans="2:45" ht="28.5" hidden="1" customHeight="1" x14ac:dyDescent="0.25">
      <c r="B3" s="1" t="str">
        <f>_xll.VIEW("CONS_VC:DFS.100.Profit_and_Loss")</f>
        <v>CONS_VC:DFS.100.Profit_and_Loss:682804457537612563</v>
      </c>
      <c r="G3" s="1" t="s">
        <v>82</v>
      </c>
    </row>
    <row r="4" spans="2:45" ht="28.5" hidden="1" customHeight="1" x14ac:dyDescent="0.25">
      <c r="B4" s="1" t="str">
        <f>_xll.VIEW("CONS_VC:ALL.001.Actual_Control")</f>
        <v>CONS_VC:ALL.001.Actual_Control:6828044571419146646</v>
      </c>
    </row>
    <row r="5" spans="2:45" ht="28.5" hidden="1" customHeight="1" x14ac:dyDescent="0.25">
      <c r="C5" s="13" t="str">
        <f>_xll.DBRW(Input!$B$4,Input!$D$9,Input!C11,$M$1,$G$3)</f>
        <v>PLAN</v>
      </c>
      <c r="D5" s="13" t="str">
        <f>_xll.DBRW(Input!$B$4,Input!$D$9,Input!D11,$M$1,$G$3)</f>
        <v>PLAN</v>
      </c>
      <c r="E5" s="13" t="str">
        <f>_xll.DBRW(Input!$B$4,Input!$D$9,Input!E11,$M$1,$G$3)</f>
        <v>PLAN</v>
      </c>
      <c r="F5" s="13" t="str">
        <f>_xll.DBRW(Input!$B$4,Input!$D$9,Input!F11,$M$1,$G$3)</f>
        <v>PLAN</v>
      </c>
      <c r="G5" s="13" t="str">
        <f>_xll.DBRW(Input!$B$4,Input!$D$9,Input!G11,$M$1,$G$3)</f>
        <v>PLAN</v>
      </c>
      <c r="H5" s="13" t="str">
        <f>_xll.DBRW(Input!$B$4,Input!$D$9,Input!H11,$M$1,$G$3)</f>
        <v>PLAN</v>
      </c>
      <c r="I5" s="13" t="str">
        <f>_xll.DBRW(Input!$B$4,Input!$D$9,Input!I11,$M$1,$G$3)</f>
        <v>PLAN</v>
      </c>
      <c r="J5" s="13" t="str">
        <f>_xll.DBRW(Input!$B$4,Input!$D$9,Input!J11,$M$1,$G$3)</f>
        <v>PLAN</v>
      </c>
      <c r="K5" s="13" t="str">
        <f>_xll.DBRW(Input!$B$4,Input!$D$9,Input!K11,$M$1,$G$3)</f>
        <v>PLAN</v>
      </c>
      <c r="L5" s="13" t="str">
        <f>_xll.DBRW(Input!$B$4,Input!$D$9,Input!L11,$M$1,$G$3)</f>
        <v>PLAN</v>
      </c>
      <c r="M5" s="13" t="str">
        <f>_xll.DBRW(Input!$B$4,Input!$D$9,Input!M11,$M$1,$G$3)</f>
        <v>PLAN</v>
      </c>
      <c r="N5" s="13" t="str">
        <f>_xll.DBRW(Input!$B$4,Input!$D$9,Input!N11,$M$1,$G$3)</f>
        <v>PLAN</v>
      </c>
    </row>
    <row r="6" spans="2:45" ht="28.5" hidden="1" customHeight="1" x14ac:dyDescent="0.25"/>
    <row r="7" spans="2:45" ht="24" customHeight="1" thickBot="1" x14ac:dyDescent="0.3">
      <c r="B7" s="12"/>
    </row>
    <row r="8" spans="2:45" ht="15.75" customHeight="1" thickTop="1" x14ac:dyDescent="0.25">
      <c r="B8" s="11" t="s">
        <v>0</v>
      </c>
    </row>
    <row r="9" spans="2:45" ht="15.75" customHeight="1" thickBot="1" x14ac:dyDescent="0.3">
      <c r="C9" s="21" t="s">
        <v>67</v>
      </c>
      <c r="D9" s="22" t="str">
        <f>_xll.SUBNM("CONS_VC:ALL.D.Year","SYS_Picklist","2025","MEMBER_NAME")</f>
        <v>2025</v>
      </c>
      <c r="F9" s="21" t="s">
        <v>68</v>
      </c>
      <c r="G9" s="22" t="str">
        <f>_xll.SUBNM("CONS_VC:ALL.D.Currency","","BRL")</f>
        <v>BRL</v>
      </c>
      <c r="I9" s="21" t="s">
        <v>69</v>
      </c>
      <c r="J9" s="22" t="str">
        <f>_xll.SUBNM("CONS_VC:ALL.D.Region","Nível 0","VCBR","MEMBER_NAME")</f>
        <v>VCBR</v>
      </c>
    </row>
    <row r="10" spans="2:45" ht="15.75" customHeight="1" thickTop="1" x14ac:dyDescent="0.25">
      <c r="B10" s="11"/>
      <c r="C10" s="15"/>
      <c r="D10" s="16"/>
    </row>
    <row r="11" spans="2:45" ht="45" hidden="1" customHeight="1" x14ac:dyDescent="0.25">
      <c r="C11" s="17" t="s">
        <v>46</v>
      </c>
      <c r="D11" s="17" t="s">
        <v>47</v>
      </c>
      <c r="E11" s="17" t="s">
        <v>48</v>
      </c>
      <c r="F11" s="17" t="s">
        <v>49</v>
      </c>
      <c r="G11" s="17" t="s">
        <v>50</v>
      </c>
      <c r="H11" s="17" t="s">
        <v>51</v>
      </c>
      <c r="I11" s="17" t="s">
        <v>52</v>
      </c>
      <c r="J11" s="17" t="s">
        <v>53</v>
      </c>
      <c r="K11" s="17" t="s">
        <v>54</v>
      </c>
      <c r="L11" s="17" t="s">
        <v>55</v>
      </c>
      <c r="M11" s="17" t="s">
        <v>56</v>
      </c>
      <c r="N11" s="17" t="s">
        <v>57</v>
      </c>
    </row>
    <row r="12" spans="2:45" s="6" customFormat="1" ht="15.75" customHeight="1" x14ac:dyDescent="0.25">
      <c r="B12" s="7"/>
      <c r="C12" s="20" t="str">
        <f>$D$9&amp;"."&amp;C11</f>
        <v>2025.01</v>
      </c>
      <c r="D12" s="20" t="str">
        <f t="shared" ref="D12:N12" si="0">$D$9&amp;"."&amp;D11</f>
        <v>2025.02</v>
      </c>
      <c r="E12" s="20" t="str">
        <f t="shared" si="0"/>
        <v>2025.03</v>
      </c>
      <c r="F12" s="20" t="str">
        <f t="shared" si="0"/>
        <v>2025.04</v>
      </c>
      <c r="G12" s="20" t="str">
        <f t="shared" si="0"/>
        <v>2025.05</v>
      </c>
      <c r="H12" s="20" t="str">
        <f t="shared" si="0"/>
        <v>2025.06</v>
      </c>
      <c r="I12" s="20" t="str">
        <f t="shared" si="0"/>
        <v>2025.07</v>
      </c>
      <c r="J12" s="20" t="str">
        <f t="shared" si="0"/>
        <v>2025.08</v>
      </c>
      <c r="K12" s="20" t="str">
        <f t="shared" si="0"/>
        <v>2025.09</v>
      </c>
      <c r="L12" s="20" t="str">
        <f t="shared" si="0"/>
        <v>2025.10</v>
      </c>
      <c r="M12" s="20" t="str">
        <f t="shared" si="0"/>
        <v>2025.11</v>
      </c>
      <c r="N12" s="20" t="str">
        <f t="shared" si="0"/>
        <v>2025.12</v>
      </c>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2:45" ht="15.75" customHeight="1" x14ac:dyDescent="0.25">
      <c r="B13" s="19" t="s">
        <v>1</v>
      </c>
      <c r="C13" s="30">
        <f>_xll.DBRW($C$2,Input!$D$9,Input!$C$11,$M$1,$B13,$K$1)</f>
        <v>0</v>
      </c>
      <c r="D13" s="30">
        <f>_xll.DBRW($C$2,Input!$D$9,Input!$C$11,$M$1,$B13,$K$1)</f>
        <v>0</v>
      </c>
      <c r="E13" s="30">
        <f>_xll.DBRW($C$2,Input!$D$9,Input!$C$11,$M$1,$B13,$K$1)</f>
        <v>0</v>
      </c>
      <c r="F13" s="30">
        <f>_xll.DBRW($C$2,Input!$D$9,Input!$C$11,$M$1,$B13,$K$1)</f>
        <v>0</v>
      </c>
      <c r="G13" s="30">
        <f>_xll.DBRW($C$2,Input!$D$9,Input!$C$11,$M$1,$B13,$K$1)</f>
        <v>0</v>
      </c>
      <c r="H13" s="30">
        <f>_xll.DBRW($C$2,Input!$D$9,Input!$C$11,$M$1,$B13,$K$1)</f>
        <v>0</v>
      </c>
      <c r="I13" s="30">
        <f>_xll.DBRW($C$2,Input!$D$9,Input!$C$11,$M$1,$B13,$K$1)</f>
        <v>0</v>
      </c>
      <c r="J13" s="30">
        <f>_xll.DBRW($C$2,Input!$D$9,Input!$C$11,$M$1,$B13,$K$1)</f>
        <v>0</v>
      </c>
      <c r="K13" s="30">
        <f>_xll.DBRW($C$2,Input!$D$9,Input!$C$11,$M$1,$B13,$K$1)</f>
        <v>0</v>
      </c>
      <c r="L13" s="30">
        <f>_xll.DBRW($C$2,Input!$D$9,Input!$C$11,$M$1,$B13,$K$1)</f>
        <v>0</v>
      </c>
      <c r="M13" s="30">
        <f>_xll.DBRW($C$2,Input!$D$9,Input!$C$11,$M$1,$B13,$K$1)</f>
        <v>0</v>
      </c>
      <c r="N13" s="30">
        <f>_xll.DBRW($C$2,Input!$D$9,Input!$C$11,$M$1,$B13,$K$1)</f>
        <v>0</v>
      </c>
    </row>
    <row r="14" spans="2:45" ht="15.75" customHeight="1" x14ac:dyDescent="0.25">
      <c r="B14" s="19" t="s">
        <v>2</v>
      </c>
      <c r="C14" s="30">
        <f>_xll.DBRW($C$2,Input!$D$9,Input!$C$11,$M$1,$B14,$K$1)</f>
        <v>0</v>
      </c>
      <c r="D14" s="30">
        <f>_xll.DBRW($C$2,Input!$D$9,Input!$C$11,$M$1,$B14,$K$1)</f>
        <v>0</v>
      </c>
      <c r="E14" s="30">
        <f>_xll.DBRW($C$2,Input!$D$9,Input!$C$11,$M$1,$B14,$K$1)</f>
        <v>0</v>
      </c>
      <c r="F14" s="30">
        <f>_xll.DBRW($C$2,Input!$D$9,Input!$C$11,$M$1,$B14,$K$1)</f>
        <v>0</v>
      </c>
      <c r="G14" s="30">
        <f>_xll.DBRW($C$2,Input!$D$9,Input!$C$11,$M$1,$B14,$K$1)</f>
        <v>0</v>
      </c>
      <c r="H14" s="30">
        <f>_xll.DBRW($C$2,Input!$D$9,Input!$C$11,$M$1,$B14,$K$1)</f>
        <v>0</v>
      </c>
      <c r="I14" s="30">
        <f>_xll.DBRW($C$2,Input!$D$9,Input!$C$11,$M$1,$B14,$K$1)</f>
        <v>0</v>
      </c>
      <c r="J14" s="30">
        <f>_xll.DBRW($C$2,Input!$D$9,Input!$C$11,$M$1,$B14,$K$1)</f>
        <v>0</v>
      </c>
      <c r="K14" s="30">
        <f>_xll.DBRW($C$2,Input!$D$9,Input!$C$11,$M$1,$B14,$K$1)</f>
        <v>0</v>
      </c>
      <c r="L14" s="30">
        <f>_xll.DBRW($C$2,Input!$D$9,Input!$C$11,$M$1,$B14,$K$1)</f>
        <v>0</v>
      </c>
      <c r="M14" s="30">
        <f>_xll.DBRW($C$2,Input!$D$9,Input!$C$11,$M$1,$B14,$K$1)</f>
        <v>0</v>
      </c>
      <c r="N14" s="30">
        <f>_xll.DBRW($C$2,Input!$D$9,Input!$C$11,$M$1,$B14,$K$1)</f>
        <v>0</v>
      </c>
    </row>
    <row r="15" spans="2:45" ht="15.75" customHeight="1" x14ac:dyDescent="0.25">
      <c r="B15" s="19" t="s">
        <v>3</v>
      </c>
      <c r="C15" s="30">
        <f>_xll.DBRW($C$2,Input!$D$9,Input!$C$11,$M$1,$B15,$K$1)</f>
        <v>0</v>
      </c>
      <c r="D15" s="30">
        <f>_xll.DBRW($C$2,Input!$D$9,Input!$C$11,$M$1,$B15,$K$1)</f>
        <v>0</v>
      </c>
      <c r="E15" s="30">
        <f>_xll.DBRW($C$2,Input!$D$9,Input!$C$11,$M$1,$B15,$K$1)</f>
        <v>0</v>
      </c>
      <c r="F15" s="30">
        <f>_xll.DBRW($C$2,Input!$D$9,Input!$C$11,$M$1,$B15,$K$1)</f>
        <v>0</v>
      </c>
      <c r="G15" s="30">
        <f>_xll.DBRW($C$2,Input!$D$9,Input!$C$11,$M$1,$B15,$K$1)</f>
        <v>0</v>
      </c>
      <c r="H15" s="30">
        <f>_xll.DBRW($C$2,Input!$D$9,Input!$C$11,$M$1,$B15,$K$1)</f>
        <v>0</v>
      </c>
      <c r="I15" s="30">
        <f>_xll.DBRW($C$2,Input!$D$9,Input!$C$11,$M$1,$B15,$K$1)</f>
        <v>0</v>
      </c>
      <c r="J15" s="30">
        <f>_xll.DBRW($C$2,Input!$D$9,Input!$C$11,$M$1,$B15,$K$1)</f>
        <v>0</v>
      </c>
      <c r="K15" s="30">
        <f>_xll.DBRW($C$2,Input!$D$9,Input!$C$11,$M$1,$B15,$K$1)</f>
        <v>0</v>
      </c>
      <c r="L15" s="30">
        <f>_xll.DBRW($C$2,Input!$D$9,Input!$C$11,$M$1,$B15,$K$1)</f>
        <v>0</v>
      </c>
      <c r="M15" s="30">
        <f>_xll.DBRW($C$2,Input!$D$9,Input!$C$11,$M$1,$B15,$K$1)</f>
        <v>0</v>
      </c>
      <c r="N15" s="30">
        <f>_xll.DBRW($C$2,Input!$D$9,Input!$C$11,$M$1,$B15,$K$1)</f>
        <v>0</v>
      </c>
    </row>
    <row r="16" spans="2:45" ht="15.75" customHeight="1" x14ac:dyDescent="0.25">
      <c r="B16" s="19" t="s">
        <v>4</v>
      </c>
      <c r="C16" s="30">
        <f>_xll.DBRW($C$2,Input!$D$9,Input!$C$11,$M$1,$B16,$K$1)</f>
        <v>0</v>
      </c>
      <c r="D16" s="30">
        <f>_xll.DBRW($C$2,Input!$D$9,Input!$C$11,$M$1,$B16,$K$1)</f>
        <v>0</v>
      </c>
      <c r="E16" s="30">
        <f>_xll.DBRW($C$2,Input!$D$9,Input!$C$11,$M$1,$B16,$K$1)</f>
        <v>0</v>
      </c>
      <c r="F16" s="30">
        <f>_xll.DBRW($C$2,Input!$D$9,Input!$C$11,$M$1,$B16,$K$1)</f>
        <v>0</v>
      </c>
      <c r="G16" s="30">
        <f>_xll.DBRW($C$2,Input!$D$9,Input!$C$11,$M$1,$B16,$K$1)</f>
        <v>0</v>
      </c>
      <c r="H16" s="30">
        <f>_xll.DBRW($C$2,Input!$D$9,Input!$C$11,$M$1,$B16,$K$1)</f>
        <v>0</v>
      </c>
      <c r="I16" s="30">
        <f>_xll.DBRW($C$2,Input!$D$9,Input!$C$11,$M$1,$B16,$K$1)</f>
        <v>0</v>
      </c>
      <c r="J16" s="30">
        <f>_xll.DBRW($C$2,Input!$D$9,Input!$C$11,$M$1,$B16,$K$1)</f>
        <v>0</v>
      </c>
      <c r="K16" s="30">
        <f>_xll.DBRW($C$2,Input!$D$9,Input!$C$11,$M$1,$B16,$K$1)</f>
        <v>0</v>
      </c>
      <c r="L16" s="30">
        <f>_xll.DBRW($C$2,Input!$D$9,Input!$C$11,$M$1,$B16,$K$1)</f>
        <v>0</v>
      </c>
      <c r="M16" s="30">
        <f>_xll.DBRW($C$2,Input!$D$9,Input!$C$11,$M$1,$B16,$K$1)</f>
        <v>0</v>
      </c>
      <c r="N16" s="30">
        <f>_xll.DBRW($C$2,Input!$D$9,Input!$C$11,$M$1,$B16,$K$1)</f>
        <v>0</v>
      </c>
    </row>
    <row r="17" spans="2:14" ht="15.75" customHeight="1" x14ac:dyDescent="0.25">
      <c r="B17" s="19" t="s">
        <v>5</v>
      </c>
      <c r="C17" s="30">
        <f>_xll.DBRW($C$2,Input!$D$9,Input!$C$11,$M$1,$B17,$K$1)</f>
        <v>0</v>
      </c>
      <c r="D17" s="30">
        <f>_xll.DBRW($C$2,Input!$D$9,Input!$C$11,$M$1,$B17,$K$1)</f>
        <v>0</v>
      </c>
      <c r="E17" s="30">
        <f>_xll.DBRW($C$2,Input!$D$9,Input!$C$11,$M$1,$B17,$K$1)</f>
        <v>0</v>
      </c>
      <c r="F17" s="30">
        <f>_xll.DBRW($C$2,Input!$D$9,Input!$C$11,$M$1,$B17,$K$1)</f>
        <v>0</v>
      </c>
      <c r="G17" s="30">
        <f>_xll.DBRW($C$2,Input!$D$9,Input!$C$11,$M$1,$B17,$K$1)</f>
        <v>0</v>
      </c>
      <c r="H17" s="30">
        <f>_xll.DBRW($C$2,Input!$D$9,Input!$C$11,$M$1,$B17,$K$1)</f>
        <v>0</v>
      </c>
      <c r="I17" s="30">
        <f>_xll.DBRW($C$2,Input!$D$9,Input!$C$11,$M$1,$B17,$K$1)</f>
        <v>0</v>
      </c>
      <c r="J17" s="30">
        <f>_xll.DBRW($C$2,Input!$D$9,Input!$C$11,$M$1,$B17,$K$1)</f>
        <v>0</v>
      </c>
      <c r="K17" s="30">
        <f>_xll.DBRW($C$2,Input!$D$9,Input!$C$11,$M$1,$B17,$K$1)</f>
        <v>0</v>
      </c>
      <c r="L17" s="30">
        <f>_xll.DBRW($C$2,Input!$D$9,Input!$C$11,$M$1,$B17,$K$1)</f>
        <v>0</v>
      </c>
      <c r="M17" s="30">
        <f>_xll.DBRW($C$2,Input!$D$9,Input!$C$11,$M$1,$B17,$K$1)</f>
        <v>0</v>
      </c>
      <c r="N17" s="30">
        <f>_xll.DBRW($C$2,Input!$D$9,Input!$C$11,$M$1,$B17,$K$1)</f>
        <v>0</v>
      </c>
    </row>
    <row r="18" spans="2:14" ht="15.75" customHeight="1" x14ac:dyDescent="0.25">
      <c r="B18" s="19" t="s">
        <v>6</v>
      </c>
      <c r="C18" s="30">
        <f>_xll.DBRW($C$2,Input!$D$9,Input!$C$11,$M$1,$B18,$K$1)</f>
        <v>0</v>
      </c>
      <c r="D18" s="30">
        <f>_xll.DBRW($C$2,Input!$D$9,Input!$C$11,$M$1,$B18,$K$1)</f>
        <v>0</v>
      </c>
      <c r="E18" s="30">
        <f>_xll.DBRW($C$2,Input!$D$9,Input!$C$11,$M$1,$B18,$K$1)</f>
        <v>0</v>
      </c>
      <c r="F18" s="30">
        <f>_xll.DBRW($C$2,Input!$D$9,Input!$C$11,$M$1,$B18,$K$1)</f>
        <v>0</v>
      </c>
      <c r="G18" s="30">
        <f>_xll.DBRW($C$2,Input!$D$9,Input!$C$11,$M$1,$B18,$K$1)</f>
        <v>0</v>
      </c>
      <c r="H18" s="30">
        <f>_xll.DBRW($C$2,Input!$D$9,Input!$C$11,$M$1,$B18,$K$1)</f>
        <v>0</v>
      </c>
      <c r="I18" s="30">
        <f>_xll.DBRW($C$2,Input!$D$9,Input!$C$11,$M$1,$B18,$K$1)</f>
        <v>0</v>
      </c>
      <c r="J18" s="30">
        <f>_xll.DBRW($C$2,Input!$D$9,Input!$C$11,$M$1,$B18,$K$1)</f>
        <v>0</v>
      </c>
      <c r="K18" s="30">
        <f>_xll.DBRW($C$2,Input!$D$9,Input!$C$11,$M$1,$B18,$K$1)</f>
        <v>0</v>
      </c>
      <c r="L18" s="30">
        <f>_xll.DBRW($C$2,Input!$D$9,Input!$C$11,$M$1,$B18,$K$1)</f>
        <v>0</v>
      </c>
      <c r="M18" s="30">
        <f>_xll.DBRW($C$2,Input!$D$9,Input!$C$11,$M$1,$B18,$K$1)</f>
        <v>0</v>
      </c>
      <c r="N18" s="30">
        <f>_xll.DBRW($C$2,Input!$D$9,Input!$C$11,$M$1,$B18,$K$1)</f>
        <v>0</v>
      </c>
    </row>
    <row r="19" spans="2:14" ht="15.75" customHeight="1" x14ac:dyDescent="0.25">
      <c r="B19" s="19" t="s">
        <v>7</v>
      </c>
      <c r="C19" s="30">
        <f>_xll.DBRW($C$2,Input!$D$9,Input!$C$11,$M$1,$B19,$K$1)</f>
        <v>0</v>
      </c>
      <c r="D19" s="30">
        <f>_xll.DBRW($C$2,Input!$D$9,Input!$C$11,$M$1,$B19,$K$1)</f>
        <v>0</v>
      </c>
      <c r="E19" s="30">
        <f>_xll.DBRW($C$2,Input!$D$9,Input!$C$11,$M$1,$B19,$K$1)</f>
        <v>0</v>
      </c>
      <c r="F19" s="30">
        <f>_xll.DBRW($C$2,Input!$D$9,Input!$C$11,$M$1,$B19,$K$1)</f>
        <v>0</v>
      </c>
      <c r="G19" s="30">
        <f>_xll.DBRW($C$2,Input!$D$9,Input!$C$11,$M$1,$B19,$K$1)</f>
        <v>0</v>
      </c>
      <c r="H19" s="30">
        <f>_xll.DBRW($C$2,Input!$D$9,Input!$C$11,$M$1,$B19,$K$1)</f>
        <v>0</v>
      </c>
      <c r="I19" s="30">
        <f>_xll.DBRW($C$2,Input!$D$9,Input!$C$11,$M$1,$B19,$K$1)</f>
        <v>0</v>
      </c>
      <c r="J19" s="30">
        <f>_xll.DBRW($C$2,Input!$D$9,Input!$C$11,$M$1,$B19,$K$1)</f>
        <v>0</v>
      </c>
      <c r="K19" s="30">
        <f>_xll.DBRW($C$2,Input!$D$9,Input!$C$11,$M$1,$B19,$K$1)</f>
        <v>0</v>
      </c>
      <c r="L19" s="30">
        <f>_xll.DBRW($C$2,Input!$D$9,Input!$C$11,$M$1,$B19,$K$1)</f>
        <v>0</v>
      </c>
      <c r="M19" s="30">
        <f>_xll.DBRW($C$2,Input!$D$9,Input!$C$11,$M$1,$B19,$K$1)</f>
        <v>0</v>
      </c>
      <c r="N19" s="30">
        <f>_xll.DBRW($C$2,Input!$D$9,Input!$C$11,$M$1,$B19,$K$1)</f>
        <v>0</v>
      </c>
    </row>
    <row r="20" spans="2:14" ht="15.75" customHeight="1" x14ac:dyDescent="0.25">
      <c r="B20" s="19" t="s">
        <v>8</v>
      </c>
      <c r="C20" s="30">
        <f>_xll.DBRW($C$2,Input!$D$9,Input!$C$11,$M$1,$B20,$K$1)</f>
        <v>0</v>
      </c>
      <c r="D20" s="30">
        <f>_xll.DBRW($C$2,Input!$D$9,Input!$C$11,$M$1,$B20,$K$1)</f>
        <v>0</v>
      </c>
      <c r="E20" s="30">
        <f>_xll.DBRW($C$2,Input!$D$9,Input!$C$11,$M$1,$B20,$K$1)</f>
        <v>0</v>
      </c>
      <c r="F20" s="30">
        <f>_xll.DBRW($C$2,Input!$D$9,Input!$C$11,$M$1,$B20,$K$1)</f>
        <v>0</v>
      </c>
      <c r="G20" s="30">
        <f>_xll.DBRW($C$2,Input!$D$9,Input!$C$11,$M$1,$B20,$K$1)</f>
        <v>0</v>
      </c>
      <c r="H20" s="30">
        <f>_xll.DBRW($C$2,Input!$D$9,Input!$C$11,$M$1,$B20,$K$1)</f>
        <v>0</v>
      </c>
      <c r="I20" s="30">
        <f>_xll.DBRW($C$2,Input!$D$9,Input!$C$11,$M$1,$B20,$K$1)</f>
        <v>0</v>
      </c>
      <c r="J20" s="30">
        <f>_xll.DBRW($C$2,Input!$D$9,Input!$C$11,$M$1,$B20,$K$1)</f>
        <v>0</v>
      </c>
      <c r="K20" s="30">
        <f>_xll.DBRW($C$2,Input!$D$9,Input!$C$11,$M$1,$B20,$K$1)</f>
        <v>0</v>
      </c>
      <c r="L20" s="30">
        <f>_xll.DBRW($C$2,Input!$D$9,Input!$C$11,$M$1,$B20,$K$1)</f>
        <v>0</v>
      </c>
      <c r="M20" s="30">
        <f>_xll.DBRW($C$2,Input!$D$9,Input!$C$11,$M$1,$B20,$K$1)</f>
        <v>0</v>
      </c>
      <c r="N20" s="30">
        <f>_xll.DBRW($C$2,Input!$D$9,Input!$C$11,$M$1,$B20,$K$1)</f>
        <v>0</v>
      </c>
    </row>
    <row r="21" spans="2:14" ht="15.75" customHeight="1" x14ac:dyDescent="0.25">
      <c r="B21" s="19" t="s">
        <v>9</v>
      </c>
      <c r="C21" s="30">
        <f>_xll.DBRW($C$2,Input!$D$9,Input!$C$11,$M$1,$B21,$K$1)</f>
        <v>0</v>
      </c>
      <c r="D21" s="30">
        <f>_xll.DBRW($C$2,Input!$D$9,Input!$C$11,$M$1,$B21,$K$1)</f>
        <v>0</v>
      </c>
      <c r="E21" s="30">
        <f>_xll.DBRW($C$2,Input!$D$9,Input!$C$11,$M$1,$B21,$K$1)</f>
        <v>0</v>
      </c>
      <c r="F21" s="30">
        <f>_xll.DBRW($C$2,Input!$D$9,Input!$C$11,$M$1,$B21,$K$1)</f>
        <v>0</v>
      </c>
      <c r="G21" s="30">
        <f>_xll.DBRW($C$2,Input!$D$9,Input!$C$11,$M$1,$B21,$K$1)</f>
        <v>0</v>
      </c>
      <c r="H21" s="30">
        <f>_xll.DBRW($C$2,Input!$D$9,Input!$C$11,$M$1,$B21,$K$1)</f>
        <v>0</v>
      </c>
      <c r="I21" s="30">
        <f>_xll.DBRW($C$2,Input!$D$9,Input!$C$11,$M$1,$B21,$K$1)</f>
        <v>0</v>
      </c>
      <c r="J21" s="30">
        <f>_xll.DBRW($C$2,Input!$D$9,Input!$C$11,$M$1,$B21,$K$1)</f>
        <v>0</v>
      </c>
      <c r="K21" s="30">
        <f>_xll.DBRW($C$2,Input!$D$9,Input!$C$11,$M$1,$B21,$K$1)</f>
        <v>0</v>
      </c>
      <c r="L21" s="30">
        <f>_xll.DBRW($C$2,Input!$D$9,Input!$C$11,$M$1,$B21,$K$1)</f>
        <v>0</v>
      </c>
      <c r="M21" s="30">
        <f>_xll.DBRW($C$2,Input!$D$9,Input!$C$11,$M$1,$B21,$K$1)</f>
        <v>0</v>
      </c>
      <c r="N21" s="30">
        <f>_xll.DBRW($C$2,Input!$D$9,Input!$C$11,$M$1,$B21,$K$1)</f>
        <v>0</v>
      </c>
    </row>
    <row r="22" spans="2:14" ht="15.75" customHeight="1" x14ac:dyDescent="0.25">
      <c r="B22" s="19" t="s">
        <v>10</v>
      </c>
      <c r="C22" s="30">
        <f>_xll.DBRW($C$2,Input!$D$9,Input!$C$11,$M$1,$B22,$K$1)</f>
        <v>0</v>
      </c>
      <c r="D22" s="30">
        <f>_xll.DBRW($C$2,Input!$D$9,Input!$C$11,$M$1,$B22,$K$1)</f>
        <v>0</v>
      </c>
      <c r="E22" s="30">
        <f>_xll.DBRW($C$2,Input!$D$9,Input!$C$11,$M$1,$B22,$K$1)</f>
        <v>0</v>
      </c>
      <c r="F22" s="30">
        <f>_xll.DBRW($C$2,Input!$D$9,Input!$C$11,$M$1,$B22,$K$1)</f>
        <v>0</v>
      </c>
      <c r="G22" s="30">
        <f>_xll.DBRW($C$2,Input!$D$9,Input!$C$11,$M$1,$B22,$K$1)</f>
        <v>0</v>
      </c>
      <c r="H22" s="30">
        <f>_xll.DBRW($C$2,Input!$D$9,Input!$C$11,$M$1,$B22,$K$1)</f>
        <v>0</v>
      </c>
      <c r="I22" s="30">
        <f>_xll.DBRW($C$2,Input!$D$9,Input!$C$11,$M$1,$B22,$K$1)</f>
        <v>0</v>
      </c>
      <c r="J22" s="30">
        <f>_xll.DBRW($C$2,Input!$D$9,Input!$C$11,$M$1,$B22,$K$1)</f>
        <v>0</v>
      </c>
      <c r="K22" s="30">
        <f>_xll.DBRW($C$2,Input!$D$9,Input!$C$11,$M$1,$B22,$K$1)</f>
        <v>0</v>
      </c>
      <c r="L22" s="30">
        <f>_xll.DBRW($C$2,Input!$D$9,Input!$C$11,$M$1,$B22,$K$1)</f>
        <v>0</v>
      </c>
      <c r="M22" s="30">
        <f>_xll.DBRW($C$2,Input!$D$9,Input!$C$11,$M$1,$B22,$K$1)</f>
        <v>0</v>
      </c>
      <c r="N22" s="30">
        <f>_xll.DBRW($C$2,Input!$D$9,Input!$C$11,$M$1,$B22,$K$1)</f>
        <v>0</v>
      </c>
    </row>
    <row r="23" spans="2:14" ht="15.75" customHeight="1" x14ac:dyDescent="0.25">
      <c r="B23" s="19" t="s">
        <v>11</v>
      </c>
      <c r="C23" s="30">
        <f>_xll.DBRW($C$2,Input!$D$9,Input!$C$11,$M$1,$B23,$K$1)</f>
        <v>0</v>
      </c>
      <c r="D23" s="30">
        <f>_xll.DBRW($C$2,Input!$D$9,Input!$C$11,$M$1,$B23,$K$1)</f>
        <v>0</v>
      </c>
      <c r="E23" s="30">
        <f>_xll.DBRW($C$2,Input!$D$9,Input!$C$11,$M$1,$B23,$K$1)</f>
        <v>0</v>
      </c>
      <c r="F23" s="30">
        <f>_xll.DBRW($C$2,Input!$D$9,Input!$C$11,$M$1,$B23,$K$1)</f>
        <v>0</v>
      </c>
      <c r="G23" s="30">
        <f>_xll.DBRW($C$2,Input!$D$9,Input!$C$11,$M$1,$B23,$K$1)</f>
        <v>0</v>
      </c>
      <c r="H23" s="30">
        <f>_xll.DBRW($C$2,Input!$D$9,Input!$C$11,$M$1,$B23,$K$1)</f>
        <v>0</v>
      </c>
      <c r="I23" s="30">
        <f>_xll.DBRW($C$2,Input!$D$9,Input!$C$11,$M$1,$B23,$K$1)</f>
        <v>0</v>
      </c>
      <c r="J23" s="30">
        <f>_xll.DBRW($C$2,Input!$D$9,Input!$C$11,$M$1,$B23,$K$1)</f>
        <v>0</v>
      </c>
      <c r="K23" s="30">
        <f>_xll.DBRW($C$2,Input!$D$9,Input!$C$11,$M$1,$B23,$K$1)</f>
        <v>0</v>
      </c>
      <c r="L23" s="30">
        <f>_xll.DBRW($C$2,Input!$D$9,Input!$C$11,$M$1,$B23,$K$1)</f>
        <v>0</v>
      </c>
      <c r="M23" s="30">
        <f>_xll.DBRW($C$2,Input!$D$9,Input!$C$11,$M$1,$B23,$K$1)</f>
        <v>0</v>
      </c>
      <c r="N23" s="30">
        <f>_xll.DBRW($C$2,Input!$D$9,Input!$C$11,$M$1,$B23,$K$1)</f>
        <v>0</v>
      </c>
    </row>
    <row r="24" spans="2:14" ht="15.75" customHeight="1" x14ac:dyDescent="0.25">
      <c r="B24" s="19" t="s">
        <v>12</v>
      </c>
      <c r="C24" s="30">
        <f>_xll.DBRW($C$2,Input!$D$9,Input!$C$11,$M$1,$B24,$K$1)</f>
        <v>0</v>
      </c>
      <c r="D24" s="30">
        <f>_xll.DBRW($C$2,Input!$D$9,Input!$C$11,$M$1,$B24,$K$1)</f>
        <v>0</v>
      </c>
      <c r="E24" s="30">
        <f>_xll.DBRW($C$2,Input!$D$9,Input!$C$11,$M$1,$B24,$K$1)</f>
        <v>0</v>
      </c>
      <c r="F24" s="30">
        <f>_xll.DBRW($C$2,Input!$D$9,Input!$C$11,$M$1,$B24,$K$1)</f>
        <v>0</v>
      </c>
      <c r="G24" s="30">
        <f>_xll.DBRW($C$2,Input!$D$9,Input!$C$11,$M$1,$B24,$K$1)</f>
        <v>0</v>
      </c>
      <c r="H24" s="30">
        <f>_xll.DBRW($C$2,Input!$D$9,Input!$C$11,$M$1,$B24,$K$1)</f>
        <v>0</v>
      </c>
      <c r="I24" s="30">
        <f>_xll.DBRW($C$2,Input!$D$9,Input!$C$11,$M$1,$B24,$K$1)</f>
        <v>0</v>
      </c>
      <c r="J24" s="30">
        <f>_xll.DBRW($C$2,Input!$D$9,Input!$C$11,$M$1,$B24,$K$1)</f>
        <v>0</v>
      </c>
      <c r="K24" s="30">
        <f>_xll.DBRW($C$2,Input!$D$9,Input!$C$11,$M$1,$B24,$K$1)</f>
        <v>0</v>
      </c>
      <c r="L24" s="30">
        <f>_xll.DBRW($C$2,Input!$D$9,Input!$C$11,$M$1,$B24,$K$1)</f>
        <v>0</v>
      </c>
      <c r="M24" s="30">
        <f>_xll.DBRW($C$2,Input!$D$9,Input!$C$11,$M$1,$B24,$K$1)</f>
        <v>0</v>
      </c>
      <c r="N24" s="30">
        <f>_xll.DBRW($C$2,Input!$D$9,Input!$C$11,$M$1,$B24,$K$1)</f>
        <v>0</v>
      </c>
    </row>
    <row r="25" spans="2:14" ht="15.75" customHeight="1" x14ac:dyDescent="0.25">
      <c r="B25" s="19" t="s">
        <v>13</v>
      </c>
      <c r="C25" s="30">
        <f>_xll.DBRW($C$2,Input!$D$9,Input!$C$11,$M$1,$B25,$K$1)</f>
        <v>0</v>
      </c>
      <c r="D25" s="30">
        <f>_xll.DBRW($C$2,Input!$D$9,Input!$C$11,$M$1,$B25,$K$1)</f>
        <v>0</v>
      </c>
      <c r="E25" s="30">
        <f>_xll.DBRW($C$2,Input!$D$9,Input!$C$11,$M$1,$B25,$K$1)</f>
        <v>0</v>
      </c>
      <c r="F25" s="30">
        <f>_xll.DBRW($C$2,Input!$D$9,Input!$C$11,$M$1,$B25,$K$1)</f>
        <v>0</v>
      </c>
      <c r="G25" s="30">
        <f>_xll.DBRW($C$2,Input!$D$9,Input!$C$11,$M$1,$B25,$K$1)</f>
        <v>0</v>
      </c>
      <c r="H25" s="30">
        <f>_xll.DBRW($C$2,Input!$D$9,Input!$C$11,$M$1,$B25,$K$1)</f>
        <v>0</v>
      </c>
      <c r="I25" s="30">
        <f>_xll.DBRW($C$2,Input!$D$9,Input!$C$11,$M$1,$B25,$K$1)</f>
        <v>0</v>
      </c>
      <c r="J25" s="30">
        <f>_xll.DBRW($C$2,Input!$D$9,Input!$C$11,$M$1,$B25,$K$1)</f>
        <v>0</v>
      </c>
      <c r="K25" s="30">
        <f>_xll.DBRW($C$2,Input!$D$9,Input!$C$11,$M$1,$B25,$K$1)</f>
        <v>0</v>
      </c>
      <c r="L25" s="30">
        <f>_xll.DBRW($C$2,Input!$D$9,Input!$C$11,$M$1,$B25,$K$1)</f>
        <v>0</v>
      </c>
      <c r="M25" s="30">
        <f>_xll.DBRW($C$2,Input!$D$9,Input!$C$11,$M$1,$B25,$K$1)</f>
        <v>0</v>
      </c>
      <c r="N25" s="30">
        <f>_xll.DBRW($C$2,Input!$D$9,Input!$C$11,$M$1,$B25,$K$1)</f>
        <v>0</v>
      </c>
    </row>
    <row r="26" spans="2:14" ht="15.75" customHeight="1" x14ac:dyDescent="0.25">
      <c r="B26" s="19" t="s">
        <v>14</v>
      </c>
      <c r="C26" s="30">
        <f>_xll.DBRW($C$2,Input!$D$9,Input!$C$11,$M$1,$B26,$K$1)</f>
        <v>1.5999E-3</v>
      </c>
      <c r="D26" s="30">
        <f>_xll.DBRW($C$2,Input!$D$9,Input!$C$11,$M$1,$B26,$K$1)</f>
        <v>1.5999E-3</v>
      </c>
      <c r="E26" s="30">
        <f>_xll.DBRW($C$2,Input!$D$9,Input!$C$11,$M$1,$B26,$K$1)</f>
        <v>1.5999E-3</v>
      </c>
      <c r="F26" s="30">
        <f>_xll.DBRW($C$2,Input!$D$9,Input!$C$11,$M$1,$B26,$K$1)</f>
        <v>1.5999E-3</v>
      </c>
      <c r="G26" s="30">
        <f>_xll.DBRW($C$2,Input!$D$9,Input!$C$11,$M$1,$B26,$K$1)</f>
        <v>1.5999E-3</v>
      </c>
      <c r="H26" s="30">
        <f>_xll.DBRW($C$2,Input!$D$9,Input!$C$11,$M$1,$B26,$K$1)</f>
        <v>1.5999E-3</v>
      </c>
      <c r="I26" s="30">
        <f>_xll.DBRW($C$2,Input!$D$9,Input!$C$11,$M$1,$B26,$K$1)</f>
        <v>1.5999E-3</v>
      </c>
      <c r="J26" s="30">
        <f>_xll.DBRW($C$2,Input!$D$9,Input!$C$11,$M$1,$B26,$K$1)</f>
        <v>1.5999E-3</v>
      </c>
      <c r="K26" s="30">
        <f>_xll.DBRW($C$2,Input!$D$9,Input!$C$11,$M$1,$B26,$K$1)</f>
        <v>1.5999E-3</v>
      </c>
      <c r="L26" s="30">
        <f>_xll.DBRW($C$2,Input!$D$9,Input!$C$11,$M$1,$B26,$K$1)</f>
        <v>1.5999E-3</v>
      </c>
      <c r="M26" s="30">
        <f>_xll.DBRW($C$2,Input!$D$9,Input!$C$11,$M$1,$B26,$K$1)</f>
        <v>1.5999E-3</v>
      </c>
      <c r="N26" s="30">
        <f>_xll.DBRW($C$2,Input!$D$9,Input!$C$11,$M$1,$B26,$K$1)</f>
        <v>1.5999E-3</v>
      </c>
    </row>
    <row r="27" spans="2:14" ht="15.75" customHeight="1" x14ac:dyDescent="0.25">
      <c r="B27" s="19" t="s">
        <v>15</v>
      </c>
      <c r="C27" s="30">
        <f>_xll.DBRW($C$2,Input!$D$9,Input!$C$11,$M$1,$B27,$K$1)</f>
        <v>31</v>
      </c>
      <c r="D27" s="30">
        <f>_xll.DBRW($C$2,Input!$D$9,Input!$C$11,$M$1,$B27,$K$1)</f>
        <v>31</v>
      </c>
      <c r="E27" s="30">
        <f>_xll.DBRW($C$2,Input!$D$9,Input!$C$11,$M$1,$B27,$K$1)</f>
        <v>31</v>
      </c>
      <c r="F27" s="30">
        <f>_xll.DBRW($C$2,Input!$D$9,Input!$C$11,$M$1,$B27,$K$1)</f>
        <v>31</v>
      </c>
      <c r="G27" s="30">
        <f>_xll.DBRW($C$2,Input!$D$9,Input!$C$11,$M$1,$B27,$K$1)</f>
        <v>31</v>
      </c>
      <c r="H27" s="30">
        <f>_xll.DBRW($C$2,Input!$D$9,Input!$C$11,$M$1,$B27,$K$1)</f>
        <v>31</v>
      </c>
      <c r="I27" s="30">
        <f>_xll.DBRW($C$2,Input!$D$9,Input!$C$11,$M$1,$B27,$K$1)</f>
        <v>31</v>
      </c>
      <c r="J27" s="30">
        <f>_xll.DBRW($C$2,Input!$D$9,Input!$C$11,$M$1,$B27,$K$1)</f>
        <v>31</v>
      </c>
      <c r="K27" s="30">
        <f>_xll.DBRW($C$2,Input!$D$9,Input!$C$11,$M$1,$B27,$K$1)</f>
        <v>31</v>
      </c>
      <c r="L27" s="30">
        <f>_xll.DBRW($C$2,Input!$D$9,Input!$C$11,$M$1,$B27,$K$1)</f>
        <v>31</v>
      </c>
      <c r="M27" s="30">
        <f>_xll.DBRW($C$2,Input!$D$9,Input!$C$11,$M$1,$B27,$K$1)</f>
        <v>31</v>
      </c>
      <c r="N27" s="30">
        <f>_xll.DBRW($C$2,Input!$D$9,Input!$C$11,$M$1,$B27,$K$1)</f>
        <v>31</v>
      </c>
    </row>
    <row r="29" spans="2:14" ht="15.75" customHeight="1" thickBot="1" x14ac:dyDescent="0.3">
      <c r="B29" s="12"/>
    </row>
    <row r="30" spans="2:14" ht="15.75" customHeight="1" thickTop="1" x14ac:dyDescent="0.25">
      <c r="B30" s="11" t="s">
        <v>64</v>
      </c>
    </row>
    <row r="31" spans="2:14" ht="15.75" customHeight="1" thickBot="1" x14ac:dyDescent="0.3">
      <c r="B31" s="11"/>
      <c r="C31" s="21" t="s">
        <v>65</v>
      </c>
      <c r="D31" s="31" t="str">
        <f>_xll.SUBNM("CONS_VC:ALL.D.Products","Nivel_0","PRODAG010 - Aggregates","Código e Descrição")</f>
        <v>PRODAG010 - Aggregates</v>
      </c>
      <c r="E31" s="31"/>
      <c r="F31" s="31"/>
    </row>
    <row r="32" spans="2:14" ht="15.75" customHeight="1" thickTop="1" x14ac:dyDescent="0.25"/>
    <row r="33" spans="2:14" ht="15.75" customHeight="1" x14ac:dyDescent="0.25">
      <c r="B33" s="7"/>
      <c r="C33" s="20" t="str">
        <f>$D$9&amp;"."&amp;C11</f>
        <v>2025.01</v>
      </c>
      <c r="D33" s="20" t="str">
        <f t="shared" ref="D33:N33" si="1">$D$9&amp;"."&amp;D11</f>
        <v>2025.02</v>
      </c>
      <c r="E33" s="20" t="str">
        <f t="shared" si="1"/>
        <v>2025.03</v>
      </c>
      <c r="F33" s="20" t="str">
        <f t="shared" si="1"/>
        <v>2025.04</v>
      </c>
      <c r="G33" s="20" t="str">
        <f t="shared" si="1"/>
        <v>2025.05</v>
      </c>
      <c r="H33" s="20" t="str">
        <f t="shared" si="1"/>
        <v>2025.06</v>
      </c>
      <c r="I33" s="20" t="str">
        <f t="shared" si="1"/>
        <v>2025.07</v>
      </c>
      <c r="J33" s="20" t="str">
        <f t="shared" si="1"/>
        <v>2025.08</v>
      </c>
      <c r="K33" s="20" t="str">
        <f t="shared" si="1"/>
        <v>2025.09</v>
      </c>
      <c r="L33" s="20" t="str">
        <f t="shared" si="1"/>
        <v>2025.10</v>
      </c>
      <c r="M33" s="20" t="str">
        <f t="shared" si="1"/>
        <v>2025.11</v>
      </c>
      <c r="N33" s="20" t="str">
        <f t="shared" si="1"/>
        <v>2025.12</v>
      </c>
    </row>
    <row r="34" spans="2:14" ht="15.75" customHeight="1" x14ac:dyDescent="0.25">
      <c r="B34" s="19" t="s">
        <v>58</v>
      </c>
      <c r="C34" s="18">
        <f>_xll.DBRW($B$1,Input!$D$9,Input!C$11,$M$1,Input!$G$9,Input!$J$9,Input!$D$31,Input!$B34,$L$1,$K$1)</f>
        <v>0</v>
      </c>
      <c r="D34" s="18">
        <f>_xll.DBRW($B$1,Input!$D$9,Input!D$11,$M$1,Input!$G$9,Input!$J$9,Input!$D$31,Input!$B34,$L$1,$K$1)</f>
        <v>0</v>
      </c>
      <c r="E34" s="18">
        <f>_xll.DBRW($B$1,Input!$D$9,Input!E$11,$M$1,Input!$G$9,Input!$J$9,Input!$D$31,Input!$B34,$L$1,$K$1)</f>
        <v>0</v>
      </c>
      <c r="F34" s="18">
        <f>_xll.DBRW($B$1,Input!$D$9,Input!F$11,$M$1,Input!$G$9,Input!$J$9,Input!$D$31,Input!$B34,$L$1,$K$1)</f>
        <v>0</v>
      </c>
      <c r="G34" s="18">
        <f>_xll.DBRW($B$1,Input!$D$9,Input!G$11,$M$1,Input!$G$9,Input!$J$9,Input!$D$31,Input!$B34,$L$1,$K$1)</f>
        <v>0</v>
      </c>
      <c r="H34" s="18">
        <f>_xll.DBRW($B$1,Input!$D$9,Input!H$11,$M$1,Input!$G$9,Input!$J$9,Input!$D$31,Input!$B34,$L$1,$K$1)</f>
        <v>0</v>
      </c>
      <c r="I34" s="18">
        <f>_xll.DBRW($B$1,Input!$D$9,Input!I$11,$M$1,Input!$G$9,Input!$J$9,Input!$D$31,Input!$B34,$L$1,$K$1)</f>
        <v>0</v>
      </c>
      <c r="J34" s="18">
        <f>_xll.DBRW($B$1,Input!$D$9,Input!J$11,$M$1,Input!$G$9,Input!$J$9,Input!$D$31,Input!$B34,$L$1,$K$1)</f>
        <v>0</v>
      </c>
      <c r="K34" s="18">
        <f>_xll.DBRW($B$1,Input!$D$9,Input!K$11,$M$1,Input!$G$9,Input!$J$9,Input!$D$31,Input!$B34,$L$1,$K$1)</f>
        <v>0</v>
      </c>
      <c r="L34" s="18">
        <f>_xll.DBRW($B$1,Input!$D$9,Input!L$11,$M$1,Input!$G$9,Input!$J$9,Input!$D$31,Input!$B34,$L$1,$K$1)</f>
        <v>0</v>
      </c>
      <c r="M34" s="18">
        <f>_xll.DBRW($B$1,Input!$D$9,Input!M$11,$M$1,Input!$G$9,Input!$J$9,Input!$D$31,Input!$B34,$L$1,$K$1)</f>
        <v>0</v>
      </c>
      <c r="N34" s="18">
        <f>_xll.DBRW($B$1,Input!$D$9,Input!N$11,$M$1,Input!$G$9,Input!$J$9,Input!$D$31,Input!$B34,$L$1,$K$1)</f>
        <v>0</v>
      </c>
    </row>
    <row r="35" spans="2:14" ht="15.75" customHeight="1" x14ac:dyDescent="0.25">
      <c r="B35" s="19" t="s">
        <v>16</v>
      </c>
      <c r="C35" s="18">
        <f>_xll.DBRW($B$1,Input!$D$9,Input!C$11,$M$1,Input!$G$9,Input!$J$9,Input!$D$31,Input!$B35,$L$1,$K$1)</f>
        <v>150</v>
      </c>
      <c r="D35" s="18">
        <f>_xll.DBRW($B$1,Input!$D$9,Input!D$11,$M$1,Input!$G$9,Input!$J$9,Input!$D$31,Input!$B35,$L$1,$K$1)</f>
        <v>160</v>
      </c>
      <c r="E35" s="18">
        <f>_xll.DBRW($B$1,Input!$D$9,Input!E$11,$M$1,Input!$G$9,Input!$J$9,Input!$D$31,Input!$B35,$L$1,$K$1)</f>
        <v>153.17270199999999</v>
      </c>
      <c r="F35" s="18">
        <f>_xll.DBRW($B$1,Input!$D$9,Input!F$11,$M$1,Input!$G$9,Input!$J$9,Input!$D$31,Input!$B35,$L$1,$K$1)</f>
        <v>149.82661899999999</v>
      </c>
      <c r="G35" s="18">
        <f>_xll.DBRW($B$1,Input!$D$9,Input!G$11,$M$1,Input!$G$9,Input!$J$9,Input!$D$31,Input!$B35,$L$1,$K$1)</f>
        <v>156.830342</v>
      </c>
      <c r="H35" s="18">
        <f>_xll.DBRW($B$1,Input!$D$9,Input!H$11,$M$1,Input!$G$9,Input!$J$9,Input!$D$31,Input!$B35,$L$1,$K$1)</f>
        <v>145.46241499999999</v>
      </c>
      <c r="I35" s="18">
        <f>_xll.DBRW($B$1,Input!$D$9,Input!I$11,$M$1,Input!$G$9,Input!$J$9,Input!$D$31,Input!$B35,$L$1,$K$1)</f>
        <v>173.86229349999999</v>
      </c>
      <c r="J35" s="18">
        <f>_xll.DBRW($B$1,Input!$D$9,Input!J$11,$M$1,Input!$G$9,Input!$J$9,Input!$D$31,Input!$B35,$L$1,$K$1)</f>
        <v>176.3310275</v>
      </c>
      <c r="K35" s="18">
        <f>_xll.DBRW($B$1,Input!$D$9,Input!K$11,$M$1,Input!$G$9,Input!$J$9,Input!$D$31,Input!$B35,$L$1,$K$1)</f>
        <v>176.918745</v>
      </c>
      <c r="L35" s="18">
        <f>_xll.DBRW($B$1,Input!$D$9,Input!L$11,$M$1,Input!$G$9,Input!$J$9,Input!$D$31,Input!$B35,$L$1,$K$1)</f>
        <v>180.08921549999999</v>
      </c>
      <c r="M35" s="18">
        <f>_xll.DBRW($B$1,Input!$D$9,Input!M$11,$M$1,Input!$G$9,Input!$J$9,Input!$D$31,Input!$B35,$L$1,$K$1)</f>
        <v>163.16618539999999</v>
      </c>
      <c r="N35" s="18">
        <f>_xll.DBRW($B$1,Input!$D$9,Input!N$11,$M$1,Input!$G$9,Input!$J$9,Input!$D$31,Input!$B35,$L$1,$K$1)</f>
        <v>144.62305979999999</v>
      </c>
    </row>
    <row r="36" spans="2:14" ht="15.75" customHeight="1" x14ac:dyDescent="0.25">
      <c r="B36" s="19" t="s">
        <v>17</v>
      </c>
      <c r="C36" s="18">
        <f>_xll.DBRW($B$1,Input!$D$9,Input!C$11,$M$1,Input!$G$9,Input!$J$9,Input!$D$31,Input!$B36,$L$1,$K$1)</f>
        <v>0</v>
      </c>
      <c r="D36" s="18">
        <f>_xll.DBRW($B$1,Input!$D$9,Input!D$11,$M$1,Input!$G$9,Input!$J$9,Input!$D$31,Input!$B36,$L$1,$K$1)</f>
        <v>0</v>
      </c>
      <c r="E36" s="18">
        <f>_xll.DBRW($B$1,Input!$D$9,Input!E$11,$M$1,Input!$G$9,Input!$J$9,Input!$D$31,Input!$B36,$L$1,$K$1)</f>
        <v>0</v>
      </c>
      <c r="F36" s="18">
        <f>_xll.DBRW($B$1,Input!$D$9,Input!F$11,$M$1,Input!$G$9,Input!$J$9,Input!$D$31,Input!$B36,$L$1,$K$1)</f>
        <v>0</v>
      </c>
      <c r="G36" s="18">
        <f>_xll.DBRW($B$1,Input!$D$9,Input!G$11,$M$1,Input!$G$9,Input!$J$9,Input!$D$31,Input!$B36,$L$1,$K$1)</f>
        <v>0</v>
      </c>
      <c r="H36" s="18">
        <f>_xll.DBRW($B$1,Input!$D$9,Input!H$11,$M$1,Input!$G$9,Input!$J$9,Input!$D$31,Input!$B36,$L$1,$K$1)</f>
        <v>0</v>
      </c>
      <c r="I36" s="18">
        <f>_xll.DBRW($B$1,Input!$D$9,Input!I$11,$M$1,Input!$G$9,Input!$J$9,Input!$D$31,Input!$B36,$L$1,$K$1)</f>
        <v>0</v>
      </c>
      <c r="J36" s="18">
        <f>_xll.DBRW($B$1,Input!$D$9,Input!J$11,$M$1,Input!$G$9,Input!$J$9,Input!$D$31,Input!$B36,$L$1,$K$1)</f>
        <v>0</v>
      </c>
      <c r="K36" s="18">
        <f>_xll.DBRW($B$1,Input!$D$9,Input!K$11,$M$1,Input!$G$9,Input!$J$9,Input!$D$31,Input!$B36,$L$1,$K$1)</f>
        <v>0</v>
      </c>
      <c r="L36" s="18">
        <f>_xll.DBRW($B$1,Input!$D$9,Input!L$11,$M$1,Input!$G$9,Input!$J$9,Input!$D$31,Input!$B36,$L$1,$K$1)</f>
        <v>0</v>
      </c>
      <c r="M36" s="18">
        <f>_xll.DBRW($B$1,Input!$D$9,Input!M$11,$M$1,Input!$G$9,Input!$J$9,Input!$D$31,Input!$B36,$L$1,$K$1)</f>
        <v>0</v>
      </c>
      <c r="N36" s="18">
        <f>_xll.DBRW($B$1,Input!$D$9,Input!N$11,$M$1,Input!$G$9,Input!$J$9,Input!$D$31,Input!$B36,$L$1,$K$1)</f>
        <v>0</v>
      </c>
    </row>
    <row r="37" spans="2:14" ht="15.75" customHeight="1" x14ac:dyDescent="0.25">
      <c r="B37" s="19" t="s">
        <v>19</v>
      </c>
      <c r="C37" s="18">
        <f>_xll.DBRW($B$1,Input!$D$9,Input!C$11,$M$1,Input!$G$9,Input!$J$9,Input!$D$31,Input!$B37,$L$1,$K$1)</f>
        <v>0</v>
      </c>
      <c r="D37" s="18">
        <f>_xll.DBRW($B$1,Input!$D$9,Input!D$11,$M$1,Input!$G$9,Input!$J$9,Input!$D$31,Input!$B37,$L$1,$K$1)</f>
        <v>0</v>
      </c>
      <c r="E37" s="18">
        <f>_xll.DBRW($B$1,Input!$D$9,Input!E$11,$M$1,Input!$G$9,Input!$J$9,Input!$D$31,Input!$B37,$L$1,$K$1)</f>
        <v>0</v>
      </c>
      <c r="F37" s="18">
        <f>_xll.DBRW($B$1,Input!$D$9,Input!F$11,$M$1,Input!$G$9,Input!$J$9,Input!$D$31,Input!$B37,$L$1,$K$1)</f>
        <v>0</v>
      </c>
      <c r="G37" s="18">
        <f>_xll.DBRW($B$1,Input!$D$9,Input!G$11,$M$1,Input!$G$9,Input!$J$9,Input!$D$31,Input!$B37,$L$1,$K$1)</f>
        <v>0</v>
      </c>
      <c r="H37" s="18">
        <f>_xll.DBRW($B$1,Input!$D$9,Input!H$11,$M$1,Input!$G$9,Input!$J$9,Input!$D$31,Input!$B37,$L$1,$K$1)</f>
        <v>0</v>
      </c>
      <c r="I37" s="18">
        <f>_xll.DBRW($B$1,Input!$D$9,Input!I$11,$M$1,Input!$G$9,Input!$J$9,Input!$D$31,Input!$B37,$L$1,$K$1)</f>
        <v>0</v>
      </c>
      <c r="J37" s="18">
        <f>_xll.DBRW($B$1,Input!$D$9,Input!J$11,$M$1,Input!$G$9,Input!$J$9,Input!$D$31,Input!$B37,$L$1,$K$1)</f>
        <v>0</v>
      </c>
      <c r="K37" s="18">
        <f>_xll.DBRW($B$1,Input!$D$9,Input!K$11,$M$1,Input!$G$9,Input!$J$9,Input!$D$31,Input!$B37,$L$1,$K$1)</f>
        <v>0</v>
      </c>
      <c r="L37" s="18">
        <f>_xll.DBRW($B$1,Input!$D$9,Input!L$11,$M$1,Input!$G$9,Input!$J$9,Input!$D$31,Input!$B37,$L$1,$K$1)</f>
        <v>0</v>
      </c>
      <c r="M37" s="18">
        <f>_xll.DBRW($B$1,Input!$D$9,Input!M$11,$M$1,Input!$G$9,Input!$J$9,Input!$D$31,Input!$B37,$L$1,$K$1)</f>
        <v>0</v>
      </c>
      <c r="N37" s="18">
        <f>_xll.DBRW($B$1,Input!$D$9,Input!N$11,$M$1,Input!$G$9,Input!$J$9,Input!$D$31,Input!$B37,$L$1,$K$1)</f>
        <v>0</v>
      </c>
    </row>
    <row r="38" spans="2:14" ht="15.75" customHeight="1" x14ac:dyDescent="0.25">
      <c r="B38" s="19" t="s">
        <v>59</v>
      </c>
      <c r="C38" s="18">
        <f>_xll.DBRW($B$1,Input!$D$9,Input!C$11,$M$1,Input!$G$9,Input!$J$9,Input!$D$31,Input!$B38,$L$1,$K$1)</f>
        <v>474.42336990000001</v>
      </c>
      <c r="D38" s="18">
        <f>_xll.DBRW($B$1,Input!$D$9,Input!D$11,$M$1,Input!$G$9,Input!$J$9,Input!$D$31,Input!$B38,$L$1,$K$1)</f>
        <v>468.87018949999998</v>
      </c>
      <c r="E38" s="18">
        <f>_xll.DBRW($B$1,Input!$D$9,Input!E$11,$M$1,Input!$G$9,Input!$J$9,Input!$D$31,Input!$B38,$L$1,$K$1)</f>
        <v>466.54818360000002</v>
      </c>
      <c r="F38" s="18">
        <f>_xll.DBRW($B$1,Input!$D$9,Input!F$11,$M$1,Input!$G$9,Input!$J$9,Input!$D$31,Input!$B38,$L$1,$K$1)</f>
        <v>477.34840320000001</v>
      </c>
      <c r="G38" s="18">
        <f>_xll.DBRW($B$1,Input!$D$9,Input!G$11,$M$1,Input!$G$9,Input!$J$9,Input!$D$31,Input!$B38,$L$1,$K$1)</f>
        <v>490.41291790000002</v>
      </c>
      <c r="H38" s="18">
        <f>_xll.DBRW($B$1,Input!$D$9,Input!H$11,$M$1,Input!$G$9,Input!$J$9,Input!$D$31,Input!$B38,$L$1,$K$1)</f>
        <v>486.17860789999997</v>
      </c>
      <c r="I38" s="18">
        <f>_xll.DBRW($B$1,Input!$D$9,Input!I$11,$M$1,Input!$G$9,Input!$J$9,Input!$D$31,Input!$B38,$L$1,$K$1)</f>
        <v>473.0026234</v>
      </c>
      <c r="J38" s="18">
        <f>_xll.DBRW($B$1,Input!$D$9,Input!J$11,$M$1,Input!$G$9,Input!$J$9,Input!$D$31,Input!$B38,$L$1,$K$1)</f>
        <v>473.27296699999999</v>
      </c>
      <c r="K38" s="18">
        <f>_xll.DBRW($B$1,Input!$D$9,Input!K$11,$M$1,Input!$G$9,Input!$J$9,Input!$D$31,Input!$B38,$L$1,$K$1)</f>
        <v>496.6561221</v>
      </c>
      <c r="L38" s="18">
        <f>_xll.DBRW($B$1,Input!$D$9,Input!L$11,$M$1,Input!$G$9,Input!$J$9,Input!$D$31,Input!$B38,$L$1,$K$1)</f>
        <v>483.57395409999998</v>
      </c>
      <c r="M38" s="18">
        <f>_xll.DBRW($B$1,Input!$D$9,Input!M$11,$M$1,Input!$G$9,Input!$J$9,Input!$D$31,Input!$B38,$L$1,$K$1)</f>
        <v>485.02888580000001</v>
      </c>
      <c r="N38" s="18">
        <f>_xll.DBRW($B$1,Input!$D$9,Input!N$11,$M$1,Input!$G$9,Input!$J$9,Input!$D$31,Input!$B38,$L$1,$K$1)</f>
        <v>481.59629460000002</v>
      </c>
    </row>
    <row r="39" spans="2:14" ht="15.75" customHeight="1" x14ac:dyDescent="0.25">
      <c r="B39" s="19" t="s">
        <v>60</v>
      </c>
      <c r="C39" s="18">
        <f>_xll.DBRW($B$1,Input!$D$9,Input!C$11,$M$1,Input!$G$9,Input!$J$9,Input!$D$31,Input!$B39,$L$1,$K$1)</f>
        <v>0</v>
      </c>
      <c r="D39" s="18">
        <f>_xll.DBRW($B$1,Input!$D$9,Input!D$11,$M$1,Input!$G$9,Input!$J$9,Input!$D$31,Input!$B39,$L$1,$K$1)</f>
        <v>0</v>
      </c>
      <c r="E39" s="18">
        <f>_xll.DBRW($B$1,Input!$D$9,Input!E$11,$M$1,Input!$G$9,Input!$J$9,Input!$D$31,Input!$B39,$L$1,$K$1)</f>
        <v>0</v>
      </c>
      <c r="F39" s="18">
        <f>_xll.DBRW($B$1,Input!$D$9,Input!F$11,$M$1,Input!$G$9,Input!$J$9,Input!$D$31,Input!$B39,$L$1,$K$1)</f>
        <v>0</v>
      </c>
      <c r="G39" s="18">
        <f>_xll.DBRW($B$1,Input!$D$9,Input!G$11,$M$1,Input!$G$9,Input!$J$9,Input!$D$31,Input!$B39,$L$1,$K$1)</f>
        <v>0</v>
      </c>
      <c r="H39" s="18">
        <f>_xll.DBRW($B$1,Input!$D$9,Input!H$11,$M$1,Input!$G$9,Input!$J$9,Input!$D$31,Input!$B39,$L$1,$K$1)</f>
        <v>0</v>
      </c>
      <c r="I39" s="18">
        <f>_xll.DBRW($B$1,Input!$D$9,Input!I$11,$M$1,Input!$G$9,Input!$J$9,Input!$D$31,Input!$B39,$L$1,$K$1)</f>
        <v>0</v>
      </c>
      <c r="J39" s="18">
        <f>_xll.DBRW($B$1,Input!$D$9,Input!J$11,$M$1,Input!$G$9,Input!$J$9,Input!$D$31,Input!$B39,$L$1,$K$1)</f>
        <v>0</v>
      </c>
      <c r="K39" s="18">
        <f>_xll.DBRW($B$1,Input!$D$9,Input!K$11,$M$1,Input!$G$9,Input!$J$9,Input!$D$31,Input!$B39,$L$1,$K$1)</f>
        <v>0</v>
      </c>
      <c r="L39" s="18">
        <f>_xll.DBRW($B$1,Input!$D$9,Input!L$11,$M$1,Input!$G$9,Input!$J$9,Input!$D$31,Input!$B39,$L$1,$K$1)</f>
        <v>0</v>
      </c>
      <c r="M39" s="18">
        <f>_xll.DBRW($B$1,Input!$D$9,Input!M$11,$M$1,Input!$G$9,Input!$J$9,Input!$D$31,Input!$B39,$L$1,$K$1)</f>
        <v>0</v>
      </c>
      <c r="N39" s="18">
        <f>_xll.DBRW($B$1,Input!$D$9,Input!N$11,$M$1,Input!$G$9,Input!$J$9,Input!$D$31,Input!$B39,$L$1,$K$1)</f>
        <v>0</v>
      </c>
    </row>
    <row r="40" spans="2:14" ht="15.75" customHeight="1" x14ac:dyDescent="0.25">
      <c r="B40" s="19" t="s">
        <v>61</v>
      </c>
      <c r="C40" s="29">
        <f>_xll.DBRW($B$1,Input!$D$9,Input!C$11,$M$1,Input!$G$9,Input!$J$9,Input!$D$31,Input!$B40,$L$1,$K$1)</f>
        <v>0.3</v>
      </c>
      <c r="D40" s="29">
        <f>_xll.DBRW($B$1,Input!$D$9,Input!D$11,$M$1,Input!$G$9,Input!$J$9,Input!$D$31,Input!$B40,$L$1,$K$1)</f>
        <v>0.3</v>
      </c>
      <c r="E40" s="29">
        <f>_xll.DBRW($B$1,Input!$D$9,Input!E$11,$M$1,Input!$G$9,Input!$J$9,Input!$D$31,Input!$B40,$L$1,$K$1)</f>
        <v>0.3</v>
      </c>
      <c r="F40" s="29">
        <f>_xll.DBRW($B$1,Input!$D$9,Input!F$11,$M$1,Input!$G$9,Input!$J$9,Input!$D$31,Input!$B40,$L$1,$K$1)</f>
        <v>0.3</v>
      </c>
      <c r="G40" s="29">
        <f>_xll.DBRW($B$1,Input!$D$9,Input!G$11,$M$1,Input!$G$9,Input!$J$9,Input!$D$31,Input!$B40,$L$1,$K$1)</f>
        <v>0.3</v>
      </c>
      <c r="H40" s="29">
        <f>_xll.DBRW($B$1,Input!$D$9,Input!H$11,$M$1,Input!$G$9,Input!$J$9,Input!$D$31,Input!$B40,$L$1,$K$1)</f>
        <v>0.3</v>
      </c>
      <c r="I40" s="29">
        <f>_xll.DBRW($B$1,Input!$D$9,Input!I$11,$M$1,Input!$G$9,Input!$J$9,Input!$D$31,Input!$B40,$L$1,$K$1)</f>
        <v>0.3</v>
      </c>
      <c r="J40" s="29">
        <f>_xll.DBRW($B$1,Input!$D$9,Input!J$11,$M$1,Input!$G$9,Input!$J$9,Input!$D$31,Input!$B40,$L$1,$K$1)</f>
        <v>0.3</v>
      </c>
      <c r="K40" s="29">
        <f>_xll.DBRW($B$1,Input!$D$9,Input!K$11,$M$1,Input!$G$9,Input!$J$9,Input!$D$31,Input!$B40,$L$1,$K$1)</f>
        <v>0.3</v>
      </c>
      <c r="L40" s="29">
        <f>_xll.DBRW($B$1,Input!$D$9,Input!L$11,$M$1,Input!$G$9,Input!$J$9,Input!$D$31,Input!$B40,$L$1,$K$1)</f>
        <v>0.3</v>
      </c>
      <c r="M40" s="29">
        <f>_xll.DBRW($B$1,Input!$D$9,Input!M$11,$M$1,Input!$G$9,Input!$J$9,Input!$D$31,Input!$B40,$L$1,$K$1)</f>
        <v>0.3</v>
      </c>
      <c r="N40" s="29">
        <f>_xll.DBRW($B$1,Input!$D$9,Input!N$11,$M$1,Input!$G$9,Input!$J$9,Input!$D$31,Input!$B40,$L$1,$K$1)</f>
        <v>0.3</v>
      </c>
    </row>
    <row r="41" spans="2:14" ht="15.75" customHeight="1" x14ac:dyDescent="0.25">
      <c r="B41" s="23" t="s">
        <v>18</v>
      </c>
      <c r="C41" s="24">
        <f>_xll.DBRW($B$2,Input!$D$9,Input!C$11,$M$1,Input!$G$9,Input!$J$9,$D$31,$K$2,$B$41)</f>
        <v>92.512557130499999</v>
      </c>
      <c r="D41" s="24">
        <f>_xll.DBRW($B$2,Input!$D$9,Input!D$11,$M$1,Input!$G$9,Input!$J$9,$D$31,$K$2,$B$41)</f>
        <v>97.524999416000014</v>
      </c>
      <c r="E41" s="24">
        <f>_xll.DBRW($B$2,Input!$D$9,Input!E$11,$M$1,Input!$G$9,Input!$J$9,$D$31,$K$2,$B$41)</f>
        <v>92.901179663765319</v>
      </c>
      <c r="F41" s="24">
        <f>_xll.DBRW($B$2,Input!$D$9,Input!F$11,$M$1,Input!$G$9,Input!$J$9,$D$31,$K$2,$B$41)</f>
        <v>92.975346537456204</v>
      </c>
      <c r="G41" s="24">
        <f>_xll.DBRW($B$2,Input!$D$9,Input!G$11,$M$1,Input!$G$9,Input!$J$9,$D$31,$K$2,$B$41)</f>
        <v>99.9851133261174</v>
      </c>
      <c r="H41" s="24">
        <f>_xll.DBRW($B$2,Input!$D$9,Input!H$11,$M$1,Input!$G$9,Input!$J$9,$D$31,$K$2,$B$41)</f>
        <v>91.936928754413699</v>
      </c>
      <c r="I41" s="24">
        <f>_xll.DBRW($B$2,Input!$D$9,Input!I$11,$M$1,Input!$G$9,Input!$J$9,$D$31,$K$2,$B$41)</f>
        <v>106.90851721659298</v>
      </c>
      <c r="J41" s="24">
        <f>_xll.DBRW($B$2,Input!$D$9,Input!J$11,$M$1,Input!$G$9,Input!$J$9,$D$31,$K$2,$B$41)</f>
        <v>108.48852112680866</v>
      </c>
      <c r="K41" s="24">
        <f>_xll.DBRW($B$2,Input!$D$9,Input!K$11,$M$1,Input!$G$9,Input!$J$9,$D$31,$K$2,$B$41)</f>
        <v>114.2281111640484</v>
      </c>
      <c r="L41" s="24">
        <f>_xll.DBRW($B$2,Input!$D$9,Input!L$11,$M$1,Input!$G$9,Input!$J$9,$D$31,$K$2,$B$41)</f>
        <v>113.2123902391326</v>
      </c>
      <c r="M41" s="24">
        <f>_xll.DBRW($B$2,Input!$D$9,Input!M$11,$M$1,Input!$G$9,Input!$J$9,$D$31,$K$2,$B$41)</f>
        <v>102.88240703623768</v>
      </c>
      <c r="N41" s="24">
        <f>_xll.DBRW($B$2,Input!$D$9,Input!N$11,$M$1,Input!$G$9,Input!$J$9,$D$31,$K$2,$B$41)</f>
        <v>90.544908627412482</v>
      </c>
    </row>
    <row r="42" spans="2:14" ht="15.75" customHeight="1" x14ac:dyDescent="0.25">
      <c r="B42" s="25" t="s">
        <v>70</v>
      </c>
      <c r="C42" s="26">
        <f>_xll.DBRW($B$2,Input!$D$9,Input!C$11,$M$1,Input!$G$9,Input!$J$9,$D$31,$K$2,$B$42)</f>
        <v>71.163505485000002</v>
      </c>
      <c r="D42" s="26">
        <f>_xll.DBRW($B$2,Input!$D$9,Input!D$11,$M$1,Input!$G$9,Input!$J$9,$D$31,$K$2,$B$42)</f>
        <v>75.019230320000005</v>
      </c>
      <c r="E42" s="26">
        <f>_xll.DBRW($B$2,Input!$D$9,Input!E$11,$M$1,Input!$G$9,Input!$J$9,$D$31,$K$2,$B$42)</f>
        <v>71.462445895204084</v>
      </c>
      <c r="F42" s="26">
        <f>_xll.DBRW($B$2,Input!$D$9,Input!F$11,$M$1,Input!$G$9,Input!$J$9,$D$31,$K$2,$B$42)</f>
        <v>71.51949733650477</v>
      </c>
      <c r="G42" s="26">
        <f>_xll.DBRW($B$2,Input!$D$9,Input!G$11,$M$1,Input!$G$9,Input!$J$9,$D$31,$K$2,$B$42)</f>
        <v>76.91162563547492</v>
      </c>
      <c r="H42" s="26">
        <f>_xll.DBRW($B$2,Input!$D$9,Input!H$11,$M$1,Input!$G$9,Input!$J$9,$D$31,$K$2,$B$42)</f>
        <v>70.720714426472071</v>
      </c>
      <c r="I42" s="26">
        <f>_xll.DBRW($B$2,Input!$D$9,Input!I$11,$M$1,Input!$G$9,Input!$J$9,$D$31,$K$2,$B$42)</f>
        <v>82.237320935840756</v>
      </c>
      <c r="J42" s="26">
        <f>_xll.DBRW($B$2,Input!$D$9,Input!J$11,$M$1,Input!$G$9,Input!$J$9,$D$31,$K$2,$B$42)</f>
        <v>83.45270855908359</v>
      </c>
      <c r="K42" s="26">
        <f>_xll.DBRW($B$2,Input!$D$9,Input!K$11,$M$1,Input!$G$9,Input!$J$9,$D$31,$K$2,$B$42)</f>
        <v>87.867777818498766</v>
      </c>
      <c r="L42" s="26">
        <f>_xll.DBRW($B$2,Input!$D$9,Input!L$11,$M$1,Input!$G$9,Input!$J$9,$D$31,$K$2,$B$42)</f>
        <v>87.086454030102004</v>
      </c>
      <c r="M42" s="26">
        <f>_xll.DBRW($B$2,Input!$D$9,Input!M$11,$M$1,Input!$G$9,Input!$J$9,$D$31,$K$2,$B$42)</f>
        <v>79.14031310479821</v>
      </c>
      <c r="N42" s="26">
        <f>_xll.DBRW($B$2,Input!$D$9,Input!N$11,$M$1,Input!$G$9,Input!$J$9,$D$31,$K$2,$B$42)</f>
        <v>69.649929713394215</v>
      </c>
    </row>
    <row r="44" spans="2:14" ht="15.75" customHeight="1" thickBot="1" x14ac:dyDescent="0.3">
      <c r="B44" s="11"/>
      <c r="C44" s="21" t="s">
        <v>65</v>
      </c>
      <c r="D44" s="31" t="str">
        <f>_xll.SUBNM("CONS_VC:ALL.D.Products","Nivel_0","PRODAG010 - Aggregates","Código e Descrição")</f>
        <v>PRODAG010 - Aggregates</v>
      </c>
      <c r="E44" s="31"/>
      <c r="F44" s="31"/>
    </row>
    <row r="45" spans="2:14" ht="15.75" customHeight="1" thickTop="1" x14ac:dyDescent="0.25"/>
    <row r="46" spans="2:14" ht="15.75" customHeight="1" x14ac:dyDescent="0.25">
      <c r="B46" s="7"/>
      <c r="C46" s="20" t="str">
        <f>$D$9&amp;"."&amp;C$11</f>
        <v>2025.01</v>
      </c>
      <c r="D46" s="20" t="str">
        <f t="shared" ref="D46:N46" si="2">$D$9&amp;"."&amp;D11</f>
        <v>2025.02</v>
      </c>
      <c r="E46" s="20" t="str">
        <f t="shared" si="2"/>
        <v>2025.03</v>
      </c>
      <c r="F46" s="20" t="str">
        <f t="shared" si="2"/>
        <v>2025.04</v>
      </c>
      <c r="G46" s="20" t="str">
        <f t="shared" si="2"/>
        <v>2025.05</v>
      </c>
      <c r="H46" s="20" t="str">
        <f t="shared" si="2"/>
        <v>2025.06</v>
      </c>
      <c r="I46" s="20" t="str">
        <f t="shared" si="2"/>
        <v>2025.07</v>
      </c>
      <c r="J46" s="20" t="str">
        <f t="shared" si="2"/>
        <v>2025.08</v>
      </c>
      <c r="K46" s="20" t="str">
        <f t="shared" si="2"/>
        <v>2025.09</v>
      </c>
      <c r="L46" s="20" t="str">
        <f t="shared" si="2"/>
        <v>2025.10</v>
      </c>
      <c r="M46" s="20" t="str">
        <f t="shared" si="2"/>
        <v>2025.11</v>
      </c>
      <c r="N46" s="20" t="str">
        <f t="shared" si="2"/>
        <v>2025.12</v>
      </c>
    </row>
    <row r="47" spans="2:14" ht="15.75" customHeight="1" x14ac:dyDescent="0.25">
      <c r="B47" s="19" t="s">
        <v>58</v>
      </c>
      <c r="C47" s="18">
        <f>_xll.DBRW($B$1,Input!$D$9,Input!C$11,$M$1,Input!$G$9,Input!$J$9,$D$44,Input!$B47,$L$1,$K$1)</f>
        <v>0</v>
      </c>
      <c r="D47" s="18">
        <f>_xll.DBRW($B$1,Input!$D$9,Input!D$11,$M$1,Input!$G$9,Input!$J$9,$D$44,Input!$B47,$L$1,$K$1)</f>
        <v>0</v>
      </c>
      <c r="E47" s="18">
        <f>_xll.DBRW($B$1,Input!$D$9,Input!E$11,$M$1,Input!$G$9,Input!$J$9,$D$44,Input!$B47,$L$1,$K$1)</f>
        <v>0</v>
      </c>
      <c r="F47" s="18">
        <f>_xll.DBRW($B$1,Input!$D$9,Input!F$11,$M$1,Input!$G$9,Input!$J$9,$D$44,Input!$B47,$L$1,$K$1)</f>
        <v>0</v>
      </c>
      <c r="G47" s="18">
        <f>_xll.DBRW($B$1,Input!$D$9,Input!G$11,$M$1,Input!$G$9,Input!$J$9,$D$44,Input!$B47,$L$1,$K$1)</f>
        <v>0</v>
      </c>
      <c r="H47" s="18">
        <f>_xll.DBRW($B$1,Input!$D$9,Input!H$11,$M$1,Input!$G$9,Input!$J$9,$D$44,Input!$B47,$L$1,$K$1)</f>
        <v>0</v>
      </c>
      <c r="I47" s="18">
        <f>_xll.DBRW($B$1,Input!$D$9,Input!I$11,$M$1,Input!$G$9,Input!$J$9,$D$44,Input!$B47,$L$1,$K$1)</f>
        <v>0</v>
      </c>
      <c r="J47" s="18">
        <f>_xll.DBRW($B$1,Input!$D$9,Input!J$11,$M$1,Input!$G$9,Input!$J$9,$D$44,Input!$B47,$L$1,$K$1)</f>
        <v>0</v>
      </c>
      <c r="K47" s="18">
        <f>_xll.DBRW($B$1,Input!$D$9,Input!K$11,$M$1,Input!$G$9,Input!$J$9,$D$44,Input!$B47,$L$1,$K$1)</f>
        <v>0</v>
      </c>
      <c r="L47" s="18">
        <f>_xll.DBRW($B$1,Input!$D$9,Input!L$11,$M$1,Input!$G$9,Input!$J$9,$D$44,Input!$B47,$L$1,$K$1)</f>
        <v>0</v>
      </c>
      <c r="M47" s="18">
        <f>_xll.DBRW($B$1,Input!$D$9,Input!M$11,$M$1,Input!$G$9,Input!$J$9,$D$44,Input!$B47,$L$1,$K$1)</f>
        <v>0</v>
      </c>
      <c r="N47" s="18">
        <f>_xll.DBRW($B$1,Input!$D$9,Input!N$11,$M$1,Input!$G$9,Input!$J$9,$D$44,Input!$B47,$L$1,$K$1)</f>
        <v>0</v>
      </c>
    </row>
    <row r="48" spans="2:14" ht="15.75" customHeight="1" x14ac:dyDescent="0.25">
      <c r="B48" s="19" t="s">
        <v>16</v>
      </c>
      <c r="C48" s="18">
        <f>_xll.DBRW($B$1,Input!$D$9,Input!C$11,$M$1,Input!$G$9,Input!$J$9,$D$44,Input!$B48,$L$1,$K$1)</f>
        <v>150</v>
      </c>
      <c r="D48" s="18">
        <f>_xll.DBRW($B$1,Input!$D$9,Input!D$11,$M$1,Input!$G$9,Input!$J$9,$D$44,Input!$B48,$L$1,$K$1)</f>
        <v>160</v>
      </c>
      <c r="E48" s="18">
        <f>_xll.DBRW($B$1,Input!$D$9,Input!E$11,$M$1,Input!$G$9,Input!$J$9,$D$44,Input!$B48,$L$1,$K$1)</f>
        <v>153.17270199999999</v>
      </c>
      <c r="F48" s="18">
        <f>_xll.DBRW($B$1,Input!$D$9,Input!F$11,$M$1,Input!$G$9,Input!$J$9,$D$44,Input!$B48,$L$1,$K$1)</f>
        <v>149.82661899999999</v>
      </c>
      <c r="G48" s="18">
        <f>_xll.DBRW($B$1,Input!$D$9,Input!G$11,$M$1,Input!$G$9,Input!$J$9,$D$44,Input!$B48,$L$1,$K$1)</f>
        <v>156.830342</v>
      </c>
      <c r="H48" s="18">
        <f>_xll.DBRW($B$1,Input!$D$9,Input!H$11,$M$1,Input!$G$9,Input!$J$9,$D$44,Input!$B48,$L$1,$K$1)</f>
        <v>145.46241499999999</v>
      </c>
      <c r="I48" s="18">
        <f>_xll.DBRW($B$1,Input!$D$9,Input!I$11,$M$1,Input!$G$9,Input!$J$9,$D$44,Input!$B48,$L$1,$K$1)</f>
        <v>173.86229349999999</v>
      </c>
      <c r="J48" s="18">
        <f>_xll.DBRW($B$1,Input!$D$9,Input!J$11,$M$1,Input!$G$9,Input!$J$9,$D$44,Input!$B48,$L$1,$K$1)</f>
        <v>176.3310275</v>
      </c>
      <c r="K48" s="18">
        <f>_xll.DBRW($B$1,Input!$D$9,Input!K$11,$M$1,Input!$G$9,Input!$J$9,$D$44,Input!$B48,$L$1,$K$1)</f>
        <v>176.918745</v>
      </c>
      <c r="L48" s="18">
        <f>_xll.DBRW($B$1,Input!$D$9,Input!L$11,$M$1,Input!$G$9,Input!$J$9,$D$44,Input!$B48,$L$1,$K$1)</f>
        <v>180.08921549999999</v>
      </c>
      <c r="M48" s="18">
        <f>_xll.DBRW($B$1,Input!$D$9,Input!M$11,$M$1,Input!$G$9,Input!$J$9,$D$44,Input!$B48,$L$1,$K$1)</f>
        <v>163.16618539999999</v>
      </c>
      <c r="N48" s="18">
        <f>_xll.DBRW($B$1,Input!$D$9,Input!N$11,$M$1,Input!$G$9,Input!$J$9,$D$44,Input!$B48,$L$1,$K$1)</f>
        <v>144.62305979999999</v>
      </c>
    </row>
    <row r="49" spans="2:14" ht="15.75" customHeight="1" x14ac:dyDescent="0.25">
      <c r="B49" s="19" t="s">
        <v>17</v>
      </c>
      <c r="C49" s="18">
        <f>_xll.DBRW($B$1,Input!$D$9,Input!C$11,$M$1,Input!$G$9,Input!$J$9,$D$44,Input!$B49,$L$1,$K$1)</f>
        <v>0</v>
      </c>
      <c r="D49" s="18">
        <f>_xll.DBRW($B$1,Input!$D$9,Input!D$11,$M$1,Input!$G$9,Input!$J$9,$D$44,Input!$B49,$L$1,$K$1)</f>
        <v>0</v>
      </c>
      <c r="E49" s="18">
        <f>_xll.DBRW($B$1,Input!$D$9,Input!E$11,$M$1,Input!$G$9,Input!$J$9,$D$44,Input!$B49,$L$1,$K$1)</f>
        <v>0</v>
      </c>
      <c r="F49" s="18">
        <f>_xll.DBRW($B$1,Input!$D$9,Input!F$11,$M$1,Input!$G$9,Input!$J$9,$D$44,Input!$B49,$L$1,$K$1)</f>
        <v>0</v>
      </c>
      <c r="G49" s="18">
        <f>_xll.DBRW($B$1,Input!$D$9,Input!G$11,$M$1,Input!$G$9,Input!$J$9,$D$44,Input!$B49,$L$1,$K$1)</f>
        <v>0</v>
      </c>
      <c r="H49" s="18">
        <f>_xll.DBRW($B$1,Input!$D$9,Input!H$11,$M$1,Input!$G$9,Input!$J$9,$D$44,Input!$B49,$L$1,$K$1)</f>
        <v>0</v>
      </c>
      <c r="I49" s="18">
        <f>_xll.DBRW($B$1,Input!$D$9,Input!I$11,$M$1,Input!$G$9,Input!$J$9,$D$44,Input!$B49,$L$1,$K$1)</f>
        <v>0</v>
      </c>
      <c r="J49" s="18">
        <f>_xll.DBRW($B$1,Input!$D$9,Input!J$11,$M$1,Input!$G$9,Input!$J$9,$D$44,Input!$B49,$L$1,$K$1)</f>
        <v>0</v>
      </c>
      <c r="K49" s="18">
        <f>_xll.DBRW($B$1,Input!$D$9,Input!K$11,$M$1,Input!$G$9,Input!$J$9,$D$44,Input!$B49,$L$1,$K$1)</f>
        <v>0</v>
      </c>
      <c r="L49" s="18">
        <f>_xll.DBRW($B$1,Input!$D$9,Input!L$11,$M$1,Input!$G$9,Input!$J$9,$D$44,Input!$B49,$L$1,$K$1)</f>
        <v>0</v>
      </c>
      <c r="M49" s="18">
        <f>_xll.DBRW($B$1,Input!$D$9,Input!M$11,$M$1,Input!$G$9,Input!$J$9,$D$44,Input!$B49,$L$1,$K$1)</f>
        <v>0</v>
      </c>
      <c r="N49" s="18">
        <f>_xll.DBRW($B$1,Input!$D$9,Input!N$11,$M$1,Input!$G$9,Input!$J$9,$D$44,Input!$B49,$L$1,$K$1)</f>
        <v>0</v>
      </c>
    </row>
    <row r="50" spans="2:14" ht="15.75" customHeight="1" x14ac:dyDescent="0.25">
      <c r="B50" s="19" t="s">
        <v>19</v>
      </c>
      <c r="C50" s="18">
        <f>_xll.DBRW($B$1,Input!$D$9,Input!C$11,$M$1,Input!$G$9,Input!$J$9,$D$44,Input!$B50,$L$1,$K$1)</f>
        <v>0</v>
      </c>
      <c r="D50" s="18">
        <f>_xll.DBRW($B$1,Input!$D$9,Input!D$11,$M$1,Input!$G$9,Input!$J$9,$D$44,Input!$B50,$L$1,$K$1)</f>
        <v>0</v>
      </c>
      <c r="E50" s="18">
        <f>_xll.DBRW($B$1,Input!$D$9,Input!E$11,$M$1,Input!$G$9,Input!$J$9,$D$44,Input!$B50,$L$1,$K$1)</f>
        <v>0</v>
      </c>
      <c r="F50" s="18">
        <f>_xll.DBRW($B$1,Input!$D$9,Input!F$11,$M$1,Input!$G$9,Input!$J$9,$D$44,Input!$B50,$L$1,$K$1)</f>
        <v>0</v>
      </c>
      <c r="G50" s="18">
        <f>_xll.DBRW($B$1,Input!$D$9,Input!G$11,$M$1,Input!$G$9,Input!$J$9,$D$44,Input!$B50,$L$1,$K$1)</f>
        <v>0</v>
      </c>
      <c r="H50" s="18">
        <f>_xll.DBRW($B$1,Input!$D$9,Input!H$11,$M$1,Input!$G$9,Input!$J$9,$D$44,Input!$B50,$L$1,$K$1)</f>
        <v>0</v>
      </c>
      <c r="I50" s="18">
        <f>_xll.DBRW($B$1,Input!$D$9,Input!I$11,$M$1,Input!$G$9,Input!$J$9,$D$44,Input!$B50,$L$1,$K$1)</f>
        <v>0</v>
      </c>
      <c r="J50" s="18">
        <f>_xll.DBRW($B$1,Input!$D$9,Input!J$11,$M$1,Input!$G$9,Input!$J$9,$D$44,Input!$B50,$L$1,$K$1)</f>
        <v>0</v>
      </c>
      <c r="K50" s="18">
        <f>_xll.DBRW($B$1,Input!$D$9,Input!K$11,$M$1,Input!$G$9,Input!$J$9,$D$44,Input!$B50,$L$1,$K$1)</f>
        <v>0</v>
      </c>
      <c r="L50" s="18">
        <f>_xll.DBRW($B$1,Input!$D$9,Input!L$11,$M$1,Input!$G$9,Input!$J$9,$D$44,Input!$B50,$L$1,$K$1)</f>
        <v>0</v>
      </c>
      <c r="M50" s="18">
        <f>_xll.DBRW($B$1,Input!$D$9,Input!M$11,$M$1,Input!$G$9,Input!$J$9,$D$44,Input!$B50,$L$1,$K$1)</f>
        <v>0</v>
      </c>
      <c r="N50" s="18">
        <f>_xll.DBRW($B$1,Input!$D$9,Input!N$11,$M$1,Input!$G$9,Input!$J$9,$D$44,Input!$B50,$L$1,$K$1)</f>
        <v>0</v>
      </c>
    </row>
    <row r="51" spans="2:14" ht="15.75" customHeight="1" x14ac:dyDescent="0.25">
      <c r="B51" s="19" t="s">
        <v>59</v>
      </c>
      <c r="C51" s="18">
        <f>_xll.DBRW($B$1,Input!$D$9,Input!C$11,$M$1,Input!$G$9,Input!$J$9,$D$44,Input!$B51,$L$1,$K$1)</f>
        <v>474.42336990000001</v>
      </c>
      <c r="D51" s="18">
        <f>_xll.DBRW($B$1,Input!$D$9,Input!D$11,$M$1,Input!$G$9,Input!$J$9,$D$44,Input!$B51,$L$1,$K$1)</f>
        <v>468.87018949999998</v>
      </c>
      <c r="E51" s="18">
        <f>_xll.DBRW($B$1,Input!$D$9,Input!E$11,$M$1,Input!$G$9,Input!$J$9,$D$44,Input!$B51,$L$1,$K$1)</f>
        <v>466.54818360000002</v>
      </c>
      <c r="F51" s="18">
        <f>_xll.DBRW($B$1,Input!$D$9,Input!F$11,$M$1,Input!$G$9,Input!$J$9,$D$44,Input!$B51,$L$1,$K$1)</f>
        <v>477.34840320000001</v>
      </c>
      <c r="G51" s="18">
        <f>_xll.DBRW($B$1,Input!$D$9,Input!G$11,$M$1,Input!$G$9,Input!$J$9,$D$44,Input!$B51,$L$1,$K$1)</f>
        <v>490.41291790000002</v>
      </c>
      <c r="H51" s="18">
        <f>_xll.DBRW($B$1,Input!$D$9,Input!H$11,$M$1,Input!$G$9,Input!$J$9,$D$44,Input!$B51,$L$1,$K$1)</f>
        <v>486.17860789999997</v>
      </c>
      <c r="I51" s="18">
        <f>_xll.DBRW($B$1,Input!$D$9,Input!I$11,$M$1,Input!$G$9,Input!$J$9,$D$44,Input!$B51,$L$1,$K$1)</f>
        <v>473.0026234</v>
      </c>
      <c r="J51" s="18">
        <f>_xll.DBRW($B$1,Input!$D$9,Input!J$11,$M$1,Input!$G$9,Input!$J$9,$D$44,Input!$B51,$L$1,$K$1)</f>
        <v>473.27296699999999</v>
      </c>
      <c r="K51" s="18">
        <f>_xll.DBRW($B$1,Input!$D$9,Input!K$11,$M$1,Input!$G$9,Input!$J$9,$D$44,Input!$B51,$L$1,$K$1)</f>
        <v>496.6561221</v>
      </c>
      <c r="L51" s="18">
        <f>_xll.DBRW($B$1,Input!$D$9,Input!L$11,$M$1,Input!$G$9,Input!$J$9,$D$44,Input!$B51,$L$1,$K$1)</f>
        <v>483.57395409999998</v>
      </c>
      <c r="M51" s="18">
        <f>_xll.DBRW($B$1,Input!$D$9,Input!M$11,$M$1,Input!$G$9,Input!$J$9,$D$44,Input!$B51,$L$1,$K$1)</f>
        <v>485.02888580000001</v>
      </c>
      <c r="N51" s="18">
        <f>_xll.DBRW($B$1,Input!$D$9,Input!N$11,$M$1,Input!$G$9,Input!$J$9,$D$44,Input!$B51,$L$1,$K$1)</f>
        <v>481.59629460000002</v>
      </c>
    </row>
    <row r="52" spans="2:14" ht="15.75" customHeight="1" x14ac:dyDescent="0.25">
      <c r="B52" s="19" t="s">
        <v>60</v>
      </c>
      <c r="C52" s="18">
        <f>_xll.DBRW($B$1,Input!$D$9,Input!C$11,$M$1,Input!$G$9,Input!$J$9,$D$44,Input!$B52,$L$1,$K$1)</f>
        <v>0</v>
      </c>
      <c r="D52" s="18">
        <f>_xll.DBRW($B$1,Input!$D$9,Input!D$11,$M$1,Input!$G$9,Input!$J$9,$D$44,Input!$B52,$L$1,$K$1)</f>
        <v>0</v>
      </c>
      <c r="E52" s="18">
        <f>_xll.DBRW($B$1,Input!$D$9,Input!E$11,$M$1,Input!$G$9,Input!$J$9,$D$44,Input!$B52,$L$1,$K$1)</f>
        <v>0</v>
      </c>
      <c r="F52" s="18">
        <f>_xll.DBRW($B$1,Input!$D$9,Input!F$11,$M$1,Input!$G$9,Input!$J$9,$D$44,Input!$B52,$L$1,$K$1)</f>
        <v>0</v>
      </c>
      <c r="G52" s="18">
        <f>_xll.DBRW($B$1,Input!$D$9,Input!G$11,$M$1,Input!$G$9,Input!$J$9,$D$44,Input!$B52,$L$1,$K$1)</f>
        <v>0</v>
      </c>
      <c r="H52" s="18">
        <f>_xll.DBRW($B$1,Input!$D$9,Input!H$11,$M$1,Input!$G$9,Input!$J$9,$D$44,Input!$B52,$L$1,$K$1)</f>
        <v>0</v>
      </c>
      <c r="I52" s="18">
        <f>_xll.DBRW($B$1,Input!$D$9,Input!I$11,$M$1,Input!$G$9,Input!$J$9,$D$44,Input!$B52,$L$1,$K$1)</f>
        <v>0</v>
      </c>
      <c r="J52" s="18">
        <f>_xll.DBRW($B$1,Input!$D$9,Input!J$11,$M$1,Input!$G$9,Input!$J$9,$D$44,Input!$B52,$L$1,$K$1)</f>
        <v>0</v>
      </c>
      <c r="K52" s="18">
        <f>_xll.DBRW($B$1,Input!$D$9,Input!K$11,$M$1,Input!$G$9,Input!$J$9,$D$44,Input!$B52,$L$1,$K$1)</f>
        <v>0</v>
      </c>
      <c r="L52" s="18">
        <f>_xll.DBRW($B$1,Input!$D$9,Input!L$11,$M$1,Input!$G$9,Input!$J$9,$D$44,Input!$B52,$L$1,$K$1)</f>
        <v>0</v>
      </c>
      <c r="M52" s="18">
        <f>_xll.DBRW($B$1,Input!$D$9,Input!M$11,$M$1,Input!$G$9,Input!$J$9,$D$44,Input!$B52,$L$1,$K$1)</f>
        <v>0</v>
      </c>
      <c r="N52" s="18">
        <f>_xll.DBRW($B$1,Input!$D$9,Input!N$11,$M$1,Input!$G$9,Input!$J$9,$D$44,Input!$B52,$L$1,$K$1)</f>
        <v>0</v>
      </c>
    </row>
    <row r="53" spans="2:14" ht="15.75" customHeight="1" x14ac:dyDescent="0.25">
      <c r="B53" s="19" t="s">
        <v>61</v>
      </c>
      <c r="C53" s="18">
        <f>_xll.DBRW($B$1,Input!$D$9,Input!C$11,$M$1,Input!$G$9,Input!$J$9,$D$44,Input!$B53,$L$1,$K$1)</f>
        <v>0.3</v>
      </c>
      <c r="D53" s="18">
        <f>_xll.DBRW($B$1,Input!$D$9,Input!D$11,$M$1,Input!$G$9,Input!$J$9,$D$44,Input!$B53,$L$1,$K$1)</f>
        <v>0.3</v>
      </c>
      <c r="E53" s="18">
        <f>_xll.DBRW($B$1,Input!$D$9,Input!E$11,$M$1,Input!$G$9,Input!$J$9,$D$44,Input!$B53,$L$1,$K$1)</f>
        <v>0.3</v>
      </c>
      <c r="F53" s="18">
        <f>_xll.DBRW($B$1,Input!$D$9,Input!F$11,$M$1,Input!$G$9,Input!$J$9,$D$44,Input!$B53,$L$1,$K$1)</f>
        <v>0.3</v>
      </c>
      <c r="G53" s="18">
        <f>_xll.DBRW($B$1,Input!$D$9,Input!G$11,$M$1,Input!$G$9,Input!$J$9,$D$44,Input!$B53,$L$1,$K$1)</f>
        <v>0.3</v>
      </c>
      <c r="H53" s="18">
        <f>_xll.DBRW($B$1,Input!$D$9,Input!H$11,$M$1,Input!$G$9,Input!$J$9,$D$44,Input!$B53,$L$1,$K$1)</f>
        <v>0.3</v>
      </c>
      <c r="I53" s="18">
        <f>_xll.DBRW($B$1,Input!$D$9,Input!I$11,$M$1,Input!$G$9,Input!$J$9,$D$44,Input!$B53,$L$1,$K$1)</f>
        <v>0.3</v>
      </c>
      <c r="J53" s="18">
        <f>_xll.DBRW($B$1,Input!$D$9,Input!J$11,$M$1,Input!$G$9,Input!$J$9,$D$44,Input!$B53,$L$1,$K$1)</f>
        <v>0.3</v>
      </c>
      <c r="K53" s="18">
        <f>_xll.DBRW($B$1,Input!$D$9,Input!K$11,$M$1,Input!$G$9,Input!$J$9,$D$44,Input!$B53,$L$1,$K$1)</f>
        <v>0.3</v>
      </c>
      <c r="L53" s="18">
        <f>_xll.DBRW($B$1,Input!$D$9,Input!L$11,$M$1,Input!$G$9,Input!$J$9,$D$44,Input!$B53,$L$1,$K$1)</f>
        <v>0.3</v>
      </c>
      <c r="M53" s="18">
        <f>_xll.DBRW($B$1,Input!$D$9,Input!M$11,$M$1,Input!$G$9,Input!$J$9,$D$44,Input!$B53,$L$1,$K$1)</f>
        <v>0.3</v>
      </c>
      <c r="N53" s="18">
        <f>_xll.DBRW($B$1,Input!$D$9,Input!N$11,$M$1,Input!$G$9,Input!$J$9,$D$44,Input!$B53,$L$1,$K$1)</f>
        <v>0.3</v>
      </c>
    </row>
    <row r="54" spans="2:14" ht="15.75" customHeight="1" x14ac:dyDescent="0.25">
      <c r="B54" s="23" t="s">
        <v>18</v>
      </c>
      <c r="C54" s="24">
        <f>_xll.DBRW($B$2,Input!$D$9,Input!C$11,$M$1,Input!$G$9,Input!$J$9,$D$44,$K$2,$B$54)</f>
        <v>92.512557130499999</v>
      </c>
      <c r="D54" s="24">
        <f>_xll.DBRW($B$2,Input!$D$9,Input!D$11,$M$1,Input!$G$9,Input!$J$9,$D$44,$K$2,$B$54)</f>
        <v>97.524999416000014</v>
      </c>
      <c r="E54" s="24">
        <f>_xll.DBRW($B$2,Input!$D$9,Input!E$11,$M$1,Input!$G$9,Input!$J$9,$D$44,$K$2,$B$54)</f>
        <v>92.901179663765319</v>
      </c>
      <c r="F54" s="24">
        <f>_xll.DBRW($B$2,Input!$D$9,Input!F$11,$M$1,Input!$G$9,Input!$J$9,$D$44,$K$2,$B$54)</f>
        <v>92.975346537456204</v>
      </c>
      <c r="G54" s="24">
        <f>_xll.DBRW($B$2,Input!$D$9,Input!G$11,$M$1,Input!$G$9,Input!$J$9,$D$44,$K$2,$B$54)</f>
        <v>99.9851133261174</v>
      </c>
      <c r="H54" s="24">
        <f>_xll.DBRW($B$2,Input!$D$9,Input!H$11,$M$1,Input!$G$9,Input!$J$9,$D$44,$K$2,$B$54)</f>
        <v>91.936928754413699</v>
      </c>
      <c r="I54" s="24">
        <f>_xll.DBRW($B$2,Input!$D$9,Input!I$11,$M$1,Input!$G$9,Input!$J$9,$D$44,$K$2,$B$54)</f>
        <v>106.90851721659298</v>
      </c>
      <c r="J54" s="24">
        <f>_xll.DBRW($B$2,Input!$D$9,Input!J$11,$M$1,Input!$G$9,Input!$J$9,$D$44,$K$2,$B$54)</f>
        <v>108.48852112680866</v>
      </c>
      <c r="K54" s="24">
        <f>_xll.DBRW($B$2,Input!$D$9,Input!K$11,$M$1,Input!$G$9,Input!$J$9,$D$44,$K$2,$B$54)</f>
        <v>114.2281111640484</v>
      </c>
      <c r="L54" s="24">
        <f>_xll.DBRW($B$2,Input!$D$9,Input!L$11,$M$1,Input!$G$9,Input!$J$9,$D$44,$K$2,$B$54)</f>
        <v>113.2123902391326</v>
      </c>
      <c r="M54" s="24">
        <f>_xll.DBRW($B$2,Input!$D$9,Input!M$11,$M$1,Input!$G$9,Input!$J$9,$D$44,$K$2,$B$54)</f>
        <v>102.88240703623768</v>
      </c>
      <c r="N54" s="24">
        <f>_xll.DBRW($B$2,Input!$D$9,Input!N$11,$M$1,Input!$G$9,Input!$J$9,$D$44,$K$2,$B$54)</f>
        <v>90.544908627412482</v>
      </c>
    </row>
    <row r="55" spans="2:14" ht="15.75" customHeight="1" x14ac:dyDescent="0.25">
      <c r="B55" s="25" t="s">
        <v>70</v>
      </c>
      <c r="C55" s="26">
        <f>_xll.DBRW($B$2,Input!$D$9,Input!C$11,$M$1,Input!$G$9,Input!$J$9,$D$44,$K$2,$B$55)</f>
        <v>71.163505485000002</v>
      </c>
      <c r="D55" s="26">
        <f>_xll.DBRW($B$2,Input!$D$9,Input!D$11,$M$1,Input!$G$9,Input!$J$9,$D$44,$K$2,$B$55)</f>
        <v>75.019230320000005</v>
      </c>
      <c r="E55" s="26">
        <f>_xll.DBRW($B$2,Input!$D$9,Input!E$11,$M$1,Input!$G$9,Input!$J$9,$D$44,$K$2,$B$55)</f>
        <v>71.462445895204084</v>
      </c>
      <c r="F55" s="26">
        <f>_xll.DBRW($B$2,Input!$D$9,Input!F$11,$M$1,Input!$G$9,Input!$J$9,$D$44,$K$2,$B$55)</f>
        <v>71.51949733650477</v>
      </c>
      <c r="G55" s="26">
        <f>_xll.DBRW($B$2,Input!$D$9,Input!G$11,$M$1,Input!$G$9,Input!$J$9,$D$44,$K$2,$B$55)</f>
        <v>76.91162563547492</v>
      </c>
      <c r="H55" s="26">
        <f>_xll.DBRW($B$2,Input!$D$9,Input!H$11,$M$1,Input!$G$9,Input!$J$9,$D$44,$K$2,$B$55)</f>
        <v>70.720714426472071</v>
      </c>
      <c r="I55" s="26">
        <f>_xll.DBRW($B$2,Input!$D$9,Input!I$11,$M$1,Input!$G$9,Input!$J$9,$D$44,$K$2,$B$55)</f>
        <v>82.237320935840756</v>
      </c>
      <c r="J55" s="26">
        <f>_xll.DBRW($B$2,Input!$D$9,Input!J$11,$M$1,Input!$G$9,Input!$J$9,$D$44,$K$2,$B$55)</f>
        <v>83.45270855908359</v>
      </c>
      <c r="K55" s="26">
        <f>_xll.DBRW($B$2,Input!$D$9,Input!K$11,$M$1,Input!$G$9,Input!$J$9,$D$44,$K$2,$B$55)</f>
        <v>87.867777818498766</v>
      </c>
      <c r="L55" s="26">
        <f>_xll.DBRW($B$2,Input!$D$9,Input!L$11,$M$1,Input!$G$9,Input!$J$9,$D$44,$K$2,$B$55)</f>
        <v>87.086454030102004</v>
      </c>
      <c r="M55" s="26">
        <f>_xll.DBRW($B$2,Input!$D$9,Input!M$11,$M$1,Input!$G$9,Input!$J$9,$D$44,$K$2,$B$55)</f>
        <v>79.14031310479821</v>
      </c>
      <c r="N55" s="26">
        <f>_xll.DBRW($B$2,Input!$D$9,Input!N$11,$M$1,Input!$G$9,Input!$J$9,$D$44,$K$2,$B$55)</f>
        <v>69.649929713394215</v>
      </c>
    </row>
    <row r="58" spans="2:14" ht="15.75" customHeight="1" thickBot="1" x14ac:dyDescent="0.3">
      <c r="B58" s="12"/>
    </row>
    <row r="59" spans="2:14" ht="15.75" customHeight="1" thickTop="1" x14ac:dyDescent="0.25">
      <c r="B59" s="11" t="s">
        <v>30</v>
      </c>
    </row>
    <row r="60" spans="2:14" ht="15.75" customHeight="1" thickBot="1" x14ac:dyDescent="0.3">
      <c r="C60" s="21" t="s">
        <v>65</v>
      </c>
      <c r="D60" s="31" t="str">
        <f>_xll.SUBNM("CONS_VC:ALL.D.Products",,"Total Products","Código e Descrição")</f>
        <v>Total Products</v>
      </c>
      <c r="E60" s="31"/>
      <c r="F60" s="31"/>
    </row>
    <row r="61" spans="2:14" ht="15.75" customHeight="1" thickTop="1" x14ac:dyDescent="0.25"/>
    <row r="62" spans="2:14" ht="15.75" customHeight="1" x14ac:dyDescent="0.25">
      <c r="B62" s="7"/>
      <c r="C62" s="20" t="str">
        <f>$D$9&amp;"."&amp;C$11</f>
        <v>2025.01</v>
      </c>
      <c r="D62" s="20" t="str">
        <f t="shared" ref="D62:N62" si="3">$D$9&amp;"."&amp;D$11</f>
        <v>2025.02</v>
      </c>
      <c r="E62" s="20" t="str">
        <f t="shared" si="3"/>
        <v>2025.03</v>
      </c>
      <c r="F62" s="20" t="str">
        <f t="shared" si="3"/>
        <v>2025.04</v>
      </c>
      <c r="G62" s="20" t="str">
        <f t="shared" si="3"/>
        <v>2025.05</v>
      </c>
      <c r="H62" s="20" t="str">
        <f t="shared" si="3"/>
        <v>2025.06</v>
      </c>
      <c r="I62" s="20" t="str">
        <f t="shared" si="3"/>
        <v>2025.07</v>
      </c>
      <c r="J62" s="20" t="str">
        <f t="shared" si="3"/>
        <v>2025.08</v>
      </c>
      <c r="K62" s="20" t="str">
        <f t="shared" si="3"/>
        <v>2025.09</v>
      </c>
      <c r="L62" s="20" t="str">
        <f t="shared" si="3"/>
        <v>2025.10</v>
      </c>
      <c r="M62" s="20" t="str">
        <f t="shared" si="3"/>
        <v>2025.11</v>
      </c>
      <c r="N62" s="20" t="str">
        <f t="shared" si="3"/>
        <v>2025.12</v>
      </c>
    </row>
    <row r="63" spans="2:14" ht="15.75" customHeight="1" x14ac:dyDescent="0.25">
      <c r="B63" s="19" t="s">
        <v>20</v>
      </c>
      <c r="C63" s="18">
        <f>_xll.DBRW($B$1,Input!$D$9,Input!C$11,$M$1,Input!$G$9,Input!$J$9,$N$1,Input!$B63,$L$1,$K$1)</f>
        <v>168.7595029</v>
      </c>
      <c r="D63" s="18">
        <f>_xll.DBRW($B$1,Input!$D$9,Input!D$11,$M$1,Input!$G$9,Input!$J$9,$N$1,Input!$B63,$L$1,$K$1)</f>
        <v>164.1515206</v>
      </c>
      <c r="E63" s="18">
        <f>_xll.DBRW($B$1,Input!$D$9,Input!E$11,$M$1,Input!$G$9,Input!$J$9,$N$1,Input!$B63,$L$1,$K$1)</f>
        <v>176.63658269999999</v>
      </c>
      <c r="F63" s="18">
        <f>_xll.DBRW($B$1,Input!$D$9,Input!F$11,$M$1,Input!$G$9,Input!$J$9,$N$1,Input!$B63,$L$1,$K$1)</f>
        <v>172.40642349999999</v>
      </c>
      <c r="G63" s="18">
        <f>_xll.DBRW($B$1,Input!$D$9,Input!G$11,$M$1,Input!$G$9,Input!$J$9,$N$1,Input!$B63,$L$1,$K$1)</f>
        <v>193.13236649999999</v>
      </c>
      <c r="H63" s="18">
        <f>_xll.DBRW($B$1,Input!$D$9,Input!H$11,$M$1,Input!$G$9,Input!$J$9,$N$1,Input!$B63,$L$1,$K$1)</f>
        <v>180.5123543</v>
      </c>
      <c r="I63" s="18">
        <f>_xll.DBRW($B$1,Input!$D$9,Input!I$11,$M$1,Input!$G$9,Input!$J$9,$N$1,Input!$B63,$L$1,$K$1)</f>
        <v>213.2909678</v>
      </c>
      <c r="J63" s="18">
        <f>_xll.DBRW($B$1,Input!$D$9,Input!J$11,$M$1,Input!$G$9,Input!$J$9,$N$1,Input!$B63,$L$1,$K$1)</f>
        <v>206.37440649999999</v>
      </c>
      <c r="K63" s="18">
        <f>_xll.DBRW($B$1,Input!$D$9,Input!K$11,$M$1,Input!$G$9,Input!$J$9,$N$1,Input!$B63,$L$1,$K$1)</f>
        <v>206.9530384</v>
      </c>
      <c r="L63" s="18">
        <f>_xll.DBRW($B$1,Input!$D$9,Input!L$11,$M$1,Input!$G$9,Input!$J$9,$N$1,Input!$B63,$L$1,$K$1)</f>
        <v>206.25476499999999</v>
      </c>
      <c r="M63" s="18">
        <f>_xll.DBRW($B$1,Input!$D$9,Input!M$11,$M$1,Input!$G$9,Input!$J$9,$N$1,Input!$B63,$L$1,$K$1)</f>
        <v>180.4616403</v>
      </c>
      <c r="N63" s="18">
        <f>_xll.DBRW($B$1,Input!$D$9,Input!N$11,$M$1,Input!$G$9,Input!$J$9,$N$1,Input!$B63,$L$1,$K$1)</f>
        <v>165.6481679</v>
      </c>
    </row>
    <row r="64" spans="2:14" ht="15.75" customHeight="1" x14ac:dyDescent="0.25">
      <c r="B64" s="19" t="s">
        <v>21</v>
      </c>
      <c r="C64" s="18">
        <f>_xll.DBSW(#REF!,$B$1,Input!$D$9,Input!C$11,$M$1,Input!$G$9,Input!$J$9,$N$1,Input!$B64,$L$1,$K$1)</f>
        <v>95</v>
      </c>
      <c r="D64" s="18">
        <f>_xll.DBRW($B$1,Input!$D$9,Input!D$11,$M$1,Input!$G$9,Input!$J$9,$N$1,Input!$B64,$L$1,$K$1)</f>
        <v>515.19375739999998</v>
      </c>
      <c r="E64" s="18">
        <f>_xll.DBRW($B$1,Input!$D$9,Input!E$11,$M$1,Input!$G$9,Input!$J$9,$N$1,Input!$B64,$L$1,$K$1)</f>
        <v>556.91120000000001</v>
      </c>
      <c r="F64" s="18">
        <f>_xll.DBRW($B$1,Input!$D$9,Input!F$11,$M$1,Input!$G$9,Input!$J$9,$N$1,Input!$B64,$L$1,$K$1)</f>
        <v>536.80995529999996</v>
      </c>
      <c r="G64" s="18">
        <f>_xll.DBRW($B$1,Input!$D$9,Input!G$11,$M$1,Input!$G$9,Input!$J$9,$N$1,Input!$B64,$L$1,$K$1)</f>
        <v>588.73484789999998</v>
      </c>
      <c r="H64" s="18">
        <f>_xll.DBRW($B$1,Input!$D$9,Input!H$11,$M$1,Input!$G$9,Input!$J$9,$N$1,Input!$B64,$L$1,$K$1)</f>
        <v>562.46326320000003</v>
      </c>
      <c r="I64" s="18">
        <f>_xll.DBRW($B$1,Input!$D$9,Input!I$11,$M$1,Input!$G$9,Input!$J$9,$N$1,Input!$B64,$L$1,$K$1)</f>
        <v>637.90550389999999</v>
      </c>
      <c r="J64" s="18">
        <f>_xll.DBRW($B$1,Input!$D$9,Input!J$11,$M$1,Input!$G$9,Input!$J$9,$N$1,Input!$B64,$L$1,$K$1)</f>
        <v>645.98211719999995</v>
      </c>
      <c r="K64" s="18">
        <f>_xll.DBRW($B$1,Input!$D$9,Input!K$11,$M$1,Input!$G$9,Input!$J$9,$N$1,Input!$B64,$L$1,$K$1)</f>
        <v>637.24578329999997</v>
      </c>
      <c r="L64" s="18">
        <f>_xll.DBRW($B$1,Input!$D$9,Input!L$11,$M$1,Input!$G$9,Input!$J$9,$N$1,Input!$B64,$L$1,$K$1)</f>
        <v>626.95248389999995</v>
      </c>
      <c r="M64" s="18">
        <f>_xll.DBRW($B$1,Input!$D$9,Input!M$11,$M$1,Input!$G$9,Input!$J$9,$N$1,Input!$B64,$L$1,$K$1)</f>
        <v>529.84822959999997</v>
      </c>
      <c r="N64" s="18">
        <f>_xll.DBRW($B$1,Input!$D$9,Input!N$11,$M$1,Input!$G$9,Input!$J$9,$N$1,Input!$B64,$L$1,$K$1)</f>
        <v>465.30252910000002</v>
      </c>
    </row>
    <row r="65" spans="2:14" ht="15.75" customHeight="1" x14ac:dyDescent="0.25">
      <c r="B65" s="19" t="s">
        <v>22</v>
      </c>
      <c r="C65" s="18">
        <f>_xll.DBRW($B$1,Input!$D$9,Input!C$11,$M$1,Input!$G$9,Input!$J$9,$N$1,Input!$B65,$L$1,$K$1)</f>
        <v>167.3280063</v>
      </c>
      <c r="D65" s="18">
        <f>_xll.DBRW($B$1,Input!$D$9,Input!D$11,$M$1,Input!$G$9,Input!$J$9,$N$1,Input!$B65,$L$1,$K$1)</f>
        <v>175.37425010000001</v>
      </c>
      <c r="E65" s="18">
        <f>_xll.DBRW($B$1,Input!$D$9,Input!E$11,$M$1,Input!$G$9,Input!$J$9,$N$1,Input!$B65,$L$1,$K$1)</f>
        <v>183.54921719999999</v>
      </c>
      <c r="F65" s="18">
        <f>_xll.DBRW($B$1,Input!$D$9,Input!F$11,$M$1,Input!$G$9,Input!$J$9,$N$1,Input!$B65,$L$1,$K$1)</f>
        <v>176.8944932</v>
      </c>
      <c r="G65" s="18">
        <f>_xll.DBRW($B$1,Input!$D$9,Input!G$11,$M$1,Input!$G$9,Input!$J$9,$N$1,Input!$B65,$L$1,$K$1)</f>
        <v>194.8486</v>
      </c>
      <c r="H65" s="18">
        <f>_xll.DBRW($B$1,Input!$D$9,Input!H$11,$M$1,Input!$G$9,Input!$J$9,$N$1,Input!$B65,$L$1,$K$1)</f>
        <v>171.53714590000001</v>
      </c>
      <c r="I65" s="18">
        <f>_xll.DBRW($B$1,Input!$D$9,Input!I$11,$M$1,Input!$G$9,Input!$J$9,$N$1,Input!$B65,$L$1,$K$1)</f>
        <v>177.5401109</v>
      </c>
      <c r="J65" s="18">
        <f>_xll.DBRW($B$1,Input!$D$9,Input!J$11,$M$1,Input!$G$9,Input!$J$9,$N$1,Input!$B65,$L$1,$K$1)</f>
        <v>156.42841770000001</v>
      </c>
      <c r="K65" s="18">
        <f>_xll.DBRW($B$1,Input!$D$9,Input!K$11,$M$1,Input!$G$9,Input!$J$9,$N$1,Input!$B65,$L$1,$K$1)</f>
        <v>152.81100499999999</v>
      </c>
      <c r="L65" s="18">
        <f>_xll.DBRW($B$1,Input!$D$9,Input!L$11,$M$1,Input!$G$9,Input!$J$9,$N$1,Input!$B65,$L$1,$K$1)</f>
        <v>156.50058430000001</v>
      </c>
      <c r="M65" s="18">
        <f>_xll.DBRW($B$1,Input!$D$9,Input!M$11,$M$1,Input!$G$9,Input!$J$9,$N$1,Input!$B65,$L$1,$K$1)</f>
        <v>137.78091449999999</v>
      </c>
      <c r="N65" s="18">
        <f>_xll.DBRW($B$1,Input!$D$9,Input!N$11,$M$1,Input!$G$9,Input!$J$9,$N$1,Input!$B65,$L$1,$K$1)</f>
        <v>122.75515660000001</v>
      </c>
    </row>
    <row r="66" spans="2:14" ht="15.75" customHeight="1" x14ac:dyDescent="0.25">
      <c r="B66" s="19" t="s">
        <v>23</v>
      </c>
      <c r="C66" s="18">
        <f>_xll.DBRW($B$1,Input!$D$9,Input!C$11,$M$1,Input!$G$9,Input!$J$9,$N$1,Input!$B66,$L$1,$K$1)</f>
        <v>93.594604230000002</v>
      </c>
      <c r="D66" s="18">
        <f>_xll.DBRW($B$1,Input!$D$9,Input!D$11,$M$1,Input!$G$9,Input!$J$9,$N$1,Input!$B66,$L$1,$K$1)</f>
        <v>119.71500380000001</v>
      </c>
      <c r="E66" s="18">
        <f>_xll.DBRW($B$1,Input!$D$9,Input!E$11,$M$1,Input!$G$9,Input!$J$9,$N$1,Input!$B66,$L$1,$K$1)</f>
        <v>99.091997579999997</v>
      </c>
      <c r="F66" s="18">
        <f>_xll.DBRW($B$1,Input!$D$9,Input!F$11,$M$1,Input!$G$9,Input!$J$9,$N$1,Input!$B66,$L$1,$K$1)</f>
        <v>109.7550811</v>
      </c>
      <c r="G66" s="18">
        <f>_xll.DBRW($B$1,Input!$D$9,Input!G$11,$M$1,Input!$G$9,Input!$J$9,$N$1,Input!$B66,$L$1,$K$1)</f>
        <v>86.904564780000001</v>
      </c>
      <c r="H66" s="18">
        <f>_xll.DBRW($B$1,Input!$D$9,Input!H$11,$M$1,Input!$G$9,Input!$J$9,$N$1,Input!$B66,$L$1,$K$1)</f>
        <v>110.6860365</v>
      </c>
      <c r="I66" s="18">
        <f>_xll.DBRW($B$1,Input!$D$9,Input!I$11,$M$1,Input!$G$9,Input!$J$9,$N$1,Input!$B66,$L$1,$K$1)</f>
        <v>129.7434001</v>
      </c>
      <c r="J66" s="18">
        <f>_xll.DBRW($B$1,Input!$D$9,Input!J$11,$M$1,Input!$G$9,Input!$J$9,$N$1,Input!$B66,$L$1,$K$1)</f>
        <v>116.5488647</v>
      </c>
      <c r="K66" s="18">
        <f>_xll.DBRW($B$1,Input!$D$9,Input!K$11,$M$1,Input!$G$9,Input!$J$9,$N$1,Input!$B66,$L$1,$K$1)</f>
        <v>114.81737440000001</v>
      </c>
      <c r="L66" s="18">
        <f>_xll.DBRW($B$1,Input!$D$9,Input!L$11,$M$1,Input!$G$9,Input!$J$9,$N$1,Input!$B66,$L$1,$K$1)</f>
        <v>117.2228946</v>
      </c>
      <c r="M66" s="18">
        <f>_xll.DBRW($B$1,Input!$D$9,Input!M$11,$M$1,Input!$G$9,Input!$J$9,$N$1,Input!$B66,$L$1,$K$1)</f>
        <v>113.0085289</v>
      </c>
      <c r="N66" s="18">
        <f>_xll.DBRW($B$1,Input!$D$9,Input!N$11,$M$1,Input!$G$9,Input!$J$9,$N$1,Input!$B66,$L$1,$K$1)</f>
        <v>112.64237869999999</v>
      </c>
    </row>
    <row r="67" spans="2:14" ht="15.75" customHeight="1" x14ac:dyDescent="0.25">
      <c r="B67" s="19" t="s">
        <v>24</v>
      </c>
      <c r="C67" s="18">
        <f>_xll.DBRW($B$1,Input!$D$9,Input!C$11,$M$1,Input!$G$9,Input!$J$9,$N$1,Input!$B67,$L$1,$K$1)</f>
        <v>0</v>
      </c>
      <c r="D67" s="18">
        <f>_xll.DBRW($B$1,Input!$D$9,Input!D$11,$M$1,Input!$G$9,Input!$J$9,$N$1,Input!$B67,$L$1,$K$1)</f>
        <v>0</v>
      </c>
      <c r="E67" s="18">
        <f>_xll.DBRW($B$1,Input!$D$9,Input!E$11,$M$1,Input!$G$9,Input!$J$9,$N$1,Input!$B67,$L$1,$K$1)</f>
        <v>0</v>
      </c>
      <c r="F67" s="18">
        <f>_xll.DBRW($B$1,Input!$D$9,Input!F$11,$M$1,Input!$G$9,Input!$J$9,$N$1,Input!$B67,$L$1,$K$1)</f>
        <v>0</v>
      </c>
      <c r="G67" s="18">
        <f>_xll.DBRW($B$1,Input!$D$9,Input!G$11,$M$1,Input!$G$9,Input!$J$9,$N$1,Input!$B67,$L$1,$K$1)</f>
        <v>0</v>
      </c>
      <c r="H67" s="18">
        <f>_xll.DBRW($B$1,Input!$D$9,Input!H$11,$M$1,Input!$G$9,Input!$J$9,$N$1,Input!$B67,$L$1,$K$1)</f>
        <v>0</v>
      </c>
      <c r="I67" s="18">
        <f>_xll.DBRW($B$1,Input!$D$9,Input!I$11,$M$1,Input!$G$9,Input!$J$9,$N$1,Input!$B67,$L$1,$K$1)</f>
        <v>0</v>
      </c>
      <c r="J67" s="18">
        <f>_xll.DBRW($B$1,Input!$D$9,Input!J$11,$M$1,Input!$G$9,Input!$J$9,$N$1,Input!$B67,$L$1,$K$1)</f>
        <v>0</v>
      </c>
      <c r="K67" s="18">
        <f>_xll.DBRW($B$1,Input!$D$9,Input!K$11,$M$1,Input!$G$9,Input!$J$9,$N$1,Input!$B67,$L$1,$K$1)</f>
        <v>0</v>
      </c>
      <c r="L67" s="18">
        <f>_xll.DBRW($B$1,Input!$D$9,Input!L$11,$M$1,Input!$G$9,Input!$J$9,$N$1,Input!$B67,$L$1,$K$1)</f>
        <v>0</v>
      </c>
      <c r="M67" s="18">
        <f>_xll.DBRW($B$1,Input!$D$9,Input!M$11,$M$1,Input!$G$9,Input!$J$9,$N$1,Input!$B67,$L$1,$K$1)</f>
        <v>0</v>
      </c>
      <c r="N67" s="18">
        <f>_xll.DBRW($B$1,Input!$D$9,Input!N$11,$M$1,Input!$G$9,Input!$J$9,$N$1,Input!$B67,$L$1,$K$1)</f>
        <v>0</v>
      </c>
    </row>
    <row r="68" spans="2:14" ht="15.75" customHeight="1" x14ac:dyDescent="0.25">
      <c r="B68" s="27" t="s">
        <v>25</v>
      </c>
      <c r="C68" s="24">
        <f>_xll.DBRW($B$3,Input!$D$9,Input!C$11,$M$1,Input!$G$9,Input!$J$9,$D$60,Input!$B68,$K$1)</f>
        <v>596.32420674354637</v>
      </c>
      <c r="D68" s="24">
        <f>_xll.DBRW($B$3,Input!$D$9,Input!D$11,$M$1,Input!$G$9,Input!$J$9,$D$60,Input!$B68,$K$1)</f>
        <v>116.20340135908199</v>
      </c>
      <c r="E68" s="24">
        <f>_xll.DBRW($B$3,Input!$D$9,Input!E$11,$M$1,Input!$G$9,Input!$J$9,$D$60,Input!$B68,$K$1)</f>
        <v>184.4926165703547</v>
      </c>
      <c r="F68" s="24">
        <f>_xll.DBRW($B$3,Input!$D$9,Input!F$11,$M$1,Input!$G$9,Input!$J$9,$D$60,Input!$B68,$K$1)</f>
        <v>170.51662043651606</v>
      </c>
      <c r="G68" s="24">
        <f>_xll.DBRW($B$3,Input!$D$9,Input!G$11,$M$1,Input!$G$9,Input!$J$9,$D$60,Input!$B68,$K$1)</f>
        <v>206.56333377008048</v>
      </c>
      <c r="H68" s="24">
        <f>_xll.DBRW($B$3,Input!$D$9,Input!H$11,$M$1,Input!$G$9,Input!$J$9,$D$60,Input!$B68,$K$1)</f>
        <v>177.86993811801449</v>
      </c>
      <c r="I68" s="24">
        <f>_xll.DBRW($B$3,Input!$D$9,Input!I$11,$M$1,Input!$G$9,Input!$J$9,$D$60,Input!$B68,$K$1)</f>
        <v>276.53016422279984</v>
      </c>
      <c r="J68" s="24">
        <f>_xll.DBRW($B$3,Input!$D$9,Input!J$11,$M$1,Input!$G$9,Input!$J$9,$D$60,Input!$B68,$K$1)</f>
        <v>325.73240271398373</v>
      </c>
      <c r="K68" s="24">
        <f>_xll.DBRW($B$3,Input!$D$9,Input!K$11,$M$1,Input!$G$9,Input!$J$9,$D$60,Input!$B68,$K$1)</f>
        <v>346.91186291831775</v>
      </c>
      <c r="L68" s="24">
        <f>_xll.DBRW($B$3,Input!$D$9,Input!L$11,$M$1,Input!$G$9,Input!$J$9,$D$60,Input!$B68,$K$1)</f>
        <v>355.52848939133941</v>
      </c>
      <c r="M68" s="24">
        <f>_xll.DBRW($B$3,Input!$D$9,Input!M$11,$M$1,Input!$G$9,Input!$J$9,$D$60,Input!$B68,$K$1)</f>
        <v>303.39725692999463</v>
      </c>
      <c r="N68" s="24">
        <f>_xll.DBRW($B$3,Input!$D$9,Input!N$11,$M$1,Input!$G$9,Input!$J$9,$D$60,Input!$B68,$K$1)</f>
        <v>284.7911100485257</v>
      </c>
    </row>
    <row r="70" spans="2:14" ht="15.75" customHeight="1" thickBot="1" x14ac:dyDescent="0.3">
      <c r="B70" s="12"/>
    </row>
    <row r="71" spans="2:14" ht="21" thickTop="1" x14ac:dyDescent="0.25">
      <c r="B71" s="11" t="s">
        <v>75</v>
      </c>
    </row>
    <row r="73" spans="2:14" ht="15.75" customHeight="1" x14ac:dyDescent="0.25">
      <c r="B73" s="7"/>
      <c r="C73" s="20" t="str">
        <f>$D$9&amp;"."&amp;C$11</f>
        <v>2025.01</v>
      </c>
      <c r="D73" s="20" t="str">
        <f t="shared" ref="D73:N73" si="4">$D$9&amp;"."&amp;D$11</f>
        <v>2025.02</v>
      </c>
      <c r="E73" s="20" t="str">
        <f t="shared" si="4"/>
        <v>2025.03</v>
      </c>
      <c r="F73" s="20" t="str">
        <f t="shared" si="4"/>
        <v>2025.04</v>
      </c>
      <c r="G73" s="20" t="str">
        <f t="shared" si="4"/>
        <v>2025.05</v>
      </c>
      <c r="H73" s="20" t="str">
        <f t="shared" si="4"/>
        <v>2025.06</v>
      </c>
      <c r="I73" s="20" t="str">
        <f t="shared" si="4"/>
        <v>2025.07</v>
      </c>
      <c r="J73" s="20" t="str">
        <f t="shared" si="4"/>
        <v>2025.08</v>
      </c>
      <c r="K73" s="20" t="str">
        <f t="shared" si="4"/>
        <v>2025.09</v>
      </c>
      <c r="L73" s="20" t="str">
        <f t="shared" si="4"/>
        <v>2025.10</v>
      </c>
      <c r="M73" s="20" t="str">
        <f t="shared" si="4"/>
        <v>2025.11</v>
      </c>
      <c r="N73" s="20" t="str">
        <f t="shared" si="4"/>
        <v>2025.12</v>
      </c>
    </row>
    <row r="74" spans="2:14" ht="29.25" customHeight="1" x14ac:dyDescent="0.25">
      <c r="B74" s="19" t="s">
        <v>26</v>
      </c>
      <c r="C74" s="18">
        <f>_xll.DBRW($B$1,Input!$D$9,Input!C$11,$M$1,Input!$G$9,Input!$J$9,$N$1,Input!$B74,$L$1,$K$1)</f>
        <v>89.445895199999995</v>
      </c>
      <c r="D74" s="18">
        <f>_xll.DBRW($B$1,Input!$D$9,Input!D$11,$M$1,Input!$G$9,Input!$J$9,$N$1,Input!$B74,$L$1,$K$1)</f>
        <v>202.3496978</v>
      </c>
      <c r="E74" s="18">
        <f>_xll.DBRW($B$1,Input!$D$9,Input!E$11,$M$1,Input!$G$9,Input!$J$9,$N$1,Input!$B74,$L$1,$K$1)</f>
        <v>93.431534299999996</v>
      </c>
      <c r="F74" s="18">
        <f>_xll.DBRW($B$1,Input!$D$9,Input!F$11,$M$1,Input!$G$9,Input!$J$9,$N$1,Input!$B74,$L$1,$K$1)</f>
        <v>91.031849059999999</v>
      </c>
      <c r="G74" s="18">
        <f>_xll.DBRW($B$1,Input!$D$9,Input!G$11,$M$1,Input!$G$9,Input!$J$9,$N$1,Input!$B74,$L$1,$K$1)</f>
        <v>96.521270029999997</v>
      </c>
      <c r="H74" s="18">
        <f>_xll.DBRW($B$1,Input!$D$9,Input!H$11,$M$1,Input!$G$9,Input!$J$9,$N$1,Input!$B74,$L$1,$K$1)</f>
        <v>97.935036999999994</v>
      </c>
      <c r="I74" s="18">
        <f>_xll.DBRW($B$1,Input!$D$9,Input!I$11,$M$1,Input!$G$9,Input!$J$9,$N$1,Input!$B74,$L$1,$K$1)</f>
        <v>106.9522316</v>
      </c>
      <c r="J74" s="18">
        <f>_xll.DBRW($B$1,Input!$D$9,Input!J$11,$M$1,Input!$G$9,Input!$J$9,$N$1,Input!$B74,$L$1,$K$1)</f>
        <v>105.4460048</v>
      </c>
      <c r="K74" s="18">
        <f>_xll.DBRW($B$1,Input!$D$9,Input!K$11,$M$1,Input!$G$9,Input!$J$9,$N$1,Input!$B74,$L$1,$K$1)</f>
        <v>106.01329629999999</v>
      </c>
      <c r="L74" s="18">
        <f>_xll.DBRW($B$1,Input!$D$9,Input!L$11,$M$1,Input!$G$9,Input!$J$9,$N$1,Input!$B74,$L$1,$K$1)</f>
        <v>106.706108</v>
      </c>
      <c r="M74" s="18">
        <f>_xll.DBRW($B$1,Input!$D$9,Input!M$11,$M$1,Input!$G$9,Input!$J$9,$N$1,Input!$B74,$L$1,$K$1)</f>
        <v>107.45077670000001</v>
      </c>
      <c r="N74" s="18">
        <f>_xll.DBRW($B$1,Input!$D$9,Input!N$11,$M$1,Input!$G$9,Input!$J$9,$N$1,Input!$B74,$L$1,$K$1)</f>
        <v>105.7135984</v>
      </c>
    </row>
    <row r="75" spans="2:14" ht="15.75" customHeight="1" x14ac:dyDescent="0.25">
      <c r="B75" s="27" t="s">
        <v>25</v>
      </c>
      <c r="C75" s="24">
        <f>_xll.DBRW($B$3,Input!$D$9,Input!C$11,$M$1,Input!$G$9,Input!$J$9,$D$60,Input!$B75,$K$1)</f>
        <v>596.32420674354637</v>
      </c>
      <c r="D75" s="24">
        <f>_xll.DBRW($B$3,Input!$D$9,Input!D$11,$M$1,Input!$G$9,Input!$J$9,$D$60,Input!$B75,$K$1)</f>
        <v>116.20340135908199</v>
      </c>
      <c r="E75" s="24">
        <f>_xll.DBRW($B$3,Input!$D$9,Input!E$11,$M$1,Input!$G$9,Input!$J$9,$D$60,Input!$B75,$K$1)</f>
        <v>184.4926165703547</v>
      </c>
      <c r="F75" s="24">
        <f>_xll.DBRW($B$3,Input!$D$9,Input!F$11,$M$1,Input!$G$9,Input!$J$9,$D$60,Input!$B75,$K$1)</f>
        <v>170.51662043651606</v>
      </c>
      <c r="G75" s="24">
        <f>_xll.DBRW($B$3,Input!$D$9,Input!G$11,$M$1,Input!$G$9,Input!$J$9,$D$60,Input!$B75,$K$1)</f>
        <v>206.56333377008048</v>
      </c>
      <c r="H75" s="24">
        <f>_xll.DBRW($B$3,Input!$D$9,Input!H$11,$M$1,Input!$G$9,Input!$J$9,$D$60,Input!$B75,$K$1)</f>
        <v>177.86993811801449</v>
      </c>
      <c r="I75" s="24">
        <f>_xll.DBRW($B$3,Input!$D$9,Input!I$11,$M$1,Input!$G$9,Input!$J$9,$D$60,Input!$B75,$K$1)</f>
        <v>276.53016422279984</v>
      </c>
      <c r="J75" s="24">
        <f>_xll.DBRW($B$3,Input!$D$9,Input!J$11,$M$1,Input!$G$9,Input!$J$9,$D$60,Input!$B75,$K$1)</f>
        <v>325.73240271398373</v>
      </c>
      <c r="K75" s="24">
        <f>_xll.DBRW($B$3,Input!$D$9,Input!K$11,$M$1,Input!$G$9,Input!$J$9,$D$60,Input!$B75,$K$1)</f>
        <v>346.91186291831775</v>
      </c>
      <c r="L75" s="24">
        <f>_xll.DBRW($B$3,Input!$D$9,Input!L$11,$M$1,Input!$G$9,Input!$J$9,$D$60,Input!$B75,$K$1)</f>
        <v>355.52848939133941</v>
      </c>
      <c r="M75" s="24">
        <f>_xll.DBRW($B$3,Input!$D$9,Input!M$11,$M$1,Input!$G$9,Input!$J$9,$D$60,Input!$B75,$K$1)</f>
        <v>303.39725692999463</v>
      </c>
      <c r="N75" s="24">
        <f>_xll.DBRW($B$3,Input!$D$9,Input!N$11,$M$1,Input!$G$9,Input!$J$9,$D$60,Input!$B75,$K$1)</f>
        <v>284.7911100485257</v>
      </c>
    </row>
    <row r="76" spans="2:14" ht="15.75" customHeight="1" x14ac:dyDescent="0.25">
      <c r="B76" s="25" t="s">
        <v>75</v>
      </c>
      <c r="C76" s="24">
        <f>_xll.DBRW($B$3,Input!$D$9,Input!C$11,$M$1,Input!$G$9,Input!$J$9,$D$60,Input!$B76,$K$1)</f>
        <v>506.87831154354637</v>
      </c>
      <c r="D76" s="24">
        <f>_xll.DBRW($B$3,Input!$D$9,Input!D$11,$M$1,Input!$G$9,Input!$J$9,$D$60,Input!$B76,$K$1)</f>
        <v>-86.146296440918064</v>
      </c>
      <c r="E76" s="24">
        <f>_xll.DBRW($B$3,Input!$D$9,Input!E$11,$M$1,Input!$G$9,Input!$J$9,$D$60,Input!$B76,$K$1)</f>
        <v>91.061082270354746</v>
      </c>
      <c r="F76" s="24">
        <f>_xll.DBRW($B$3,Input!$D$9,Input!F$11,$M$1,Input!$G$9,Input!$J$9,$D$60,Input!$B76,$K$1)</f>
        <v>79.484771376516036</v>
      </c>
      <c r="G76" s="24">
        <f>_xll.DBRW($B$3,Input!$D$9,Input!G$11,$M$1,Input!$G$9,Input!$J$9,$D$60,Input!$B76,$K$1)</f>
        <v>110.04206374008037</v>
      </c>
      <c r="H76" s="24">
        <f>_xll.DBRW($B$3,Input!$D$9,Input!H$11,$M$1,Input!$G$9,Input!$J$9,$D$60,Input!$B76,$K$1)</f>
        <v>79.934901118014508</v>
      </c>
      <c r="I76" s="24">
        <f>_xll.DBRW($B$3,Input!$D$9,Input!I$11,$M$1,Input!$G$9,Input!$J$9,$D$60,Input!$B76,$K$1)</f>
        <v>169.57793262279984</v>
      </c>
      <c r="J76" s="24">
        <f>_xll.DBRW($B$3,Input!$D$9,Input!J$11,$M$1,Input!$G$9,Input!$J$9,$D$60,Input!$B76,$K$1)</f>
        <v>220.28639791398365</v>
      </c>
      <c r="K76" s="24">
        <f>_xll.DBRW($B$3,Input!$D$9,Input!K$11,$M$1,Input!$G$9,Input!$J$9,$D$60,Input!$B76,$K$1)</f>
        <v>240.89856661831766</v>
      </c>
      <c r="L76" s="24">
        <f>_xll.DBRW($B$3,Input!$D$9,Input!L$11,$M$1,Input!$G$9,Input!$J$9,$D$60,Input!$B76,$K$1)</f>
        <v>248.82238139133932</v>
      </c>
      <c r="M76" s="24">
        <f>_xll.DBRW($B$3,Input!$D$9,Input!M$11,$M$1,Input!$G$9,Input!$J$9,$D$60,Input!$B76,$K$1)</f>
        <v>195.94648022999462</v>
      </c>
      <c r="N76" s="24">
        <f>_xll.DBRW($B$3,Input!$D$9,Input!N$11,$M$1,Input!$G$9,Input!$J$9,$D$60,Input!$B76,$K$1)</f>
        <v>179.07751164852567</v>
      </c>
    </row>
    <row r="77" spans="2:14" ht="15.75" customHeight="1" x14ac:dyDescent="0.25">
      <c r="B77"/>
      <c r="C77"/>
      <c r="D77"/>
      <c r="E77"/>
      <c r="F77"/>
      <c r="G77"/>
      <c r="H77"/>
      <c r="I77"/>
      <c r="J77"/>
      <c r="K77"/>
      <c r="L77"/>
      <c r="M77"/>
      <c r="N77"/>
    </row>
    <row r="78" spans="2:14" ht="15.75" customHeight="1" thickBot="1" x14ac:dyDescent="0.3">
      <c r="B78" s="12"/>
      <c r="C78"/>
      <c r="D78"/>
      <c r="E78"/>
      <c r="F78"/>
      <c r="G78"/>
      <c r="H78"/>
      <c r="I78"/>
      <c r="J78"/>
      <c r="K78"/>
      <c r="L78"/>
      <c r="M78"/>
      <c r="N78"/>
    </row>
    <row r="79" spans="2:14" ht="15.75" customHeight="1" thickTop="1" x14ac:dyDescent="0.25">
      <c r="B79" s="11" t="s">
        <v>76</v>
      </c>
    </row>
    <row r="81" spans="2:14" ht="15.75" customHeight="1" x14ac:dyDescent="0.25">
      <c r="B81" s="7"/>
      <c r="C81" s="20" t="str">
        <f t="shared" ref="C81:N81" si="5">$D$9&amp;"."&amp;C$11</f>
        <v>2025.01</v>
      </c>
      <c r="D81" s="20" t="str">
        <f t="shared" si="5"/>
        <v>2025.02</v>
      </c>
      <c r="E81" s="20" t="str">
        <f t="shared" si="5"/>
        <v>2025.03</v>
      </c>
      <c r="F81" s="20" t="str">
        <f t="shared" si="5"/>
        <v>2025.04</v>
      </c>
      <c r="G81" s="20" t="str">
        <f t="shared" si="5"/>
        <v>2025.05</v>
      </c>
      <c r="H81" s="20" t="str">
        <f t="shared" si="5"/>
        <v>2025.06</v>
      </c>
      <c r="I81" s="20" t="str">
        <f t="shared" si="5"/>
        <v>2025.07</v>
      </c>
      <c r="J81" s="20" t="str">
        <f t="shared" si="5"/>
        <v>2025.08</v>
      </c>
      <c r="K81" s="20" t="str">
        <f t="shared" si="5"/>
        <v>2025.09</v>
      </c>
      <c r="L81" s="20" t="str">
        <f t="shared" si="5"/>
        <v>2025.10</v>
      </c>
      <c r="M81" s="20" t="str">
        <f t="shared" si="5"/>
        <v>2025.11</v>
      </c>
      <c r="N81" s="20" t="str">
        <f t="shared" si="5"/>
        <v>2025.12</v>
      </c>
    </row>
    <row r="82" spans="2:14" ht="15.75" customHeight="1" x14ac:dyDescent="0.25">
      <c r="B82" s="19" t="s">
        <v>62</v>
      </c>
      <c r="C82" s="18">
        <f>_xll.DBRW($B$1,Input!$D$9,Input!C$11,$M$1,Input!$G$9,Input!$J$9,$N$1,Input!$B82,$L$1,$K$1)</f>
        <v>0.99</v>
      </c>
      <c r="D82" s="18">
        <f>_xll.DBRW($B$1,Input!$D$9,Input!D$11,$M$1,Input!$G$9,Input!$J$9,$N$1,Input!$B82,$L$1,$K$1)</f>
        <v>0.84</v>
      </c>
      <c r="E82" s="18">
        <f>_xll.DBRW($B$1,Input!$D$9,Input!E$11,$M$1,Input!$G$9,Input!$J$9,$N$1,Input!$B82,$L$1,$K$1)</f>
        <v>1.23</v>
      </c>
      <c r="F82" s="18">
        <f>_xll.DBRW($B$1,Input!$D$9,Input!F$11,$M$1,Input!$G$9,Input!$J$9,$N$1,Input!$B82,$L$1,$K$1)</f>
        <v>-0.82414216200000001</v>
      </c>
      <c r="G82" s="18">
        <f>_xll.DBRW($B$1,Input!$D$9,Input!G$11,$M$1,Input!$G$9,Input!$J$9,$N$1,Input!$B82,$L$1,$K$1)</f>
        <v>-0.475669646</v>
      </c>
      <c r="H82" s="18">
        <f>_xll.DBRW($B$1,Input!$D$9,Input!H$11,$M$1,Input!$G$9,Input!$J$9,$N$1,Input!$B82,$L$1,$K$1)</f>
        <v>-4.8143072000000002E-2</v>
      </c>
      <c r="I82" s="18">
        <f>_xll.DBRW($B$1,Input!$D$9,Input!I$11,$M$1,Input!$G$9,Input!$J$9,$N$1,Input!$B82,$L$1,$K$1)</f>
        <v>-0.64218542300000003</v>
      </c>
      <c r="J82" s="18">
        <f>_xll.DBRW($B$1,Input!$D$9,Input!J$11,$M$1,Input!$G$9,Input!$J$9,$N$1,Input!$B82,$L$1,$K$1)</f>
        <v>-0.64218542300000003</v>
      </c>
      <c r="K82" s="18">
        <f>_xll.DBRW($B$1,Input!$D$9,Input!K$11,$M$1,Input!$G$9,Input!$J$9,$N$1,Input!$B82,$L$1,$K$1)</f>
        <v>-0.64218542300000003</v>
      </c>
      <c r="L82" s="18">
        <f>_xll.DBRW($B$1,Input!$D$9,Input!L$11,$M$1,Input!$G$9,Input!$J$9,$N$1,Input!$B82,$L$1,$K$1)</f>
        <v>-0.64218542300000003</v>
      </c>
      <c r="M82" s="18">
        <f>_xll.DBRW($B$1,Input!$D$9,Input!M$11,$M$1,Input!$G$9,Input!$J$9,$N$1,Input!$B82,$L$1,$K$1)</f>
        <v>-0.64218542300000003</v>
      </c>
      <c r="N82" s="18">
        <f>_xll.DBRW($B$1,Input!$D$9,Input!N$11,$M$1,Input!$G$9,Input!$J$9,$N$1,Input!$B82,$L$1,$K$1)</f>
        <v>-0.64218542300000003</v>
      </c>
    </row>
    <row r="83" spans="2:14" ht="15.75" customHeight="1" x14ac:dyDescent="0.25">
      <c r="B83" s="19" t="s">
        <v>63</v>
      </c>
      <c r="C83" s="18">
        <f>_xll.DBRW($B$1,Input!$D$9,Input!C$11,$M$1,Input!$G$9,Input!$J$9,$N$1,Input!$B83,$L$1,$K$1)</f>
        <v>0</v>
      </c>
      <c r="D83" s="18">
        <f>_xll.DBRW($B$1,Input!$D$9,Input!D$11,$M$1,Input!$G$9,Input!$J$9,$N$1,Input!$B83,$L$1,$K$1)</f>
        <v>0</v>
      </c>
      <c r="E83" s="18">
        <f>_xll.DBRW($B$1,Input!$D$9,Input!E$11,$M$1,Input!$G$9,Input!$J$9,$N$1,Input!$B83,$L$1,$K$1)</f>
        <v>0</v>
      </c>
      <c r="F83" s="18">
        <f>_xll.DBRW($B$1,Input!$D$9,Input!F$11,$M$1,Input!$G$9,Input!$J$9,$N$1,Input!$B83,$L$1,$K$1)</f>
        <v>0</v>
      </c>
      <c r="G83" s="18">
        <f>_xll.DBRW($B$1,Input!$D$9,Input!G$11,$M$1,Input!$G$9,Input!$J$9,$N$1,Input!$B83,$L$1,$K$1)</f>
        <v>0</v>
      </c>
      <c r="H83" s="18">
        <f>_xll.DBRW($B$1,Input!$D$9,Input!H$11,$M$1,Input!$G$9,Input!$J$9,$N$1,Input!$B83,$L$1,$K$1)</f>
        <v>0</v>
      </c>
      <c r="I83" s="18">
        <f>_xll.DBRW($B$1,Input!$D$9,Input!I$11,$M$1,Input!$G$9,Input!$J$9,$N$1,Input!$B83,$L$1,$K$1)</f>
        <v>0</v>
      </c>
      <c r="J83" s="18">
        <f>_xll.DBRW($B$1,Input!$D$9,Input!J$11,$M$1,Input!$G$9,Input!$J$9,$N$1,Input!$B83,$L$1,$K$1)</f>
        <v>0</v>
      </c>
      <c r="K83" s="18">
        <f>_xll.DBRW($B$1,Input!$D$9,Input!K$11,$M$1,Input!$G$9,Input!$J$9,$N$1,Input!$B83,$L$1,$K$1)</f>
        <v>0</v>
      </c>
      <c r="L83" s="18">
        <f>_xll.DBRW($B$1,Input!$D$9,Input!L$11,$M$1,Input!$G$9,Input!$J$9,$N$1,Input!$B83,$L$1,$K$1)</f>
        <v>0</v>
      </c>
      <c r="M83" s="18">
        <f>_xll.DBRW($B$1,Input!$D$9,Input!M$11,$M$1,Input!$G$9,Input!$J$9,$N$1,Input!$B83,$L$1,$K$1)</f>
        <v>0</v>
      </c>
      <c r="N83" s="18">
        <f>_xll.DBRW($B$1,Input!$D$9,Input!N$11,$M$1,Input!$G$9,Input!$J$9,$N$1,Input!$B83,$L$1,$K$1)</f>
        <v>0</v>
      </c>
    </row>
    <row r="84" spans="2:14" ht="15.75" customHeight="1" x14ac:dyDescent="0.25">
      <c r="B84" s="27" t="s">
        <v>27</v>
      </c>
      <c r="C84" s="24">
        <f>_xll.DBRW($B$3,Input!$D$9,Input!C$11,$M$1,Input!$G$9,Input!$J$9,$D$60,Input!$B84,$K$1)</f>
        <v>-144.99223710468311</v>
      </c>
      <c r="D84" s="24">
        <f>_xll.DBRW($B$3,Input!$D$9,Input!D$11,$M$1,Input!$G$9,Input!$J$9,$D$60,Input!$B84,$K$1)</f>
        <v>-58.168852875999995</v>
      </c>
      <c r="E84" s="24">
        <f>_xll.DBRW($B$3,Input!$D$9,Input!E$11,$M$1,Input!$G$9,Input!$J$9,$D$60,Input!$B84,$K$1)</f>
        <v>-104.66723687000001</v>
      </c>
      <c r="F84" s="24">
        <f>_xll.DBRW($B$3,Input!$D$9,Input!F$11,$M$1,Input!$G$9,Input!$J$9,$D$60,Input!$B84,$K$1)</f>
        <v>-86.984798524000013</v>
      </c>
      <c r="G84" s="24">
        <f>_xll.DBRW($B$3,Input!$D$9,Input!G$11,$M$1,Input!$G$9,Input!$J$9,$D$60,Input!$B84,$K$1)</f>
        <v>-99.399761454999989</v>
      </c>
      <c r="H84" s="24">
        <f>_xll.DBRW($B$3,Input!$D$9,Input!H$11,$M$1,Input!$G$9,Input!$J$9,$D$60,Input!$B84,$K$1)</f>
        <v>-178.723494617</v>
      </c>
      <c r="I84" s="24">
        <f>_xll.DBRW($B$3,Input!$D$9,Input!I$11,$M$1,Input!$G$9,Input!$J$9,$D$60,Input!$B84,$K$1)</f>
        <v>-72.368866869000001</v>
      </c>
      <c r="J84" s="24">
        <f>_xll.DBRW($B$3,Input!$D$9,Input!J$11,$M$1,Input!$G$9,Input!$J$9,$D$60,Input!$B84,$K$1)</f>
        <v>-90.383310617000006</v>
      </c>
      <c r="K84" s="24">
        <f>_xll.DBRW($B$3,Input!$D$9,Input!K$11,$M$1,Input!$G$9,Input!$J$9,$D$60,Input!$B84,$K$1)</f>
        <v>-93.678184789999989</v>
      </c>
      <c r="L84" s="24">
        <f>_xll.DBRW($B$3,Input!$D$9,Input!L$11,$M$1,Input!$G$9,Input!$J$9,$D$60,Input!$B84,$K$1)</f>
        <v>-99.25994827400001</v>
      </c>
      <c r="M84" s="24">
        <f>_xll.DBRW($B$3,Input!$D$9,Input!M$11,$M$1,Input!$G$9,Input!$J$9,$D$60,Input!$B84,$K$1)</f>
        <v>-84.516279435999991</v>
      </c>
      <c r="N84" s="24">
        <f>_xll.DBRW($B$3,Input!$D$9,Input!N$11,$M$1,Input!$G$9,Input!$J$9,$D$60,Input!$B84,$K$1)</f>
        <v>-95.27123483199999</v>
      </c>
    </row>
    <row r="85" spans="2:14" ht="15.75" customHeight="1" x14ac:dyDescent="0.25">
      <c r="B85" s="25" t="s">
        <v>76</v>
      </c>
      <c r="C85" s="24">
        <f>_xll.DBRW($B$3,Input!$D$9,Input!C$11,$M$1,Input!$G$9,Input!$J$9,$D$60,Input!$B85,$K$1)</f>
        <v>362.87607443886327</v>
      </c>
      <c r="D85" s="24">
        <f>_xll.DBRW($B$3,Input!$D$9,Input!D$11,$M$1,Input!$G$9,Input!$J$9,$D$60,Input!$B85,$K$1)</f>
        <v>-143.47514931691822</v>
      </c>
      <c r="E85" s="24">
        <f>_xll.DBRW($B$3,Input!$D$9,Input!E$11,$M$1,Input!$G$9,Input!$J$9,$D$60,Input!$B85,$K$1)</f>
        <v>-12.376154599645133</v>
      </c>
      <c r="F85" s="24">
        <f>_xll.DBRW($B$3,Input!$D$9,Input!F$11,$M$1,Input!$G$9,Input!$J$9,$D$60,Input!$B85,$K$1)</f>
        <v>-8.3241693094841054</v>
      </c>
      <c r="G85" s="24">
        <f>_xll.DBRW($B$3,Input!$D$9,Input!G$11,$M$1,Input!$G$9,Input!$J$9,$D$60,Input!$B85,$K$1)</f>
        <v>10.166632639080362</v>
      </c>
      <c r="H85" s="24">
        <f>_xll.DBRW($B$3,Input!$D$9,Input!H$11,$M$1,Input!$G$9,Input!$J$9,$D$60,Input!$B85,$K$1)</f>
        <v>-98.836736570985309</v>
      </c>
      <c r="I85" s="24">
        <f>_xll.DBRW($B$3,Input!$D$9,Input!I$11,$M$1,Input!$G$9,Input!$J$9,$D$60,Input!$B85,$K$1)</f>
        <v>96.566880330799904</v>
      </c>
      <c r="J85" s="24">
        <f>_xll.DBRW($B$3,Input!$D$9,Input!J$11,$M$1,Input!$G$9,Input!$J$9,$D$60,Input!$B85,$K$1)</f>
        <v>129.26090187398364</v>
      </c>
      <c r="K85" s="24">
        <f>_xll.DBRW($B$3,Input!$D$9,Input!K$11,$M$1,Input!$G$9,Input!$J$9,$D$60,Input!$B85,$K$1)</f>
        <v>146.57819640531773</v>
      </c>
      <c r="L85" s="24">
        <f>_xll.DBRW($B$3,Input!$D$9,Input!L$11,$M$1,Input!$G$9,Input!$J$9,$D$60,Input!$B85,$K$1)</f>
        <v>148.92024769433937</v>
      </c>
      <c r="M85" s="24">
        <f>_xll.DBRW($B$3,Input!$D$9,Input!M$11,$M$1,Input!$G$9,Input!$J$9,$D$60,Input!$B85,$K$1)</f>
        <v>110.78801537099451</v>
      </c>
      <c r="N85" s="24">
        <f>_xll.DBRW($B$3,Input!$D$9,Input!N$11,$M$1,Input!$G$9,Input!$J$9,$D$60,Input!$B85,$K$1)</f>
        <v>83.164091393525666</v>
      </c>
    </row>
    <row r="87" spans="2:14" ht="15.75" customHeight="1" thickBot="1" x14ac:dyDescent="0.3">
      <c r="B87" s="12"/>
    </row>
    <row r="88" spans="2:14" ht="15.75" customHeight="1" thickTop="1" x14ac:dyDescent="0.25">
      <c r="B88" s="11" t="s">
        <v>77</v>
      </c>
    </row>
    <row r="90" spans="2:14" ht="15.75" customHeight="1" x14ac:dyDescent="0.25">
      <c r="B90" s="7"/>
      <c r="C90" s="20" t="str">
        <f t="shared" ref="C90:N90" si="6">$D$9&amp;"."&amp;C$11</f>
        <v>2025.01</v>
      </c>
      <c r="D90" s="20" t="str">
        <f t="shared" si="6"/>
        <v>2025.02</v>
      </c>
      <c r="E90" s="20" t="str">
        <f t="shared" si="6"/>
        <v>2025.03</v>
      </c>
      <c r="F90" s="20" t="str">
        <f t="shared" si="6"/>
        <v>2025.04</v>
      </c>
      <c r="G90" s="20" t="str">
        <f t="shared" si="6"/>
        <v>2025.05</v>
      </c>
      <c r="H90" s="20" t="str">
        <f t="shared" si="6"/>
        <v>2025.06</v>
      </c>
      <c r="I90" s="20" t="str">
        <f t="shared" si="6"/>
        <v>2025.07</v>
      </c>
      <c r="J90" s="20" t="str">
        <f t="shared" si="6"/>
        <v>2025.08</v>
      </c>
      <c r="K90" s="20" t="str">
        <f t="shared" si="6"/>
        <v>2025.09</v>
      </c>
      <c r="L90" s="20" t="str">
        <f t="shared" si="6"/>
        <v>2025.10</v>
      </c>
      <c r="M90" s="20" t="str">
        <f t="shared" si="6"/>
        <v>2025.11</v>
      </c>
      <c r="N90" s="20" t="str">
        <f t="shared" si="6"/>
        <v>2025.12</v>
      </c>
    </row>
    <row r="91" spans="2:14" ht="15.75" customHeight="1" x14ac:dyDescent="0.25">
      <c r="B91" s="19" t="s">
        <v>28</v>
      </c>
      <c r="C91" s="18">
        <f>_xll.DBRW($B$1,Input!$D$9,Input!C$11,$M$1,Input!$G$9,Input!$J$9,$N$1,Input!$B91,$L$1,$K$1)</f>
        <v>-4.2342717990000001</v>
      </c>
      <c r="D91" s="18">
        <f>_xll.DBRW($B$1,Input!$D$9,Input!D$11,$M$1,Input!$G$9,Input!$J$9,$N$1,Input!$B91,$L$1,$K$1)</f>
        <v>-46.954801359999998</v>
      </c>
      <c r="E91" s="18">
        <f>_xll.DBRW($B$1,Input!$D$9,Input!E$11,$M$1,Input!$G$9,Input!$J$9,$N$1,Input!$B91,$L$1,$K$1)</f>
        <v>10.136578780000001</v>
      </c>
      <c r="F91" s="18">
        <f>_xll.DBRW($B$1,Input!$D$9,Input!F$11,$M$1,Input!$G$9,Input!$J$9,$N$1,Input!$B91,$L$1,$K$1)</f>
        <v>5.928281256</v>
      </c>
      <c r="G91" s="18">
        <f>_xll.DBRW($B$1,Input!$D$9,Input!G$11,$M$1,Input!$G$9,Input!$J$9,$N$1,Input!$B91,$L$1,$K$1)</f>
        <v>3.300698889</v>
      </c>
      <c r="H91" s="18">
        <f>_xll.DBRW($B$1,Input!$D$9,Input!H$11,$M$1,Input!$G$9,Input!$J$9,$N$1,Input!$B91,$L$1,$K$1)</f>
        <v>-367.4319782</v>
      </c>
      <c r="I91" s="18">
        <f>_xll.DBRW($B$1,Input!$D$9,Input!I$11,$M$1,Input!$G$9,Input!$J$9,$N$1,Input!$B91,$L$1,$K$1)</f>
        <v>31.760535919999999</v>
      </c>
      <c r="J91" s="18">
        <f>_xll.DBRW($B$1,Input!$D$9,Input!J$11,$M$1,Input!$G$9,Input!$J$9,$N$1,Input!$B91,$L$1,$K$1)</f>
        <v>49.358661329999997</v>
      </c>
      <c r="K91" s="18">
        <f>_xll.DBRW($B$1,Input!$D$9,Input!K$11,$M$1,Input!$G$9,Input!$J$9,$N$1,Input!$B91,$L$1,$K$1)</f>
        <v>54.69388301</v>
      </c>
      <c r="L91" s="18">
        <f>_xll.DBRW($B$1,Input!$D$9,Input!L$11,$M$1,Input!$G$9,Input!$J$9,$N$1,Input!$B91,$L$1,$K$1)</f>
        <v>57.931112319999997</v>
      </c>
      <c r="M91" s="18">
        <f>_xll.DBRW($B$1,Input!$D$9,Input!M$11,$M$1,Input!$G$9,Input!$J$9,$N$1,Input!$B91,$L$1,$K$1)</f>
        <v>44.684158320000002</v>
      </c>
      <c r="N91" s="18">
        <f>_xll.DBRW($B$1,Input!$D$9,Input!N$11,$M$1,Input!$G$9,Input!$J$9,$N$1,Input!$B91,$L$1,$K$1)</f>
        <v>112.9058825</v>
      </c>
    </row>
    <row r="92" spans="2:14" ht="15.75" customHeight="1" x14ac:dyDescent="0.25">
      <c r="B92" s="28" t="s">
        <v>78</v>
      </c>
      <c r="C92" s="29">
        <f>_xll.DBRW($C$1,Input!$D$9,Input!C$11,$M$1,Input!$J$9,Input!$B92,$K$1)</f>
        <v>0.3</v>
      </c>
      <c r="D92" s="29">
        <f>_xll.DBRW($C$1,Input!$D$9,Input!D$11,$M$1,Input!$J$9,Input!$B92,$K$1)</f>
        <v>0.3</v>
      </c>
      <c r="E92" s="29">
        <f>_xll.DBRW($C$1,Input!$D$9,Input!E$11,$M$1,Input!$J$9,Input!$B92,$K$1)</f>
        <v>0.3</v>
      </c>
      <c r="F92" s="29">
        <f>_xll.DBRW($C$1,Input!$D$9,Input!F$11,$M$1,Input!$J$9,Input!$B92,$K$1)</f>
        <v>0.3</v>
      </c>
      <c r="G92" s="29">
        <f>_xll.DBRW($C$1,Input!$D$9,Input!G$11,$M$1,Input!$J$9,Input!$B92,$K$1)</f>
        <v>0.3</v>
      </c>
      <c r="H92" s="29">
        <f>_xll.DBRW($C$1,Input!$D$9,Input!H$11,$M$1,Input!$J$9,Input!$B92,$K$1)</f>
        <v>0.3</v>
      </c>
      <c r="I92" s="29">
        <f>_xll.DBRW($C$1,Input!$D$9,Input!I$11,$M$1,Input!$J$9,Input!$B92,$K$1)</f>
        <v>0.3</v>
      </c>
      <c r="J92" s="29">
        <f>_xll.DBRW($C$1,Input!$D$9,Input!J$11,$M$1,Input!$J$9,Input!$B92,$K$1)</f>
        <v>0.3</v>
      </c>
      <c r="K92" s="29">
        <f>_xll.DBRW($C$1,Input!$D$9,Input!K$11,$M$1,Input!$J$9,Input!$B92,$K$1)</f>
        <v>0.3</v>
      </c>
      <c r="L92" s="29">
        <f>_xll.DBRW($C$1,Input!$D$9,Input!L$11,$M$1,Input!$J$9,Input!$B92,$K$1)</f>
        <v>0.3</v>
      </c>
      <c r="M92" s="29">
        <f>_xll.DBRW($C$1,Input!$D$9,Input!M$11,$M$1,Input!$J$9,Input!$B92,$K$1)</f>
        <v>0.3</v>
      </c>
      <c r="N92" s="29">
        <f>_xll.DBRW($C$1,Input!$D$9,Input!N$11,$M$1,Input!$J$9,Input!$B92,$K$1)</f>
        <v>0.3</v>
      </c>
    </row>
    <row r="93" spans="2:14" ht="15.75" customHeight="1" x14ac:dyDescent="0.25">
      <c r="B93" s="27" t="s">
        <v>29</v>
      </c>
      <c r="C93" s="24">
        <f>_xll.DBRW($B$3,Input!$D$9,Input!C$11,$M$1,Input!$G$9,Input!$J$9,$D$60,Input!$B93,$K$1)</f>
        <v>107.29554079195898</v>
      </c>
      <c r="D93" s="24">
        <f>_xll.DBRW($B$3,Input!$D$9,Input!D$11,$M$1,Input!$G$9,Input!$J$9,$D$60,Input!$B93,$K$1)</f>
        <v>-57.380985203075426</v>
      </c>
      <c r="E93" s="24">
        <f>_xll.DBRW($B$3,Input!$D$9,Input!E$11,$M$1,Input!$G$9,Input!$J$9,$D$60,Input!$B93,$K$1)</f>
        <v>-1.0408727458934912</v>
      </c>
      <c r="F93" s="24">
        <f>_xll.DBRW($B$3,Input!$D$9,Input!F$11,$M$1,Input!$G$9,Input!$J$9,$D$60,Input!$B93,$K$1)</f>
        <v>-0.47152376744519842</v>
      </c>
      <c r="G93" s="24">
        <f>_xll.DBRW($B$3,Input!$D$9,Input!G$11,$M$1,Input!$G$9,Input!$J$9,$D$60,Input!$B93,$K$1)</f>
        <v>4.1829003522240811</v>
      </c>
      <c r="H93" s="24">
        <f>_xll.DBRW($B$3,Input!$D$9,Input!H$11,$M$1,Input!$G$9,Input!$J$9,$D$60,Input!$B93,$K$1)</f>
        <v>-139.86617150969565</v>
      </c>
      <c r="I93" s="24">
        <f>_xll.DBRW($B$3,Input!$D$9,Input!I$11,$M$1,Input!$G$9,Input!$J$9,$D$60,Input!$B93,$K$1)</f>
        <v>38.690880502139997</v>
      </c>
      <c r="J93" s="24">
        <f>_xll.DBRW($B$3,Input!$D$9,Input!J$11,$M$1,Input!$G$9,Input!$J$9,$D$60,Input!$B93,$K$1)</f>
        <v>53.778524588095095</v>
      </c>
      <c r="K93" s="24">
        <f>_xll.DBRW($B$3,Input!$D$9,Input!K$11,$M$1,Input!$G$9,Input!$J$9,$D$60,Input!$B93,$K$1)</f>
        <v>60.574279451495364</v>
      </c>
      <c r="L93" s="24">
        <f>_xll.DBRW($B$3,Input!$D$9,Input!L$11,$M$1,Input!$G$9,Input!$J$9,$D$60,Input!$B93,$K$1)</f>
        <v>62.248063631201774</v>
      </c>
      <c r="M93" s="24">
        <f>_xll.DBRW($B$3,Input!$D$9,Input!M$11,$M$1,Input!$G$9,Input!$J$9,$D$60,Input!$B93,$K$1)</f>
        <v>46.834307734198362</v>
      </c>
      <c r="N93" s="24">
        <f>_xll.DBRW($B$3,Input!$D$9,Input!N$11,$M$1,Input!$G$9,Input!$J$9,$D$60,Input!$B93,$K$1)</f>
        <v>59.013647794957691</v>
      </c>
    </row>
    <row r="94" spans="2:14" ht="15.75" customHeight="1" x14ac:dyDescent="0.25">
      <c r="B94" s="27" t="s">
        <v>77</v>
      </c>
      <c r="C94" s="24">
        <f>_xll.DBRW($B$3,Input!$D$9,Input!C$11,$M$1,Input!$G$9,Input!$J$9,$D$60,Input!$B94,$K$1)</f>
        <v>470.17161523082223</v>
      </c>
      <c r="D94" s="24">
        <f>_xll.DBRW($B$3,Input!$D$9,Input!D$11,$M$1,Input!$G$9,Input!$J$9,$D$60,Input!$B94,$K$1)</f>
        <v>-200.85613451999353</v>
      </c>
      <c r="E94" s="24">
        <f>_xll.DBRW($B$3,Input!$D$9,Input!E$11,$M$1,Input!$G$9,Input!$J$9,$D$60,Input!$B94,$K$1)</f>
        <v>-13.417027345538628</v>
      </c>
      <c r="F94" s="24">
        <f>_xll.DBRW($B$3,Input!$D$9,Input!F$11,$M$1,Input!$G$9,Input!$J$9,$D$60,Input!$B94,$K$1)</f>
        <v>-8.795693076929183</v>
      </c>
      <c r="G94" s="24">
        <f>_xll.DBRW($B$3,Input!$D$9,Input!G$11,$M$1,Input!$G$9,Input!$J$9,$D$60,Input!$B94,$K$1)</f>
        <v>14.349532991304443</v>
      </c>
      <c r="H94" s="24">
        <f>_xll.DBRW($B$3,Input!$D$9,Input!H$11,$M$1,Input!$G$9,Input!$J$9,$D$60,Input!$B94,$K$1)</f>
        <v>-238.70290808068103</v>
      </c>
      <c r="I94" s="24">
        <f>_xll.DBRW($B$3,Input!$D$9,Input!I$11,$M$1,Input!$G$9,Input!$J$9,$D$60,Input!$B94,$K$1)</f>
        <v>135.25776083293991</v>
      </c>
      <c r="J94" s="24">
        <f>_xll.DBRW($B$3,Input!$D$9,Input!J$11,$M$1,Input!$G$9,Input!$J$9,$D$60,Input!$B94,$K$1)</f>
        <v>183.03942646207867</v>
      </c>
      <c r="K94" s="24">
        <f>_xll.DBRW($B$3,Input!$D$9,Input!K$11,$M$1,Input!$G$9,Input!$J$9,$D$60,Input!$B94,$K$1)</f>
        <v>207.15247585681317</v>
      </c>
      <c r="L94" s="24">
        <f>_xll.DBRW($B$3,Input!$D$9,Input!L$11,$M$1,Input!$G$9,Input!$J$9,$D$60,Input!$B94,$K$1)</f>
        <v>211.1683113255412</v>
      </c>
      <c r="M94" s="24">
        <f>_xll.DBRW($B$3,Input!$D$9,Input!M$11,$M$1,Input!$G$9,Input!$J$9,$D$60,Input!$B94,$K$1)</f>
        <v>157.62232310519292</v>
      </c>
      <c r="N94" s="24">
        <f>_xll.DBRW($B$3,Input!$D$9,Input!N$11,$M$1,Input!$G$9,Input!$J$9,$D$60,Input!$B94,$K$1)</f>
        <v>142.17773918848332</v>
      </c>
    </row>
    <row r="95" spans="2:14" ht="15.75" customHeight="1" x14ac:dyDescent="0.25">
      <c r="B95"/>
      <c r="C95"/>
      <c r="D95"/>
      <c r="E95"/>
      <c r="F95"/>
      <c r="G95"/>
      <c r="H95"/>
      <c r="I95"/>
      <c r="J95"/>
      <c r="K95"/>
      <c r="L95"/>
      <c r="M95"/>
      <c r="N95"/>
    </row>
    <row r="96" spans="2:14" ht="15.75" customHeight="1" thickBot="1" x14ac:dyDescent="0.3">
      <c r="B96" s="12"/>
    </row>
    <row r="97" spans="2:14" ht="15.75" customHeight="1" thickTop="1" x14ac:dyDescent="0.25">
      <c r="B97" s="11" t="s">
        <v>80</v>
      </c>
    </row>
    <row r="99" spans="2:14" ht="15.75" customHeight="1" x14ac:dyDescent="0.25">
      <c r="B99" s="7"/>
      <c r="C99" s="20" t="str">
        <f t="shared" ref="C99:N99" si="7">$D$9&amp;"."&amp;C$11</f>
        <v>2025.01</v>
      </c>
      <c r="D99" s="20" t="str">
        <f t="shared" si="7"/>
        <v>2025.02</v>
      </c>
      <c r="E99" s="20" t="str">
        <f t="shared" si="7"/>
        <v>2025.03</v>
      </c>
      <c r="F99" s="20" t="str">
        <f t="shared" si="7"/>
        <v>2025.04</v>
      </c>
      <c r="G99" s="20" t="str">
        <f t="shared" si="7"/>
        <v>2025.05</v>
      </c>
      <c r="H99" s="20" t="str">
        <f t="shared" si="7"/>
        <v>2025.06</v>
      </c>
      <c r="I99" s="20" t="str">
        <f t="shared" si="7"/>
        <v>2025.07</v>
      </c>
      <c r="J99" s="20" t="str">
        <f t="shared" si="7"/>
        <v>2025.08</v>
      </c>
      <c r="K99" s="20" t="str">
        <f t="shared" si="7"/>
        <v>2025.09</v>
      </c>
      <c r="L99" s="20" t="str">
        <f t="shared" si="7"/>
        <v>2025.10</v>
      </c>
      <c r="M99" s="20" t="str">
        <f t="shared" si="7"/>
        <v>2025.11</v>
      </c>
      <c r="N99" s="20" t="str">
        <f t="shared" si="7"/>
        <v>2025.12</v>
      </c>
    </row>
    <row r="100" spans="2:14" ht="15.75" customHeight="1" x14ac:dyDescent="0.25">
      <c r="B100" s="28" t="s">
        <v>79</v>
      </c>
      <c r="C100" s="29">
        <f>_xll.DBRW($C$1,Input!$D$9,Input!C$11,$M$1,Input!$J$9,Input!$B100,$K$1)</f>
        <v>0.4</v>
      </c>
      <c r="D100" s="29">
        <f>_xll.DBRW($C$1,Input!$D$9,Input!D$11,$M$1,Input!$J$9,Input!$B100,$K$1)</f>
        <v>0.4</v>
      </c>
      <c r="E100" s="29">
        <f>_xll.DBRW($C$1,Input!$D$9,Input!E$11,$M$1,Input!$J$9,Input!$B100,$K$1)</f>
        <v>0.4</v>
      </c>
      <c r="F100" s="29">
        <f>_xll.DBRW($C$1,Input!$D$9,Input!F$11,$M$1,Input!$J$9,Input!$B100,$K$1)</f>
        <v>0.4</v>
      </c>
      <c r="G100" s="29">
        <f>_xll.DBRW($C$1,Input!$D$9,Input!G$11,$M$1,Input!$J$9,Input!$B100,$K$1)</f>
        <v>0.4</v>
      </c>
      <c r="H100" s="29">
        <f>_xll.DBRW($C$1,Input!$D$9,Input!H$11,$M$1,Input!$J$9,Input!$B100,$K$1)</f>
        <v>0.4</v>
      </c>
      <c r="I100" s="29">
        <f>_xll.DBRW($C$1,Input!$D$9,Input!I$11,$M$1,Input!$J$9,Input!$B100,$K$1)</f>
        <v>0.4</v>
      </c>
      <c r="J100" s="29">
        <f>_xll.DBRW($C$1,Input!$D$9,Input!J$11,$M$1,Input!$J$9,Input!$B100,$K$1)</f>
        <v>0.4</v>
      </c>
      <c r="K100" s="29">
        <f>_xll.DBRW($C$1,Input!$D$9,Input!K$11,$M$1,Input!$J$9,Input!$B100,$K$1)</f>
        <v>0.4</v>
      </c>
      <c r="L100" s="29">
        <f>_xll.DBRW($C$1,Input!$D$9,Input!L$11,$M$1,Input!$J$9,Input!$B100,$K$1)</f>
        <v>0.4</v>
      </c>
      <c r="M100" s="29">
        <f>_xll.DBRW($C$1,Input!$D$9,Input!M$11,$M$1,Input!$J$9,Input!$B100,$K$1)</f>
        <v>0.4</v>
      </c>
      <c r="N100" s="29">
        <f>_xll.DBRW($C$1,Input!$D$9,Input!N$11,$M$1,Input!$J$9,Input!$B100,$K$1)</f>
        <v>0.4</v>
      </c>
    </row>
    <row r="101" spans="2:14" ht="15.75" customHeight="1" x14ac:dyDescent="0.25">
      <c r="B101" s="27" t="s">
        <v>81</v>
      </c>
      <c r="C101" s="24">
        <f>_xll.DBRW($B$3,Input!$D$9,Input!C$11,$M$1,Input!$G$9,Input!$J$9,$D$60,Input!$B101,$K$1)</f>
        <v>188.06864609232889</v>
      </c>
      <c r="D101" s="24">
        <f>_xll.DBRW($B$3,Input!$D$9,Input!D$11,$M$1,Input!$G$9,Input!$J$9,$D$60,Input!$B101,$K$1)</f>
        <v>-80.342453807997344</v>
      </c>
      <c r="E101" s="24">
        <f>_xll.DBRW($B$3,Input!$D$9,Input!E$11,$M$1,Input!$G$9,Input!$J$9,$D$60,Input!$B101,$K$1)</f>
        <v>-5.3668109382154014</v>
      </c>
      <c r="F101" s="24">
        <f>_xll.DBRW($B$3,Input!$D$9,Input!F$11,$M$1,Input!$G$9,Input!$J$9,$D$60,Input!$B101,$K$1)</f>
        <v>-3.5182772307715098</v>
      </c>
      <c r="G101" s="24">
        <f>_xll.DBRW($B$3,Input!$D$9,Input!G$11,$M$1,Input!$G$9,Input!$J$9,$D$60,Input!$B101,$K$1)</f>
        <v>5.7398131965218226</v>
      </c>
      <c r="H101" s="24">
        <f>_xll.DBRW($B$3,Input!$D$9,Input!H$11,$M$1,Input!$G$9,Input!$J$9,$D$60,Input!$B101,$K$1)</f>
        <v>-95.481163232272337</v>
      </c>
      <c r="I101" s="24">
        <f>_xll.DBRW($B$3,Input!$D$9,Input!I$11,$M$1,Input!$G$9,Input!$J$9,$D$60,Input!$B101,$K$1)</f>
        <v>54.103104333175992</v>
      </c>
      <c r="J101" s="24">
        <f>_xll.DBRW($B$3,Input!$D$9,Input!J$11,$M$1,Input!$G$9,Input!$J$9,$D$60,Input!$B101,$K$1)</f>
        <v>73.215770584831375</v>
      </c>
      <c r="K101" s="24">
        <f>_xll.DBRW($B$3,Input!$D$9,Input!K$11,$M$1,Input!$G$9,Input!$J$9,$D$60,Input!$B101,$K$1)</f>
        <v>82.860990342725245</v>
      </c>
      <c r="L101" s="24">
        <f>_xll.DBRW($B$3,Input!$D$9,Input!L$11,$M$1,Input!$G$9,Input!$J$9,$D$60,Input!$B101,$K$1)</f>
        <v>84.467324530216416</v>
      </c>
      <c r="M101" s="24">
        <f>_xll.DBRW($B$3,Input!$D$9,Input!M$11,$M$1,Input!$G$9,Input!$J$9,$D$60,Input!$B101,$K$1)</f>
        <v>63.048929242077172</v>
      </c>
      <c r="N101" s="24">
        <f>_xll.DBRW($B$3,Input!$D$9,Input!N$11,$M$1,Input!$G$9,Input!$J$9,$D$60,Input!$B101,$K$1)</f>
        <v>56.87109567539337</v>
      </c>
    </row>
    <row r="102" spans="2:14" ht="15.75" customHeight="1" x14ac:dyDescent="0.25">
      <c r="B102" s="27" t="s">
        <v>80</v>
      </c>
      <c r="C102" s="24">
        <f>_xll.DBRW($B$3,Input!$D$9,Input!C$11,$M$1,Input!$G$9,Input!$J$9,$D$60,Input!$B102,$K$1)</f>
        <v>658.24026132315112</v>
      </c>
      <c r="D102" s="24">
        <f>_xll.DBRW($B$3,Input!$D$9,Input!D$11,$M$1,Input!$G$9,Input!$J$9,$D$60,Input!$B102,$K$1)</f>
        <v>-281.19858832799099</v>
      </c>
      <c r="E102" s="24">
        <f>_xll.DBRW($B$3,Input!$D$9,Input!E$11,$M$1,Input!$G$9,Input!$J$9,$D$60,Input!$B102,$K$1)</f>
        <v>-18.783838283754022</v>
      </c>
      <c r="F102" s="24">
        <f>_xll.DBRW($B$3,Input!$D$9,Input!F$11,$M$1,Input!$G$9,Input!$J$9,$D$60,Input!$B102,$K$1)</f>
        <v>-12.313970307700572</v>
      </c>
      <c r="G102" s="24">
        <f>_xll.DBRW($B$3,Input!$D$9,Input!G$11,$M$1,Input!$G$9,Input!$J$9,$D$60,Input!$B102,$K$1)</f>
        <v>20.089346187826038</v>
      </c>
      <c r="H102" s="24">
        <f>_xll.DBRW($B$3,Input!$D$9,Input!H$11,$M$1,Input!$G$9,Input!$J$9,$D$60,Input!$B102,$K$1)</f>
        <v>-334.18407131295328</v>
      </c>
      <c r="I102" s="24">
        <f>_xll.DBRW($B$3,Input!$D$9,Input!I$11,$M$1,Input!$G$9,Input!$J$9,$D$60,Input!$B102,$K$1)</f>
        <v>189.36086516611579</v>
      </c>
      <c r="J102" s="24">
        <f>_xll.DBRW($B$3,Input!$D$9,Input!J$11,$M$1,Input!$G$9,Input!$J$9,$D$60,Input!$B102,$K$1)</f>
        <v>256.25519704690981</v>
      </c>
      <c r="K102" s="24">
        <f>_xll.DBRW($B$3,Input!$D$9,Input!K$11,$M$1,Input!$G$9,Input!$J$9,$D$60,Input!$B102,$K$1)</f>
        <v>290.01346619953853</v>
      </c>
      <c r="L102" s="24">
        <f>_xll.DBRW($B$3,Input!$D$9,Input!L$11,$M$1,Input!$G$9,Input!$J$9,$D$60,Input!$B102,$K$1)</f>
        <v>295.63563585575753</v>
      </c>
      <c r="M102" s="24">
        <f>_xll.DBRW($B$3,Input!$D$9,Input!M$11,$M$1,Input!$G$9,Input!$J$9,$D$60,Input!$B102,$K$1)</f>
        <v>220.6712523472701</v>
      </c>
      <c r="N102" s="24">
        <f>_xll.DBRW($B$3,Input!$D$9,Input!N$11,$M$1,Input!$G$9,Input!$J$9,$D$60,Input!$B102,$K$1)</f>
        <v>199.04883486387666</v>
      </c>
    </row>
  </sheetData>
  <mergeCells count="3">
    <mergeCell ref="D31:F31"/>
    <mergeCell ref="D44:F44"/>
    <mergeCell ref="D60:F60"/>
  </mergeCells>
  <phoneticPr fontId="13" type="noConversion"/>
  <conditionalFormatting sqref="C13:N27">
    <cfRule type="expression" dxfId="0" priority="1">
      <formula>C$5="ACTUAL"</formula>
    </cfRule>
  </conditionalFormatting>
  <dataValidations count="1">
    <dataValidation type="list" errorStyle="information" allowBlank="1" showInputMessage="1" sqref="D5:N5" xr:uid="{B88A5EB6-4886-440E-848F-AB6769267F0A}">
      <formula1>cafe_validation_temp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7A7D-63DD-4584-859A-F1686D3A6FB8}">
  <dimension ref="C2:K23"/>
  <sheetViews>
    <sheetView showGridLines="0" showRowColHeaders="0" zoomScaleNormal="100" workbookViewId="0"/>
  </sheetViews>
  <sheetFormatPr defaultColWidth="12.42578125" defaultRowHeight="20.25" x14ac:dyDescent="0.25"/>
  <cols>
    <col min="1" max="2" width="12.42578125" style="1"/>
    <col min="3" max="3" width="43.42578125" style="1" customWidth="1"/>
    <col min="4" max="11" width="19" style="1" customWidth="1"/>
    <col min="12" max="16384" width="12.42578125" style="1"/>
  </cols>
  <sheetData>
    <row r="2" spans="3:11" ht="56.25" thickBot="1" x14ac:dyDescent="0.3">
      <c r="C2" s="2"/>
      <c r="D2" s="3"/>
    </row>
    <row r="3" spans="3:11" ht="56.25" thickTop="1" x14ac:dyDescent="0.25">
      <c r="C3" s="4" t="s">
        <v>31</v>
      </c>
    </row>
    <row r="4" spans="3:11" ht="34.5" x14ac:dyDescent="0.25">
      <c r="C4" s="5" t="s">
        <v>32</v>
      </c>
    </row>
    <row r="7" spans="3:11" s="6" customFormat="1" ht="50.1" customHeight="1" x14ac:dyDescent="0.25">
      <c r="C7" s="7"/>
      <c r="D7" s="8">
        <v>2020</v>
      </c>
      <c r="E7" s="8">
        <v>2021</v>
      </c>
      <c r="F7" s="8">
        <v>2022</v>
      </c>
      <c r="G7" s="8">
        <v>2023</v>
      </c>
      <c r="H7" s="8">
        <v>2024</v>
      </c>
      <c r="I7" s="8">
        <v>2025</v>
      </c>
      <c r="J7" s="8">
        <v>2026</v>
      </c>
      <c r="K7" s="8">
        <v>2027</v>
      </c>
    </row>
    <row r="8" spans="3:11" ht="33" customHeight="1" x14ac:dyDescent="0.25">
      <c r="C8" s="9" t="s">
        <v>33</v>
      </c>
      <c r="D8" s="10" t="s">
        <v>34</v>
      </c>
      <c r="E8" s="10" t="s">
        <v>34</v>
      </c>
      <c r="F8" s="10" t="s">
        <v>34</v>
      </c>
      <c r="G8" s="10" t="s">
        <v>34</v>
      </c>
      <c r="H8" s="10" t="s">
        <v>34</v>
      </c>
      <c r="I8" s="10" t="s">
        <v>34</v>
      </c>
      <c r="J8" s="10" t="s">
        <v>34</v>
      </c>
      <c r="K8" s="10" t="s">
        <v>34</v>
      </c>
    </row>
    <row r="9" spans="3:11" ht="33" customHeight="1" x14ac:dyDescent="0.25">
      <c r="C9" s="9" t="s">
        <v>35</v>
      </c>
      <c r="D9" s="10" t="s">
        <v>34</v>
      </c>
      <c r="E9" s="10" t="s">
        <v>34</v>
      </c>
      <c r="F9" s="10" t="s">
        <v>34</v>
      </c>
      <c r="G9" s="10" t="s">
        <v>34</v>
      </c>
      <c r="H9" s="10" t="s">
        <v>34</v>
      </c>
      <c r="I9" s="10" t="s">
        <v>34</v>
      </c>
      <c r="J9" s="10" t="s">
        <v>34</v>
      </c>
      <c r="K9" s="10" t="s">
        <v>34</v>
      </c>
    </row>
    <row r="10" spans="3:11" ht="33" customHeight="1" x14ac:dyDescent="0.25">
      <c r="C10" s="9" t="s">
        <v>36</v>
      </c>
      <c r="D10" s="10" t="s">
        <v>34</v>
      </c>
      <c r="E10" s="10" t="s">
        <v>34</v>
      </c>
      <c r="F10" s="10" t="s">
        <v>34</v>
      </c>
      <c r="G10" s="10" t="s">
        <v>34</v>
      </c>
      <c r="H10" s="10" t="s">
        <v>34</v>
      </c>
      <c r="I10" s="10" t="s">
        <v>34</v>
      </c>
      <c r="J10" s="10" t="s">
        <v>34</v>
      </c>
      <c r="K10" s="10" t="s">
        <v>34</v>
      </c>
    </row>
    <row r="11" spans="3:11" ht="33" customHeight="1" x14ac:dyDescent="0.25">
      <c r="C11" s="9" t="s">
        <v>37</v>
      </c>
      <c r="D11" s="10" t="s">
        <v>34</v>
      </c>
      <c r="E11" s="10" t="s">
        <v>34</v>
      </c>
      <c r="F11" s="10" t="s">
        <v>34</v>
      </c>
      <c r="G11" s="10" t="s">
        <v>34</v>
      </c>
      <c r="H11" s="10" t="s">
        <v>34</v>
      </c>
      <c r="I11" s="10" t="s">
        <v>34</v>
      </c>
      <c r="J11" s="10" t="s">
        <v>34</v>
      </c>
      <c r="K11" s="10" t="s">
        <v>34</v>
      </c>
    </row>
    <row r="12" spans="3:11" ht="33" customHeight="1" x14ac:dyDescent="0.25">
      <c r="C12" s="9" t="s">
        <v>38</v>
      </c>
      <c r="D12" s="10" t="s">
        <v>34</v>
      </c>
      <c r="E12" s="10" t="s">
        <v>34</v>
      </c>
      <c r="F12" s="10" t="s">
        <v>34</v>
      </c>
      <c r="G12" s="10" t="s">
        <v>34</v>
      </c>
      <c r="H12" s="10" t="s">
        <v>34</v>
      </c>
      <c r="I12" s="10" t="s">
        <v>34</v>
      </c>
      <c r="J12" s="10" t="s">
        <v>34</v>
      </c>
      <c r="K12" s="10" t="s">
        <v>34</v>
      </c>
    </row>
    <row r="13" spans="3:11" ht="33" customHeight="1" x14ac:dyDescent="0.25">
      <c r="C13" s="9" t="s">
        <v>39</v>
      </c>
      <c r="D13" s="10" t="s">
        <v>34</v>
      </c>
      <c r="E13" s="10" t="s">
        <v>34</v>
      </c>
      <c r="F13" s="10" t="s">
        <v>34</v>
      </c>
      <c r="G13" s="10" t="s">
        <v>34</v>
      </c>
      <c r="H13" s="10" t="s">
        <v>34</v>
      </c>
      <c r="I13" s="10" t="s">
        <v>34</v>
      </c>
      <c r="J13" s="10" t="s">
        <v>34</v>
      </c>
      <c r="K13" s="10" t="s">
        <v>34</v>
      </c>
    </row>
    <row r="14" spans="3:11" ht="33" customHeight="1" x14ac:dyDescent="0.25">
      <c r="C14" s="9" t="s">
        <v>40</v>
      </c>
      <c r="D14" s="10" t="s">
        <v>34</v>
      </c>
      <c r="E14" s="10" t="s">
        <v>34</v>
      </c>
      <c r="F14" s="10" t="s">
        <v>34</v>
      </c>
      <c r="G14" s="10" t="s">
        <v>34</v>
      </c>
      <c r="H14" s="10" t="s">
        <v>34</v>
      </c>
      <c r="I14" s="10" t="s">
        <v>34</v>
      </c>
      <c r="J14" s="10" t="s">
        <v>34</v>
      </c>
      <c r="K14" s="10" t="s">
        <v>34</v>
      </c>
    </row>
    <row r="15" spans="3:11" ht="33" customHeight="1" x14ac:dyDescent="0.25">
      <c r="C15" s="9" t="s">
        <v>41</v>
      </c>
      <c r="D15" s="10" t="s">
        <v>34</v>
      </c>
      <c r="E15" s="10" t="s">
        <v>34</v>
      </c>
      <c r="F15" s="10" t="s">
        <v>34</v>
      </c>
      <c r="G15" s="10" t="s">
        <v>34</v>
      </c>
      <c r="H15" s="10" t="s">
        <v>34</v>
      </c>
      <c r="I15" s="10" t="s">
        <v>34</v>
      </c>
      <c r="J15" s="10" t="s">
        <v>34</v>
      </c>
      <c r="K15" s="10" t="s">
        <v>34</v>
      </c>
    </row>
    <row r="16" spans="3:11" ht="33" customHeight="1" x14ac:dyDescent="0.25">
      <c r="C16" s="9" t="s">
        <v>42</v>
      </c>
      <c r="D16" s="10" t="s">
        <v>34</v>
      </c>
      <c r="E16" s="10" t="s">
        <v>34</v>
      </c>
      <c r="F16" s="10" t="s">
        <v>34</v>
      </c>
      <c r="G16" s="10" t="s">
        <v>34</v>
      </c>
      <c r="H16" s="10" t="s">
        <v>34</v>
      </c>
      <c r="I16" s="10" t="s">
        <v>34</v>
      </c>
      <c r="J16" s="10" t="s">
        <v>34</v>
      </c>
      <c r="K16" s="10" t="s">
        <v>34</v>
      </c>
    </row>
    <row r="17" spans="3:11" ht="33" customHeight="1" x14ac:dyDescent="0.25">
      <c r="C17" s="9" t="s">
        <v>43</v>
      </c>
      <c r="D17" s="10" t="s">
        <v>34</v>
      </c>
      <c r="E17" s="10" t="s">
        <v>34</v>
      </c>
      <c r="F17" s="10" t="s">
        <v>34</v>
      </c>
      <c r="G17" s="10" t="s">
        <v>34</v>
      </c>
      <c r="H17" s="10" t="s">
        <v>34</v>
      </c>
      <c r="I17" s="10" t="s">
        <v>34</v>
      </c>
      <c r="J17" s="10" t="s">
        <v>34</v>
      </c>
      <c r="K17" s="10" t="s">
        <v>34</v>
      </c>
    </row>
    <row r="18" spans="3:11" ht="33" customHeight="1" x14ac:dyDescent="0.25">
      <c r="C18" s="9" t="s">
        <v>44</v>
      </c>
      <c r="D18" s="10" t="s">
        <v>34</v>
      </c>
      <c r="E18" s="10" t="s">
        <v>34</v>
      </c>
      <c r="F18" s="10" t="s">
        <v>34</v>
      </c>
      <c r="G18" s="10" t="s">
        <v>34</v>
      </c>
      <c r="H18" s="10" t="s">
        <v>34</v>
      </c>
      <c r="I18" s="10" t="s">
        <v>34</v>
      </c>
      <c r="J18" s="10" t="s">
        <v>34</v>
      </c>
      <c r="K18" s="10" t="s">
        <v>34</v>
      </c>
    </row>
    <row r="21" spans="3:11" x14ac:dyDescent="0.25">
      <c r="C21" s="32" t="s">
        <v>45</v>
      </c>
      <c r="D21" s="32"/>
      <c r="E21" s="32"/>
      <c r="F21" s="32"/>
      <c r="G21" s="32"/>
      <c r="H21" s="32"/>
      <c r="I21" s="32"/>
      <c r="J21" s="32"/>
      <c r="K21" s="32"/>
    </row>
    <row r="22" spans="3:11" x14ac:dyDescent="0.25">
      <c r="C22" s="32"/>
      <c r="D22" s="32"/>
      <c r="E22" s="32"/>
      <c r="F22" s="32"/>
      <c r="G22" s="32"/>
      <c r="H22" s="32"/>
      <c r="I22" s="32"/>
      <c r="J22" s="32"/>
      <c r="K22" s="32"/>
    </row>
    <row r="23" spans="3:11" x14ac:dyDescent="0.25">
      <c r="C23" s="32"/>
      <c r="D23" s="32"/>
      <c r="E23" s="32"/>
      <c r="F23" s="32"/>
      <c r="G23" s="32"/>
      <c r="H23" s="32"/>
      <c r="I23" s="32"/>
      <c r="J23" s="32"/>
      <c r="K23" s="32"/>
    </row>
  </sheetData>
  <mergeCells count="1">
    <mergeCell ref="C21:K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1413-80D0-4C6B-8C2B-6F3533A7D1B7}">
  <dimension ref="A1"/>
  <sheetViews>
    <sheetView workbookViewId="0"/>
  </sheetViews>
  <sheetFormatPr defaultRowHeight="15" x14ac:dyDescent="0.25"/>
  <sheetData/>
  <pageMargins left="0.511811024" right="0.511811024" top="0.78740157499999996" bottom="0.78740157499999996" header="0.31496062000000002" footer="0.31496062000000002"/>
  <customProperties>
    <customPr name="CafeStyleVersion"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a05545a-2b2e-426f-ac34-2c1b9c2bc61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DE8AD4D95D7F445A2895D0644042872" ma:contentTypeVersion="18" ma:contentTypeDescription="Create a new document." ma:contentTypeScope="" ma:versionID="61d509613791b4b698d7389fe2d934ec">
  <xsd:schema xmlns:xsd="http://www.w3.org/2001/XMLSchema" xmlns:xs="http://www.w3.org/2001/XMLSchema" xmlns:p="http://schemas.microsoft.com/office/2006/metadata/properties" xmlns:ns3="3b3f7668-f8c7-4f2d-9222-b5a7b53abe03" xmlns:ns4="ca05545a-2b2e-426f-ac34-2c1b9c2bc617" targetNamespace="http://schemas.microsoft.com/office/2006/metadata/properties" ma:root="true" ma:fieldsID="b4731dd100d825b9bc86c6a4e7f927ad" ns3:_="" ns4:_="">
    <xsd:import namespace="3b3f7668-f8c7-4f2d-9222-b5a7b53abe03"/>
    <xsd:import namespace="ca05545a-2b2e-426f-ac34-2c1b9c2bc61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LengthInSeconds" minOccurs="0"/>
                <xsd:element ref="ns4:_activity" minOccurs="0"/>
                <xsd:element ref="ns4:MediaServiceLocation"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f7668-f8c7-4f2d-9222-b5a7b53abe0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05545a-2b2e-426f-ac34-2c1b9c2bc61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81D0CD-F97E-42F9-8733-3AEA8347BA90}">
  <ds:schemaRefs>
    <ds:schemaRef ds:uri="ca05545a-2b2e-426f-ac34-2c1b9c2bc617"/>
    <ds:schemaRef ds:uri="http://schemas.microsoft.com/office/2006/metadata/properties"/>
    <ds:schemaRef ds:uri="http://www.w3.org/XML/1998/namespace"/>
    <ds:schemaRef ds:uri="http://purl.org/dc/dcmityp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3b3f7668-f8c7-4f2d-9222-b5a7b53abe03"/>
    <ds:schemaRef ds:uri="http://purl.org/dc/elements/1.1/"/>
  </ds:schemaRefs>
</ds:datastoreItem>
</file>

<file path=customXml/itemProps2.xml><?xml version="1.0" encoding="utf-8"?>
<ds:datastoreItem xmlns:ds="http://schemas.openxmlformats.org/officeDocument/2006/customXml" ds:itemID="{AFE6EC82-4D3A-4E00-A11E-CF1ADB20BF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f7668-f8c7-4f2d-9222-b5a7b53abe03"/>
    <ds:schemaRef ds:uri="ca05545a-2b2e-426f-ac34-2c1b9c2bc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A11BB5-5885-44C1-90DA-3F0647591A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Input</vt:lpstr>
      <vt:lpstr>Data Table Style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Miranda</dc:creator>
  <cp:lastModifiedBy>Felipe Miranda</cp:lastModifiedBy>
  <dcterms:created xsi:type="dcterms:W3CDTF">2026-03-10T17:26:26Z</dcterms:created>
  <dcterms:modified xsi:type="dcterms:W3CDTF">2026-03-17T20:05:01Z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0x010100CDE8AD4D95D7F445A2895D0644042872</vt:lpwstr>
  </property>
</Properties>
</file>