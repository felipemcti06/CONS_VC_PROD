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élderAraújo\AppData\Local\Temp\"/>
    </mc:Choice>
  </mc:AlternateContent>
  <xr:revisionPtr revIDLastSave="0" documentId="8_{07CC014D-C5E2-4502-A29E-3D4D44061FA4}" xr6:coauthVersionLast="47" xr6:coauthVersionMax="47" xr10:uidLastSave="{00000000-0000-0000-0000-000000000000}"/>
  <bookViews>
    <workbookView xWindow="-108" yWindow="-108" windowWidth="23256" windowHeight="12456" xr2:uid="{BB823255-D40A-40F0-8F74-A9259DF4884F}"/>
  </bookViews>
  <sheets>
    <sheet name="Value Tree" sheetId="1" r:id="rId1"/>
    <sheet name="Menu" sheetId="6" state="hidden" r:id="rId2"/>
    <sheet name="Cognos_Office_Connection_Cache" sheetId="3" state="veryHidden" r:id="rId3"/>
    <sheet name="Planilha3" sheetId="4" state="hidden" r:id="rId4"/>
    <sheet name="Planilha1" sheetId="5" state="hidden" r:id="rId5"/>
    <sheet name="Planilha2" sheetId="2" state="hidden" r:id="rId6"/>
  </sheets>
  <externalReferences>
    <externalReference r:id="rId7"/>
    <externalReference r:id="rId8"/>
    <externalReference r:id="rId9"/>
  </externalReferences>
  <definedNames>
    <definedName name="_____ACC2" hidden="1">'[1]DIF FAT FEV 01'!$X$13:$Y$40</definedName>
    <definedName name="____ACC2" hidden="1">'[1]DIF FAT FEV 01'!$X$13:$Y$40</definedName>
    <definedName name="___ACC2" hidden="1">'[1]DIF FAT FEV 01'!$X$13:$Y$40</definedName>
    <definedName name="__123Graph_A" hidden="1">'[2]80-90'!$A$1:$A$1</definedName>
    <definedName name="__123Graph_B" hidden="1">#REF!</definedName>
    <definedName name="__123Graph_X" hidden="1">#REF!</definedName>
    <definedName name="__ACC2" hidden="1">#REF!</definedName>
    <definedName name="_ACC2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4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Bin" localSheetId="0" hidden="1">[3]ACUMULADO!#REF!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0</definedName>
    <definedName name="_Order2" hidden="1">255</definedName>
    <definedName name="_Regression_Int" hidden="1">1</definedName>
    <definedName name="_Sort" localSheetId="0" hidden="1">#REF!</definedName>
    <definedName name="_Sort" hidden="1">#REF!</definedName>
    <definedName name="aaaaaaaaaaaaaaaaaaaaaaaaaa" hidden="1">"(GMT-03:00)24/06/2015 16:31:05"</definedName>
    <definedName name="anscount" hidden="1">3</definedName>
    <definedName name="as" localSheetId="0" hidden="1">[3]ACUMULADO!#REF!</definedName>
    <definedName name="as" hidden="1">#REF!</definedName>
    <definedName name="cimento" localSheetId="0" hidden="1">{#N/A,#N/A,FALSE,"Sudeste";#N/A,#N/A,FALSE,"Sul";#N/A,#N/A,FALSE,"CCRG"}</definedName>
    <definedName name="cimento" hidden="1">{#N/A,#N/A,FALSE,"Sudeste";#N/A,#N/A,FALSE,"Sul";#N/A,#N/A,FALSE,"CCRG"}</definedName>
    <definedName name="CIQWBGuid" hidden="1">"2ab11585-d4fe-4c8d-8569-72429a0e99f3"</definedName>
    <definedName name="CO_MG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O_MG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Current_year">#REF!</definedName>
    <definedName name="CurrentForecast" localSheetId="0">#REF!</definedName>
    <definedName name="CurrentForecast">#REF!</definedName>
    <definedName name="CurrentMonth" localSheetId="0">#REF!</definedName>
    <definedName name="CurrentMonth">#REF!</definedName>
    <definedName name="Currentyear" localSheetId="0">#REF!</definedName>
    <definedName name="CurrentYear">#REF!</definedName>
    <definedName name="dias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dia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e" localSheetId="0" hidden="1">#REF!</definedName>
    <definedName name="e" hidden="1">#REF!</definedName>
    <definedName name="EPMWorkbookOptions_1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"q3vjqr64u7ezs3v39/7i+evpPF9k28WyabPlNP/IvjW7+a2PqNc0ffwqP6/zZv7l8stVvjw6z8omf3w3/JDbnZR5Vj/N2uzL5evsMjctux9zWzOWl3XV5tM2n5nW/S/C9lez9K58dNb8ZFYX2aTMv8jrCweh9zmRzoJV2h39P45h/1l2AQAA"</definedName>
    <definedName name="EV__EVCOM_OPTIONS__" hidden="1">8</definedName>
    <definedName name="EV__EXPOPTIONS__" hidden="1">0</definedName>
    <definedName name="EV__LASTREFTIME__" localSheetId="0" hidden="1">"(GMT-03:00)12/04/2016 15:38:57"</definedName>
    <definedName name="EV__LASTREFTIME__" hidden="1">"(GMT-03:00)07/12/2015 21:01:16"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localSheetId="0" hidden="1">134217734</definedName>
    <definedName name="EV__WBREFOPTIONS__" hidden="1">134217732</definedName>
    <definedName name="EV__WBVERSION__" hidden="1">0</definedName>
    <definedName name="fontes" localSheetId="0" hidden="1">{#N/A,#N/A,FALSE,"Sudeste";#N/A,#N/A,FALSE,"Sul";#N/A,#N/A,FALSE,"CCRG"}</definedName>
    <definedName name="fontes" hidden="1">{#N/A,#N/A,FALSE,"Sudeste";#N/A,#N/A,FALSE,"Sul";#N/A,#N/A,FALSE,"CCRG"}</definedName>
    <definedName name="gghahjdaks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gghahjdak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ara" localSheetId="0" hidden="1">{#N/A,#N/A,FALSE,"Sudeste";#N/A,#N/A,FALSE,"Sul";#N/A,#N/A,FALSE,"CCRG"}</definedName>
    <definedName name="Iara" hidden="1">{#N/A,#N/A,FALSE,"Sudeste";#N/A,#N/A,FALSE,"Sul";#N/A,#N/A,FALSE,"CCRG"}</definedName>
    <definedName name="ID" localSheetId="2" hidden="1">"2932d23e-2cdb-4331-8f8a-f64d7cedc816"</definedName>
    <definedName name="ID" localSheetId="1" hidden="1">"a1dd6865-043f-433a-88b4-cafa08028142"</definedName>
    <definedName name="ID" localSheetId="4" hidden="1">"793d430c-a81a-40ea-99ed-d7606bd499a8"</definedName>
    <definedName name="ID" localSheetId="5" hidden="1">"15cca2ef-8df2-412b-a9c8-e0af0ee291b6"</definedName>
    <definedName name="ID" localSheetId="3" hidden="1">"7df37f2f-7ea3-4403-a560-25c781bbb42e"</definedName>
    <definedName name="ID" localSheetId="0" hidden="1">"33b1baa1-50a0-47a6-aa95-686db93fc126"</definedName>
    <definedName name="iitttttttt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itttttttt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41422.7949537037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imcount" hidden="1">3</definedName>
    <definedName name="mes">#REF!</definedName>
    <definedName name="Month" localSheetId="0">#REF!</definedName>
    <definedName name="MonthName">#REF!</definedName>
    <definedName name="opeluf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eluf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OPRERACAO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l_Workbook_GUID" hidden="1">"JDXJ8FMPC49BCWZKIXJGW4BU"</definedName>
    <definedName name="pastas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asta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PriorYear" localSheetId="0">#REF!</definedName>
    <definedName name="PriorYear">#REF!</definedName>
    <definedName name="qoeiuat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qoeiuat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rr" hidden="1">#REF!</definedName>
    <definedName name="rrrrrrrrrrr" localSheetId="0" hidden="1">{#N/A,#N/A,FALSE,"Capa_I";#N/A,#N/A,FALSE,"Un_N_NE";#N/A,#N/A,FALSE,"Un_CO";#N/A,#N/A,FALSE,"Un_SP";#N/A,#N/A,FALSE,"Un_Sul";#N/A,#N/A,FALSE,"Ev_ex_mens";#N/A,#N/A,FALSE,"CCRG"}</definedName>
    <definedName name="rrrrrrrrrrr" hidden="1">{#N/A,#N/A,FALSE,"Capa_I";#N/A,#N/A,FALSE,"Un_N_NE";#N/A,#N/A,FALSE,"Un_CO";#N/A,#N/A,FALSE,"Un_SP";#N/A,#N/A,FALSE,"Un_Sul";#N/A,#N/A,FALSE,"Ev_ex_mens";#N/A,#N/A,FALSE,"CCRG"}</definedName>
    <definedName name="s" localSheetId="0" hidden="1">{#N/A,#N/A,FALSE,"Sudeste";#N/A,#N/A,FALSE,"Sul";#N/A,#N/A,FALSE,"CCRG"}</definedName>
    <definedName name="s" hidden="1">{#N/A,#N/A,FALSE,"Sudeste";#N/A,#N/A,FALSE,"Sul";#N/A,#N/A,FALSE,"CCRG"}</definedName>
    <definedName name="SAPBEXhrIndnt" hidden="1">1</definedName>
    <definedName name="SAPBEXrevision" hidden="1">14</definedName>
    <definedName name="SAPBEXsysID" hidden="1">"BW3"</definedName>
    <definedName name="SAPBEXwbID" hidden="1">"3SO04G3IWYENSZLK6QOKKYLB2"</definedName>
    <definedName name="sencount" hidden="1">3</definedName>
    <definedName name="tttttnnbbnn" localSheetId="0" hidden="1">{#N/A,#N/A,FALSE,"Sudeste";#N/A,#N/A,FALSE,"Sul";#N/A,#N/A,FALSE,"CCRG"}</definedName>
    <definedName name="tttttnnbbnn" hidden="1">{#N/A,#N/A,FALSE,"Sudeste";#N/A,#N/A,FALSE,"Sul";#N/A,#N/A,FALSE,"CCRG"}</definedName>
    <definedName name="ttttttrrrr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ttttttrrrr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volumes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" localSheetId="0" hidden="1">{#N/A,#N/A,FALSE,"Sudeste";#N/A,#N/A,FALSE,"Sul";#N/A,#N/A,FALSE,"CCRG"}</definedName>
    <definedName name="WRN" hidden="1">{#N/A,#N/A,FALSE,"Sudeste";#N/A,#N/A,FALSE,"Sul";#N/A,#N/A,FALSE,"CCRG"}</definedName>
    <definedName name="wrn.CONSOLIDADO." localSheetId="0" hidden="1">{#N/A,#N/A,FALSE,"CONSOLIDADO"}</definedName>
    <definedName name="wrn.CONSOLIDADO." hidden="1">{#N/A,#N/A,FALSE,"CONSOLIDADO"}</definedName>
    <definedName name="wrn.Exp." localSheetId="0" hidden="1">{#N/A,#N/A,FALSE,"Sudeste";#N/A,#N/A,FALSE,"Sul";#N/A,#N/A,FALSE,"CCRG"}</definedName>
    <definedName name="wrn.Exp." hidden="1">{#N/A,#N/A,FALSE,"Sudeste";#N/A,#N/A,FALSE,"Sul";#N/A,#N/A,FALSE,"CCRG"}</definedName>
    <definedName name="wrn.exped." localSheetId="0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." hidden="1">{#N/A,#N/A,FALSE,"Dados_Grupo";#N/A,#N/A,FALSE,"Dados_Grupo";#N/A,#N/A,FALSE,"Dados_Diários";#N/A,#N/A,FALSE,"Dados_Diários";#N/A,#N/A,FALSE,"Dados_Diários";#N/A,#N/A,FALSE,"Dados_Diários";#N/A,#N/A,FALSE,"Capa_I";#N/A,#N/A,FALSE,"Capa_I"}</definedName>
    <definedName name="wrn.Expedição." localSheetId="0" hidden="1">{#N/A,#N/A,FALSE,"Capa_I";#N/A,#N/A,FALSE,"Un_N_NE";#N/A,#N/A,FALSE,"Un_CO";#N/A,#N/A,FALSE,"Un_SP";#N/A,#N/A,FALSE,"Un_Sul";#N/A,#N/A,FALSE,"Ev_ex_mens";#N/A,#N/A,FALSE,"CCRG"}</definedName>
    <definedName name="wrn.Expedição." hidden="1">{#N/A,#N/A,FALSE,"Capa_I";#N/A,#N/A,FALSE,"Un_N_NE";#N/A,#N/A,FALSE,"Un_CO";#N/A,#N/A,FALSE,"Un_SP";#N/A,#N/A,FALSE,"Un_Sul";#N/A,#N/A,FALSE,"Ev_ex_mens";#N/A,#N/A,FALSE,"CCRG"}</definedName>
    <definedName name="wrn.imp_flx." localSheetId="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sdofinanceiro." localSheetId="0" hidden="1">{#N/A,#N/A,FALSE,"CONSOLIDADO";#N/A,#N/A,FALSE,"CIMENTO";#N/A,#N/A,FALSE,"METALURGIA";#N/A,#N/A,FALSE,"PAPEL";#N/A,#N/A,FALSE,"QUIMICA";#N/A,#N/A,FALSE,"AGROINDÚSTRIA";#N/A,#N/A,FALSE,"VINTERNACIONAL"}</definedName>
    <definedName name="wrn.sdofinanceiro." hidden="1">{#N/A,#N/A,FALSE,"CONSOLIDADO";#N/A,#N/A,FALSE,"CIMENTO";#N/A,#N/A,FALSE,"METALURGIA";#N/A,#N/A,FALSE,"PAPEL";#N/A,#N/A,FALSE,"QUIMICA";#N/A,#N/A,FALSE,"AGROINDÚSTRIA";#N/A,#N/A,FALSE,"VINTERNACIONAL"}</definedName>
    <definedName name="wrn.TUDO." localSheetId="0" hidden="1">{#N/A,#N/A,FALSE,"CONSMET";#N/A,#N/A,FALSE,"CBA";#N/A,#N/A,FALSE,"CMM";#N/A,#N/A,FALSE,"NIQUELTO";#N/A,#N/A,FALSE,"SBMANSA";#N/A,#N/A,FALSE,"ATLAS";#N/A,#N/A,FALSE,"STACRUZ";#N/A,#N/A,FALSE,"PIRAT"}</definedName>
    <definedName name="wrn.TUDO." hidden="1">{#N/A,#N/A,FALSE,"CONSMET";#N/A,#N/A,FALSE,"CBA";#N/A,#N/A,FALSE,"CMM";#N/A,#N/A,FALSE,"NIQUELTO";#N/A,#N/A,FALSE,"SBMANSA";#N/A,#N/A,FALSE,"ATLAS";#N/A,#N/A,FALSE,"STACRUZ";#N/A,#N/A,FALSE,"PIRAT"}</definedName>
    <definedName name="wwwww" localSheetId="0" hidden="1">{#N/A,#N/A,FALSE,"Sudeste";#N/A,#N/A,FALSE,"Sul";#N/A,#N/A,FALSE,"CCRG"}</definedName>
    <definedName name="wwwww" hidden="1">{#N/A,#N/A,FALSE,"Sudeste";#N/A,#N/A,FALSE,"Sul";#N/A,#N/A,FALSE,"CCRG"}</definedName>
    <definedName name="x" localSheetId="0" hidden="1">{#N/A,#N/A,FALSE,"Sudeste";#N/A,#N/A,FALSE,"Sul";#N/A,#N/A,FALSE,"CCRG"}</definedName>
    <definedName name="x" hidden="1">{#N/A,#N/A,FALSE,"Sudeste";#N/A,#N/A,FALSE,"Sul";#N/A,#N/A,FALSE,"CCRG"}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7" i="1" l="1"/>
  <c r="AP36" i="1"/>
  <c r="AP35" i="1"/>
  <c r="AN37" i="1"/>
  <c r="AN36" i="1"/>
  <c r="AN35" i="1"/>
  <c r="AP31" i="1"/>
  <c r="AP30" i="1"/>
  <c r="AP29" i="1"/>
  <c r="AN31" i="1"/>
  <c r="AN30" i="1"/>
  <c r="AN29" i="1"/>
  <c r="AP25" i="1"/>
  <c r="AP24" i="1"/>
  <c r="AP23" i="1"/>
  <c r="AN25" i="1"/>
  <c r="AN24" i="1"/>
  <c r="AN23" i="1"/>
  <c r="AP19" i="1"/>
  <c r="AP18" i="1"/>
  <c r="AP17" i="1"/>
  <c r="AN19" i="1"/>
  <c r="AN18" i="1"/>
  <c r="AN17" i="1"/>
  <c r="AP13" i="1"/>
  <c r="AP12" i="1"/>
  <c r="AP11" i="1"/>
  <c r="AN13" i="1"/>
  <c r="AN12" i="1"/>
  <c r="AN11" i="1"/>
  <c r="AP7" i="1"/>
  <c r="AP6" i="1"/>
  <c r="AP5" i="1"/>
  <c r="AN7" i="1"/>
  <c r="AN6" i="1"/>
  <c r="AN5" i="1"/>
  <c r="AI37" i="1"/>
  <c r="AI36" i="1"/>
  <c r="AI35" i="1"/>
  <c r="AG37" i="1"/>
  <c r="AG36" i="1"/>
  <c r="AG35" i="1"/>
  <c r="AI31" i="1"/>
  <c r="AI30" i="1"/>
  <c r="AI29" i="1"/>
  <c r="AG31" i="1"/>
  <c r="AG30" i="1"/>
  <c r="AG29" i="1"/>
  <c r="AI25" i="1"/>
  <c r="AI24" i="1"/>
  <c r="AI23" i="1"/>
  <c r="AG25" i="1"/>
  <c r="AG24" i="1"/>
  <c r="AG23" i="1"/>
  <c r="AI19" i="1"/>
  <c r="AI18" i="1"/>
  <c r="AI17" i="1"/>
  <c r="AG19" i="1"/>
  <c r="AG18" i="1"/>
  <c r="AG17" i="1"/>
  <c r="AI13" i="1"/>
  <c r="AI12" i="1"/>
  <c r="AI11" i="1"/>
  <c r="AG13" i="1"/>
  <c r="AG12" i="1"/>
  <c r="AG11" i="1"/>
  <c r="AI7" i="1"/>
  <c r="AI6" i="1"/>
  <c r="AI5" i="1"/>
  <c r="AG7" i="1"/>
  <c r="AG6" i="1"/>
  <c r="AG5" i="1"/>
  <c r="A10" i="1"/>
  <c r="A20" i="1"/>
  <c r="A23" i="1"/>
  <c r="AB7" i="1"/>
  <c r="AB13" i="1"/>
  <c r="A25" i="6" l="1"/>
  <c r="A22" i="6"/>
  <c r="A19" i="6"/>
  <c r="A13" i="6"/>
  <c r="A12" i="6"/>
  <c r="A9" i="6"/>
  <c r="A13" i="1"/>
  <c r="A26" i="1"/>
  <c r="A17" i="1"/>
  <c r="A18" i="1"/>
  <c r="N31" i="1"/>
  <c r="N19" i="1"/>
  <c r="S31" i="1" a="1"/>
  <c r="E25" i="1"/>
  <c r="Z31" i="1"/>
  <c r="N7" i="1" a="1"/>
  <c r="L25" i="1"/>
  <c r="S37" i="1"/>
  <c r="L37" i="1"/>
  <c r="S7" i="1" a="1"/>
  <c r="L13" i="1"/>
  <c r="AB31" i="1"/>
  <c r="U31" i="1" a="1"/>
  <c r="E13" i="1"/>
  <c r="N13" i="1"/>
  <c r="L19" i="1"/>
  <c r="L7" i="1" a="1"/>
  <c r="N25" i="1"/>
  <c r="U37" i="1"/>
  <c r="L31" i="1"/>
  <c r="G13" i="1"/>
  <c r="N37" i="1"/>
  <c r="U7" i="1" a="1"/>
  <c r="G25" i="1"/>
  <c r="E19" i="1"/>
  <c r="G19" i="1"/>
  <c r="S13" i="1"/>
  <c r="U13" i="1"/>
  <c r="Z13" i="1"/>
  <c r="Z7" i="1"/>
  <c r="U31" i="1" l="1"/>
  <c r="S31" i="1"/>
  <c r="S7" i="1"/>
  <c r="U7" i="1"/>
  <c r="N7" i="1"/>
  <c r="L7" i="1"/>
  <c r="AB25" i="1"/>
  <c r="Z25" i="1"/>
  <c r="AL36" i="1"/>
  <c r="AL6" i="1"/>
  <c r="AE18" i="1"/>
  <c r="Q36" i="1"/>
  <c r="C18" i="1"/>
  <c r="AL30" i="1"/>
  <c r="AL24" i="1"/>
  <c r="AE36" i="1"/>
  <c r="AE12" i="1"/>
  <c r="X24" i="1"/>
  <c r="Q30" i="1"/>
  <c r="J36" i="1"/>
  <c r="J12" i="1"/>
  <c r="C12" i="1"/>
  <c r="AL18" i="1"/>
  <c r="AE30" i="1"/>
  <c r="AE6" i="1"/>
  <c r="X12" i="1"/>
  <c r="Q24" i="1"/>
  <c r="J30" i="1"/>
  <c r="J6" i="1"/>
  <c r="AE24" i="1"/>
  <c r="X36" i="1"/>
  <c r="Q12" i="1"/>
  <c r="C24" i="1"/>
  <c r="X30" i="1"/>
  <c r="J18" i="1"/>
  <c r="AL12" i="1"/>
  <c r="X6" i="1"/>
  <c r="J24" i="1"/>
  <c r="Q6" i="1"/>
  <c r="AL35" i="1"/>
  <c r="AL11" i="1"/>
  <c r="AE23" i="1"/>
  <c r="X35" i="1"/>
  <c r="X5" i="1"/>
  <c r="Q11" i="1"/>
  <c r="J23" i="1"/>
  <c r="C23" i="1"/>
  <c r="AE17" i="1"/>
  <c r="J17" i="1"/>
  <c r="AL29" i="1"/>
  <c r="AE35" i="1"/>
  <c r="AE11" i="1"/>
  <c r="X23" i="1"/>
  <c r="Q29" i="1"/>
  <c r="J35" i="1"/>
  <c r="J11" i="1"/>
  <c r="AL23" i="1"/>
  <c r="X29" i="1"/>
  <c r="Q5" i="1"/>
  <c r="AL17" i="1"/>
  <c r="AE29" i="1"/>
  <c r="AE5" i="1"/>
  <c r="X11" i="1"/>
  <c r="Q23" i="1"/>
  <c r="J29" i="1"/>
  <c r="J5" i="1"/>
  <c r="AL5" i="1"/>
  <c r="Q35" i="1"/>
  <c r="C17" i="1"/>
  <c r="C11" i="1"/>
  <c r="B16" i="4"/>
  <c r="B13" i="4"/>
  <c r="B15" i="4"/>
  <c r="B14" i="4"/>
  <c r="B17" i="4"/>
  <c r="B2" i="5"/>
  <c r="B3" i="5"/>
  <c r="B4" i="5"/>
  <c r="B5" i="5"/>
  <c r="B6" i="5"/>
  <c r="B7" i="5"/>
  <c r="Z5" i="1"/>
  <c r="AB5" i="1"/>
  <c r="Z12" i="1"/>
  <c r="AB12" i="1"/>
  <c r="Z11" i="1"/>
  <c r="AB11" i="1"/>
  <c r="Z6" i="1"/>
  <c r="AB6" i="1"/>
  <c r="U12" i="1"/>
  <c r="S12" i="1"/>
  <c r="L11" i="1"/>
  <c r="G17" i="1"/>
  <c r="E17" i="1"/>
  <c r="E18" i="1"/>
  <c r="G18" i="1"/>
  <c r="U11" i="1"/>
  <c r="S11" i="1"/>
  <c r="G11" i="1"/>
  <c r="U35" i="1"/>
  <c r="N11" i="1"/>
  <c r="L29" i="1"/>
  <c r="S36" i="1"/>
  <c r="S29" i="1" a="1"/>
  <c r="L18" i="1"/>
  <c r="N29" i="1"/>
  <c r="N6" i="1" a="1"/>
  <c r="U5" i="1" a="1"/>
  <c r="L23" i="1"/>
  <c r="N5" i="1" a="1"/>
  <c r="U29" i="1" a="1"/>
  <c r="U6" i="1" a="1"/>
  <c r="N18" i="1"/>
  <c r="S30" i="1" a="1"/>
  <c r="E23" i="1"/>
  <c r="N23" i="1"/>
  <c r="G24" i="1"/>
  <c r="N17" i="1"/>
  <c r="L17" i="1"/>
  <c r="S6" i="1" a="1"/>
  <c r="L24" i="1"/>
  <c r="U30" i="1" a="1"/>
  <c r="AB30" i="1"/>
  <c r="AB29" i="1"/>
  <c r="N12" i="1"/>
  <c r="Z30" i="1"/>
  <c r="L5" i="1" a="1"/>
  <c r="E24" i="1"/>
  <c r="S5" i="1" a="1"/>
  <c r="L35" i="1"/>
  <c r="L30" i="1"/>
  <c r="N30" i="1"/>
  <c r="N24" i="1"/>
  <c r="L6" i="1" a="1"/>
  <c r="Z29" i="1"/>
  <c r="N35" i="1"/>
  <c r="G23" i="1"/>
  <c r="G12" i="1"/>
  <c r="U36" i="1"/>
  <c r="L36" i="1"/>
  <c r="L12" i="1"/>
  <c r="E12" i="1"/>
  <c r="N36" i="1"/>
  <c r="S35" i="1"/>
  <c r="E11" i="1"/>
  <c r="D19" i="1" l="1"/>
  <c r="D13" i="1"/>
  <c r="S5" i="1"/>
  <c r="U5" i="1"/>
  <c r="S30" i="1"/>
  <c r="U30" i="1"/>
  <c r="S6" i="1"/>
  <c r="U6" i="1"/>
  <c r="S29" i="1"/>
  <c r="U29" i="1"/>
  <c r="N6" i="1"/>
  <c r="L6" i="1"/>
  <c r="L5" i="1"/>
  <c r="N5" i="1"/>
  <c r="A1" i="5"/>
  <c r="A12" i="4"/>
  <c r="U56" i="1"/>
  <c r="V55" i="1"/>
  <c r="U48" i="1"/>
  <c r="AO37" i="1"/>
  <c r="AM37" i="1"/>
  <c r="AH37" i="1"/>
  <c r="AF37" i="1"/>
  <c r="T37" i="1"/>
  <c r="R37" i="1"/>
  <c r="M37" i="1"/>
  <c r="K37" i="1"/>
  <c r="AO31" i="1"/>
  <c r="AM31" i="1"/>
  <c r="AH31" i="1"/>
  <c r="AF31" i="1"/>
  <c r="AT31" i="1" s="1"/>
  <c r="AA31" i="1"/>
  <c r="Y31" i="1"/>
  <c r="M31" i="1"/>
  <c r="K31" i="1"/>
  <c r="AO25" i="1"/>
  <c r="AH25" i="1"/>
  <c r="AF25" i="1"/>
  <c r="M25" i="1"/>
  <c r="K25" i="1"/>
  <c r="F25" i="1"/>
  <c r="D25" i="1"/>
  <c r="AM25" i="1"/>
  <c r="AB24" i="1"/>
  <c r="Z24" i="1"/>
  <c r="AB23" i="1"/>
  <c r="U23" i="1" s="1"/>
  <c r="Z23" i="1"/>
  <c r="S23" i="1" s="1"/>
  <c r="AO19" i="1"/>
  <c r="AM19" i="1"/>
  <c r="AH19" i="1"/>
  <c r="AF19" i="1"/>
  <c r="M19" i="1"/>
  <c r="K19" i="1"/>
  <c r="F19" i="1"/>
  <c r="AO13" i="1"/>
  <c r="AM13" i="1"/>
  <c r="AH13" i="1"/>
  <c r="AF13" i="1"/>
  <c r="T13" i="1"/>
  <c r="R13" i="1"/>
  <c r="M13" i="1"/>
  <c r="K13" i="1"/>
  <c r="AO7" i="1"/>
  <c r="AM7" i="1"/>
  <c r="AH7" i="1"/>
  <c r="AF7" i="1"/>
  <c r="AA7" i="1"/>
  <c r="Y7" i="1"/>
  <c r="C52" i="4"/>
  <c r="C20" i="4"/>
  <c r="D41" i="4"/>
  <c r="D52" i="4"/>
  <c r="B53" i="4"/>
  <c r="B23" i="4"/>
  <c r="D33" i="4"/>
  <c r="B39" i="4"/>
  <c r="D28" i="4"/>
  <c r="D36" i="4"/>
  <c r="C47" i="4"/>
  <c r="B21" i="4"/>
  <c r="C37" i="4"/>
  <c r="D42" i="4"/>
  <c r="B48" i="4"/>
  <c r="D50" i="4"/>
  <c r="C53" i="4"/>
  <c r="C28" i="4"/>
  <c r="D49" i="4"/>
  <c r="D53" i="4"/>
  <c r="B42" i="4"/>
  <c r="D31" i="4"/>
  <c r="B37" i="4"/>
  <c r="C42" i="4"/>
  <c r="B24" i="4"/>
  <c r="D34" i="4"/>
  <c r="B35" i="4"/>
  <c r="B54" i="4"/>
  <c r="D25" i="4"/>
  <c r="C36" i="4"/>
  <c r="C44" i="4"/>
  <c r="D20" i="4"/>
  <c r="B26" i="4"/>
  <c r="C31" i="4"/>
  <c r="C39" i="4"/>
  <c r="B50" i="4"/>
  <c r="C26" i="4"/>
  <c r="C34" i="4"/>
  <c r="D47" i="4"/>
  <c r="D26" i="4"/>
  <c r="B32" i="4"/>
  <c r="C45" i="4"/>
  <c r="C24" i="4"/>
  <c r="D29" i="4"/>
  <c r="D37" i="4"/>
  <c r="B43" i="4"/>
  <c r="C27" i="4"/>
  <c r="C22" i="4"/>
  <c r="B25" i="4"/>
  <c r="D27" i="4"/>
  <c r="C30" i="4"/>
  <c r="B33" i="4"/>
  <c r="D35" i="4"/>
  <c r="C38" i="4"/>
  <c r="B41" i="4"/>
  <c r="D43" i="4"/>
  <c r="C46" i="4"/>
  <c r="B49" i="4"/>
  <c r="D51" i="4"/>
  <c r="C54" i="4"/>
  <c r="B31" i="4"/>
  <c r="B47" i="4"/>
  <c r="C23" i="4"/>
  <c r="B34" i="4"/>
  <c r="D44" i="4"/>
  <c r="D23" i="4"/>
  <c r="B29" i="4"/>
  <c r="D39" i="4"/>
  <c r="C50" i="4"/>
  <c r="C21" i="4"/>
  <c r="C29" i="4"/>
  <c r="B40" i="4"/>
  <c r="D21" i="4"/>
  <c r="B27" i="4"/>
  <c r="C32" i="4"/>
  <c r="C40" i="4"/>
  <c r="D45" i="4"/>
  <c r="C48" i="4"/>
  <c r="B51" i="4"/>
  <c r="B22" i="4"/>
  <c r="D24" i="4"/>
  <c r="B30" i="4"/>
  <c r="D32" i="4"/>
  <c r="C35" i="4"/>
  <c r="B38" i="4"/>
  <c r="D40" i="4"/>
  <c r="C43" i="4"/>
  <c r="B46" i="4"/>
  <c r="D48" i="4"/>
  <c r="C51" i="4"/>
  <c r="B20" i="4"/>
  <c r="D22" i="4"/>
  <c r="C25" i="4"/>
  <c r="B28" i="4"/>
  <c r="D30" i="4"/>
  <c r="C33" i="4"/>
  <c r="B36" i="4"/>
  <c r="D38" i="4"/>
  <c r="C41" i="4"/>
  <c r="B44" i="4"/>
  <c r="D46" i="4"/>
  <c r="C49" i="4"/>
  <c r="B52" i="4"/>
  <c r="D54" i="4"/>
  <c r="B3" i="4"/>
  <c r="B7" i="4"/>
  <c r="C13" i="5"/>
  <c r="C17" i="5"/>
  <c r="C21" i="5"/>
  <c r="C25" i="5"/>
  <c r="C29" i="5"/>
  <c r="C33" i="5"/>
  <c r="C37" i="5"/>
  <c r="C41" i="5"/>
  <c r="C45" i="5"/>
  <c r="C49" i="5"/>
  <c r="C53" i="5"/>
  <c r="C57" i="5"/>
  <c r="C10" i="5"/>
  <c r="C14" i="5"/>
  <c r="C18" i="5"/>
  <c r="C22" i="5"/>
  <c r="C26" i="5"/>
  <c r="C30" i="5"/>
  <c r="C34" i="5"/>
  <c r="C38" i="5"/>
  <c r="C42" i="5"/>
  <c r="C46" i="5"/>
  <c r="C50" i="5"/>
  <c r="C54" i="5"/>
  <c r="C58" i="5"/>
  <c r="B11" i="5"/>
  <c r="B15" i="5"/>
  <c r="B19" i="5"/>
  <c r="B23" i="5"/>
  <c r="B27" i="5"/>
  <c r="B31" i="5"/>
  <c r="B35" i="5"/>
  <c r="B39" i="5"/>
  <c r="B43" i="5"/>
  <c r="B47" i="5"/>
  <c r="B51" i="5"/>
  <c r="B55" i="5"/>
  <c r="C11" i="5"/>
  <c r="C15" i="5"/>
  <c r="C19" i="5"/>
  <c r="C23" i="5"/>
  <c r="C27" i="5"/>
  <c r="C31" i="5"/>
  <c r="C35" i="5"/>
  <c r="C39" i="5"/>
  <c r="C43" i="5"/>
  <c r="C47" i="5"/>
  <c r="C51" i="5"/>
  <c r="C55" i="5"/>
  <c r="B12" i="5"/>
  <c r="B16" i="5"/>
  <c r="B20" i="5"/>
  <c r="B24" i="5"/>
  <c r="B28" i="5"/>
  <c r="B32" i="5"/>
  <c r="B36" i="5"/>
  <c r="B40" i="5"/>
  <c r="B44" i="5"/>
  <c r="B48" i="5"/>
  <c r="B52" i="5"/>
  <c r="B56" i="5"/>
  <c r="C12" i="5"/>
  <c r="C16" i="5"/>
  <c r="C20" i="5"/>
  <c r="C24" i="5"/>
  <c r="C28" i="5"/>
  <c r="C32" i="5"/>
  <c r="C36" i="5"/>
  <c r="C40" i="5"/>
  <c r="C44" i="5"/>
  <c r="C48" i="5"/>
  <c r="C52" i="5"/>
  <c r="C56" i="5"/>
  <c r="B13" i="5"/>
  <c r="B17" i="5"/>
  <c r="B21" i="5"/>
  <c r="B25" i="5"/>
  <c r="B29" i="5"/>
  <c r="B33" i="5"/>
  <c r="B37" i="5"/>
  <c r="B41" i="5"/>
  <c r="B45" i="5"/>
  <c r="B49" i="5"/>
  <c r="B53" i="5"/>
  <c r="B57" i="5"/>
  <c r="B10" i="5"/>
  <c r="B14" i="5"/>
  <c r="B18" i="5"/>
  <c r="B22" i="5"/>
  <c r="B26" i="5"/>
  <c r="B30" i="5"/>
  <c r="B34" i="5"/>
  <c r="B38" i="5"/>
  <c r="B42" i="5"/>
  <c r="B46" i="5"/>
  <c r="B50" i="5"/>
  <c r="B54" i="5"/>
  <c r="B58" i="5"/>
  <c r="AB35" i="1" l="1"/>
  <c r="AB37" i="1"/>
  <c r="AB36" i="1"/>
  <c r="Z35" i="1"/>
  <c r="Z37" i="1"/>
  <c r="Z36" i="1"/>
  <c r="AA13" i="1"/>
  <c r="M7" i="1"/>
  <c r="Y13" i="1"/>
  <c r="T31" i="1"/>
  <c r="U25" i="1"/>
  <c r="T7" i="1"/>
  <c r="K7" i="1"/>
  <c r="R31" i="1"/>
  <c r="U24" i="1"/>
  <c r="S24" i="1"/>
  <c r="Y25" i="1"/>
  <c r="A1" i="4"/>
  <c r="AA25" i="1"/>
  <c r="S25" i="1"/>
  <c r="AA37" i="1" l="1"/>
  <c r="R25" i="1"/>
  <c r="T25" i="1"/>
  <c r="Y37" i="1"/>
  <c r="R7" i="1"/>
  <c r="F13" i="1"/>
  <c r="AT2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<sst xmlns="http://schemas.openxmlformats.org/spreadsheetml/2006/main" count="332" uniqueCount="165">
  <si>
    <t>+</t>
  </si>
  <si>
    <t>YTD</t>
  </si>
  <si>
    <t>FY</t>
  </si>
  <si>
    <t>-</t>
  </si>
  <si>
    <t>Net Debt (€M)</t>
  </si>
  <si>
    <t>Net Rev. (€M)</t>
  </si>
  <si>
    <t>Cement Volume (kt)</t>
  </si>
  <si>
    <t>Fuel (€/t)</t>
  </si>
  <si>
    <t>Thermal Sub. (%)</t>
  </si>
  <si>
    <t>RF</t>
  </si>
  <si>
    <t>L300</t>
  </si>
  <si>
    <t>L500</t>
  </si>
  <si>
    <t>Net Profit (€M)</t>
  </si>
  <si>
    <t>EBITDA (€M)</t>
  </si>
  <si>
    <t>EBITDA Oth. BUs. (€M)</t>
  </si>
  <si>
    <t>Cement Net FOB (€/t)</t>
  </si>
  <si>
    <t>CO2 Gross (kg/ton)</t>
  </si>
  <si>
    <t>Thermal C. (kcal/t kk)</t>
  </si>
  <si>
    <t>FCF (€M)</t>
  </si>
  <si>
    <t>Capex (€M)</t>
  </si>
  <si>
    <t>CO2 Net (kg/ton)</t>
  </si>
  <si>
    <t>Petcoke Price (USD/t)</t>
  </si>
  <si>
    <t>ROIC (%)</t>
  </si>
  <si>
    <r>
      <rPr>
        <b/>
        <sz val="10"/>
        <rFont val="Calibri"/>
        <family val="2"/>
      </rPr>
      <t>∆</t>
    </r>
    <r>
      <rPr>
        <b/>
        <sz val="10"/>
        <rFont val="Arial"/>
        <family val="2"/>
      </rPr>
      <t xml:space="preserve"> WK Capital (€M)</t>
    </r>
  </si>
  <si>
    <t>Cem. Cash Cost (€/t)</t>
  </si>
  <si>
    <t>Cement Var. Costs (€/t)</t>
  </si>
  <si>
    <t>Power (€/t)</t>
  </si>
  <si>
    <t>Power Price (€/MWh)</t>
  </si>
  <si>
    <t>Income Tax (€M)</t>
  </si>
  <si>
    <t>Fixed Cost (€M)</t>
  </si>
  <si>
    <t>Cement Fix. Costs (€/t)</t>
  </si>
  <si>
    <t>Raw Material (€/t)</t>
  </si>
  <si>
    <t>Power Cons. (kWh/t)</t>
  </si>
  <si>
    <t>SG&amp;A (€M)</t>
  </si>
  <si>
    <t>FC+SG&amp;A/Net Sales (%)</t>
  </si>
  <si>
    <t>Other Variable (€/t)</t>
  </si>
  <si>
    <t>Clinker Factor (%)</t>
  </si>
  <si>
    <t>Higher is better</t>
  </si>
  <si>
    <t>Lower is better</t>
  </si>
  <si>
    <t>Driver Name</t>
  </si>
  <si>
    <t>YTD Actual</t>
  </si>
  <si>
    <t>FY RF</t>
  </si>
  <si>
    <t>YTD L300</t>
  </si>
  <si>
    <t>FY L300</t>
  </si>
  <si>
    <t>Better than L500</t>
  </si>
  <si>
    <t>Better than L300, worse than L500</t>
  </si>
  <si>
    <t>Worse than L300</t>
  </si>
  <si>
    <t>Cambiada la fórmula</t>
  </si>
  <si>
    <t>=IF(Z33="+";IF(AB35&gt;AB37*(1+IF(AB37&gt;0;$A$4;-$A$4));1;IF(AB35&gt;=AB36*(1+IF(AB36&gt;0;-$A$4;$A$4));0;-1));IF(Z33="-";IF(AB35&lt;AB37*(1+IF(AB37&gt;0;-$A$4;$A$4));1;IF(AB35&lt;=AB36*(1+IF(AB36&gt;0;$A$4;-$A$4));0;-1))))</t>
  </si>
  <si>
    <t>por</t>
  </si>
  <si>
    <t>=IF(Z33="+";IF(AB35&gt;AB37*(1+IF(AB37&gt;0;$A$4;-$A$4));0;IF(AB35&gt;=AB36*(1+IF(AB36&gt;0;-$A$4;$A$4));0;-1));IF(Z33="-";IF(AB35&lt;AB37*(1+IF(AB37&gt;0;-$A$4;$A$4));0;IF(AB35&lt;=AB36*(1+IF(AB36&gt;0;$A$4;-$A$4));0;-1))))</t>
  </si>
  <si>
    <t>ALL.D.Year</t>
  </si>
  <si>
    <t>DFS.M.100.Profit_and_Loss</t>
  </si>
  <si>
    <t>ALL.D.Version</t>
  </si>
  <si>
    <t>ALL.D.Currency</t>
  </si>
  <si>
    <t>ALL.D.Region</t>
  </si>
  <si>
    <t>ALL.D.Products</t>
  </si>
  <si>
    <t>Year</t>
  </si>
  <si>
    <t>Net Profit</t>
  </si>
  <si>
    <t>ALL.D.Month</t>
  </si>
  <si>
    <t>Total Value</t>
  </si>
  <si>
    <t>Value</t>
  </si>
  <si>
    <t>Adjustments</t>
  </si>
  <si>
    <t>EBITDA</t>
  </si>
  <si>
    <t>Income tax on transactions</t>
  </si>
  <si>
    <t>Working capital</t>
  </si>
  <si>
    <t>Non expansion capex</t>
  </si>
  <si>
    <t>Dividends received</t>
  </si>
  <si>
    <t>Financial Results</t>
  </si>
  <si>
    <t>Debt Amortization</t>
  </si>
  <si>
    <t>Financial Revenue</t>
  </si>
  <si>
    <t>Other Financial Expenses</t>
  </si>
  <si>
    <t>Derivatives settlement</t>
  </si>
  <si>
    <t>Tax on Financial Revenue</t>
  </si>
  <si>
    <t>Other</t>
  </si>
  <si>
    <t>SCF before dividends</t>
  </si>
  <si>
    <t>Payment of dividends to Controlling</t>
  </si>
  <si>
    <t>Payment of dividends to Minority</t>
  </si>
  <si>
    <t>Sustainable Cash Flow</t>
  </si>
  <si>
    <t>Expansion capex</t>
  </si>
  <si>
    <t>Inv/Div in Subsidiaries and Affiliates</t>
  </si>
  <si>
    <t>FX/Others</t>
  </si>
  <si>
    <t>FX on Cash Position</t>
  </si>
  <si>
    <t>Others</t>
  </si>
  <si>
    <t>Cash generation before financing</t>
  </si>
  <si>
    <t>Intercompany dividends</t>
  </si>
  <si>
    <t>Amortization</t>
  </si>
  <si>
    <t>Funding</t>
  </si>
  <si>
    <t>Change in cash</t>
  </si>
  <si>
    <t>Initial Cash Balance</t>
  </si>
  <si>
    <t>Final Cash Position</t>
  </si>
  <si>
    <t>Final Cash Position Aux</t>
  </si>
  <si>
    <t>Final Debt Position</t>
  </si>
  <si>
    <t>MTM</t>
  </si>
  <si>
    <t>Final Net Debt</t>
  </si>
  <si>
    <t>Adj EBITDA LTM</t>
  </si>
  <si>
    <t>Adjusts LTM</t>
  </si>
  <si>
    <t>Leverage</t>
  </si>
  <si>
    <t>CONS_VC:DFS.200.KPIs</t>
  </si>
  <si>
    <t>Aux</t>
  </si>
  <si>
    <t>Production volume (kt)</t>
  </si>
  <si>
    <t>Petcoke Price (LMU/t)</t>
  </si>
  <si>
    <t>Power Price (LMU/MWh)</t>
  </si>
  <si>
    <t>Cash Cost (LMU/t)</t>
  </si>
  <si>
    <t>Cement Var. Costs (LMU/t)</t>
  </si>
  <si>
    <t>Fuel (LMU/t)</t>
  </si>
  <si>
    <t>Power (LMU/t)</t>
  </si>
  <si>
    <t>Raw Material (LMU/t)</t>
  </si>
  <si>
    <t>Package</t>
  </si>
  <si>
    <t>Aux. Materials</t>
  </si>
  <si>
    <t>Operacional Services</t>
  </si>
  <si>
    <t>Internal Freight</t>
  </si>
  <si>
    <t>Variavel maintenance</t>
  </si>
  <si>
    <t>Other Variable (LMU/t)</t>
  </si>
  <si>
    <t>Cement Fix. Costs (LMU/t)</t>
  </si>
  <si>
    <t>Labor (LMU/t)</t>
  </si>
  <si>
    <t>Maintenance (LMU/t)</t>
  </si>
  <si>
    <t>Other Fixed Costs (LMU/t)</t>
  </si>
  <si>
    <t>IFRS16</t>
  </si>
  <si>
    <t>Revenue</t>
  </si>
  <si>
    <t>Volume</t>
  </si>
  <si>
    <t>Price</t>
  </si>
  <si>
    <t>Market Share Cement (%)</t>
  </si>
  <si>
    <t>Demand of Cement</t>
  </si>
  <si>
    <t>EBITDA LTM</t>
  </si>
  <si>
    <t>Depreciação LTM</t>
  </si>
  <si>
    <t>Income Tax Theoretical</t>
  </si>
  <si>
    <t>Income Tax LTM</t>
  </si>
  <si>
    <t>Equity LTM</t>
  </si>
  <si>
    <t>Assets</t>
  </si>
  <si>
    <t>(+) Gross Fixed Assets</t>
  </si>
  <si>
    <t>(-) Accumulated Depreciation</t>
  </si>
  <si>
    <t>(+) Adjustment Hyperinflation</t>
  </si>
  <si>
    <t>(+) Inflation adjustment</t>
  </si>
  <si>
    <t>(+) Right of Use</t>
  </si>
  <si>
    <t>(+) Investments</t>
  </si>
  <si>
    <t>(+) Goodwill</t>
  </si>
  <si>
    <t>(+) Intangible</t>
  </si>
  <si>
    <t>Working Capital Balance</t>
  </si>
  <si>
    <t>NOPAT + Equity Pick Up</t>
  </si>
  <si>
    <t>EBIT</t>
  </si>
  <si>
    <t>Invested Capital Avg</t>
  </si>
  <si>
    <t>% ROIC</t>
  </si>
  <si>
    <t>CONS_VC:DFS.100.Profit_and_loss</t>
  </si>
  <si>
    <t>CONS_VC:DFS.140.Indirect_Cash_Flow</t>
  </si>
  <si>
    <t>CONS_VC:DFS.180.Gross_Debt</t>
  </si>
  <si>
    <t>Preço do Cimento</t>
  </si>
  <si>
    <t>Cobo de Receita</t>
  </si>
  <si>
    <t>Produto Cimento</t>
  </si>
  <si>
    <t>CONS_VC:REV.100.Revenue_Consolidated</t>
  </si>
  <si>
    <t>Cubo</t>
  </si>
  <si>
    <t>Ano</t>
  </si>
  <si>
    <t>Mês</t>
  </si>
  <si>
    <t>Versão</t>
  </si>
  <si>
    <t>Currency</t>
  </si>
  <si>
    <t>Region</t>
  </si>
  <si>
    <t>Produto</t>
  </si>
  <si>
    <t>Accounts_PNL</t>
  </si>
  <si>
    <t>DFM.100.Profil_and_Loss</t>
  </si>
  <si>
    <t>Accounts_ICF</t>
  </si>
  <si>
    <t>DFS.100.Profil_and_Loss</t>
  </si>
  <si>
    <t>DFS.M.140.Indirect_Cash_Flow</t>
  </si>
  <si>
    <t>DFS.200.KPIs</t>
  </si>
  <si>
    <t>ZBB total</t>
  </si>
  <si>
    <t>Fin.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</si>
</sst>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_-#,##0_-;\-#,##0_-;_-&quot;-&quot;_-;_-@_-"/>
    <numFmt numFmtId="166" formatCode="#,##0.0_);\(#,##0.0\)"/>
    <numFmt numFmtId="167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C00000"/>
      <name val="Arial"/>
      <family val="2"/>
    </font>
    <font>
      <sz val="10"/>
      <name val="Arial"/>
      <family val="2"/>
    </font>
    <font>
      <sz val="8"/>
      <color theme="0" tint="-0.499984740745262"/>
      <name val="Arial"/>
      <family val="2"/>
    </font>
    <font>
      <b/>
      <sz val="10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9"/>
      <color theme="1"/>
      <name val="Calibri"/>
      <family val="2"/>
      <scheme val="minor"/>
    </font>
    <font>
      <b/>
      <sz val="10.5"/>
      <name val="Calibri"/>
      <family val="2"/>
    </font>
    <font>
      <b/>
      <sz val="11"/>
      <color theme="1"/>
      <name val="Calibri"/>
      <family val="2"/>
      <scheme val="minor"/>
    </font>
    <font>
      <sz val="10.5"/>
      <name val="Calibri"/>
      <family val="2"/>
    </font>
    <font>
      <sz val="10.5"/>
      <color theme="1" tint="0.24994659260841701"/>
      <name val="Calibri"/>
      <family val="2"/>
    </font>
    <font>
      <b/>
      <sz val="9"/>
      <name val="Arial"/>
      <family val="2"/>
    </font>
    <font>
      <b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62AE"/>
        <bgColor indexed="64"/>
      </patternFill>
    </fill>
    <fill>
      <patternFill patternType="solid">
        <fgColor rgb="FF90BE3C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</fills>
  <borders count="39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theme="0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8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4" fillId="0" borderId="31" applyNumberFormat="0" applyFill="0" applyProtection="0">
      <alignment horizontal="center" vertical="center"/>
    </xf>
    <xf numFmtId="3" fontId="15" fillId="0" borderId="32" applyFont="0" applyFill="0" applyAlignment="0" applyProtection="0"/>
    <xf numFmtId="3" fontId="15" fillId="0" borderId="32" applyFont="0" applyFill="0" applyAlignment="0" applyProtection="0"/>
    <xf numFmtId="3" fontId="15" fillId="0" borderId="32" applyFont="0" applyFill="0" applyAlignment="0" applyProtection="0"/>
    <xf numFmtId="3" fontId="15" fillId="0" borderId="32" applyFont="0" applyFill="0" applyAlignment="0" applyProtection="0"/>
    <xf numFmtId="3" fontId="15" fillId="0" borderId="32" applyFont="0" applyFill="0" applyAlignment="0" applyProtection="0"/>
    <xf numFmtId="3" fontId="15" fillId="0" borderId="32" applyFont="0" applyFill="0" applyAlignment="0" applyProtection="0"/>
    <xf numFmtId="3" fontId="15" fillId="0" borderId="32" applyFont="0" applyFill="0" applyAlignment="0" applyProtection="0"/>
    <xf numFmtId="3" fontId="15" fillId="0" borderId="32" applyFont="0" applyFill="0" applyAlignment="0" applyProtection="0"/>
    <xf numFmtId="3" fontId="14" fillId="0" borderId="31" applyNumberFormat="0" applyFill="0" applyAlignment="0" applyProtection="0"/>
    <xf numFmtId="0" fontId="14" fillId="0" borderId="31" applyNumberFormat="0" applyFill="0" applyAlignment="0" applyProtection="0"/>
    <xf numFmtId="3" fontId="14" fillId="0" borderId="31" applyNumberFormat="0" applyFill="0" applyAlignment="0" applyProtection="0"/>
    <xf numFmtId="0" fontId="14" fillId="0" borderId="31" applyNumberFormat="0" applyFill="0" applyAlignment="0" applyProtection="0"/>
    <xf numFmtId="0" fontId="14" fillId="0" borderId="31" applyNumberFormat="0" applyFill="0" applyAlignment="0" applyProtection="0"/>
    <xf numFmtId="0" fontId="14" fillId="0" borderId="31" applyNumberFormat="0" applyFill="0" applyAlignment="0" applyProtection="0"/>
    <xf numFmtId="0" fontId="14" fillId="0" borderId="31" applyNumberFormat="0" applyFill="0" applyAlignment="0" applyProtection="0"/>
    <xf numFmtId="0" fontId="14" fillId="0" borderId="31" applyNumberFormat="0" applyFill="0" applyAlignment="0" applyProtection="0"/>
    <xf numFmtId="3" fontId="15" fillId="0" borderId="0" applyNumberFormat="0" applyBorder="0" applyAlignment="0" applyProtection="0"/>
    <xf numFmtId="3" fontId="15" fillId="0" borderId="0" applyNumberFormat="0" applyBorder="0" applyAlignment="0" applyProtection="0"/>
    <xf numFmtId="3" fontId="15" fillId="0" borderId="0" applyNumberFormat="0" applyBorder="0" applyAlignment="0" applyProtection="0"/>
    <xf numFmtId="3" fontId="15" fillId="0" borderId="0" applyNumberFormat="0" applyBorder="0" applyAlignment="0" applyProtection="0"/>
    <xf numFmtId="3" fontId="15" fillId="0" borderId="0" applyNumberFormat="0" applyBorder="0" applyAlignment="0" applyProtection="0"/>
    <xf numFmtId="3" fontId="15" fillId="0" borderId="32" applyNumberFormat="0" applyBorder="0" applyAlignment="0" applyProtection="0"/>
    <xf numFmtId="3" fontId="15" fillId="0" borderId="32" applyNumberFormat="0" applyBorder="0" applyAlignment="0" applyProtection="0"/>
    <xf numFmtId="3" fontId="15" fillId="0" borderId="32" applyNumberFormat="0" applyBorder="0" applyAlignment="0" applyProtection="0"/>
    <xf numFmtId="0" fontId="15" fillId="0" borderId="32" applyNumberFormat="0" applyFill="0" applyAlignment="0" applyProtection="0"/>
    <xf numFmtId="0" fontId="15" fillId="0" borderId="32" applyNumberFormat="0" applyFill="0" applyAlignment="0" applyProtection="0"/>
    <xf numFmtId="0" fontId="15" fillId="0" borderId="32">
      <alignment horizontal="right" vertical="center"/>
    </xf>
    <xf numFmtId="3" fontId="15" fillId="9" borderId="32">
      <alignment horizontal="center" vertical="center"/>
    </xf>
    <xf numFmtId="0" fontId="15" fillId="9" borderId="32">
      <alignment horizontal="right" vertical="center"/>
    </xf>
    <xf numFmtId="0" fontId="14" fillId="0" borderId="33">
      <alignment horizontal="left" vertical="center"/>
    </xf>
    <xf numFmtId="0" fontId="14" fillId="0" borderId="34">
      <alignment horizontal="center" vertical="center"/>
    </xf>
    <xf numFmtId="0" fontId="16" fillId="0" borderId="35">
      <alignment horizontal="center" vertical="center"/>
    </xf>
    <xf numFmtId="0" fontId="15" fillId="10" borderId="32"/>
    <xf numFmtId="3" fontId="14" fillId="0" borderId="31" applyFill="0" applyAlignment="0" applyProtection="0"/>
    <xf numFmtId="3" fontId="14" fillId="0" borderId="31" applyFill="0" applyAlignment="0" applyProtection="0"/>
    <xf numFmtId="3" fontId="14" fillId="0" borderId="31" applyFill="0" applyAlignment="0" applyProtection="0"/>
    <xf numFmtId="3" fontId="14" fillId="0" borderId="31" applyFill="0" applyAlignment="0" applyProtection="0"/>
    <xf numFmtId="0" fontId="14" fillId="0" borderId="31" applyFill="0" applyAlignment="0" applyProtection="0"/>
    <xf numFmtId="3" fontId="14" fillId="0" borderId="31" applyFill="0" applyAlignment="0" applyProtection="0"/>
    <xf numFmtId="0" fontId="14" fillId="0" borderId="34">
      <alignment horizontal="center" vertical="center"/>
    </xf>
    <xf numFmtId="0" fontId="14" fillId="0" borderId="34">
      <alignment horizontal="center" vertical="center"/>
    </xf>
    <xf numFmtId="3" fontId="15" fillId="0" borderId="32" applyFill="0" applyAlignment="0" applyProtection="0"/>
    <xf numFmtId="0" fontId="15" fillId="0" borderId="32" applyFill="0" applyAlignment="0" applyProtection="0"/>
    <xf numFmtId="3" fontId="14" fillId="11" borderId="36" applyNumberFormat="0" applyFont="0" applyAlignment="0" applyProtection="0"/>
    <xf numFmtId="0" fontId="1" fillId="12" borderId="37" applyNumberFormat="0" applyFont="0" applyAlignment="0" applyProtection="0"/>
    <xf numFmtId="0" fontId="14" fillId="0" borderId="31" applyFill="0" applyAlignment="0" applyProtection="0"/>
    <xf numFmtId="3" fontId="14" fillId="0" borderId="31" applyFill="0" applyAlignment="0" applyProtection="0"/>
    <xf numFmtId="0" fontId="14" fillId="0" borderId="31" applyFill="0" applyAlignment="0" applyProtection="0"/>
    <xf numFmtId="0" fontId="14" fillId="0" borderId="31" applyFill="0" applyAlignment="0" applyProtection="0"/>
    <xf numFmtId="0" fontId="14" fillId="0" borderId="31" applyFill="0" applyAlignment="0" applyProtection="0"/>
    <xf numFmtId="0" fontId="14" fillId="0" borderId="31" applyFill="0" applyAlignment="0" applyProtection="0"/>
    <xf numFmtId="0" fontId="14" fillId="0" borderId="33">
      <alignment horizontal="left" vertical="center"/>
    </xf>
    <xf numFmtId="3" fontId="14" fillId="0" borderId="31" applyFill="0" applyAlignment="0" applyProtection="0"/>
    <xf numFmtId="3" fontId="17" fillId="0" borderId="32"/>
    <xf numFmtId="3" fontId="18" fillId="0" borderId="32"/>
    <xf numFmtId="0" fontId="14" fillId="0" borderId="34">
      <alignment horizontal="left" vertical="top"/>
    </xf>
    <xf numFmtId="0" fontId="19" fillId="0" borderId="32"/>
    <xf numFmtId="0" fontId="14" fillId="0" borderId="34">
      <alignment horizontal="left" vertical="center"/>
    </xf>
    <xf numFmtId="0" fontId="15" fillId="9" borderId="38"/>
    <xf numFmtId="3" fontId="15" fillId="0" borderId="32">
      <alignment horizontal="right" vertical="center"/>
    </xf>
    <xf numFmtId="0" fontId="14" fillId="0" borderId="34">
      <alignment horizontal="right" vertical="center"/>
    </xf>
    <xf numFmtId="0" fontId="15" fillId="0" borderId="35">
      <alignment horizontal="center" vertical="center"/>
    </xf>
    <xf numFmtId="3" fontId="15" fillId="0" borderId="32"/>
    <xf numFmtId="3" fontId="15" fillId="0" borderId="32"/>
    <xf numFmtId="0" fontId="15" fillId="0" borderId="35">
      <alignment horizontal="center" vertical="center" wrapText="1"/>
    </xf>
    <xf numFmtId="0" fontId="20" fillId="0" borderId="35">
      <alignment horizontal="left" vertical="center" indent="1"/>
    </xf>
    <xf numFmtId="0" fontId="21" fillId="0" borderId="32"/>
    <xf numFmtId="0" fontId="14" fillId="0" borderId="33">
      <alignment horizontal="left" vertical="center"/>
    </xf>
    <xf numFmtId="3" fontId="15" fillId="0" borderId="32">
      <alignment horizontal="center" vertical="center"/>
    </xf>
    <xf numFmtId="0" fontId="14" fillId="0" borderId="34">
      <alignment horizontal="center" vertical="center"/>
    </xf>
    <xf numFmtId="0" fontId="14" fillId="0" borderId="34">
      <alignment horizontal="center" vertical="center"/>
    </xf>
    <xf numFmtId="0" fontId="14" fillId="0" borderId="33">
      <alignment horizontal="left" vertical="center"/>
    </xf>
    <xf numFmtId="0" fontId="14" fillId="0" borderId="33">
      <alignment horizontal="left" vertical="center"/>
    </xf>
    <xf numFmtId="0" fontId="22" fillId="0" borderId="32"/>
  </cellStyleXfs>
  <cellXfs count="138">
    <xf numFmtId="0" fontId="0" fillId="0" borderId="0" xfId="0"/>
    <xf numFmtId="37" fontId="2" fillId="0" borderId="0" xfId="0" applyNumberFormat="1" applyFont="1" applyAlignment="1">
      <alignment horizontal="left" vertical="center"/>
    </xf>
    <xf numFmtId="37" fontId="2" fillId="0" borderId="0" xfId="0" applyNumberFormat="1" applyFont="1" applyAlignment="1">
      <alignment horizontal="center" vertical="center"/>
    </xf>
    <xf numFmtId="37" fontId="3" fillId="0" borderId="0" xfId="0" applyNumberFormat="1" applyFont="1" applyAlignment="1">
      <alignment horizontal="center" vertical="center"/>
    </xf>
    <xf numFmtId="37" fontId="2" fillId="0" borderId="0" xfId="0" applyNumberFormat="1" applyFont="1" applyAlignment="1">
      <alignment vertical="center"/>
    </xf>
    <xf numFmtId="37" fontId="4" fillId="0" borderId="0" xfId="0" applyNumberFormat="1" applyFont="1" applyAlignment="1">
      <alignment horizontal="center" vertical="center"/>
    </xf>
    <xf numFmtId="37" fontId="3" fillId="0" borderId="0" xfId="0" applyNumberFormat="1" applyFont="1" applyAlignment="1">
      <alignment vertical="center"/>
    </xf>
    <xf numFmtId="37" fontId="5" fillId="0" borderId="0" xfId="0" applyNumberFormat="1" applyFont="1" applyAlignment="1">
      <alignment vertical="center"/>
    </xf>
    <xf numFmtId="37" fontId="2" fillId="0" borderId="1" xfId="0" applyNumberFormat="1" applyFont="1" applyBorder="1" applyAlignment="1">
      <alignment vertical="center"/>
    </xf>
    <xf numFmtId="37" fontId="3" fillId="0" borderId="2" xfId="0" applyNumberFormat="1" applyFont="1" applyBorder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37" fontId="2" fillId="0" borderId="4" xfId="0" applyNumberFormat="1" applyFont="1" applyBorder="1" applyAlignment="1">
      <alignment vertical="center"/>
    </xf>
    <xf numFmtId="37" fontId="6" fillId="0" borderId="0" xfId="0" applyNumberFormat="1" applyFont="1" applyAlignment="1">
      <alignment horizontal="center" vertical="center"/>
    </xf>
    <xf numFmtId="37" fontId="7" fillId="0" borderId="0" xfId="0" applyNumberFormat="1" applyFont="1" applyAlignment="1">
      <alignment vertical="center"/>
    </xf>
    <xf numFmtId="37" fontId="9" fillId="2" borderId="2" xfId="0" applyNumberFormat="1" applyFont="1" applyFill="1" applyBorder="1" applyAlignment="1">
      <alignment horizontal="center" vertical="center"/>
    </xf>
    <xf numFmtId="37" fontId="9" fillId="2" borderId="3" xfId="0" applyNumberFormat="1" applyFont="1" applyFill="1" applyBorder="1" applyAlignment="1">
      <alignment horizontal="center" vertical="center"/>
    </xf>
    <xf numFmtId="37" fontId="9" fillId="0" borderId="0" xfId="0" applyNumberFormat="1" applyFont="1" applyAlignment="1">
      <alignment horizontal="center" vertical="center"/>
    </xf>
    <xf numFmtId="37" fontId="7" fillId="0" borderId="6" xfId="0" applyNumberFormat="1" applyFont="1" applyBorder="1" applyAlignment="1">
      <alignment vertical="center"/>
    </xf>
    <xf numFmtId="37" fontId="9" fillId="0" borderId="7" xfId="0" applyNumberFormat="1" applyFont="1" applyBorder="1" applyAlignment="1">
      <alignment horizontal="center" vertical="center"/>
    </xf>
    <xf numFmtId="37" fontId="3" fillId="0" borderId="6" xfId="0" applyNumberFormat="1" applyFont="1" applyBorder="1" applyAlignment="1">
      <alignment vertical="center"/>
    </xf>
    <xf numFmtId="9" fontId="3" fillId="0" borderId="6" xfId="1" applyFont="1" applyBorder="1" applyAlignment="1">
      <alignment vertical="center"/>
    </xf>
    <xf numFmtId="164" fontId="9" fillId="2" borderId="2" xfId="1" applyNumberFormat="1" applyFont="1" applyFill="1" applyBorder="1" applyAlignment="1">
      <alignment horizontal="center" vertical="center"/>
    </xf>
    <xf numFmtId="164" fontId="9" fillId="2" borderId="3" xfId="1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37" fontId="9" fillId="3" borderId="9" xfId="0" applyNumberFormat="1" applyFont="1" applyFill="1" applyBorder="1" applyAlignment="1">
      <alignment horizontal="center" vertical="center"/>
    </xf>
    <xf numFmtId="37" fontId="9" fillId="3" borderId="10" xfId="0" applyNumberFormat="1" applyFont="1" applyFill="1" applyBorder="1" applyAlignment="1">
      <alignment horizontal="center" vertical="center"/>
    </xf>
    <xf numFmtId="37" fontId="9" fillId="0" borderId="11" xfId="0" applyNumberFormat="1" applyFont="1" applyBorder="1" applyAlignment="1">
      <alignment horizontal="center" vertical="center"/>
    </xf>
    <xf numFmtId="37" fontId="9" fillId="0" borderId="12" xfId="0" applyNumberFormat="1" applyFont="1" applyBorder="1" applyAlignment="1">
      <alignment horizontal="center" vertical="center"/>
    </xf>
    <xf numFmtId="164" fontId="9" fillId="3" borderId="9" xfId="1" applyNumberFormat="1" applyFont="1" applyFill="1" applyBorder="1" applyAlignment="1">
      <alignment horizontal="center" vertical="center"/>
    </xf>
    <xf numFmtId="164" fontId="9" fillId="3" borderId="10" xfId="1" applyNumberFormat="1" applyFont="1" applyFill="1" applyBorder="1" applyAlignment="1">
      <alignment horizontal="center" vertical="center"/>
    </xf>
    <xf numFmtId="37" fontId="2" fillId="0" borderId="13" xfId="0" applyNumberFormat="1" applyFont="1" applyBorder="1" applyAlignment="1">
      <alignment vertical="center"/>
    </xf>
    <xf numFmtId="37" fontId="10" fillId="0" borderId="9" xfId="2" applyNumberFormat="1" applyFont="1" applyBorder="1" applyAlignment="1">
      <alignment horizontal="center" vertical="center"/>
    </xf>
    <xf numFmtId="37" fontId="4" fillId="0" borderId="9" xfId="0" applyNumberFormat="1" applyFont="1" applyBorder="1" applyAlignment="1">
      <alignment horizontal="center" vertical="center"/>
    </xf>
    <xf numFmtId="37" fontId="4" fillId="0" borderId="10" xfId="0" applyNumberFormat="1" applyFont="1" applyBorder="1" applyAlignment="1">
      <alignment horizontal="center" vertical="center"/>
    </xf>
    <xf numFmtId="37" fontId="4" fillId="0" borderId="11" xfId="0" applyNumberFormat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37" fontId="2" fillId="0" borderId="2" xfId="0" applyNumberFormat="1" applyFont="1" applyBorder="1" applyAlignment="1">
      <alignment vertical="center"/>
    </xf>
    <xf numFmtId="37" fontId="7" fillId="0" borderId="2" xfId="0" applyNumberFormat="1" applyFont="1" applyBorder="1" applyAlignment="1">
      <alignment horizontal="center" vertical="center"/>
    </xf>
    <xf numFmtId="37" fontId="4" fillId="0" borderId="14" xfId="0" applyNumberFormat="1" applyFont="1" applyBorder="1" applyAlignment="1">
      <alignment horizontal="center" vertical="center"/>
    </xf>
    <xf numFmtId="37" fontId="4" fillId="0" borderId="2" xfId="0" applyNumberFormat="1" applyFont="1" applyBorder="1" applyAlignment="1">
      <alignment horizontal="center" vertical="center"/>
    </xf>
    <xf numFmtId="37" fontId="3" fillId="0" borderId="2" xfId="0" applyNumberFormat="1" applyFont="1" applyBorder="1" applyAlignment="1">
      <alignment vertical="center"/>
    </xf>
    <xf numFmtId="37" fontId="3" fillId="0" borderId="11" xfId="0" applyNumberFormat="1" applyFont="1" applyBorder="1" applyAlignment="1">
      <alignment vertical="center"/>
    </xf>
    <xf numFmtId="37" fontId="3" fillId="0" borderId="11" xfId="0" applyNumberFormat="1" applyFont="1" applyBorder="1" applyAlignment="1">
      <alignment horizontal="center" vertical="center"/>
    </xf>
    <xf numFmtId="37" fontId="6" fillId="0" borderId="11" xfId="0" applyNumberFormat="1" applyFont="1" applyBorder="1" applyAlignment="1">
      <alignment horizontal="center" vertical="center"/>
    </xf>
    <xf numFmtId="164" fontId="9" fillId="0" borderId="0" xfId="1" applyNumberFormat="1" applyFont="1" applyFill="1" applyBorder="1" applyAlignment="1">
      <alignment horizontal="center" vertical="center"/>
    </xf>
    <xf numFmtId="37" fontId="3" fillId="0" borderId="6" xfId="0" applyNumberFormat="1" applyFont="1" applyBorder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/>
    </xf>
    <xf numFmtId="37" fontId="3" fillId="0" borderId="16" xfId="0" applyNumberFormat="1" applyFont="1" applyBorder="1" applyAlignment="1">
      <alignment vertical="center"/>
    </xf>
    <xf numFmtId="37" fontId="2" fillId="0" borderId="0" xfId="1" applyNumberFormat="1" applyFont="1" applyAlignment="1">
      <alignment vertical="center"/>
    </xf>
    <xf numFmtId="164" fontId="9" fillId="0" borderId="11" xfId="1" applyNumberFormat="1" applyFont="1" applyFill="1" applyBorder="1" applyAlignment="1">
      <alignment horizontal="center" vertical="center"/>
    </xf>
    <xf numFmtId="164" fontId="4" fillId="0" borderId="11" xfId="1" applyNumberFormat="1" applyFont="1" applyFill="1" applyBorder="1" applyAlignment="1">
      <alignment horizontal="center" vertical="center"/>
    </xf>
    <xf numFmtId="37" fontId="2" fillId="0" borderId="11" xfId="0" applyNumberFormat="1" applyFont="1" applyBorder="1" applyAlignment="1">
      <alignment horizontal="center" vertical="center"/>
    </xf>
    <xf numFmtId="37" fontId="3" fillId="0" borderId="17" xfId="0" applyNumberFormat="1" applyFont="1" applyBorder="1" applyAlignment="1">
      <alignment vertical="center"/>
    </xf>
    <xf numFmtId="9" fontId="3" fillId="0" borderId="0" xfId="1" applyFont="1" applyAlignment="1">
      <alignment vertical="center"/>
    </xf>
    <xf numFmtId="37" fontId="9" fillId="0" borderId="18" xfId="0" applyNumberFormat="1" applyFont="1" applyBorder="1" applyAlignment="1">
      <alignment horizontal="center" vertical="center"/>
    </xf>
    <xf numFmtId="37" fontId="3" fillId="0" borderId="19" xfId="0" applyNumberFormat="1" applyFont="1" applyBorder="1" applyAlignment="1">
      <alignment horizontal="center" vertical="center"/>
    </xf>
    <xf numFmtId="37" fontId="2" fillId="0" borderId="2" xfId="0" applyNumberFormat="1" applyFont="1" applyBorder="1" applyAlignment="1">
      <alignment horizontal="left" vertical="center"/>
    </xf>
    <xf numFmtId="37" fontId="2" fillId="0" borderId="2" xfId="0" applyNumberFormat="1" applyFont="1" applyBorder="1" applyAlignment="1">
      <alignment horizontal="center" vertical="center"/>
    </xf>
    <xf numFmtId="37" fontId="3" fillId="5" borderId="0" xfId="0" applyNumberFormat="1" applyFont="1" applyFill="1" applyAlignment="1">
      <alignment horizontal="center" vertical="center"/>
    </xf>
    <xf numFmtId="37" fontId="9" fillId="3" borderId="22" xfId="0" applyNumberFormat="1" applyFont="1" applyFill="1" applyBorder="1" applyAlignment="1">
      <alignment horizontal="center" vertical="center"/>
    </xf>
    <xf numFmtId="4" fontId="10" fillId="0" borderId="9" xfId="2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37" fontId="7" fillId="0" borderId="0" xfId="0" applyNumberFormat="1" applyFont="1" applyAlignment="1">
      <alignment horizontal="center" vertical="center"/>
    </xf>
    <xf numFmtId="37" fontId="7" fillId="0" borderId="19" xfId="0" applyNumberFormat="1" applyFont="1" applyBorder="1" applyAlignment="1">
      <alignment vertical="center"/>
    </xf>
    <xf numFmtId="166" fontId="4" fillId="0" borderId="9" xfId="0" applyNumberFormat="1" applyFont="1" applyBorder="1" applyAlignment="1">
      <alignment horizontal="center" vertical="center"/>
    </xf>
    <xf numFmtId="37" fontId="0" fillId="0" borderId="0" xfId="0" applyNumberFormat="1"/>
    <xf numFmtId="37" fontId="2" fillId="0" borderId="11" xfId="0" applyNumberFormat="1" applyFont="1" applyBorder="1" applyAlignment="1">
      <alignment vertical="center"/>
    </xf>
    <xf numFmtId="37" fontId="7" fillId="0" borderId="6" xfId="0" applyNumberFormat="1" applyFont="1" applyBorder="1" applyAlignment="1">
      <alignment horizontal="center" vertical="center"/>
    </xf>
    <xf numFmtId="9" fontId="9" fillId="2" borderId="2" xfId="1" applyFont="1" applyFill="1" applyBorder="1" applyAlignment="1">
      <alignment horizontal="center" vertical="center"/>
    </xf>
    <xf numFmtId="9" fontId="9" fillId="2" borderId="3" xfId="1" applyFont="1" applyFill="1" applyBorder="1" applyAlignment="1">
      <alignment horizontal="center" vertical="center"/>
    </xf>
    <xf numFmtId="9" fontId="9" fillId="0" borderId="11" xfId="1" applyFont="1" applyFill="1" applyBorder="1" applyAlignment="1">
      <alignment horizontal="center" vertical="center"/>
    </xf>
    <xf numFmtId="37" fontId="3" fillId="0" borderId="27" xfId="0" applyNumberFormat="1" applyFont="1" applyBorder="1" applyAlignment="1">
      <alignment vertical="center"/>
    </xf>
    <xf numFmtId="37" fontId="2" fillId="0" borderId="28" xfId="0" applyNumberFormat="1" applyFont="1" applyBorder="1" applyAlignment="1">
      <alignment vertical="center"/>
    </xf>
    <xf numFmtId="9" fontId="9" fillId="3" borderId="9" xfId="1" applyFont="1" applyFill="1" applyBorder="1" applyAlignment="1">
      <alignment horizontal="center" vertical="center"/>
    </xf>
    <xf numFmtId="9" fontId="9" fillId="3" borderId="10" xfId="1" applyFont="1" applyFill="1" applyBorder="1" applyAlignment="1">
      <alignment horizontal="center" vertical="center"/>
    </xf>
    <xf numFmtId="9" fontId="9" fillId="0" borderId="0" xfId="1" applyFont="1" applyFill="1" applyBorder="1" applyAlignment="1">
      <alignment horizontal="center" vertical="center"/>
    </xf>
    <xf numFmtId="37" fontId="3" fillId="0" borderId="29" xfId="0" applyNumberFormat="1" applyFont="1" applyBorder="1" applyAlignment="1">
      <alignment horizontal="center" vertical="center"/>
    </xf>
    <xf numFmtId="9" fontId="4" fillId="0" borderId="9" xfId="1" applyFont="1" applyBorder="1" applyAlignment="1">
      <alignment horizontal="center" vertical="center"/>
    </xf>
    <xf numFmtId="9" fontId="4" fillId="0" borderId="1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37" fontId="12" fillId="0" borderId="0" xfId="0" applyNumberFormat="1" applyFont="1" applyAlignment="1">
      <alignment horizontal="center" vertical="center"/>
    </xf>
    <xf numFmtId="37" fontId="12" fillId="2" borderId="1" xfId="0" applyNumberFormat="1" applyFont="1" applyFill="1" applyBorder="1" applyAlignment="1">
      <alignment horizontal="center" vertical="center"/>
    </xf>
    <xf numFmtId="37" fontId="13" fillId="2" borderId="2" xfId="0" applyNumberFormat="1" applyFont="1" applyFill="1" applyBorder="1" applyAlignment="1">
      <alignment horizontal="left" vertical="center"/>
    </xf>
    <xf numFmtId="37" fontId="12" fillId="2" borderId="2" xfId="0" applyNumberFormat="1" applyFont="1" applyFill="1" applyBorder="1" applyAlignment="1">
      <alignment horizontal="left" vertical="center"/>
    </xf>
    <xf numFmtId="37" fontId="13" fillId="2" borderId="3" xfId="0" applyNumberFormat="1" applyFont="1" applyFill="1" applyBorder="1" applyAlignment="1">
      <alignment horizontal="left" vertical="center"/>
    </xf>
    <xf numFmtId="37" fontId="13" fillId="0" borderId="0" xfId="0" applyNumberFormat="1" applyFont="1" applyAlignment="1">
      <alignment horizontal="left" vertical="center"/>
    </xf>
    <xf numFmtId="37" fontId="12" fillId="3" borderId="13" xfId="0" applyNumberFormat="1" applyFont="1" applyFill="1" applyBorder="1" applyAlignment="1">
      <alignment horizontal="center" vertical="center"/>
    </xf>
    <xf numFmtId="37" fontId="13" fillId="3" borderId="9" xfId="0" applyNumberFormat="1" applyFont="1" applyFill="1" applyBorder="1" applyAlignment="1">
      <alignment horizontal="left" vertical="center"/>
    </xf>
    <xf numFmtId="37" fontId="12" fillId="3" borderId="9" xfId="0" applyNumberFormat="1" applyFont="1" applyFill="1" applyBorder="1" applyAlignment="1">
      <alignment horizontal="left" vertical="center"/>
    </xf>
    <xf numFmtId="37" fontId="13" fillId="3" borderId="10" xfId="0" applyNumberFormat="1" applyFont="1" applyFill="1" applyBorder="1" applyAlignment="1">
      <alignment horizontal="left" vertical="center"/>
    </xf>
    <xf numFmtId="37" fontId="2" fillId="0" borderId="0" xfId="2" applyNumberFormat="1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2" borderId="30" xfId="0" applyFont="1" applyFill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165" fontId="9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7" fontId="2" fillId="0" borderId="0" xfId="0" quotePrefix="1" applyNumberFormat="1" applyFont="1" applyAlignment="1">
      <alignment horizontal="left" vertical="center"/>
    </xf>
    <xf numFmtId="0" fontId="23" fillId="0" borderId="0" xfId="0" applyFont="1" applyAlignment="1">
      <alignment horizontal="left"/>
    </xf>
    <xf numFmtId="0" fontId="15" fillId="0" borderId="32" xfId="29" applyAlignment="1"/>
    <xf numFmtId="0" fontId="15" fillId="0" borderId="32" xfId="29" quotePrefix="1" applyAlignment="1"/>
    <xf numFmtId="0" fontId="14" fillId="0" borderId="34" xfId="74" quotePrefix="1">
      <alignment horizontal="center" vertical="center"/>
    </xf>
    <xf numFmtId="3" fontId="15" fillId="0" borderId="32" xfId="67"/>
    <xf numFmtId="0" fontId="14" fillId="0" borderId="33" xfId="76" quotePrefix="1">
      <alignment horizontal="left" vertical="center"/>
    </xf>
    <xf numFmtId="0" fontId="15" fillId="0" borderId="32" xfId="28" applyAlignment="1">
      <alignment horizontal="left"/>
    </xf>
    <xf numFmtId="0" fontId="2" fillId="0" borderId="0" xfId="0" applyFont="1" applyAlignment="1">
      <alignment horizontal="center" vertical="center"/>
    </xf>
    <xf numFmtId="0" fontId="14" fillId="0" borderId="33" xfId="76">
      <alignment horizontal="left" vertical="center"/>
    </xf>
    <xf numFmtId="0" fontId="14" fillId="0" borderId="33" xfId="76" quotePrefix="1" applyAlignment="1">
      <alignment horizontal="left" vertical="center" indent="1"/>
    </xf>
    <xf numFmtId="0" fontId="15" fillId="0" borderId="32" xfId="28"/>
    <xf numFmtId="0" fontId="24" fillId="0" borderId="0" xfId="76" applyFont="1" applyBorder="1">
      <alignment horizontal="left" vertical="center"/>
    </xf>
    <xf numFmtId="0" fontId="14" fillId="0" borderId="33" xfId="76" quotePrefix="1" applyAlignment="1">
      <alignment horizontal="left" vertical="center" indent="2"/>
    </xf>
    <xf numFmtId="0" fontId="26" fillId="0" borderId="0" xfId="76" applyFont="1" applyBorder="1">
      <alignment horizontal="left" vertical="center"/>
    </xf>
    <xf numFmtId="0" fontId="25" fillId="0" borderId="0" xfId="0" applyFont="1"/>
    <xf numFmtId="37" fontId="25" fillId="0" borderId="0" xfId="0" applyNumberFormat="1" applyFont="1" applyAlignment="1">
      <alignment vertical="center"/>
    </xf>
    <xf numFmtId="0" fontId="27" fillId="0" borderId="0" xfId="28" applyFont="1" applyBorder="1" applyAlignment="1">
      <alignment horizontal="left"/>
    </xf>
    <xf numFmtId="37" fontId="29" fillId="0" borderId="3" xfId="0" applyNumberFormat="1" applyFont="1" applyBorder="1" applyAlignment="1">
      <alignment horizontal="center" vertical="center"/>
    </xf>
    <xf numFmtId="37" fontId="29" fillId="0" borderId="2" xfId="0" applyNumberFormat="1" applyFont="1" applyBorder="1" applyAlignment="1">
      <alignment horizontal="center" vertical="center"/>
    </xf>
    <xf numFmtId="165" fontId="8" fillId="2" borderId="5" xfId="0" applyNumberFormat="1" applyFont="1" applyFill="1" applyBorder="1" applyAlignment="1">
      <alignment horizontal="center" vertical="center"/>
    </xf>
    <xf numFmtId="165" fontId="8" fillId="2" borderId="8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4" fontId="8" fillId="6" borderId="13" xfId="0" applyNumberFormat="1" applyFont="1" applyFill="1" applyBorder="1" applyAlignment="1">
      <alignment horizontal="center" vertical="center"/>
    </xf>
    <xf numFmtId="37" fontId="12" fillId="3" borderId="24" xfId="0" applyNumberFormat="1" applyFont="1" applyFill="1" applyBorder="1" applyAlignment="1">
      <alignment horizontal="center" vertical="center"/>
    </xf>
    <xf numFmtId="37" fontId="12" fillId="3" borderId="25" xfId="0" applyNumberFormat="1" applyFont="1" applyFill="1" applyBorder="1" applyAlignment="1">
      <alignment horizontal="center" vertical="center"/>
    </xf>
    <xf numFmtId="37" fontId="12" fillId="3" borderId="26" xfId="0" applyNumberFormat="1" applyFont="1" applyFill="1" applyBorder="1" applyAlignment="1">
      <alignment horizontal="center" vertical="center"/>
    </xf>
    <xf numFmtId="37" fontId="28" fillId="3" borderId="24" xfId="0" applyNumberFormat="1" applyFont="1" applyFill="1" applyBorder="1" applyAlignment="1">
      <alignment horizontal="center" vertical="center"/>
    </xf>
    <xf numFmtId="37" fontId="28" fillId="3" borderId="25" xfId="0" applyNumberFormat="1" applyFont="1" applyFill="1" applyBorder="1" applyAlignment="1">
      <alignment horizontal="center" vertical="center"/>
    </xf>
    <xf numFmtId="37" fontId="28" fillId="3" borderId="26" xfId="0" applyNumberFormat="1" applyFont="1" applyFill="1" applyBorder="1" applyAlignment="1">
      <alignment horizontal="center" vertical="center"/>
    </xf>
    <xf numFmtId="165" fontId="8" fillId="2" borderId="23" xfId="0" applyNumberFormat="1" applyFont="1" applyFill="1" applyBorder="1" applyAlignment="1">
      <alignment horizontal="center" vertical="center"/>
    </xf>
    <xf numFmtId="37" fontId="8" fillId="2" borderId="5" xfId="0" applyNumberFormat="1" applyFont="1" applyFill="1" applyBorder="1" applyAlignment="1">
      <alignment horizontal="center" vertical="center"/>
    </xf>
    <xf numFmtId="37" fontId="8" fillId="2" borderId="8" xfId="0" applyNumberFormat="1" applyFont="1" applyFill="1" applyBorder="1" applyAlignment="1">
      <alignment horizontal="center" vertical="center"/>
    </xf>
    <xf numFmtId="165" fontId="8" fillId="2" borderId="20" xfId="0" applyNumberFormat="1" applyFont="1" applyFill="1" applyBorder="1" applyAlignment="1">
      <alignment horizontal="center" vertical="center"/>
    </xf>
    <xf numFmtId="165" fontId="8" fillId="2" borderId="2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5" fontId="8" fillId="4" borderId="13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8" fillId="4" borderId="13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78">
    <cellStyle name="AF Column - IBM Cognos" xfId="3" xr:uid="{D2DC277F-E8A4-43C0-8EF4-113EDBED353F}"/>
    <cellStyle name="AF Data - IBM Cognos" xfId="4" xr:uid="{ADB94A63-305F-40C8-84DF-69168634FEC0}"/>
    <cellStyle name="AF Data 0 - IBM Cognos" xfId="5" xr:uid="{1B26E718-2D0A-40B3-982F-F5B9CBC55B5C}"/>
    <cellStyle name="AF Data 1 - IBM Cognos" xfId="6" xr:uid="{351C5159-436C-4C64-BCE0-707C68C34509}"/>
    <cellStyle name="AF Data 2 - IBM Cognos" xfId="7" xr:uid="{416ACA75-C192-473D-8E18-08E2589FFDCF}"/>
    <cellStyle name="AF Data 3 - IBM Cognos" xfId="8" xr:uid="{615130D0-FD4B-4F82-AB45-211CAE113ADD}"/>
    <cellStyle name="AF Data 4 - IBM Cognos" xfId="9" xr:uid="{58E37286-2D3A-4009-8B24-1F660284D8C3}"/>
    <cellStyle name="AF Data 5 - IBM Cognos" xfId="10" xr:uid="{EB9EF6A6-F268-4C9A-B10A-407606E0B2F3}"/>
    <cellStyle name="AF Data Leaf - IBM Cognos" xfId="11" xr:uid="{6C826FD8-3619-44C4-9E03-0E44389BDB89}"/>
    <cellStyle name="AF Header - IBM Cognos" xfId="12" xr:uid="{1AF12FB8-CE96-4476-99F5-3A563F480B50}"/>
    <cellStyle name="AF Header 0 - IBM Cognos" xfId="13" xr:uid="{FE5CD452-D9E6-447B-B570-9FB6D618528D}"/>
    <cellStyle name="AF Header 1 - IBM Cognos" xfId="14" xr:uid="{298C5F84-0F6E-40B2-86CC-EDDDDD36B721}"/>
    <cellStyle name="AF Header 2 - IBM Cognos" xfId="15" xr:uid="{88A59BBA-81B2-4563-80D4-4EE6873EFEBB}"/>
    <cellStyle name="AF Header 3 - IBM Cognos" xfId="16" xr:uid="{0E1D6F59-9D39-4920-9C0B-553EAF6D6F87}"/>
    <cellStyle name="AF Header 4 - IBM Cognos" xfId="17" xr:uid="{A6D0625E-E93B-4842-89FD-102961F37643}"/>
    <cellStyle name="AF Header 5 - IBM Cognos" xfId="18" xr:uid="{D27CD214-8477-47A0-B513-52CF37EAB8E2}"/>
    <cellStyle name="AF Header Leaf - IBM Cognos" xfId="19" xr:uid="{D5CED9DE-9BCC-46DB-8A18-44FDBC94311B}"/>
    <cellStyle name="AF Row - IBM Cognos" xfId="20" xr:uid="{3171D840-8CF1-42B5-AC3B-3EF454D75183}"/>
    <cellStyle name="AF Row 0 - IBM Cognos" xfId="21" xr:uid="{A96187EE-25C3-4853-BD79-1005A5D91F36}"/>
    <cellStyle name="AF Row 1 - IBM Cognos" xfId="22" xr:uid="{53B1DABD-F558-40B2-896F-A0037452D083}"/>
    <cellStyle name="AF Row 2 - IBM Cognos" xfId="23" xr:uid="{3D37B59C-C7BF-4C8A-A305-FE153411B675}"/>
    <cellStyle name="AF Row 3 - IBM Cognos" xfId="24" xr:uid="{FE621554-CA9A-4C1C-99FB-ABF48A62C990}"/>
    <cellStyle name="AF Row 4 - IBM Cognos" xfId="25" xr:uid="{A8D53173-B697-427C-9512-7EB0BAF9867D}"/>
    <cellStyle name="AF Row 5 - IBM Cognos" xfId="26" xr:uid="{CD8AD557-9E2A-48EF-859D-F0F6B747A308}"/>
    <cellStyle name="AF Row Leaf - IBM Cognos" xfId="27" xr:uid="{F769E55E-AE7A-4A1A-9333-93C76FDCDD51}"/>
    <cellStyle name="AF Subnm - IBM Cognos" xfId="28" xr:uid="{A4686B18-464E-40E0-A655-376119F98FD3}"/>
    <cellStyle name="AF Title - IBM Cognos" xfId="29" xr:uid="{3314A5D3-5DDE-4BA5-A5E5-EBB78CD3C9AD}"/>
    <cellStyle name="Calculated Column - IBM Cognos" xfId="30" xr:uid="{D7D76E2A-90C5-4F80-A856-8D3948CA9BFF}"/>
    <cellStyle name="Calculated Column Name - IBM Cognos" xfId="31" xr:uid="{B1DD407E-0EE5-4C63-BF19-E6AAF070700F}"/>
    <cellStyle name="Calculated Row - IBM Cognos" xfId="32" xr:uid="{04DF1A8F-859E-4849-8FF9-6D799B44FC55}"/>
    <cellStyle name="Calculated Row Name - IBM Cognos" xfId="33" xr:uid="{A1242463-5F8F-42BF-AFE7-BEC64619C15D}"/>
    <cellStyle name="Column Name - IBM Cognos" xfId="34" xr:uid="{9067E842-C530-4D20-9B90-A50D502F7068}"/>
    <cellStyle name="Column Template - IBM Cognos" xfId="35" xr:uid="{A126F7BE-533E-4D3E-9465-5973B5DA7B6C}"/>
    <cellStyle name="Comma 3" xfId="2" xr:uid="{26EB5E91-A9D7-40F1-8C5C-07A8BE7221C1}"/>
    <cellStyle name="Differs From Base - IBM Cognos" xfId="36" xr:uid="{B36DBD40-9199-43FD-A830-99EAE8D2637E}"/>
    <cellStyle name="DQR Column 0 - IBM Cognos" xfId="37" xr:uid="{F5370F08-111A-452D-A36D-DCA8BC8EEFF8}"/>
    <cellStyle name="DQR Column 1 - IBM Cognos" xfId="38" xr:uid="{2F19FE6F-FBA4-4810-8DFD-5242AD5A523F}"/>
    <cellStyle name="DQR Column 2 - IBM Cognos" xfId="39" xr:uid="{825BB286-9E89-4C9B-A049-8BA5D52C683C}"/>
    <cellStyle name="DQR Column 3 - IBM Cognos" xfId="40" xr:uid="{4FAACEA4-E295-4D2E-9FF5-0712AD9D7A64}"/>
    <cellStyle name="DQR Column 4 - IBM Cognos" xfId="41" xr:uid="{C2D554E6-AB9E-4B24-AB9C-B1CC5B50CE1F}"/>
    <cellStyle name="DQR Column 5 - IBM Cognos" xfId="42" xr:uid="{0FD0C0E0-6950-42B9-B9DD-7621C6E538E0}"/>
    <cellStyle name="DQR Column Default - IBM Cognos" xfId="43" xr:uid="{B0D5FB94-36FC-476C-8652-5189B8722A8C}"/>
    <cellStyle name="DQR Column Leaf - IBM Cognos" xfId="44" xr:uid="{1159CD82-F895-43CC-A4DE-E1DD1CB041FB}"/>
    <cellStyle name="DQR Data Default - IBM Cognos" xfId="45" xr:uid="{61BE4DB1-B0B7-4816-B076-919F24EF1AF6}"/>
    <cellStyle name="DQR Default - IBM Cognos" xfId="46" xr:uid="{59361647-61C0-4B45-B03C-2DF0B0BE0947}"/>
    <cellStyle name="DQR Gutter Default - IBM Cognos" xfId="47" xr:uid="{8A318CA1-2830-4B69-BC2A-782E02BD9D1F}"/>
    <cellStyle name="DQR Gutter Default (OFF) - IBM Cognos" xfId="48" xr:uid="{218C913E-8A27-4D2C-AEF3-B4A04531485C}"/>
    <cellStyle name="DQR Row 0 - IBM Cognos" xfId="49" xr:uid="{BB7DB773-7AE8-4267-924C-25B28D9795AD}"/>
    <cellStyle name="DQR Row 1 - IBM Cognos" xfId="50" xr:uid="{3FF0B0B0-EFF5-4FB1-8B76-C7D1ED6F1CDE}"/>
    <cellStyle name="DQR Row 2 - IBM Cognos" xfId="51" xr:uid="{B868676F-4D3E-476B-BEEE-5D8EA2FA41C3}"/>
    <cellStyle name="DQR Row 3 - IBM Cognos" xfId="52" xr:uid="{443BF966-9D2E-4B7F-95A2-AD091462AD0E}"/>
    <cellStyle name="DQR Row 4 - IBM Cognos" xfId="53" xr:uid="{1C0E8E05-A52E-4C60-B795-9ADCC64522AB}"/>
    <cellStyle name="DQR Row 5 - IBM Cognos" xfId="54" xr:uid="{15C97B01-C7F8-47DE-9CD1-D00D7067B7E7}"/>
    <cellStyle name="DQR Row Default - IBM Cognos" xfId="55" xr:uid="{B55FE3BA-2923-4FBE-A87E-FFD40DDC1937}"/>
    <cellStyle name="DQR Row Leaf - IBM Cognos" xfId="56" xr:uid="{BA651989-0608-4910-A519-5047E6F850E3}"/>
    <cellStyle name="Edit - IBM Cognos" xfId="57" xr:uid="{621F1FA2-6C5F-463C-A2C2-A6A8DDDD5567}"/>
    <cellStyle name="Formula - IBM Cognos" xfId="58" xr:uid="{38A41BFE-AA87-4905-A018-37B819FCE73A}"/>
    <cellStyle name="Group Name - IBM Cognos" xfId="59" xr:uid="{25ACE75C-C6C3-4F76-A271-B965736F31E0}"/>
    <cellStyle name="Hold Values - IBM Cognos" xfId="60" xr:uid="{3DAE31EE-33A1-4783-A722-F2446EB835D5}"/>
    <cellStyle name="List Name - IBM Cognos" xfId="61" xr:uid="{EBF1BF44-15F6-453A-92AA-C30AA4A91F36}"/>
    <cellStyle name="Locked - IBM Cognos" xfId="62" xr:uid="{EDE0D204-D0B7-4635-89B9-765507DBE504}"/>
    <cellStyle name="Measure - IBM Cognos" xfId="63" xr:uid="{7085D792-2F58-417E-8FBD-CFD71C198B46}"/>
    <cellStyle name="Measure Header - IBM Cognos" xfId="64" xr:uid="{2D1ACE3F-4CD9-408E-A6C8-3FCC5594514F}"/>
    <cellStyle name="Measure Name - IBM Cognos" xfId="65" xr:uid="{FB1CB87C-FF01-4ED3-9A64-3201E52D0827}"/>
    <cellStyle name="Measure Summary - IBM Cognos" xfId="66" xr:uid="{6180FF1A-0318-4C66-B87D-72B759EB4149}"/>
    <cellStyle name="Measure Summary TM1 - IBM Cognos" xfId="67" xr:uid="{A4A70EEB-23C0-4B18-B054-3EC384FA14B3}"/>
    <cellStyle name="Measure Template - IBM Cognos" xfId="68" xr:uid="{1431516E-E85E-4B26-87E2-130CF8B0558D}"/>
    <cellStyle name="More - IBM Cognos" xfId="69" xr:uid="{BBB00855-E145-4125-B39C-A5EC7B1461B9}"/>
    <cellStyle name="Normal" xfId="0" builtinId="0" customBuiltin="1"/>
    <cellStyle name="Pending Change - IBM Cognos" xfId="70" xr:uid="{80B4AC91-1CB9-460A-B0E3-993245B876E0}"/>
    <cellStyle name="Porcentagem" xfId="1" builtinId="5"/>
    <cellStyle name="Row Name - IBM Cognos" xfId="71" xr:uid="{877B446F-AE12-497C-8930-8988A655A10F}"/>
    <cellStyle name="Row Template - IBM Cognos" xfId="72" xr:uid="{73B69D52-1F99-4C77-9765-542B8E17F498}"/>
    <cellStyle name="Summary Column Name - IBM Cognos" xfId="73" xr:uid="{0EBCB964-568E-4C32-883B-DF58F64EC1E5}"/>
    <cellStyle name="Summary Column Name TM1 - IBM Cognos" xfId="74" xr:uid="{6760791F-CDDC-4BD2-91DE-6A4312F9BFE8}"/>
    <cellStyle name="Summary Row Name - IBM Cognos" xfId="75" xr:uid="{5D9B7FEF-F7F6-4DD4-A79E-D61E6E31F762}"/>
    <cellStyle name="Summary Row Name TM1 - IBM Cognos" xfId="76" xr:uid="{0C0663FF-176A-454F-A094-E8FD9DD5FD61}"/>
    <cellStyle name="Unsaved Change - IBM Cognos" xfId="77" xr:uid="{AA196397-A32C-415B-9F6B-092DA21CADEB}"/>
  </cellStyles>
  <dxfs count="186"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1F62AE"/>
        </patternFill>
      </fill>
    </dxf>
    <dxf>
      <fill>
        <patternFill>
          <bgColor rgb="FF90BE3C"/>
        </patternFill>
      </fill>
    </dxf>
    <dxf>
      <fill>
        <patternFill>
          <bgColor rgb="FF1F62AE"/>
        </patternFill>
      </fill>
    </dxf>
    <dxf>
      <fill>
        <patternFill>
          <bgColor rgb="FFC00000"/>
        </patternFill>
      </fill>
    </dxf>
    <dxf>
      <fill>
        <patternFill>
          <bgColor rgb="FF90BE3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17928</xdr:colOff>
      <xdr:row>0</xdr:row>
      <xdr:rowOff>0</xdr:rowOff>
    </xdr:from>
    <xdr:to>
      <xdr:col>46</xdr:col>
      <xdr:colOff>600634</xdr:colOff>
      <xdr:row>65</xdr:row>
      <xdr:rowOff>206187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DCBD1AE-587C-7DD4-C7D3-475AD94D0187}"/>
            </a:ext>
          </a:extLst>
        </xdr:cNvPr>
        <xdr:cNvSpPr/>
      </xdr:nvSpPr>
      <xdr:spPr>
        <a:xfrm>
          <a:off x="17928" y="0"/>
          <a:ext cx="13169153" cy="88302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fs2vmspa\controladoria$\Controle%20de%20Gest&#227;o\Acompanhamento\Banco%20de%20Dados%20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NDICATO\home\SPD\Vendas%20Preliminares%202006\DTE\trabalhos\cimento\consumo\CONSUMO%20MENSAL%20DE%20CIMENTO%2080-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ste%20-%20ACUMUL09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Cálculo"/>
      <sheetName val="Indicadores Econômicos"/>
      <sheetName val="Produções"/>
      <sheetName val="Rendimentos"/>
      <sheetName val="Consumos Específicos"/>
      <sheetName val="Energia Elétrica"/>
      <sheetName val="Preços Insumos"/>
      <sheetName val="Vendas"/>
      <sheetName val="Vendas US$"/>
      <sheetName val="Custos &amp; Despesas"/>
      <sheetName val="Custos &amp; Despesas US$"/>
      <sheetName val="Economicos"/>
      <sheetName val="Financeiros"/>
      <sheetName val="DRE"/>
      <sheetName val="DIF FAT FEV 01"/>
      <sheetName val="DRE- 2000"/>
      <sheetName val="Banco de Dados 2001"/>
      <sheetName val="CRITERIA1"/>
      <sheetName val="VEHICULOS"/>
      <sheetName val="EEFF"/>
      <sheetName val="Ind.TC"/>
      <sheetName val="Três Marias (TM)"/>
      <sheetName val="CMM"/>
      <sheetName val="Morro Agudo (MA)"/>
      <sheetName val="Plan69"/>
      <sheetName val="Properties"/>
      <sheetName val="Step_0_Team_CALENDAR"/>
      <sheetName val="Step2_Correlation"/>
      <sheetName val="Step2_Histogram"/>
      <sheetName val="Lists"/>
      <sheetName val="Treinamento mensal"/>
      <sheetName val="Treinamento e Desen. trimestral"/>
      <sheetName val="Captação"/>
      <sheetName val="Sheet1"/>
      <sheetName val="BALANCE SHEET"/>
      <sheetName val="Profit Centers"/>
      <sheetName val="Vínculos Simulador - coluna"/>
      <sheetName val="tutorial_Riscos"/>
      <sheetName val="BROWZ Status Info"/>
      <sheetName val="Indicadores_Econômicos"/>
      <sheetName val="Consumos_Específicos"/>
      <sheetName val="Energia_Elétrica"/>
      <sheetName val="Preços_Insumos"/>
      <sheetName val="Vendas_US$"/>
      <sheetName val="Custos_&amp;_Despesas"/>
      <sheetName val="Custos_&amp;_Despesas_US$"/>
      <sheetName val="DIF_FAT_FEV_01"/>
      <sheetName val="DRE-_2000"/>
      <sheetName val="Banco_de_Dados_2001"/>
      <sheetName val="Ind_TC"/>
      <sheetName val="Três_Marias_(TM)"/>
      <sheetName val="Morro_Agudo_(MA)"/>
      <sheetName val="Treinamento_mensal"/>
      <sheetName val="Treinamento_e_Desen__trimestral"/>
      <sheetName val="BALANCE_SHEET"/>
      <sheetName val="Vínculos_Simulador_-_coluna"/>
      <sheetName val="Hoja2"/>
      <sheetName val="Costo-Venta"/>
      <sheetName val="Venta Auto"/>
      <sheetName val="PEND. 31-12-2003"/>
      <sheetName val="Listas"/>
      <sheetName val="Base"/>
      <sheetName val="EDC"/>
      <sheetName val="BASE DE DADOS"/>
      <sheetName val="BASE_DE_DADOS"/>
      <sheetName val="Apoio"/>
      <sheetName val="PREMISSAS 2"/>
      <sheetName val="DADOS"/>
      <sheetName val="Contracts"/>
      <sheetName val="Support"/>
      <sheetName val="Aux"/>
      <sheetName val="Input - Racional de Ganho"/>
      <sheetName val="cuadro"/>
      <sheetName val="Hoja1"/>
      <sheetName val="DGEN"/>
      <sheetName val="Tablas"/>
      <sheetName val="ACUMULADO"/>
      <sheetName val="MOPE"/>
      <sheetName val="Banco Dados(Real) Consolidado"/>
      <sheetName val="Art96.IV.RIPI"/>
      <sheetName val="Lista"/>
      <sheetName val=""/>
      <sheetName val="Contadores"/>
      <sheetName val="Receitas 2016"/>
      <sheetName val="Receitas 2017 "/>
      <sheetName val="Entradas"/>
      <sheetName val="Receitas 2018"/>
      <sheetName val="Estornos"/>
      <sheetName val="Planilha1"/>
      <sheetName val="Planilha5"/>
      <sheetName val="Planilha3"/>
      <sheetName val="Plan1"/>
      <sheetName val="Planilha6"/>
      <sheetName val="Din.Receitas"/>
      <sheetName val="Planilha2"/>
      <sheetName val="Receitas 2019"/>
      <sheetName val="Contratos de Gestão "/>
      <sheetName val="Contratos de Patrocínios "/>
      <sheetName val="Receitas"/>
      <sheetName val="Investimentos "/>
      <sheetName val="FC"/>
      <sheetName val="Cenários"/>
      <sheetName val="2708"/>
      <sheetName val="DFC_Marcia"/>
      <sheetName val="DFC_RESERVA"/>
      <sheetName val="CONSOLIDADO (2)"/>
      <sheetName val="Projeção próximos anos "/>
      <sheetName val="4RV001"/>
      <sheetName val="5RV001"/>
      <sheetName val="4VD186"/>
      <sheetName val="Codigos"/>
      <sheetName val="Bridge Cement-Month L300"/>
      <sheetName val="Bridge Cement-YTD L300"/>
      <sheetName val="Bridge Cement-Act vs Flash"/>
      <sheetName val="MASTER"/>
      <sheetName val="MODELO"/>
      <sheetName val="Plan2"/>
      <sheetName val="Cash basis Ago-02"/>
      <sheetName val="Pasta7"/>
      <sheetName val="Database"/>
      <sheetName val="CO"/>
      <sheetName val="Dimensionamento"/>
      <sheetName val="List"/>
      <sheetName val="Distribuição"/>
      <sheetName val="Comparativo"/>
      <sheetName val="Comparativo_W"/>
      <sheetName val="Atualização"/>
      <sheetName val="Grafico"/>
      <sheetName val="Indicadores"/>
      <sheetName val="Base Triagem"/>
      <sheetName val="GATE_FCOJ"/>
      <sheetName val="Resumo"/>
      <sheetName val="Vinculo volumes efetivos (in)"/>
      <sheetName val="Work"/>
      <sheetName val="GORD"/>
      <sheetName val="DRPL_NFC"/>
      <sheetName val="Link_Orig"/>
      <sheetName val="Transf_NFC_F"/>
      <sheetName val="Tabela"/>
      <sheetName val="Semana"/>
      <sheetName val="BLP"/>
      <sheetName val="4"/>
      <sheetName val="Fallas"/>
      <sheetName val="5.0. Hold. A"/>
      <sheetName val="2. Macro"/>
      <sheetName val="Max_D._2002"/>
      <sheetName val="P2000"/>
      <sheetName val="Indicadores_Econômicos1"/>
      <sheetName val="Consumos_Específicos1"/>
      <sheetName val="Energia_Elétrica1"/>
      <sheetName val="Preços_Insumos1"/>
      <sheetName val="Vendas_US$1"/>
      <sheetName val="Custos_&amp;_Despesas1"/>
      <sheetName val="Custos_&amp;_Despesas_US$1"/>
      <sheetName val="DIF_FAT_FEV_011"/>
      <sheetName val="DRE-_20001"/>
      <sheetName val="Banco_de_Dados_20011"/>
      <sheetName val="Ind_TC1"/>
      <sheetName val="Três_Marias_(TM)1"/>
      <sheetName val="Morro_Agudo_(MA)1"/>
      <sheetName val="Treinamento_mensal1"/>
      <sheetName val="Treinamento_e_Desen__trimestra1"/>
      <sheetName val="BALANCE_SHEET1"/>
      <sheetName val="Profit_Centers"/>
      <sheetName val="Vínculos_Simulador_-_coluna1"/>
      <sheetName val="BROWZ_Status_Info"/>
      <sheetName val="Venta_Auto"/>
      <sheetName val="PEND__31-12-2003"/>
      <sheetName val="BASE_DE_DADOS1"/>
      <sheetName val="PREMISSAS_2"/>
      <sheetName val="Input_-_Racional_de_Ganho"/>
      <sheetName val="Banco_Dados(Real)_Consolidado"/>
      <sheetName val="Art96_IV_RIPI"/>
      <sheetName val="Indicadores_Econômicos2"/>
      <sheetName val="Consumos_Específicos2"/>
      <sheetName val="Energia_Elétrica2"/>
      <sheetName val="Preços_Insumos2"/>
      <sheetName val="Vendas_US$2"/>
      <sheetName val="Custos_&amp;_Despesas2"/>
      <sheetName val="Custos_&amp;_Despesas_US$2"/>
      <sheetName val="DIF_FAT_FEV_012"/>
      <sheetName val="DRE-_20002"/>
      <sheetName val="Banco_de_Dados_20012"/>
      <sheetName val="Ind_TC2"/>
      <sheetName val="Três_Marias_(TM)2"/>
      <sheetName val="Morro_Agudo_(MA)2"/>
      <sheetName val="Treinamento_mensal2"/>
      <sheetName val="Treinamento_e_Desen__trimestra2"/>
      <sheetName val="BALANCE_SHEET2"/>
      <sheetName val="Vínculos_Simulador_-_coluna2"/>
      <sheetName val="Profit_Centers1"/>
      <sheetName val="BROWZ_Status_Info1"/>
      <sheetName val="Venta_Auto1"/>
      <sheetName val="PEND__31-12-20031"/>
      <sheetName val="BASE_DE_DADOS2"/>
      <sheetName val="Receitas_2016"/>
      <sheetName val="Receitas_2017_"/>
      <sheetName val="Receitas_2018"/>
      <sheetName val="Din_Receitas"/>
      <sheetName val="Receitas_2019"/>
      <sheetName val="Contratos_de_Gestão_"/>
      <sheetName val="Contratos_de_Patrocínios_"/>
      <sheetName val="Investimentos_"/>
      <sheetName val="CONSOLIDADO_(2)"/>
      <sheetName val="Projeção_próximos_anos_"/>
      <sheetName val="Bridge_Cement-Month_L300"/>
      <sheetName val="Bridge_Cement-YTD_L300"/>
      <sheetName val="Bridge_Cement-Act_vs_Flash"/>
      <sheetName val="Indicadores_Econômicos3"/>
      <sheetName val="Consumos_Específicos3"/>
      <sheetName val="Energia_Elétrica3"/>
      <sheetName val="Preços_Insumos3"/>
      <sheetName val="Vendas_US$3"/>
      <sheetName val="Custos_&amp;_Despesas3"/>
      <sheetName val="Custos_&amp;_Despesas_US$3"/>
      <sheetName val="DIF_FAT_FEV_013"/>
      <sheetName val="DRE-_20003"/>
      <sheetName val="Banco_de_Dados_20013"/>
      <sheetName val="Ind_TC3"/>
      <sheetName val="Três_Marias_(TM)3"/>
      <sheetName val="Morro_Agudo_(MA)3"/>
      <sheetName val="Treinamento_mensal3"/>
      <sheetName val="Treinamento_e_Desen__trimestra3"/>
      <sheetName val="BALANCE_SHEET3"/>
      <sheetName val="Vínculos_Simulador_-_coluna3"/>
      <sheetName val="Profit_Centers2"/>
      <sheetName val="BROWZ_Status_Info2"/>
      <sheetName val="Venta_Auto2"/>
      <sheetName val="PEND__31-12-20032"/>
      <sheetName val="BASE_DE_DADOS3"/>
      <sheetName val="PREMISSAS_21"/>
      <sheetName val="Input_-_Racional_de_Ganho1"/>
      <sheetName val="Banco_Dados(Real)_Consolidado1"/>
      <sheetName val="Art96_IV_RIPI1"/>
      <sheetName val="Receitas_20161"/>
      <sheetName val="Receitas_2017_1"/>
      <sheetName val="Receitas_20181"/>
      <sheetName val="Din_Receitas1"/>
      <sheetName val="Receitas_20191"/>
      <sheetName val="Contratos_de_Gestão_1"/>
      <sheetName val="Contratos_de_Patrocínios_1"/>
      <sheetName val="Investimentos_1"/>
      <sheetName val="CONSOLIDADO_(2)1"/>
      <sheetName val="Projeção_próximos_anos_1"/>
      <sheetName val="Bridge_Cement-Month_L3001"/>
      <sheetName val="Bridge_Cement-YTD_L3001"/>
      <sheetName val="Bridge_Cement-Act_vs_Flash1"/>
      <sheetName val="Cash_basis_Ago-02"/>
      <sheetName val="Base_Triagem"/>
      <sheetName val="Vinculo_volumes_efetivos_(in)"/>
      <sheetName val="5_0__Hold__A"/>
      <sheetName val="2__Macro"/>
      <sheetName val="Max_D__2002"/>
      <sheetName val="Indicadores_Econômicos4"/>
      <sheetName val="Consumos_Específicos4"/>
      <sheetName val="Energia_Elétrica4"/>
      <sheetName val="Preços_Insumos4"/>
      <sheetName val="Vendas_US$4"/>
      <sheetName val="Custos_&amp;_Despesas4"/>
      <sheetName val="Custos_&amp;_Despesas_US$4"/>
      <sheetName val="DIF_FAT_FEV_014"/>
      <sheetName val="DRE-_20004"/>
      <sheetName val="Banco_de_Dados_20014"/>
      <sheetName val="Ind_TC4"/>
      <sheetName val="Três_Marias_(TM)4"/>
      <sheetName val="Morro_Agudo_(MA)4"/>
      <sheetName val="Treinamento_mensal4"/>
      <sheetName val="Treinamento_e_Desen__trimestra4"/>
      <sheetName val="BALANCE_SHEET4"/>
      <sheetName val="Vínculos_Simulador_-_coluna4"/>
      <sheetName val="Profit_Centers3"/>
      <sheetName val="BROWZ_Status_Info3"/>
      <sheetName val="Venta_Auto3"/>
      <sheetName val="PEND__31-12-20033"/>
      <sheetName val="BASE_DE_DADOS4"/>
      <sheetName val="PREMISSAS_22"/>
      <sheetName val="Input_-_Racional_de_Ganho2"/>
      <sheetName val="Banco_Dados(Real)_Consolidado2"/>
      <sheetName val="Art96_IV_RIPI2"/>
      <sheetName val="Receitas_20162"/>
      <sheetName val="Receitas_2017_2"/>
      <sheetName val="Receitas_20182"/>
      <sheetName val="Din_Receitas2"/>
      <sheetName val="Receitas_20192"/>
      <sheetName val="Contratos_de_Gestão_2"/>
      <sheetName val="Contratos_de_Patrocínios_2"/>
      <sheetName val="Investimentos_2"/>
      <sheetName val="CONSOLIDADO_(2)2"/>
      <sheetName val="Projeção_próximos_anos_2"/>
      <sheetName val="Bridge_Cement-Month_L3002"/>
      <sheetName val="Bridge_Cement-YTD_L3002"/>
      <sheetName val="Bridge_Cement-Act_vs_Flash2"/>
      <sheetName val="Data"/>
      <sheetName val="Datos"/>
      <sheetName val="SCHEDULE"/>
      <sheetName val="Banco de dados"/>
      <sheetName val="Alíquotas"/>
      <sheetName val="Macroecono antiga"/>
      <sheetName val="Gás Fenosa - GATR"/>
      <sheetName val="CC (2)"/>
      <sheetName val="CC"/>
      <sheetName val="72"/>
      <sheetName val="73"/>
      <sheetName val="Capex 1920 Postergado"/>
      <sheetName val="Capex 2021"/>
      <sheetName val="Base_Preço"/>
      <sheetName val="Slurry"/>
      <sheetName val="ANIM"/>
      <sheetName val="12_03"/>
      <sheetName val="Get_0704"/>
      <sheetName val="06_03"/>
      <sheetName val="Indicadores_Econômicos7"/>
      <sheetName val="Consumos_Específicos7"/>
      <sheetName val="Energia_Elétrica7"/>
      <sheetName val="Preços_Insumos7"/>
      <sheetName val="Vendas_US$7"/>
      <sheetName val="Custos_&amp;_Despesas7"/>
      <sheetName val="Custos_&amp;_Despesas_US$7"/>
      <sheetName val="DIF_FAT_FEV_017"/>
      <sheetName val="DRE-_20007"/>
      <sheetName val="Banco_de_Dados_20017"/>
      <sheetName val="Ind_TC7"/>
      <sheetName val="Três_Marias_(TM)7"/>
      <sheetName val="Morro_Agudo_(MA)7"/>
      <sheetName val="Treinamento_mensal7"/>
      <sheetName val="Treinamento_e_Desen__trimestra7"/>
      <sheetName val="BALANCE_SHEET7"/>
      <sheetName val="Vínculos_Simulador_-_coluna7"/>
      <sheetName val="Profit_Centers6"/>
      <sheetName val="BROWZ_Status_Info6"/>
      <sheetName val="Venta_Auto6"/>
      <sheetName val="PEND__31-12-20036"/>
      <sheetName val="BASE_DE_DADOS7"/>
      <sheetName val="PREMISSAS_25"/>
      <sheetName val="Input_-_Racional_de_Ganho5"/>
      <sheetName val="Banco_Dados(Real)_Consolidado5"/>
      <sheetName val="Art96_IV_RIPI5"/>
      <sheetName val="Receitas_20164"/>
      <sheetName val="Receitas_2017_4"/>
      <sheetName val="Receitas_20184"/>
      <sheetName val="Din_Receitas4"/>
      <sheetName val="Receitas_20194"/>
      <sheetName val="Contratos_de_Gestão_4"/>
      <sheetName val="Contratos_de_Patrocínios_4"/>
      <sheetName val="Investimentos_4"/>
      <sheetName val="CONSOLIDADO_(2)4"/>
      <sheetName val="Projeção_próximos_anos_4"/>
      <sheetName val="Bridge_Cement-Month_L3004"/>
      <sheetName val="Bridge_Cement-YTD_L3004"/>
      <sheetName val="Bridge_Cement-Act_vs_Flash4"/>
      <sheetName val="Indicadores_Econômicos5"/>
      <sheetName val="Consumos_Específicos5"/>
      <sheetName val="Energia_Elétrica5"/>
      <sheetName val="Preços_Insumos5"/>
      <sheetName val="Vendas_US$5"/>
      <sheetName val="Custos_&amp;_Despesas5"/>
      <sheetName val="Custos_&amp;_Despesas_US$5"/>
      <sheetName val="DIF_FAT_FEV_015"/>
      <sheetName val="DRE-_20005"/>
      <sheetName val="Banco_de_Dados_20015"/>
      <sheetName val="Ind_TC5"/>
      <sheetName val="Três_Marias_(TM)5"/>
      <sheetName val="Morro_Agudo_(MA)5"/>
      <sheetName val="Treinamento_mensal5"/>
      <sheetName val="Treinamento_e_Desen__trimestra5"/>
      <sheetName val="BALANCE_SHEET5"/>
      <sheetName val="Vínculos_Simulador_-_coluna5"/>
      <sheetName val="Profit_Centers4"/>
      <sheetName val="BROWZ_Status_Info4"/>
      <sheetName val="Venta_Auto4"/>
      <sheetName val="PEND__31-12-20034"/>
      <sheetName val="BASE_DE_DADOS5"/>
      <sheetName val="PREMISSAS_23"/>
      <sheetName val="Input_-_Racional_de_Ganho3"/>
      <sheetName val="Banco_Dados(Real)_Consolidado3"/>
      <sheetName val="Art96_IV_RIPI3"/>
      <sheetName val="Indicadores_Econômicos6"/>
      <sheetName val="Consumos_Específicos6"/>
      <sheetName val="Energia_Elétrica6"/>
      <sheetName val="Preços_Insumos6"/>
      <sheetName val="Vendas_US$6"/>
      <sheetName val="Custos_&amp;_Despesas6"/>
      <sheetName val="Custos_&amp;_Despesas_US$6"/>
      <sheetName val="DIF_FAT_FEV_016"/>
      <sheetName val="DRE-_20006"/>
      <sheetName val="Banco_de_Dados_20016"/>
      <sheetName val="Ind_TC6"/>
      <sheetName val="Três_Marias_(TM)6"/>
      <sheetName val="Morro_Agudo_(MA)6"/>
      <sheetName val="Treinamento_mensal6"/>
      <sheetName val="Treinamento_e_Desen__trimestra6"/>
      <sheetName val="BALANCE_SHEET6"/>
      <sheetName val="Vínculos_Simulador_-_coluna6"/>
      <sheetName val="Profit_Centers5"/>
      <sheetName val="BROWZ_Status_Info5"/>
      <sheetName val="Venta_Auto5"/>
      <sheetName val="PEND__31-12-20035"/>
      <sheetName val="BASE_DE_DADOS6"/>
      <sheetName val="PREMISSAS_24"/>
      <sheetName val="Input_-_Racional_de_Ganho4"/>
      <sheetName val="Banco_Dados(Real)_Consolidado4"/>
      <sheetName val="Art96_IV_RIPI4"/>
      <sheetName val="Receitas_20163"/>
      <sheetName val="Receitas_2017_3"/>
      <sheetName val="Receitas_20183"/>
      <sheetName val="Din_Receitas3"/>
      <sheetName val="Receitas_20193"/>
      <sheetName val="Contratos_de_Gestão_3"/>
      <sheetName val="Contratos_de_Patrocínios_3"/>
      <sheetName val="Investimentos_3"/>
      <sheetName val="CONSOLIDADO_(2)3"/>
      <sheetName val="Projeção_próximos_anos_3"/>
      <sheetName val="Bridge_Cement-Month_L3003"/>
      <sheetName val="Bridge_Cement-YTD_L3003"/>
      <sheetName val="Bridge_Cement-Act_vs_Flash3"/>
      <sheetName val="Cash_basis_Ago-021"/>
      <sheetName val="Base_Triagem1"/>
      <sheetName val="Vinculo_volumes_efetivos_(in)1"/>
      <sheetName val="5_0__Hold__A1"/>
      <sheetName val="2__Macro1"/>
      <sheetName val="Max_D__20021"/>
      <sheetName val="ASSUMPTION"/>
      <sheetName val=" EEPN"/>
      <sheetName val="Indicadores_Econômicos8"/>
      <sheetName val="Consumos_Específicos8"/>
      <sheetName val="Energia_Elétrica8"/>
      <sheetName val="Preços_Insumos8"/>
      <sheetName val="Vendas_US$8"/>
      <sheetName val="Custos_&amp;_Despesas8"/>
      <sheetName val="Custos_&amp;_Despesas_US$8"/>
      <sheetName val="DIF_FAT_FEV_018"/>
      <sheetName val="DRE-_20008"/>
      <sheetName val="Banco_de_Dados_20018"/>
      <sheetName val="Ind_TC8"/>
      <sheetName val="Três_Marias_(TM)8"/>
      <sheetName val="Morro_Agudo_(MA)8"/>
      <sheetName val="Treinamento_mensal8"/>
      <sheetName val="Treinamento_e_Desen__trimestra8"/>
      <sheetName val="BALANCE_SHEET8"/>
      <sheetName val="Vínculos_Simulador_-_coluna8"/>
      <sheetName val="Profit_Centers7"/>
      <sheetName val="BROWZ_Status_Info7"/>
      <sheetName val="Venta_Auto7"/>
      <sheetName val="PEND__31-12-20037"/>
      <sheetName val="BASE_DE_DADOS8"/>
      <sheetName val="PREMISSAS_26"/>
      <sheetName val="Input_-_Racional_de_Ganho6"/>
      <sheetName val="Banco_Dados(Real)_Consolidado6"/>
      <sheetName val="Art96_IV_RIPI6"/>
      <sheetName val="Receitas_20165"/>
      <sheetName val="Receitas_2017_5"/>
      <sheetName val="Receitas_20185"/>
      <sheetName val="Din_Receitas5"/>
      <sheetName val="Receitas_20195"/>
      <sheetName val="Contratos_de_Gestão_5"/>
      <sheetName val="Contratos_de_Patrocínios_5"/>
      <sheetName val="Investimentos_5"/>
      <sheetName val="CONSOLIDADO_(2)5"/>
      <sheetName val="Projeção_próximos_anos_5"/>
      <sheetName val="Bridge_Cement-Month_L3005"/>
      <sheetName val="Bridge_Cement-YTD_L3005"/>
      <sheetName val="Bridge_Cement-Act_vs_Flash5"/>
      <sheetName val="Cash_basis_Ago-022"/>
      <sheetName val="Base_Triagem2"/>
      <sheetName val="Vinculo_volumes_efetivos_(in)2"/>
      <sheetName val="5_0__Hold__A2"/>
      <sheetName val="2__Macro2"/>
      <sheetName val="Max_D__20022"/>
      <sheetName val="Indicadores_Econômicos9"/>
      <sheetName val="Consumos_Específicos9"/>
      <sheetName val="Energia_Elétrica9"/>
      <sheetName val="Preços_Insumos9"/>
      <sheetName val="Vendas_US$9"/>
      <sheetName val="Custos_&amp;_Despesas9"/>
      <sheetName val="Custos_&amp;_Despesas_US$9"/>
      <sheetName val="DIF_FAT_FEV_019"/>
      <sheetName val="DRE-_20009"/>
      <sheetName val="Banco_de_Dados_20019"/>
      <sheetName val="Ind_TC9"/>
      <sheetName val="Três_Marias_(TM)9"/>
      <sheetName val="Morro_Agudo_(MA)9"/>
      <sheetName val="Treinamento_mensal9"/>
      <sheetName val="Treinamento_e_Desen__trimestra9"/>
      <sheetName val="BALANCE_SHEET9"/>
      <sheetName val="Vínculos_Simulador_-_coluna9"/>
      <sheetName val="Profit_Centers8"/>
      <sheetName val="BROWZ_Status_Info8"/>
      <sheetName val="Venta_Auto8"/>
      <sheetName val="PEND__31-12-20038"/>
      <sheetName val="BASE_DE_DADOS9"/>
      <sheetName val="PREMISSAS_27"/>
      <sheetName val="Input_-_Racional_de_Ganho7"/>
      <sheetName val="Banco_Dados(Real)_Consolidado7"/>
      <sheetName val="Art96_IV_RIPI7"/>
      <sheetName val="Receitas_20166"/>
      <sheetName val="Receitas_2017_6"/>
      <sheetName val="Receitas_20186"/>
      <sheetName val="Din_Receitas6"/>
      <sheetName val="Receitas_20196"/>
      <sheetName val="Contratos_de_Gestão_6"/>
      <sheetName val="Contratos_de_Patrocínios_6"/>
      <sheetName val="Investimentos_6"/>
      <sheetName val="CONSOLIDADO_(2)6"/>
      <sheetName val="Projeção_próximos_anos_6"/>
      <sheetName val="Bridge_Cement-Month_L3006"/>
      <sheetName val="Bridge_Cement-YTD_L3006"/>
      <sheetName val="Bridge_Cement-Act_vs_Flash6"/>
      <sheetName val="Cash_basis_Ago-023"/>
      <sheetName val="Base_Triagem3"/>
      <sheetName val="Vinculo_volumes_efetivos_(in)3"/>
      <sheetName val="5_0__Hold__A3"/>
      <sheetName val="2__Macro3"/>
      <sheetName val="Max_D__20023"/>
      <sheetName val="Indicadores_Econômicos10"/>
      <sheetName val="Consumos_Específicos10"/>
      <sheetName val="Energia_Elétrica10"/>
      <sheetName val="Preços_Insumos10"/>
      <sheetName val="Vendas_US$10"/>
      <sheetName val="Custos_&amp;_Despesas10"/>
      <sheetName val="Custos_&amp;_Despesas_US$10"/>
      <sheetName val="DIF_FAT_FEV_0110"/>
      <sheetName val="DRE-_200010"/>
      <sheetName val="Banco_de_Dados_200110"/>
      <sheetName val="Ind_TC10"/>
      <sheetName val="Três_Marias_(TM)10"/>
      <sheetName val="Morro_Agudo_(MA)10"/>
      <sheetName val="Treinamento_mensal10"/>
      <sheetName val="Treinamento_e_Desen__trimestr10"/>
      <sheetName val="BALANCE_SHEET10"/>
      <sheetName val="Vínculos_Simulador_-_coluna10"/>
      <sheetName val="Profit_Centers9"/>
      <sheetName val="BROWZ_Status_Info9"/>
      <sheetName val="Venta_Auto9"/>
      <sheetName val="PEND__31-12-20039"/>
      <sheetName val="BASE_DE_DADOS10"/>
      <sheetName val="PREMISSAS_28"/>
      <sheetName val="Input_-_Racional_de_Ganho8"/>
      <sheetName val="Banco_Dados(Real)_Consolidado8"/>
      <sheetName val="Art96_IV_RIPI8"/>
      <sheetName val="Receitas_20167"/>
      <sheetName val="Receitas_2017_7"/>
      <sheetName val="Receitas_20187"/>
      <sheetName val="Din_Receitas7"/>
      <sheetName val="Receitas_20197"/>
      <sheetName val="Contratos_de_Gestão_7"/>
      <sheetName val="Contratos_de_Patrocínios_7"/>
      <sheetName val="Investimentos_7"/>
      <sheetName val="CONSOLIDADO_(2)7"/>
      <sheetName val="Projeção_próximos_anos_7"/>
      <sheetName val="Bridge_Cement-Month_L3007"/>
      <sheetName val="Bridge_Cement-YTD_L3007"/>
      <sheetName val="Bridge_Cement-Act_vs_Flash7"/>
      <sheetName val="Cash_basis_Ago-024"/>
      <sheetName val="Base_Triagem4"/>
      <sheetName val="Vinculo_volumes_efetivos_(in)4"/>
      <sheetName val="5_0__Hold__A4"/>
      <sheetName val="2__Macro4"/>
      <sheetName val="Max_D__20024"/>
      <sheetName val="Indicadores_Econômicos11"/>
      <sheetName val="Consumos_Específicos11"/>
      <sheetName val="Energia_Elétrica11"/>
      <sheetName val="Preços_Insumos11"/>
      <sheetName val="Vendas_US$11"/>
      <sheetName val="Custos_&amp;_Despesas11"/>
      <sheetName val="Custos_&amp;_Despesas_US$11"/>
      <sheetName val="DIF_FAT_FEV_0111"/>
      <sheetName val="DRE-_200011"/>
      <sheetName val="Banco_de_Dados_200111"/>
      <sheetName val="Ind_TC11"/>
      <sheetName val="Três_Marias_(TM)11"/>
      <sheetName val="Morro_Agudo_(MA)11"/>
      <sheetName val="Treinamento_mensal11"/>
      <sheetName val="Treinamento_e_Desen__trimestr11"/>
      <sheetName val="BALANCE_SHEET11"/>
      <sheetName val="Vínculos_Simulador_-_coluna11"/>
      <sheetName val="Profit_Centers10"/>
      <sheetName val="BROWZ_Status_Info10"/>
      <sheetName val="Venta_Auto10"/>
      <sheetName val="PEND__31-12-200310"/>
      <sheetName val="BASE_DE_DADOS11"/>
      <sheetName val="PREMISSAS_29"/>
      <sheetName val="Input_-_Racional_de_Ganho9"/>
      <sheetName val="Banco_Dados(Real)_Consolidado9"/>
      <sheetName val="Art96_IV_RIPI9"/>
      <sheetName val="Receitas_20168"/>
      <sheetName val="Receitas_2017_8"/>
      <sheetName val="Receitas_20188"/>
      <sheetName val="Din_Receitas8"/>
      <sheetName val="Receitas_20198"/>
      <sheetName val="Contratos_de_Gestão_8"/>
      <sheetName val="Contratos_de_Patrocínios_8"/>
      <sheetName val="Investimentos_8"/>
      <sheetName val="CONSOLIDADO_(2)8"/>
      <sheetName val="Projeção_próximos_anos_8"/>
      <sheetName val="Bridge_Cement-Month_L3008"/>
      <sheetName val="Bridge_Cement-YTD_L3008"/>
      <sheetName val="Bridge_Cement-Act_vs_Flash8"/>
      <sheetName val="Cash_basis_Ago-025"/>
      <sheetName val="Base_Triagem5"/>
      <sheetName val="Vinculo_volumes_efetivos_(in)5"/>
      <sheetName val="5_0__Hold__A5"/>
      <sheetName val="2__Macro5"/>
      <sheetName val="Max_D__20025"/>
      <sheetName val="Indicadores_Econômicos12"/>
      <sheetName val="Consumos_Específicos12"/>
      <sheetName val="Energia_Elétrica12"/>
      <sheetName val="Preços_Insumos12"/>
      <sheetName val="Vendas_US$12"/>
      <sheetName val="Custos_&amp;_Despesas12"/>
      <sheetName val="Custos_&amp;_Despesas_US$12"/>
      <sheetName val="DIF_FAT_FEV_0112"/>
      <sheetName val="DRE-_200012"/>
      <sheetName val="Banco_de_Dados_200112"/>
      <sheetName val="Ind_TC12"/>
      <sheetName val="Três_Marias_(TM)12"/>
      <sheetName val="Morro_Agudo_(MA)12"/>
      <sheetName val="Treinamento_mensal12"/>
      <sheetName val="Treinamento_e_Desen__trimestr12"/>
      <sheetName val="BALANCE_SHEET12"/>
      <sheetName val="Vínculos_Simulador_-_coluna12"/>
      <sheetName val="Profit_Centers11"/>
      <sheetName val="BROWZ_Status_Info11"/>
      <sheetName val="Venta_Auto11"/>
      <sheetName val="PEND__31-12-200311"/>
      <sheetName val="BASE_DE_DADOS12"/>
      <sheetName val="PREMISSAS_210"/>
      <sheetName val="Input_-_Racional_de_Ganho10"/>
      <sheetName val="Banco_Dados(Real)_Consolidado10"/>
      <sheetName val="Art96_IV_RIPI10"/>
      <sheetName val="Receitas_20169"/>
      <sheetName val="Receitas_2017_9"/>
      <sheetName val="Receitas_20189"/>
      <sheetName val="Din_Receitas9"/>
      <sheetName val="Receitas_20199"/>
      <sheetName val="Contratos_de_Gestão_9"/>
      <sheetName val="Contratos_de_Patrocínios_9"/>
      <sheetName val="Investimentos_9"/>
      <sheetName val="CONSOLIDADO_(2)9"/>
      <sheetName val="Projeção_próximos_anos_9"/>
      <sheetName val="Bridge_Cement-Month_L3009"/>
      <sheetName val="Bridge_Cement-YTD_L3009"/>
      <sheetName val="Bridge_Cement-Act_vs_Flash9"/>
      <sheetName val="Cash_basis_Ago-026"/>
      <sheetName val="Base_Triagem6"/>
      <sheetName val="Vinculo_volumes_efetivos_(in)6"/>
      <sheetName val="5_0__Hold__A6"/>
      <sheetName val="2__Macro6"/>
      <sheetName val="Max_D__20026"/>
      <sheetName val="Banco_de_dados"/>
      <sheetName val="Macroecono_antiga"/>
      <sheetName val="Gás_Fenosa_-_GATR"/>
      <sheetName val="CC_(2)"/>
      <sheetName val="Capex_1920_Postergado"/>
      <sheetName val="Capex_2021"/>
      <sheetName val="_EEPN"/>
      <sheetName val="N"/>
      <sheetName val="BC"/>
      <sheetName val="AJBA2003"/>
      <sheetName val="Dados gerais"/>
      <sheetName val="INGRESO DATOS"/>
      <sheetName val="Table"/>
      <sheetName val="TABLA DE VALORES"/>
      <sheetName val="TPNuevo"/>
      <sheetName val="Capacity"/>
      <sheetName val="A"/>
      <sheetName val="0"/>
      <sheetName val="PH"/>
      <sheetName val="PRAcu"/>
      <sheetName val="RH"/>
      <sheetName val="RRAcu"/>
      <sheetName val="Controls"/>
      <sheetName val="Banco_de_dados1"/>
      <sheetName val="CD SEC LOC #7"/>
      <sheetName val="Prueba global - Pasivo"/>
      <sheetName val="CONS-LS"/>
      <sheetName val="FG20"/>
      <sheetName val="PopCache"/>
      <sheetName val="REAL"/>
      <sheetName val="ND"/>
      <sheetName val="E.Costes_ES"/>
      <sheetName val="Aspectos e Perigos padronizados"/>
      <sheetName val="Grupo 38"/>
      <sheetName val="Indicadores_Econômicos13"/>
      <sheetName val="Consumos_Específicos13"/>
      <sheetName val="Energia_Elétrica13"/>
      <sheetName val="Preços_Insumos13"/>
      <sheetName val="Vendas_US$13"/>
      <sheetName val="Custos_&amp;_Despesas13"/>
      <sheetName val="Custos_&amp;_Despesas_US$13"/>
      <sheetName val="DIF_FAT_FEV_0113"/>
      <sheetName val="DRE-_200013"/>
      <sheetName val="Banco_de_Dados_200113"/>
      <sheetName val="Ind_TC13"/>
      <sheetName val="Três_Marias_(TM)13"/>
      <sheetName val="Morro_Agudo_(MA)13"/>
      <sheetName val="Treinamento_mensal13"/>
      <sheetName val="Treinamento_e_Desen__trimestr13"/>
      <sheetName val="BALANCE_SHEET13"/>
      <sheetName val="Profit_Centers12"/>
      <sheetName val="Vínculos_Simulador_-_coluna13"/>
      <sheetName val="BROWZ_Status_Info12"/>
      <sheetName val="Venta_Auto12"/>
      <sheetName val="PEND__31-12-200312"/>
      <sheetName val="BASE_DE_DADOS13"/>
      <sheetName val="PREMISSAS_211"/>
      <sheetName val="Input_-_Racional_de_Ganho11"/>
      <sheetName val="Banco_Dados(Real)_Consolidado11"/>
      <sheetName val="Art96_IV_RIPI11"/>
      <sheetName val="Receitas_201610"/>
      <sheetName val="Receitas_2017_10"/>
      <sheetName val="Receitas_201810"/>
      <sheetName val="Din_Receitas10"/>
      <sheetName val="Receitas_201910"/>
      <sheetName val="Contratos_de_Gestão_10"/>
      <sheetName val="Contratos_de_Patrocínios_10"/>
      <sheetName val="Investimentos_10"/>
      <sheetName val="CONSOLIDADO_(2)10"/>
      <sheetName val="Projeção_próximos_anos_10"/>
      <sheetName val="Bridge_Cement-Month_L30010"/>
      <sheetName val="Bridge_Cement-YTD_L30010"/>
      <sheetName val="Bridge_Cement-Act_vs_Flash10"/>
      <sheetName val="Cash_basis_Ago-027"/>
      <sheetName val="Base_Triagem7"/>
      <sheetName val="Vinculo_volumes_efetivos_(in)7"/>
      <sheetName val="5_0__Hold__A7"/>
      <sheetName val="2__Macro7"/>
      <sheetName val="Max_D__20027"/>
      <sheetName val="Macroecono_antiga1"/>
      <sheetName val="Gás_Fenosa_-_GATR1"/>
      <sheetName val="CC_(2)1"/>
      <sheetName val="Capex_1920_Postergado1"/>
      <sheetName val="Capex_20211"/>
      <sheetName val="_EEPN1"/>
      <sheetName val="Configurações"/>
      <sheetName val="Macroeconomics"/>
      <sheetName val="CUENTAS POR COBRAR NO COMERCIAL"/>
      <sheetName val="CD_SEC_LOC_#7"/>
      <sheetName val="Dados_gerais"/>
      <sheetName val="INGRESO_DATOS"/>
      <sheetName val="Prueba_global_-_Pasivo"/>
      <sheetName val="R-GyPBCB"/>
      <sheetName val="R-GyPBCOL"/>
      <sheetName val="Charts"/>
      <sheetName val="ROL"/>
      <sheetName val="BSB"/>
      <sheetName val="Capex e Financiamentos (Fase 1)"/>
      <sheetName val="2. Parking"/>
      <sheetName val="Indicadores_Econômicos14"/>
      <sheetName val="Consumos_Específicos14"/>
      <sheetName val="Energia_Elétrica14"/>
      <sheetName val="Preços_Insumos14"/>
      <sheetName val="Vendas_US$14"/>
      <sheetName val="Custos_&amp;_Despesas14"/>
      <sheetName val="Custos_&amp;_Despesas_US$14"/>
      <sheetName val="DIF_FAT_FEV_0114"/>
      <sheetName val="DRE-_200014"/>
      <sheetName val="Banco_de_Dados_200114"/>
      <sheetName val="Ind_TC14"/>
      <sheetName val="Três_Marias_(TM)14"/>
      <sheetName val="Morro_Agudo_(MA)14"/>
      <sheetName val="Treinamento_mensal14"/>
      <sheetName val="Treinamento_e_Desen__trimestr14"/>
      <sheetName val="BALANCE_SHEET14"/>
      <sheetName val="Vínculos_Simulador_-_coluna14"/>
      <sheetName val="Profit_Centers13"/>
      <sheetName val="BROWZ_Status_Info13"/>
      <sheetName val="Venta_Auto13"/>
      <sheetName val="PEND__31-12-200313"/>
      <sheetName val="BASE_DE_DADOS14"/>
      <sheetName val="PREMISSAS_212"/>
      <sheetName val="Input_-_Racional_de_Ganho12"/>
      <sheetName val="Banco_Dados(Real)_Consolidado12"/>
      <sheetName val="Art96_IV_RIPI12"/>
      <sheetName val="Receitas_201611"/>
      <sheetName val="Receitas_2017_11"/>
      <sheetName val="Receitas_201811"/>
      <sheetName val="Din_Receitas11"/>
      <sheetName val="Receitas_201911"/>
      <sheetName val="Contratos_de_Gestão_11"/>
      <sheetName val="Contratos_de_Patrocínios_11"/>
      <sheetName val="Investimentos_11"/>
      <sheetName val="CONSOLIDADO_(2)11"/>
      <sheetName val="Projeção_próximos_anos_11"/>
      <sheetName val="Bridge_Cement-Month_L30011"/>
      <sheetName val="Bridge_Cement-YTD_L30011"/>
      <sheetName val="Bridge_Cement-Act_vs_Flash11"/>
      <sheetName val="Cash_basis_Ago-028"/>
      <sheetName val="Base_Triagem8"/>
      <sheetName val="Vinculo_volumes_efetivos_(in)8"/>
      <sheetName val="5_0__Hold__A8"/>
      <sheetName val="2__Macro8"/>
      <sheetName val="Max_D__20028"/>
      <sheetName val="Banco_de_dados2"/>
      <sheetName val="Macroecono_antiga2"/>
      <sheetName val="Gás_Fenosa_-_GATR2"/>
      <sheetName val="CC_(2)2"/>
      <sheetName val="Capex_1920_Postergado2"/>
      <sheetName val="Capex_20212"/>
      <sheetName val="_EEPN2"/>
      <sheetName val="TABLA_DE_VALORES"/>
      <sheetName val="E_Costes_ES"/>
      <sheetName val="Aspectos_e_Perigos_padronizados"/>
      <sheetName val="Grupo_38"/>
      <sheetName val="Acompanhamento_Metas"/>
      <sheetName val="Info"/>
      <sheetName val="KSB1"/>
      <sheetName val="Depr. UHT20años"/>
      <sheetName val="Resumen"/>
      <sheetName val="2006"/>
      <sheetName val="19-A"/>
      <sheetName val="Quantity"/>
      <sheetName val="PLLA-2DA"/>
      <sheetName val="Fe"/>
      <sheetName val="ANALISIS"/>
      <sheetName val="3.INPUT ACT"/>
      <sheetName val="CWB2"/>
      <sheetName val="Bases Generales"/>
      <sheetName val="Feriados"/>
      <sheetName val="Anual"/>
      <sheetName val="NOV"/>
      <sheetName val="RefG"/>
      <sheetName val="Dados_gerais1"/>
      <sheetName val="INGRESO_DATOS1"/>
      <sheetName val="CD_SEC_LOC_#71"/>
      <sheetName val="Prueba_global_-_Pasivo1"/>
      <sheetName val="CUENTAS_POR_COBRAR_NO_COMERCIAL"/>
      <sheetName val="1.ResumoGráficosBASECASE"/>
      <sheetName val="CONEXION"/>
      <sheetName val="Property List"/>
      <sheetName val="Reference"/>
      <sheetName val="Vtas99-00"/>
      <sheetName val="TERMINACION C-3000"/>
      <sheetName val="Graph"/>
      <sheetName val="Table_Original"/>
      <sheetName val="SB"/>
      <sheetName val="Quarterly Projections"/>
      <sheetName val="Flash"/>
      <sheetName val="12det"/>
      <sheetName val="ePCWork Upload"/>
      <sheetName val="1a. TREND  LIST"/>
      <sheetName val="2a. TREND  LIST NFB"/>
      <sheetName val="Vacanc_Dir"/>
      <sheetName val="Vacanc_Com"/>
      <sheetName val="DIFF_BUS"/>
      <sheetName val="08. Auxiliar Total"/>
      <sheetName val="P&amp;L summary"/>
      <sheetName val="4-RCDP-2001"/>
      <sheetName val="COMP_ROLO"/>
      <sheetName val="Referencias"/>
      <sheetName val="Base Lista"/>
      <sheetName val="Lista de distribuição"/>
      <sheetName val="Base "/>
      <sheetName val="R-GyPCon"/>
      <sheetName val="LTM"/>
      <sheetName val="CREDIT STATS"/>
      <sheetName val="DropZone"/>
      <sheetName val="Analitics"/>
      <sheetName val="Camarones"/>
      <sheetName val="Peces"/>
      <sheetName val="Pollos"/>
      <sheetName val="Vacunos"/>
      <sheetName val="Porcinos"/>
      <sheetName val="Indicadores_Econômicos15"/>
      <sheetName val="Consumos_Específicos15"/>
      <sheetName val="Energia_Elétrica15"/>
      <sheetName val="Preços_Insumos15"/>
      <sheetName val="Vendas_US$15"/>
      <sheetName val="Custos_&amp;_Despesas15"/>
      <sheetName val="Custos_&amp;_Despesas_US$15"/>
      <sheetName val="DIF_FAT_FEV_0115"/>
      <sheetName val="DRE-_200015"/>
      <sheetName val="Banco_de_Dados_200115"/>
      <sheetName val="Ind_TC15"/>
      <sheetName val="PEND__31-12-200314"/>
      <sheetName val="Venta_Auto14"/>
      <sheetName val="Três_Marias_(TM)15"/>
      <sheetName val="Morro_Agudo_(MA)15"/>
      <sheetName val="Treinamento_mensal15"/>
      <sheetName val="Treinamento_e_Desen__trimestr15"/>
      <sheetName val="BALANCE_SHEET15"/>
      <sheetName val="Vínculos_Simulador_-_coluna15"/>
      <sheetName val="Profit_Centers14"/>
      <sheetName val="BROWZ_Status_Info14"/>
      <sheetName val="BASE_DE_DADOS15"/>
      <sheetName val="PREMISSAS_213"/>
      <sheetName val="Input_-_Racional_de_Ganho13"/>
      <sheetName val="Banco_Dados(Real)_Consolidado13"/>
      <sheetName val="Art96_IV_RIPI13"/>
      <sheetName val="Cash_basis_Ago-029"/>
      <sheetName val="Receitas_201612"/>
      <sheetName val="Receitas_2017_12"/>
      <sheetName val="Receitas_201812"/>
      <sheetName val="Din_Receitas12"/>
      <sheetName val="Receitas_201912"/>
      <sheetName val="Contratos_de_Gestão_12"/>
      <sheetName val="Contratos_de_Patrocínios_12"/>
      <sheetName val="Investimentos_12"/>
      <sheetName val="CONSOLIDADO_(2)12"/>
      <sheetName val="Projeção_próximos_anos_12"/>
      <sheetName val="Max_D__20029"/>
      <sheetName val="_EEPN3"/>
      <sheetName val="Banco_de_dados3"/>
      <sheetName val="Dados_gerais2"/>
      <sheetName val="INGRESO_DATOS2"/>
      <sheetName val="Prueba_global_-_Pasivo2"/>
      <sheetName val="CD_SEC_LOC_#72"/>
      <sheetName val="Bridge_Cement-Month_L30012"/>
      <sheetName val="Bridge_Cement-YTD_L30012"/>
      <sheetName val="Bridge_Cement-Act_vs_Flash12"/>
      <sheetName val="Base_Triagem9"/>
      <sheetName val="Vinculo_volumes_efetivos_(in)9"/>
      <sheetName val="5_0__Hold__A9"/>
      <sheetName val="2__Macro9"/>
      <sheetName val="Macroecono_antiga3"/>
      <sheetName val="Gás_Fenosa_-_GATR3"/>
      <sheetName val="CC_(2)3"/>
      <sheetName val="Capex_1920_Postergado3"/>
      <sheetName val="Capex_20213"/>
      <sheetName val="E_Costes_ES1"/>
      <sheetName val="Aspectos_e_Perigos_padronizado1"/>
      <sheetName val="Grupo_381"/>
      <sheetName val="TABLA_DE_VALORES1"/>
      <sheetName val="CUENTAS_POR_COBRAR_NO_COMERCIA1"/>
      <sheetName val="Depr__UHT20años"/>
      <sheetName val="3_INPUT_ACT"/>
      <sheetName val="Bases_Generales"/>
      <sheetName val="Property_List"/>
      <sheetName val="Capex_e_Financiamentos_(Fase_1)"/>
      <sheetName val="2__Parking"/>
      <sheetName val="TERMINACION_C-3000"/>
      <sheetName val="Quarterly_Projections"/>
      <sheetName val="CREDIT_STATS"/>
      <sheetName val="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9">
          <cell r="B19" t="str">
            <v>(-) EXPORT.NÃO EMBARCADAS</v>
          </cell>
        </row>
      </sheetData>
      <sheetData sheetId="40">
        <row r="19">
          <cell r="B19" t="str">
            <v>(-) EXPORT.NÃO EMBARCADAS</v>
          </cell>
        </row>
      </sheetData>
      <sheetData sheetId="41">
        <row r="19">
          <cell r="B19" t="str">
            <v>(-) EXPORT.NÃO EMBARCADAS</v>
          </cell>
        </row>
      </sheetData>
      <sheetData sheetId="42">
        <row r="19">
          <cell r="B19" t="str">
            <v>(-) EXPORT.NÃO EMBARCADAS</v>
          </cell>
        </row>
      </sheetData>
      <sheetData sheetId="43">
        <row r="19">
          <cell r="B19" t="str">
            <v>(-) EXPORT.NÃO EMBARCADAS</v>
          </cell>
        </row>
      </sheetData>
      <sheetData sheetId="44">
        <row r="19">
          <cell r="B19" t="str">
            <v>(-) EXPORT.NÃO EMBARCADAS</v>
          </cell>
        </row>
      </sheetData>
      <sheetData sheetId="45">
        <row r="19">
          <cell r="B19" t="str">
            <v>(-) EXPORT.NÃO EMBARCADAS</v>
          </cell>
        </row>
      </sheetData>
      <sheetData sheetId="46">
        <row r="19">
          <cell r="B19" t="str">
            <v>(-) EXPORT.NÃO EMBARCADAS</v>
          </cell>
        </row>
      </sheetData>
      <sheetData sheetId="47">
        <row r="19">
          <cell r="B19" t="str">
            <v>(-) EXPORT.NÃO EMBARCADAS</v>
          </cell>
        </row>
      </sheetData>
      <sheetData sheetId="48">
        <row r="19">
          <cell r="B19" t="str">
            <v>(-) EXPORT.NÃO EMBARCADAS</v>
          </cell>
        </row>
      </sheetData>
      <sheetData sheetId="49">
        <row r="19">
          <cell r="B19" t="str">
            <v>(-) EXPORT.NÃO EMBARCADAS</v>
          </cell>
        </row>
      </sheetData>
      <sheetData sheetId="50">
        <row r="19">
          <cell r="B19" t="str">
            <v>(-) EXPORT.NÃO EMBARCADAS</v>
          </cell>
        </row>
      </sheetData>
      <sheetData sheetId="51">
        <row r="19">
          <cell r="B19" t="str">
            <v>(-) EXPORT.NÃO EMBARCADAS</v>
          </cell>
        </row>
      </sheetData>
      <sheetData sheetId="52">
        <row r="19">
          <cell r="B19" t="str">
            <v>(-) EXPORT.NÃO EMBARCADAS</v>
          </cell>
        </row>
      </sheetData>
      <sheetData sheetId="53">
        <row r="19">
          <cell r="B19" t="str">
            <v>(-) EXPORT.NÃO EMBARCADAS</v>
          </cell>
        </row>
      </sheetData>
      <sheetData sheetId="54">
        <row r="19">
          <cell r="B19" t="str">
            <v>(-) EXPORT.NÃO EMBARCADAS</v>
          </cell>
        </row>
      </sheetData>
      <sheetData sheetId="55">
        <row r="19">
          <cell r="B19" t="str">
            <v>(-) EXPORT.NÃO EMBARCADAS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>
        <row r="13">
          <cell r="X13">
            <v>0</v>
          </cell>
        </row>
      </sheetData>
      <sheetData sheetId="85">
        <row r="13">
          <cell r="X13">
            <v>0</v>
          </cell>
        </row>
      </sheetData>
      <sheetData sheetId="86">
        <row r="13">
          <cell r="X13">
            <v>0</v>
          </cell>
        </row>
      </sheetData>
      <sheetData sheetId="87">
        <row r="13">
          <cell r="X13">
            <v>0</v>
          </cell>
        </row>
      </sheetData>
      <sheetData sheetId="88">
        <row r="13">
          <cell r="X13">
            <v>0</v>
          </cell>
        </row>
      </sheetData>
      <sheetData sheetId="89">
        <row r="13">
          <cell r="X13">
            <v>0</v>
          </cell>
        </row>
      </sheetData>
      <sheetData sheetId="90">
        <row r="13">
          <cell r="X13">
            <v>0</v>
          </cell>
        </row>
      </sheetData>
      <sheetData sheetId="91">
        <row r="13">
          <cell r="X13">
            <v>0</v>
          </cell>
        </row>
      </sheetData>
      <sheetData sheetId="92">
        <row r="13">
          <cell r="X13">
            <v>0</v>
          </cell>
        </row>
      </sheetData>
      <sheetData sheetId="93">
        <row r="13">
          <cell r="X13">
            <v>0</v>
          </cell>
        </row>
      </sheetData>
      <sheetData sheetId="94">
        <row r="13">
          <cell r="X13">
            <v>0</v>
          </cell>
        </row>
      </sheetData>
      <sheetData sheetId="95">
        <row r="13">
          <cell r="X13">
            <v>0</v>
          </cell>
        </row>
      </sheetData>
      <sheetData sheetId="96">
        <row r="13">
          <cell r="X13">
            <v>0</v>
          </cell>
        </row>
      </sheetData>
      <sheetData sheetId="97">
        <row r="13">
          <cell r="X13">
            <v>0</v>
          </cell>
        </row>
      </sheetData>
      <sheetData sheetId="98">
        <row r="13">
          <cell r="X13">
            <v>0</v>
          </cell>
        </row>
      </sheetData>
      <sheetData sheetId="99">
        <row r="13">
          <cell r="X13">
            <v>0</v>
          </cell>
        </row>
      </sheetData>
      <sheetData sheetId="100">
        <row r="13">
          <cell r="X13">
            <v>0</v>
          </cell>
        </row>
      </sheetData>
      <sheetData sheetId="101">
        <row r="13">
          <cell r="X13">
            <v>0</v>
          </cell>
        </row>
      </sheetData>
      <sheetData sheetId="102">
        <row r="13">
          <cell r="X13">
            <v>0</v>
          </cell>
        </row>
      </sheetData>
      <sheetData sheetId="103">
        <row r="13">
          <cell r="X13">
            <v>0</v>
          </cell>
        </row>
      </sheetData>
      <sheetData sheetId="104">
        <row r="13">
          <cell r="X13">
            <v>0</v>
          </cell>
        </row>
      </sheetData>
      <sheetData sheetId="105">
        <row r="13">
          <cell r="X13">
            <v>0</v>
          </cell>
        </row>
      </sheetData>
      <sheetData sheetId="106">
        <row r="13">
          <cell r="X13">
            <v>0</v>
          </cell>
        </row>
      </sheetData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13">
          <cell r="X13">
            <v>0</v>
          </cell>
        </row>
      </sheetData>
      <sheetData sheetId="124">
        <row r="13">
          <cell r="X13">
            <v>0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>
        <row r="13">
          <cell r="X13">
            <v>0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3">
          <cell r="F3">
            <v>36923</v>
          </cell>
        </row>
      </sheetData>
      <sheetData sheetId="155">
        <row r="3">
          <cell r="F3">
            <v>36923</v>
          </cell>
        </row>
      </sheetData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13">
          <cell r="X13">
            <v>0</v>
          </cell>
        </row>
      </sheetData>
      <sheetData sheetId="172">
        <row r="13">
          <cell r="X13">
            <v>0</v>
          </cell>
        </row>
      </sheetData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3">
          <cell r="F3">
            <v>36923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13">
          <cell r="X13">
            <v>0</v>
          </cell>
        </row>
      </sheetData>
      <sheetData sheetId="196">
        <row r="13">
          <cell r="X13">
            <v>0</v>
          </cell>
        </row>
      </sheetData>
      <sheetData sheetId="197">
        <row r="13">
          <cell r="X13">
            <v>0</v>
          </cell>
        </row>
      </sheetData>
      <sheetData sheetId="198">
        <row r="13">
          <cell r="X13">
            <v>0</v>
          </cell>
        </row>
      </sheetData>
      <sheetData sheetId="199"/>
      <sheetData sheetId="200">
        <row r="13">
          <cell r="X13">
            <v>0</v>
          </cell>
        </row>
      </sheetData>
      <sheetData sheetId="201"/>
      <sheetData sheetId="202">
        <row r="13">
          <cell r="X13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13">
          <cell r="X13">
            <v>0</v>
          </cell>
        </row>
      </sheetData>
      <sheetData sheetId="236">
        <row r="13">
          <cell r="X13">
            <v>0</v>
          </cell>
        </row>
      </sheetData>
      <sheetData sheetId="237">
        <row r="13">
          <cell r="X13">
            <v>0</v>
          </cell>
        </row>
      </sheetData>
      <sheetData sheetId="238">
        <row r="13">
          <cell r="X13">
            <v>0</v>
          </cell>
        </row>
      </sheetData>
      <sheetData sheetId="239">
        <row r="13">
          <cell r="X13">
            <v>0</v>
          </cell>
        </row>
      </sheetData>
      <sheetData sheetId="240"/>
      <sheetData sheetId="241">
        <row r="13">
          <cell r="X13">
            <v>0</v>
          </cell>
        </row>
      </sheetData>
      <sheetData sheetId="242"/>
      <sheetData sheetId="243"/>
      <sheetData sheetId="244"/>
      <sheetData sheetId="245">
        <row r="13">
          <cell r="X13">
            <v>0</v>
          </cell>
        </row>
      </sheetData>
      <sheetData sheetId="246">
        <row r="13">
          <cell r="X13">
            <v>0</v>
          </cell>
        </row>
      </sheetData>
      <sheetData sheetId="247">
        <row r="13">
          <cell r="X13">
            <v>0</v>
          </cell>
        </row>
      </sheetData>
      <sheetData sheetId="248">
        <row r="13">
          <cell r="X13">
            <v>0</v>
          </cell>
        </row>
      </sheetData>
      <sheetData sheetId="249">
        <row r="13">
          <cell r="X13">
            <v>0</v>
          </cell>
        </row>
      </sheetData>
      <sheetData sheetId="250">
        <row r="13">
          <cell r="X13">
            <v>0</v>
          </cell>
        </row>
      </sheetData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>
        <row r="13">
          <cell r="X13">
            <v>0</v>
          </cell>
        </row>
      </sheetData>
      <sheetData sheetId="260">
        <row r="3">
          <cell r="F3">
            <v>36923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>
        <row r="13">
          <cell r="X13">
            <v>0</v>
          </cell>
        </row>
      </sheetData>
      <sheetData sheetId="269">
        <row r="3">
          <cell r="F3">
            <v>36923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>
        <row r="3">
          <cell r="F3">
            <v>36923</v>
          </cell>
        </row>
      </sheetData>
      <sheetData sheetId="279"/>
      <sheetData sheetId="280">
        <row r="13">
          <cell r="X13">
            <v>0</v>
          </cell>
        </row>
      </sheetData>
      <sheetData sheetId="281"/>
      <sheetData sheetId="282">
        <row r="13">
          <cell r="X13">
            <v>0</v>
          </cell>
        </row>
      </sheetData>
      <sheetData sheetId="283"/>
      <sheetData sheetId="284">
        <row r="13">
          <cell r="X13">
            <v>0</v>
          </cell>
        </row>
      </sheetData>
      <sheetData sheetId="285"/>
      <sheetData sheetId="286">
        <row r="13">
          <cell r="X13">
            <v>0</v>
          </cell>
        </row>
      </sheetData>
      <sheetData sheetId="287"/>
      <sheetData sheetId="288"/>
      <sheetData sheetId="289">
        <row r="13">
          <cell r="X13">
            <v>0</v>
          </cell>
        </row>
      </sheetData>
      <sheetData sheetId="290"/>
      <sheetData sheetId="291">
        <row r="13">
          <cell r="X13">
            <v>0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13">
          <cell r="X13">
            <v>0</v>
          </cell>
        </row>
      </sheetData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>
        <row r="13">
          <cell r="X13">
            <v>0</v>
          </cell>
        </row>
      </sheetData>
      <sheetData sheetId="313"/>
      <sheetData sheetId="314">
        <row r="13">
          <cell r="X13">
            <v>0</v>
          </cell>
        </row>
      </sheetData>
      <sheetData sheetId="315"/>
      <sheetData sheetId="316"/>
      <sheetData sheetId="317">
        <row r="13">
          <cell r="X13">
            <v>0</v>
          </cell>
        </row>
      </sheetData>
      <sheetData sheetId="318"/>
      <sheetData sheetId="319">
        <row r="13">
          <cell r="X13">
            <v>0</v>
          </cell>
        </row>
      </sheetData>
      <sheetData sheetId="320"/>
      <sheetData sheetId="321">
        <row r="13">
          <cell r="X13">
            <v>0</v>
          </cell>
        </row>
      </sheetData>
      <sheetData sheetId="322"/>
      <sheetData sheetId="323">
        <row r="13">
          <cell r="X13">
            <v>0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13">
          <cell r="X13">
            <v>0</v>
          </cell>
        </row>
      </sheetData>
      <sheetData sheetId="339"/>
      <sheetData sheetId="340">
        <row r="13">
          <cell r="X13">
            <v>0</v>
          </cell>
        </row>
      </sheetData>
      <sheetData sheetId="341"/>
      <sheetData sheetId="342">
        <row r="13">
          <cell r="X13">
            <v>0</v>
          </cell>
        </row>
      </sheetData>
      <sheetData sheetId="343"/>
      <sheetData sheetId="344">
        <row r="13">
          <cell r="X13">
            <v>0</v>
          </cell>
        </row>
      </sheetData>
      <sheetData sheetId="345"/>
      <sheetData sheetId="346"/>
      <sheetData sheetId="347">
        <row r="13">
          <cell r="X13">
            <v>0</v>
          </cell>
        </row>
      </sheetData>
      <sheetData sheetId="348"/>
      <sheetData sheetId="349">
        <row r="13">
          <cell r="X13">
            <v>0</v>
          </cell>
        </row>
      </sheetData>
      <sheetData sheetId="350"/>
      <sheetData sheetId="351">
        <row r="13">
          <cell r="X13">
            <v>0</v>
          </cell>
        </row>
      </sheetData>
      <sheetData sheetId="352"/>
      <sheetData sheetId="353">
        <row r="13">
          <cell r="X13">
            <v>0</v>
          </cell>
        </row>
      </sheetData>
      <sheetData sheetId="354"/>
      <sheetData sheetId="355"/>
      <sheetData sheetId="356">
        <row r="13">
          <cell r="X13">
            <v>0</v>
          </cell>
        </row>
      </sheetData>
      <sheetData sheetId="357">
        <row r="3">
          <cell r="F3">
            <v>36923</v>
          </cell>
        </row>
      </sheetData>
      <sheetData sheetId="358">
        <row r="13">
          <cell r="X13">
            <v>0</v>
          </cell>
        </row>
      </sheetData>
      <sheetData sheetId="359"/>
      <sheetData sheetId="360">
        <row r="13">
          <cell r="X13">
            <v>0</v>
          </cell>
        </row>
      </sheetData>
      <sheetData sheetId="361"/>
      <sheetData sheetId="362">
        <row r="13">
          <cell r="X13">
            <v>0</v>
          </cell>
        </row>
      </sheetData>
      <sheetData sheetId="363"/>
      <sheetData sheetId="364"/>
      <sheetData sheetId="365"/>
      <sheetData sheetId="366">
        <row r="3">
          <cell r="F3">
            <v>36923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>
        <row r="3">
          <cell r="F3">
            <v>36923</v>
          </cell>
        </row>
      </sheetData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>
        <row r="13">
          <cell r="X13">
            <v>0</v>
          </cell>
        </row>
      </sheetData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>
        <row r="13">
          <cell r="X13">
            <v>0</v>
          </cell>
        </row>
      </sheetData>
      <sheetData sheetId="417"/>
      <sheetData sheetId="418"/>
      <sheetData sheetId="419"/>
      <sheetData sheetId="420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13">
          <cell r="X13">
            <v>0</v>
          </cell>
        </row>
      </sheetData>
      <sheetData sheetId="451"/>
      <sheetData sheetId="452">
        <row r="13">
          <cell r="X13">
            <v>0</v>
          </cell>
        </row>
      </sheetData>
      <sheetData sheetId="453"/>
      <sheetData sheetId="454">
        <row r="13">
          <cell r="X13">
            <v>0</v>
          </cell>
        </row>
      </sheetData>
      <sheetData sheetId="455"/>
      <sheetData sheetId="456">
        <row r="13">
          <cell r="X13">
            <v>0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13">
          <cell r="X13">
            <v>0</v>
          </cell>
        </row>
      </sheetData>
      <sheetData sheetId="496"/>
      <sheetData sheetId="497">
        <row r="13">
          <cell r="X13">
            <v>0</v>
          </cell>
        </row>
      </sheetData>
      <sheetData sheetId="498"/>
      <sheetData sheetId="499">
        <row r="13">
          <cell r="X13">
            <v>0</v>
          </cell>
        </row>
      </sheetData>
      <sheetData sheetId="500"/>
      <sheetData sheetId="501">
        <row r="13">
          <cell r="X13">
            <v>0</v>
          </cell>
        </row>
      </sheetData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>
        <row r="13">
          <cell r="X13">
            <v>0</v>
          </cell>
        </row>
      </sheetData>
      <sheetData sheetId="541">
        <row r="13">
          <cell r="X13">
            <v>0</v>
          </cell>
        </row>
      </sheetData>
      <sheetData sheetId="542">
        <row r="13">
          <cell r="X13">
            <v>0</v>
          </cell>
        </row>
      </sheetData>
      <sheetData sheetId="543">
        <row r="13">
          <cell r="X13">
            <v>0</v>
          </cell>
        </row>
      </sheetData>
      <sheetData sheetId="544">
        <row r="13">
          <cell r="X13">
            <v>0</v>
          </cell>
        </row>
      </sheetData>
      <sheetData sheetId="545">
        <row r="13">
          <cell r="X13">
            <v>0</v>
          </cell>
        </row>
      </sheetData>
      <sheetData sheetId="546">
        <row r="13">
          <cell r="X13">
            <v>0</v>
          </cell>
        </row>
      </sheetData>
      <sheetData sheetId="547"/>
      <sheetData sheetId="548">
        <row r="13">
          <cell r="X13">
            <v>0</v>
          </cell>
        </row>
      </sheetData>
      <sheetData sheetId="549"/>
      <sheetData sheetId="550"/>
      <sheetData sheetId="551"/>
      <sheetData sheetId="552"/>
      <sheetData sheetId="553"/>
      <sheetData sheetId="554">
        <row r="13">
          <cell r="X13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>
        <row r="13">
          <cell r="X13">
            <v>0</v>
          </cell>
        </row>
      </sheetData>
      <sheetData sheetId="586"/>
      <sheetData sheetId="587">
        <row r="13">
          <cell r="X13">
            <v>0</v>
          </cell>
        </row>
      </sheetData>
      <sheetData sheetId="588"/>
      <sheetData sheetId="589">
        <row r="13">
          <cell r="X13">
            <v>0</v>
          </cell>
        </row>
      </sheetData>
      <sheetData sheetId="590"/>
      <sheetData sheetId="591">
        <row r="13">
          <cell r="X13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>
        <row r="13">
          <cell r="X13">
            <v>0</v>
          </cell>
        </row>
      </sheetData>
      <sheetData sheetId="631"/>
      <sheetData sheetId="632">
        <row r="13">
          <cell r="X13">
            <v>0</v>
          </cell>
        </row>
      </sheetData>
      <sheetData sheetId="633"/>
      <sheetData sheetId="634">
        <row r="13">
          <cell r="X13">
            <v>0</v>
          </cell>
        </row>
      </sheetData>
      <sheetData sheetId="635"/>
      <sheetData sheetId="636">
        <row r="13">
          <cell r="X13">
            <v>0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>
        <row r="13">
          <cell r="X13">
            <v>0</v>
          </cell>
        </row>
      </sheetData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>
        <row r="3">
          <cell r="F3">
            <v>36923</v>
          </cell>
        </row>
      </sheetData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>
        <row r="13">
          <cell r="X13">
            <v>0</v>
          </cell>
        </row>
      </sheetData>
      <sheetData sheetId="710"/>
      <sheetData sheetId="711">
        <row r="13">
          <cell r="X13">
            <v>0</v>
          </cell>
        </row>
      </sheetData>
      <sheetData sheetId="712"/>
      <sheetData sheetId="713">
        <row r="13">
          <cell r="X13">
            <v>0</v>
          </cell>
        </row>
      </sheetData>
      <sheetData sheetId="714"/>
      <sheetData sheetId="715">
        <row r="13">
          <cell r="X13">
            <v>0</v>
          </cell>
        </row>
      </sheetData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>
        <row r="13">
          <cell r="X13">
            <v>0</v>
          </cell>
        </row>
      </sheetData>
      <sheetData sheetId="731"/>
      <sheetData sheetId="732"/>
      <sheetData sheetId="733" refreshError="1"/>
      <sheetData sheetId="734" refreshError="1"/>
      <sheetData sheetId="735" refreshError="1"/>
      <sheetData sheetId="736"/>
      <sheetData sheetId="737"/>
      <sheetData sheetId="738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3">
          <cell r="X13">
            <v>0</v>
          </cell>
        </row>
      </sheetData>
      <sheetData sheetId="775">
        <row r="13">
          <cell r="X13">
            <v>0</v>
          </cell>
        </row>
      </sheetData>
      <sheetData sheetId="776">
        <row r="13">
          <cell r="X13">
            <v>0</v>
          </cell>
        </row>
      </sheetData>
      <sheetData sheetId="777">
        <row r="13">
          <cell r="X13">
            <v>0</v>
          </cell>
        </row>
      </sheetData>
      <sheetData sheetId="778">
        <row r="13">
          <cell r="X13">
            <v>0</v>
          </cell>
        </row>
      </sheetData>
      <sheetData sheetId="779"/>
      <sheetData sheetId="780">
        <row r="13">
          <cell r="X13">
            <v>0</v>
          </cell>
        </row>
      </sheetData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>
        <row r="13">
          <cell r="X13">
            <v>0</v>
          </cell>
        </row>
      </sheetData>
      <sheetData sheetId="797"/>
      <sheetData sheetId="798"/>
      <sheetData sheetId="799"/>
      <sheetData sheetId="800"/>
      <sheetData sheetId="80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3">
          <cell r="X13">
            <v>0</v>
          </cell>
        </row>
      </sheetData>
      <sheetData sheetId="891">
        <row r="13">
          <cell r="X13">
            <v>0</v>
          </cell>
        </row>
      </sheetData>
      <sheetData sheetId="892">
        <row r="13">
          <cell r="X13">
            <v>0</v>
          </cell>
        </row>
      </sheetData>
      <sheetData sheetId="893">
        <row r="13">
          <cell r="X13">
            <v>0</v>
          </cell>
        </row>
      </sheetData>
      <sheetData sheetId="894">
        <row r="13">
          <cell r="X13">
            <v>0</v>
          </cell>
        </row>
      </sheetData>
      <sheetData sheetId="895">
        <row r="13">
          <cell r="X13">
            <v>0</v>
          </cell>
        </row>
      </sheetData>
      <sheetData sheetId="896">
        <row r="13">
          <cell r="X13">
            <v>0</v>
          </cell>
        </row>
      </sheetData>
      <sheetData sheetId="897">
        <row r="13">
          <cell r="X13">
            <v>0</v>
          </cell>
        </row>
      </sheetData>
      <sheetData sheetId="898">
        <row r="13">
          <cell r="X13">
            <v>0</v>
          </cell>
        </row>
      </sheetData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>
        <row r="13">
          <cell r="X13">
            <v>0</v>
          </cell>
        </row>
      </sheetData>
      <sheetData sheetId="911"/>
      <sheetData sheetId="912"/>
      <sheetData sheetId="913"/>
      <sheetData sheetId="914"/>
      <sheetData sheetId="915"/>
      <sheetData sheetId="916">
        <row r="13">
          <cell r="X13">
            <v>0</v>
          </cell>
        </row>
      </sheetData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0-90"/>
      <sheetName val="91-00"/>
      <sheetName val="Plan1"/>
      <sheetName val="Plan1 (2)"/>
      <sheetName val="APOIO"/>
      <sheetName val="Plan4"/>
      <sheetName val="Dias Úteis"/>
      <sheetName val="Aux"/>
      <sheetName val="Base ferreterias"/>
      <sheetName val="Plan1_(2)"/>
      <sheetName val="2. Instruções"/>
      <sheetName val="Dias_Úteis"/>
      <sheetName val="2__Instruções"/>
      <sheetName val="Plan1_(2)1"/>
      <sheetName val="Dias_Úteis1"/>
      <sheetName val="2__Instruções1"/>
      <sheetName val="Plan1_(2)2"/>
      <sheetName val="Dias_Úteis2"/>
      <sheetName val="2__Instruções2"/>
      <sheetName val="Plan1_(2)3"/>
      <sheetName val="Dias_Úteis3"/>
      <sheetName val="2__Instruções3"/>
      <sheetName val="Plan1_(2)4"/>
      <sheetName val="Dias_Úteis4"/>
      <sheetName val="2__Instruções4"/>
      <sheetName val="Plan1_(2)5"/>
      <sheetName val="Dias_Úteis5"/>
      <sheetName val="2__Instruções5"/>
      <sheetName val="Planilha2"/>
      <sheetName val="Plan1_(2)6"/>
      <sheetName val="Dias_Úteis6"/>
      <sheetName val="2__Instruções6"/>
      <sheetName val="Plan1_(2)7"/>
      <sheetName val="Dias_Úteis7"/>
      <sheetName val="2__Instruções7"/>
      <sheetName val="Plan1_(2)8"/>
      <sheetName val="Dias_Úteis8"/>
      <sheetName val="2__Instruções8"/>
      <sheetName val="Proc"/>
      <sheetName val="Plan1_(2)9"/>
      <sheetName val="Dias_Úteis9"/>
      <sheetName val="2__Instruções9"/>
      <sheetName val="Padrão"/>
      <sheetName val="Plan1_(2)10"/>
      <sheetName val="Dias_Úteis10"/>
      <sheetName val="2__Instruções10"/>
      <sheetName val="Plan1_(2)11"/>
      <sheetName val="Dias_Úteis11"/>
      <sheetName val="2__Instruções11"/>
      <sheetName val="Plan1_(2)12"/>
      <sheetName val="Dias_Úteis12"/>
      <sheetName val="2__Instruções12"/>
      <sheetName val="#REF"/>
      <sheetName val="Plan1_(2)13"/>
      <sheetName val="Dias_Úteis13"/>
      <sheetName val="2__Instruçõe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IXA INDIRETO"/>
      <sheetName val="Dívida"/>
      <sheetName val="Fluxo Mês "/>
      <sheetName val="Fluxo Acum"/>
      <sheetName val="Fluxo Previsto"/>
      <sheetName val="Hexágono Mês"/>
      <sheetName val="Hexágono Dez"/>
      <sheetName val="Pentágono dez03"/>
      <sheetName val="Pentágono mês"/>
      <sheetName val="RESULTADO"/>
      <sheetName val="RESULTADO ACUMUL"/>
      <sheetName val="SENSIBILIDADE"/>
      <sheetName val="Fluxo Acum BD"/>
      <sheetName val="Dólar"/>
      <sheetName val="ACUMULADO"/>
      <sheetName val="PREVISÃO"/>
      <sheetName val="CAIXA_INDIRETO"/>
      <sheetName val="Fluxo_Mês_"/>
      <sheetName val="Fluxo_Acum"/>
      <sheetName val="Fluxo_Previsto"/>
      <sheetName val="Hexágono_Mês"/>
      <sheetName val="Hexágono_Dez"/>
      <sheetName val="Pentágono_dez03"/>
      <sheetName val="Pentágono_mês"/>
      <sheetName val="RESULTADO_ACUMUL"/>
      <sheetName val="Fluxo_Acum_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15F0-5C84-4D1E-A550-FB20528CD7EF}">
  <dimension ref="A1:AU63"/>
  <sheetViews>
    <sheetView showGridLines="0" tabSelected="1" showRuler="0" showWhiteSpace="0" topLeftCell="B2" zoomScale="85" zoomScaleNormal="85" workbookViewId="0">
      <selection activeCell="B1" sqref="B1"/>
    </sheetView>
  </sheetViews>
  <sheetFormatPr defaultColWidth="0" defaultRowHeight="18" customHeight="1" zeroHeight="1" outlineLevelRow="1" outlineLevelCol="1" x14ac:dyDescent="0.3"/>
  <cols>
    <col min="1" max="1" width="37.44140625" style="7" hidden="1" customWidth="1"/>
    <col min="2" max="2" width="2.77734375" style="4" customWidth="1"/>
    <col min="3" max="3" width="4.5546875" style="1" hidden="1" customWidth="1" outlineLevel="1"/>
    <col min="4" max="4" width="1.5546875" style="2" customWidth="1" collapsed="1"/>
    <col min="5" max="5" width="8.5546875" style="2" customWidth="1"/>
    <col min="6" max="6" width="1.5546875" style="2" customWidth="1"/>
    <col min="7" max="7" width="8.5546875" style="2" customWidth="1"/>
    <col min="8" max="8" width="3" style="2" customWidth="1"/>
    <col min="9" max="9" width="3" style="3" customWidth="1"/>
    <col min="10" max="10" width="4.5546875" style="4" hidden="1" customWidth="1" outlineLevel="1"/>
    <col min="11" max="11" width="1.5546875" style="3" customWidth="1" collapsed="1"/>
    <col min="12" max="12" width="9.33203125" style="5" customWidth="1"/>
    <col min="13" max="13" width="1.5546875" style="3" customWidth="1"/>
    <col min="14" max="14" width="8.88671875" style="5" customWidth="1"/>
    <col min="15" max="15" width="3.5546875" style="5" customWidth="1"/>
    <col min="16" max="16" width="3.5546875" style="6" customWidth="1"/>
    <col min="17" max="17" width="4.5546875" style="4" hidden="1" customWidth="1" outlineLevel="1"/>
    <col min="18" max="18" width="1.5546875" style="6" customWidth="1" collapsed="1"/>
    <col min="19" max="19" width="10.6640625" style="6" customWidth="1"/>
    <col min="20" max="20" width="1.5546875" style="6" customWidth="1"/>
    <col min="21" max="21" width="9.44140625" style="6" customWidth="1"/>
    <col min="22" max="23" width="4" style="6" customWidth="1"/>
    <col min="24" max="24" width="4.5546875" style="4" hidden="1" customWidth="1" outlineLevel="1"/>
    <col min="25" max="25" width="1.5546875" style="6" customWidth="1" collapsed="1"/>
    <col min="26" max="26" width="8.5546875" style="6" customWidth="1"/>
    <col min="27" max="27" width="1.5546875" style="6" customWidth="1"/>
    <col min="28" max="28" width="9.5546875" style="6" customWidth="1"/>
    <col min="29" max="30" width="4.44140625" style="6" customWidth="1"/>
    <col min="31" max="31" width="4.5546875" style="4" hidden="1" customWidth="1" outlineLevel="1"/>
    <col min="32" max="32" width="1.5546875" style="6" customWidth="1" collapsed="1"/>
    <col min="33" max="33" width="8.5546875" style="6" customWidth="1"/>
    <col min="34" max="34" width="1.5546875" style="6" customWidth="1"/>
    <col min="35" max="35" width="8.5546875" style="6" customWidth="1"/>
    <col min="36" max="37" width="3.44140625" style="6" customWidth="1"/>
    <col min="38" max="38" width="4.5546875" style="4" hidden="1" customWidth="1" outlineLevel="1"/>
    <col min="39" max="39" width="1.5546875" style="6" customWidth="1" collapsed="1"/>
    <col min="40" max="40" width="9.44140625" style="6" customWidth="1"/>
    <col min="41" max="41" width="1.5546875" style="6" customWidth="1"/>
    <col min="42" max="42" width="9.5546875" style="6" customWidth="1"/>
    <col min="43" max="43" width="2.77734375" style="7" customWidth="1"/>
    <col min="44" max="45" width="0" style="7" hidden="1" customWidth="1"/>
    <col min="46" max="46" width="9.33203125" style="7" hidden="1" customWidth="1"/>
    <col min="47" max="47" width="0" style="7" hidden="1" customWidth="1"/>
    <col min="48" max="16384" width="9.44140625" style="7" hidden="1"/>
  </cols>
  <sheetData>
    <row r="1" spans="1:45" ht="0.15" customHeight="1" x14ac:dyDescent="0.3">
      <c r="B1" s="2"/>
      <c r="L1" s="2"/>
      <c r="N1" s="2"/>
    </row>
    <row r="2" spans="1:45" ht="10.050000000000001" customHeight="1" x14ac:dyDescent="0.3">
      <c r="A2" s="113" t="s">
        <v>150</v>
      </c>
    </row>
    <row r="3" spans="1:45" ht="18" customHeight="1" x14ac:dyDescent="0.3">
      <c r="A3" s="112" t="s">
        <v>98</v>
      </c>
      <c r="E3" s="115"/>
      <c r="G3" s="115"/>
      <c r="J3" s="8" t="s">
        <v>0</v>
      </c>
      <c r="K3" s="9"/>
      <c r="L3" s="117" t="s">
        <v>1</v>
      </c>
      <c r="M3" s="117"/>
      <c r="N3" s="116" t="s">
        <v>2</v>
      </c>
      <c r="O3" s="3"/>
      <c r="Q3" s="8" t="s">
        <v>0</v>
      </c>
      <c r="R3" s="9"/>
      <c r="S3" s="117" t="s">
        <v>1</v>
      </c>
      <c r="T3" s="117"/>
      <c r="U3" s="116" t="s">
        <v>2</v>
      </c>
      <c r="V3" s="3"/>
      <c r="X3" s="8" t="s">
        <v>0</v>
      </c>
      <c r="Y3" s="9"/>
      <c r="Z3" s="117" t="s">
        <v>1</v>
      </c>
      <c r="AA3" s="117"/>
      <c r="AB3" s="116" t="s">
        <v>2</v>
      </c>
      <c r="AC3" s="3"/>
      <c r="AE3" s="8" t="s">
        <v>3</v>
      </c>
      <c r="AF3" s="9"/>
      <c r="AG3" s="117" t="s">
        <v>1</v>
      </c>
      <c r="AH3" s="9"/>
      <c r="AI3" s="116" t="s">
        <v>2</v>
      </c>
      <c r="AJ3" s="3"/>
      <c r="AL3" s="8" t="s">
        <v>0</v>
      </c>
      <c r="AM3" s="9"/>
      <c r="AN3" s="117" t="s">
        <v>1</v>
      </c>
      <c r="AO3" s="9"/>
      <c r="AP3" s="116" t="s">
        <v>2</v>
      </c>
    </row>
    <row r="4" spans="1:45" ht="18" customHeight="1" x14ac:dyDescent="0.3">
      <c r="A4" s="112" t="s">
        <v>143</v>
      </c>
      <c r="B4" s="10"/>
      <c r="E4" s="115"/>
      <c r="G4" s="115"/>
      <c r="J4" s="11"/>
      <c r="K4" s="125" t="s">
        <v>4</v>
      </c>
      <c r="L4" s="126"/>
      <c r="M4" s="126"/>
      <c r="N4" s="127"/>
      <c r="O4" s="12"/>
      <c r="P4" s="13"/>
      <c r="Q4" s="11"/>
      <c r="R4" s="125" t="s">
        <v>5</v>
      </c>
      <c r="S4" s="126"/>
      <c r="T4" s="126"/>
      <c r="U4" s="127"/>
      <c r="V4" s="12"/>
      <c r="X4" s="11"/>
      <c r="Y4" s="125" t="s">
        <v>6</v>
      </c>
      <c r="Z4" s="126"/>
      <c r="AA4" s="126"/>
      <c r="AB4" s="127"/>
      <c r="AC4" s="12"/>
      <c r="AE4" s="11"/>
      <c r="AF4" s="125" t="s">
        <v>7</v>
      </c>
      <c r="AG4" s="126"/>
      <c r="AH4" s="126"/>
      <c r="AI4" s="127"/>
      <c r="AJ4" s="12"/>
      <c r="AL4" s="11"/>
      <c r="AM4" s="125" t="s">
        <v>8</v>
      </c>
      <c r="AN4" s="126"/>
      <c r="AO4" s="126"/>
      <c r="AP4" s="127"/>
    </row>
    <row r="5" spans="1:45" ht="18" customHeight="1" thickBot="1" x14ac:dyDescent="0.35">
      <c r="A5" t="s">
        <v>144</v>
      </c>
      <c r="J5" s="11" t="str">
        <f>A17</f>
        <v>RF</v>
      </c>
      <c r="K5" s="118"/>
      <c r="L5" s="14" cm="1">
        <f t="array" ref="L5">_xll.DBRW('Value Tree'!A6,A10,A13,J5,A20,A23,"Closing Balance Debt","Total Value")</f>
        <v>-1540.8011111048345</v>
      </c>
      <c r="M5" s="118"/>
      <c r="N5" s="15" cm="1">
        <f t="array" ref="N5">_xll.DBRW('Value Tree'!A6,A10,A14,J5,A20,A23,"Closing Balance Debt","Total Value")</f>
        <v>-1481.8973041956078</v>
      </c>
      <c r="O5" s="16"/>
      <c r="P5" s="17"/>
      <c r="Q5" s="11" t="str">
        <f>A17</f>
        <v>RF</v>
      </c>
      <c r="R5" s="118"/>
      <c r="S5" s="14" cm="1">
        <f t="array" ref="S5">_xll.DBR(A4,A10,A13,Q5,A20,A23,A26,"Net Revenue","Value")</f>
        <v>53.485062913702521</v>
      </c>
      <c r="T5" s="118"/>
      <c r="U5" s="15" cm="1">
        <f t="array" ref="U5">_xll.DBR(A4,A10,A14,Q5,A20,A23,A26,"Net Revenue","Value")</f>
        <v>1607.9610388714818</v>
      </c>
      <c r="V5" s="18"/>
      <c r="W5" s="19"/>
      <c r="X5" s="11" t="str">
        <f>A17</f>
        <v>RF</v>
      </c>
      <c r="Y5" s="118"/>
      <c r="Z5" s="14">
        <f>_xll.DBRW(A3,A10,A13,X5,A20,A23,"Cement Group","Volume","Value")</f>
        <v>207.21655306034401</v>
      </c>
      <c r="AA5" s="118"/>
      <c r="AB5" s="15">
        <f>_xll.DBRW(A3,A10,A14,X5,A20,A23,"Cement Group","Volume","Value")</f>
        <v>5974.9682551955193</v>
      </c>
      <c r="AC5" s="16"/>
      <c r="AD5" s="19"/>
      <c r="AE5" s="11" t="str">
        <f>A17</f>
        <v>RF</v>
      </c>
      <c r="AF5" s="118"/>
      <c r="AG5" s="14">
        <f>_xll.DBRW('Value Tree'!A3,A10,A13,AE5,A20,A23,"Cement Group","Fuel (LMU/t)","Value")</f>
        <v>0</v>
      </c>
      <c r="AH5" s="118"/>
      <c r="AI5" s="15">
        <f>_xll.DBRW('Value Tree'!A3,A10,A14,AE5,A20,A23,"Cement Group","Fuel (LMU/t)","Value")</f>
        <v>0</v>
      </c>
      <c r="AJ5" s="18"/>
      <c r="AK5" s="20"/>
      <c r="AL5" s="11" t="str">
        <f>A17</f>
        <v>RF</v>
      </c>
      <c r="AM5" s="118"/>
      <c r="AN5" s="21">
        <f>_xll.DBRW('Value Tree'!A3,A10,A13,AL5,A20,A23,"Cement Group","Thermal Sub. (%)","Value")</f>
        <v>0</v>
      </c>
      <c r="AO5" s="135"/>
      <c r="AP5" s="22">
        <f>_xll.DBRW('Value Tree'!A3,A10,A14,AL5,A20,A23,"Cement Group","Thermal Sub. (%)","Value")</f>
        <v>0</v>
      </c>
      <c r="AR5" s="23">
        <v>54.4</v>
      </c>
      <c r="AS5" s="22" t="e">
        <v>#REF!</v>
      </c>
    </row>
    <row r="6" spans="1:45" ht="18" customHeight="1" x14ac:dyDescent="0.3">
      <c r="A6" t="s">
        <v>145</v>
      </c>
      <c r="E6" s="106"/>
      <c r="J6" s="11" t="str">
        <f>A18</f>
        <v>L300</v>
      </c>
      <c r="K6" s="119"/>
      <c r="L6" s="24" cm="1">
        <f t="array" ref="L6">_xll.DBRW('Value Tree'!A6,A10,A13,J6,A20,A23,"Closing Balance Debt","Total Value")</f>
        <v>0</v>
      </c>
      <c r="M6" s="119"/>
      <c r="N6" s="25" cm="1">
        <f t="array" ref="N6">_xll.DBRW('Value Tree'!A6,A10,A14,J6,A20,A23,"Closing Balance Debt","Total Value")</f>
        <v>0</v>
      </c>
      <c r="O6" s="26"/>
      <c r="P6" s="13"/>
      <c r="Q6" s="11" t="str">
        <f>A18</f>
        <v>L300</v>
      </c>
      <c r="R6" s="119"/>
      <c r="S6" s="24" cm="1">
        <f t="array" ref="S6">_xll.DBR(A4,A10,A13,Q6,A20,A23,A26,"Net Revenue","Value")</f>
        <v>0</v>
      </c>
      <c r="T6" s="119"/>
      <c r="U6" s="25" cm="1">
        <f t="array" ref="U6">_xll.DBR(A4,A10,A14,Q6,A20,A23,A26,"Net Revenue","Value")</f>
        <v>0</v>
      </c>
      <c r="V6" s="16"/>
      <c r="X6" s="11" t="str">
        <f>A18</f>
        <v>L300</v>
      </c>
      <c r="Y6" s="119"/>
      <c r="Z6" s="24">
        <f>_xll.DBRW(A3,A10,A13,X6,A20,A23,"Cement Group","Volume","Value")</f>
        <v>0</v>
      </c>
      <c r="AA6" s="119"/>
      <c r="AB6" s="25">
        <f>_xll.DBRW(A3,A10,A14,X6,A20,A23,"Cement Group","Volume","Value")</f>
        <v>0</v>
      </c>
      <c r="AC6" s="26"/>
      <c r="AE6" s="11" t="str">
        <f>A18</f>
        <v>L300</v>
      </c>
      <c r="AF6" s="119"/>
      <c r="AG6" s="24">
        <f>_xll.DBRW('Value Tree'!A3,A10,A13,AE6,A20,A23,"Cement Group","Fuel (LMU/t)","Value")</f>
        <v>0</v>
      </c>
      <c r="AH6" s="119"/>
      <c r="AI6" s="25">
        <f>_xll.DBRW('Value Tree'!A3,A10,A14,AE6,A20,A23,"Cement Group","Fuel (LMU/t)","Value")</f>
        <v>0</v>
      </c>
      <c r="AJ6" s="27"/>
      <c r="AL6" s="11" t="str">
        <f>A18</f>
        <v>L300</v>
      </c>
      <c r="AM6" s="119"/>
      <c r="AN6" s="28">
        <f>_xll.DBRW('Value Tree'!A3,A10,A13,AL6,A20,A23,"Cement Group","Thermal Sub. (%)","Value")</f>
        <v>0</v>
      </c>
      <c r="AO6" s="136"/>
      <c r="AP6" s="29">
        <f>_xll.DBRW('Value Tree'!A3,A10,A14,AL6,A20,A23,"Cement Group","Thermal Sub. (%)","Value")</f>
        <v>0</v>
      </c>
      <c r="AR6" s="23">
        <v>54.5</v>
      </c>
      <c r="AS6" s="29" t="e">
        <v>#REF!</v>
      </c>
    </row>
    <row r="7" spans="1:45" ht="18" hidden="1" customHeight="1" outlineLevel="1" x14ac:dyDescent="0.3">
      <c r="A7" t="s">
        <v>149</v>
      </c>
      <c r="J7" s="30" t="s">
        <v>11</v>
      </c>
      <c r="K7" s="31">
        <f>IF(J3="+",IF(L5&gt;L7,1,IF(L5&gt;=L6,0,-1)),IF(J3="-",IF(L5&lt;L7,1,IF(L5&lt;=L6,0,-1))))</f>
        <v>-1</v>
      </c>
      <c r="L7" s="32" cm="1">
        <f t="array" ref="L7">_xll.DBRW('Value Tree'!A6,A10,A13,J7,A20,A23,"Closing Balance Debt","Total Value")</f>
        <v>0</v>
      </c>
      <c r="M7" s="31">
        <f>IF(J3="+",IF(N5&gt;N7,1,IF(N5&gt;=N6,0,-1)),IF(J3="-",IF(N5&lt;N7,1,IF(N5&lt;=N6,0,-1))))</f>
        <v>-1</v>
      </c>
      <c r="N7" s="33" cm="1">
        <f t="array" ref="N7">_xll.DBRW('Value Tree'!A6,A10,A14,J7,A20,A23,"Closing Balance Debt","Total Value")</f>
        <v>0</v>
      </c>
      <c r="O7" s="34"/>
      <c r="P7" s="13"/>
      <c r="Q7" s="30" t="s">
        <v>11</v>
      </c>
      <c r="R7" s="31">
        <f>IF(Q3="+",IF(S5&gt;S7,1,IF(S5&gt;=S6,0,-1)),IF(Q3="-",IF(S5&lt;S7,1,IF(S5&lt;=S6,0,-1))))</f>
        <v>1</v>
      </c>
      <c r="S7" s="32" cm="1">
        <f t="array" ref="S7">_xll.DBR(A4,A10,A13,Q7,A20,A23,A26,"Net Revenue","Value")</f>
        <v>0</v>
      </c>
      <c r="T7" s="31">
        <f>IF(Q3="+",IF(U5&gt;U7,1,IF(U5&gt;=U6,0,-1)),IF(Q3="-",IF(U5&lt;U7,1,IF(U5&lt;=U6,0,-1))))</f>
        <v>1</v>
      </c>
      <c r="U7" s="33" cm="1">
        <f t="array" ref="U7">_xll.DBR(A4,A10,A14,Q7,A20,A23,A26,"Net Revenue","Value")</f>
        <v>0</v>
      </c>
      <c r="V7" s="5"/>
      <c r="X7" s="30" t="s">
        <v>11</v>
      </c>
      <c r="Y7" s="31">
        <f>IF(X3="+",IF(Z5&gt;Z7,1,IF(Z5&gt;=Z6,0,-1)),IF(X3="-",IF(Z5&lt;Z7,1,IF(Z5&lt;=Z6,0,-1))))</f>
        <v>1</v>
      </c>
      <c r="Z7" s="32">
        <f>_xll.DBRW(A3,A10,A13,X7,A20,A23,"Cement Group","Volume","Value")</f>
        <v>0</v>
      </c>
      <c r="AA7" s="31">
        <f>IF(X3="+",IF(AB5&gt;AB7,1,IF(AB5&gt;=AB6,0,-1)),IF(X3="-",IF(AB5&lt;AB7,1,IF(AB5&lt;=AB6,0,-1))))</f>
        <v>1</v>
      </c>
      <c r="AB7" s="33">
        <f>_xll.DBRW(A3,A10,A14,X7,A20,A23,"Cement Group","Volume","Value")</f>
        <v>0</v>
      </c>
      <c r="AC7" s="34"/>
      <c r="AE7" s="30" t="s">
        <v>11</v>
      </c>
      <c r="AF7" s="31">
        <f>IF(AE3="+",IF(AG5&gt;AG7*(1+IF(AG7&gt;0,$B$4,-$B$4)),0,IF(AG5&gt;=AG6*(1+IF(AG6&gt;0,-$B$4,$B$4)),0,-1)),IF(AE3="-",IF(AG5&lt;AG7*(1+IF(AG7&gt;0,-$B$4,$B$4)),0,IF(AG5&lt;=AG6*(1+IF(AG6&gt;0,$B$4,-$B$4)),0,-1))))</f>
        <v>0</v>
      </c>
      <c r="AG7" s="32">
        <f>_xll.DBRW('Value Tree'!A3,A10,A13,AE7,A20,A23,"Cement Group","Fuel (LMU/t)","Value")</f>
        <v>0</v>
      </c>
      <c r="AH7" s="31">
        <f>IF(AE3="+",IF(AI5&gt;AI7*(1+IF(AI7&gt;0,$B$4,-$B$4)),0,IF(AI5&gt;=AI6*(1+IF(AI6&gt;0,-$B$4,$B$4)),0,-1)),IF(AE3="-",IF(AI5&lt;AI7*(1+IF(AI7&gt;0,-$B$4,$B$4)),0,IF(AI5&lt;=AI6*(1+IF(AI6&gt;0,$B$4,-$B$4)),0,-1))))</f>
        <v>0</v>
      </c>
      <c r="AI7" s="33">
        <f>_xll.DBRW('Value Tree'!A3,A10,A14,AE7,A20,A23,"Cement Group","Fuel (LMU/t)","Value")</f>
        <v>0</v>
      </c>
      <c r="AJ7" s="34"/>
      <c r="AL7" s="30" t="s">
        <v>11</v>
      </c>
      <c r="AM7" s="31">
        <f>IF(AL3="+",IF(AN5&gt;AN7*(1+IF(AN7&gt;0,$B$4,-$B$4)),1,IF(AN5&gt;=AN6*(1+IF(AN6&gt;0,-$B$4,$B$4)),0,-1)),IF(AL3="-",IF(AN5&lt;AN7*(1+IF(AN7&gt;0,-$B$4,$B$4)),1,IF(AN5&lt;=AN6*(1+IF(AN6&gt;0,$B$4,-$B$4)),0,-1))))</f>
        <v>0</v>
      </c>
      <c r="AN7" s="28">
        <f>_xll.DBRW('Value Tree'!A3,A10,A13,AL7,A20,A23,"Cement Group","Thermal Sub. (%)","Value")</f>
        <v>0</v>
      </c>
      <c r="AO7" s="31" t="e">
        <f>IF(AL3="+",IF(AS5&gt;AP7*(1+IF(AP7&gt;0,$B$4,-$B$4)),0,IF(AS5&gt;=AS6*(1+IF(AS6&gt;0,-$B$4,$B$4)),0,-1)),IF(AL3="-",IF(AS5&lt;AP7*(1+IF(AP7&gt;0,-$B$4,$B$4)),0,IF(AS5&lt;=AS6*(1+IF(AS6&gt;0,$B$4,-$B$4)),0,-1))))</f>
        <v>#REF!</v>
      </c>
      <c r="AP7" s="35">
        <f>_xll.DBRW('Value Tree'!A3,A10,A14,AL7,A20,A23,"Cement Group","Thermal Sub. (%)","Value")</f>
        <v>0</v>
      </c>
    </row>
    <row r="8" spans="1:45" ht="18" customHeight="1" collapsed="1" x14ac:dyDescent="0.3">
      <c r="A8"/>
      <c r="J8" s="36"/>
      <c r="K8" s="37"/>
      <c r="L8" s="38"/>
      <c r="M8" s="37"/>
      <c r="N8" s="39"/>
      <c r="O8" s="34"/>
      <c r="P8" s="13"/>
      <c r="Q8" s="36"/>
      <c r="R8" s="40"/>
      <c r="S8" s="40"/>
      <c r="T8" s="40"/>
      <c r="U8" s="40"/>
      <c r="X8" s="36"/>
      <c r="Y8" s="40"/>
      <c r="Z8" s="40"/>
      <c r="AA8" s="40"/>
      <c r="AB8" s="40"/>
      <c r="AC8" s="41"/>
      <c r="AE8" s="36"/>
      <c r="AF8" s="40"/>
      <c r="AG8" s="40"/>
      <c r="AH8" s="40"/>
      <c r="AI8" s="40"/>
      <c r="AJ8" s="41"/>
      <c r="AL8" s="36"/>
      <c r="AM8" s="40"/>
      <c r="AN8" s="40"/>
      <c r="AO8" s="40"/>
      <c r="AP8" s="40"/>
      <c r="AR8" s="7">
        <v>5</v>
      </c>
    </row>
    <row r="9" spans="1:45" ht="18" customHeight="1" x14ac:dyDescent="0.3">
      <c r="A9" s="113" t="s">
        <v>151</v>
      </c>
      <c r="C9" s="8" t="s">
        <v>0</v>
      </c>
      <c r="D9" s="9"/>
      <c r="E9" s="117" t="s">
        <v>1</v>
      </c>
      <c r="F9" s="9"/>
      <c r="G9" s="116" t="s">
        <v>2</v>
      </c>
      <c r="H9" s="3"/>
      <c r="J9" s="8" t="s">
        <v>0</v>
      </c>
      <c r="K9" s="9"/>
      <c r="L9" s="117" t="s">
        <v>1</v>
      </c>
      <c r="M9" s="117"/>
      <c r="N9" s="116" t="s">
        <v>2</v>
      </c>
      <c r="O9" s="42"/>
      <c r="P9" s="13"/>
      <c r="Q9" s="8" t="s">
        <v>0</v>
      </c>
      <c r="R9" s="9"/>
      <c r="S9" s="117" t="s">
        <v>1</v>
      </c>
      <c r="T9" s="117"/>
      <c r="U9" s="116" t="s">
        <v>2</v>
      </c>
      <c r="V9" s="3"/>
      <c r="X9" s="8" t="s">
        <v>0</v>
      </c>
      <c r="Y9" s="9"/>
      <c r="Z9" s="117" t="s">
        <v>1</v>
      </c>
      <c r="AA9" s="9"/>
      <c r="AB9" s="116" t="s">
        <v>2</v>
      </c>
      <c r="AC9" s="42"/>
      <c r="AE9" s="8" t="s">
        <v>3</v>
      </c>
      <c r="AF9" s="9"/>
      <c r="AG9" s="117" t="s">
        <v>1</v>
      </c>
      <c r="AH9" s="9"/>
      <c r="AI9" s="116" t="s">
        <v>2</v>
      </c>
      <c r="AJ9" s="42"/>
      <c r="AL9" s="8" t="s">
        <v>3</v>
      </c>
      <c r="AM9" s="9"/>
      <c r="AN9" s="117" t="s">
        <v>1</v>
      </c>
      <c r="AO9" s="9"/>
      <c r="AP9" s="116" t="s">
        <v>2</v>
      </c>
      <c r="AR9"/>
    </row>
    <row r="10" spans="1:45" s="6" customFormat="1" ht="18" customHeight="1" x14ac:dyDescent="0.3">
      <c r="A10" s="137" t="str">
        <f>_xll.SUBNM("CONS_VC:ALL.D.Year","","2026","MEMBER_NAME")</f>
        <v>2026</v>
      </c>
      <c r="C10" s="11"/>
      <c r="D10" s="125" t="s">
        <v>12</v>
      </c>
      <c r="E10" s="126"/>
      <c r="F10" s="126"/>
      <c r="G10" s="127"/>
      <c r="H10" s="12"/>
      <c r="I10" s="3"/>
      <c r="J10" s="11"/>
      <c r="K10" s="125" t="s">
        <v>13</v>
      </c>
      <c r="L10" s="126"/>
      <c r="M10" s="126"/>
      <c r="N10" s="127"/>
      <c r="O10" s="43"/>
      <c r="P10" s="13"/>
      <c r="Q10" s="11"/>
      <c r="R10" s="125" t="s">
        <v>14</v>
      </c>
      <c r="S10" s="126"/>
      <c r="T10" s="126"/>
      <c r="U10" s="127"/>
      <c r="V10" s="12"/>
      <c r="X10" s="11"/>
      <c r="Y10" s="125" t="s">
        <v>15</v>
      </c>
      <c r="Z10" s="126"/>
      <c r="AA10" s="126"/>
      <c r="AB10" s="127"/>
      <c r="AC10" s="43"/>
      <c r="AE10" s="11"/>
      <c r="AF10" s="125" t="s">
        <v>16</v>
      </c>
      <c r="AG10" s="126"/>
      <c r="AH10" s="126"/>
      <c r="AI10" s="127"/>
      <c r="AJ10" s="43"/>
      <c r="AL10" s="11"/>
      <c r="AM10" s="125" t="s">
        <v>17</v>
      </c>
      <c r="AN10" s="126"/>
      <c r="AO10" s="126"/>
      <c r="AP10" s="127"/>
      <c r="AR10"/>
    </row>
    <row r="11" spans="1:45" s="6" customFormat="1" ht="18" customHeight="1" thickBot="1" x14ac:dyDescent="0.35">
      <c r="A11"/>
      <c r="C11" s="11" t="str">
        <f>A17</f>
        <v>RF</v>
      </c>
      <c r="D11" s="118"/>
      <c r="E11" s="15">
        <f>_xll.DBRW('Value Tree'!A4,'Value Tree'!A10,'Value Tree'!A13,C11,'Value Tree'!A20,'Value Tree'!A23,'Value Tree'!A26,'Value Tree'!A29,A36)</f>
        <v>-25.781940944888298</v>
      </c>
      <c r="F11" s="118"/>
      <c r="G11" s="15">
        <f>_xll.DBRW(A4,'Value Tree'!A10,'Value Tree'!A14,C11,'Value Tree'!A20,'Value Tree'!A23,'Value Tree'!A26,"Net Profit","Value")</f>
        <v>112.0907249021942</v>
      </c>
      <c r="H11" s="44"/>
      <c r="I11" s="45"/>
      <c r="J11" s="11" t="str">
        <f>A17</f>
        <v>RF</v>
      </c>
      <c r="K11" s="118"/>
      <c r="L11" s="14">
        <f>_xll.DBRW(A4,A10,A13,J11,A20,A23,A26,"EBITDA","Value")</f>
        <v>-20.517267265660891</v>
      </c>
      <c r="M11" s="118"/>
      <c r="N11" s="15">
        <f>_xll.DBRW(A4,A10,A14,J11,A20,A23,A26,"EBITDA","Value")</f>
        <v>426.18540312984248</v>
      </c>
      <c r="O11" s="46"/>
      <c r="P11" s="17"/>
      <c r="Q11" s="11" t="str">
        <f>A17</f>
        <v>RF</v>
      </c>
      <c r="R11" s="118"/>
      <c r="S11" s="15">
        <f>_xll.DBRW(A4,A10,A13,Q11,A20,A23,A26,"EBITDA","Value")-_xll.DBRW(A4,A10,A13,Q11,A20,A23,"PRODCE010 - Cement","EBITDA","Value")</f>
        <v>-42.760334972677605</v>
      </c>
      <c r="T11" s="118"/>
      <c r="U11" s="15">
        <f>_xll.DBRW(A4,A10,A14,Q11,A20,A23,A26,"EBITDA","Value")-_xll.DBRW(A4,A10,A14,Q11,A20,A23,"PRODCE010 - Cement","EBITDA","Value")</f>
        <v>-270.71055801049181</v>
      </c>
      <c r="V11" s="16"/>
      <c r="X11" s="11" t="str">
        <f>A17</f>
        <v>RF</v>
      </c>
      <c r="Y11" s="118"/>
      <c r="Z11" s="15">
        <f>_xll.DBRW(A3,A10,A13,X11,A20,A23,"Cement Group","Price","Value")</f>
        <v>155.325006594537</v>
      </c>
      <c r="AA11" s="118"/>
      <c r="AB11" s="15">
        <f>_xll.DBRW(A3,A10,A14,X11,A20,A23,"Cement Group","Price","Value")</f>
        <v>156.23488070468625</v>
      </c>
      <c r="AC11" s="26"/>
      <c r="AE11" s="11" t="str">
        <f>A17</f>
        <v>RF</v>
      </c>
      <c r="AF11" s="118"/>
      <c r="AG11" s="14">
        <f>_xll.DBRW('Value Tree'!A3,A10,A13,AE11,A20,A23,"Cement Group","CO2 Gross (kg/ton)","Value")</f>
        <v>0</v>
      </c>
      <c r="AH11" s="118"/>
      <c r="AI11" s="15">
        <f>_xll.DBRW('Value Tree'!A3,A10,A14,AE11,A20,A23,"Cement Group","CO2 Gross (kg/ton)","Value")</f>
        <v>0</v>
      </c>
      <c r="AJ11" s="26"/>
      <c r="AK11" s="47"/>
      <c r="AL11" s="11" t="str">
        <f>A17</f>
        <v>RF</v>
      </c>
      <c r="AM11" s="118"/>
      <c r="AN11" s="14">
        <f>_xll.DBRW(A3,A10,A13,AL11,A20,A23,"Cement Group","Thermal C. (kcal/t kk)","Value")</f>
        <v>0</v>
      </c>
      <c r="AO11" s="133"/>
      <c r="AP11" s="15">
        <f>_xll.DBRW(A3,A10,A14,AL11,A20,A23,"Cement Group","Thermal C. (kcal/t kk)","Value")</f>
        <v>0</v>
      </c>
      <c r="AR11">
        <v>812</v>
      </c>
      <c r="AS11" s="15" t="e">
        <v>#REF!</v>
      </c>
    </row>
    <row r="12" spans="1:45" s="6" customFormat="1" ht="18" customHeight="1" x14ac:dyDescent="0.3">
      <c r="A12" s="113" t="s">
        <v>152</v>
      </c>
      <c r="B12" s="48"/>
      <c r="C12" s="11" t="str">
        <f>A18</f>
        <v>L300</v>
      </c>
      <c r="D12" s="119"/>
      <c r="E12" s="24">
        <f>_xll.DBRW('Value Tree'!A4,'Value Tree'!A10,'Value Tree'!A13,C12,'Value Tree'!A20,'Value Tree'!A23,'Value Tree'!A26,'Value Tree'!A29,A36)</f>
        <v>0</v>
      </c>
      <c r="F12" s="119"/>
      <c r="G12" s="25">
        <f>_xll.DBRW('Value Tree'!A4,'Value Tree'!A10,'Value Tree'!A14,C12,'Value Tree'!A20,'Value Tree'!A23,'Value Tree'!A26,'Value Tree'!A29,A36)</f>
        <v>0</v>
      </c>
      <c r="H12" s="49"/>
      <c r="I12" s="3"/>
      <c r="J12" s="11" t="str">
        <f>A18</f>
        <v>L300</v>
      </c>
      <c r="K12" s="119"/>
      <c r="L12" s="24">
        <f>_xll.DBRW(A4,A10,A13,J12,A20,A23,A26,"EBITDA","Value")</f>
        <v>0</v>
      </c>
      <c r="M12" s="119"/>
      <c r="N12" s="25">
        <f>_xll.DBRW(A4,A10,A14,J12,A20,A23,A26,"EBITDA","Value")</f>
        <v>0</v>
      </c>
      <c r="O12" s="27"/>
      <c r="P12" s="13"/>
      <c r="Q12" s="11" t="str">
        <f>A18</f>
        <v>L300</v>
      </c>
      <c r="R12" s="119"/>
      <c r="S12" s="25">
        <f>_xll.DBRW(A4,A10,A13,Q12,A20,A23,A26,"EBITDA","Value")-_xll.DBRW(A4,A10,A13,Q12,A20,A23,"PRODCE010 - Cement","EBITDA","Value")</f>
        <v>0</v>
      </c>
      <c r="T12" s="119"/>
      <c r="U12" s="25">
        <f>_xll.DBRW(A4,A10,A14,Q12,A20,A23,A26,"EBITDA","Value")-_xll.DBRW(A4,A10,A14,Q12,A20,A23,"PRODCE010 - Cement","EBITDA","Value")</f>
        <v>0</v>
      </c>
      <c r="V12" s="16"/>
      <c r="X12" s="11" t="str">
        <f>A18</f>
        <v>L300</v>
      </c>
      <c r="Y12" s="119"/>
      <c r="Z12" s="25">
        <f>_xll.DBRW(A3,A10,A13,X12,A20,A23,"Cement Group","Price","Value")</f>
        <v>0</v>
      </c>
      <c r="AA12" s="119"/>
      <c r="AB12" s="25">
        <f>_xll.DBRW(A3,A10,A14,X12,A20,A23,"Cement Group","Price","Value")</f>
        <v>0</v>
      </c>
      <c r="AC12" s="26"/>
      <c r="AE12" s="11" t="str">
        <f>A18</f>
        <v>L300</v>
      </c>
      <c r="AF12" s="119"/>
      <c r="AG12" s="24">
        <f>_xll.DBRW('Value Tree'!A3,A10,A13,AE12,A20,A23,"Cement Group","CO2 Gross (kg/ton)","Value")</f>
        <v>0</v>
      </c>
      <c r="AH12" s="119"/>
      <c r="AI12" s="25">
        <f>_xll.DBRW('Value Tree'!A3,A10,A14,AE12,A20,A23,"Cement Group","CO2 Gross (kg/ton)","Value")</f>
        <v>0</v>
      </c>
      <c r="AJ12" s="26"/>
      <c r="AL12" s="11" t="str">
        <f>A18</f>
        <v>L300</v>
      </c>
      <c r="AM12" s="119"/>
      <c r="AN12" s="24">
        <f>_xll.DBRW(A3,A10,A13,AL12,A20,A23,"Cement Group","Thermal C. (kcal/t kk)","Value")</f>
        <v>0</v>
      </c>
      <c r="AO12" s="134"/>
      <c r="AP12" s="25">
        <f>_xll.DBRW(A3,A10,A14,AL12,A20,A23,"Cement Group","Thermal C. (kcal/t kk)","Value")</f>
        <v>0</v>
      </c>
      <c r="AR12">
        <v>810</v>
      </c>
      <c r="AS12" s="25" t="e">
        <v>#REF!</v>
      </c>
    </row>
    <row r="13" spans="1:45" ht="18" hidden="1" customHeight="1" outlineLevel="1" x14ac:dyDescent="0.3">
      <c r="A13" t="str">
        <f>_xll.SUBNM("CONS_VC:ALL.D.Month","SYS.YTD","YTD 01","MEMBER_NAME")</f>
        <v>YTD 01</v>
      </c>
      <c r="C13" s="30" t="s">
        <v>11</v>
      </c>
      <c r="D13" s="31">
        <f>IF(C9="+",IF(E11&gt;E13,1,IF(E11&gt;=E12,0,-1)),IF(C9="-",IF(E11&lt;E13,1,IF(E11&lt;=E12,0,-1))))</f>
        <v>-1</v>
      </c>
      <c r="E13" s="32">
        <f>_xll.DBRW('Value Tree'!A4,'Value Tree'!A10,'Value Tree'!A13,C13,'Value Tree'!A20,'Value Tree'!A23,'Value Tree'!A26,'Value Tree'!A29,A36)</f>
        <v>0</v>
      </c>
      <c r="F13" s="31">
        <f>IF(C9="+",IF(G11&gt;G13*(1+IF(G13&gt;0,$B$4,-$B$4)),1,IF(G11&gt;=G12*(1+IF(G12&gt;0,-$B$4,$B$4)),0,-1)),IF(C9="-",IF(G11&lt;G13*(1+IF(G13&gt;0,-$B$4,$B$4)),1,IF(G11&lt;=G12*(1+IF(G12&gt;0,$B$4,-$B$4)),0,-1))))</f>
        <v>1</v>
      </c>
      <c r="G13" s="33">
        <f>_xll.DBRW('Value Tree'!A4,'Value Tree'!A10,'Value Tree'!A14,C13,'Value Tree'!A20,'Value Tree'!A23,'Value Tree'!A26,'Value Tree'!A29,A36)</f>
        <v>0</v>
      </c>
      <c r="H13" s="50"/>
      <c r="J13" s="30" t="s">
        <v>11</v>
      </c>
      <c r="K13" s="31">
        <f>IF(J9="+",IF(L11&gt;L13*(1+IF(L13&gt;0,$B$4,-$B$4)),1,IF(L11&gt;=L12*(1+IF(L12&gt;0,-$B$4,$B$4)),0,-1)),IF(J9="-",IF(L11&lt;L13*(1+IF(L13&gt;0,-$B$4,$B$4)),1,IF(L11&lt;=L12*(1+IF(L12&gt;0,$B$4,-$B$4)),0,-1))))</f>
        <v>-1</v>
      </c>
      <c r="L13" s="32">
        <f>_xll.DBRW(A4,A10,A13,J13,A20,A23,A26,"EBITDA","Value")</f>
        <v>0</v>
      </c>
      <c r="M13" s="31">
        <f>IF(J9="+",IF(N11&gt;N13*(1+IF(N13&gt;0,$B$4,-$B$4)),1,IF(N11&gt;=N12*(1+IF(N12&gt;0,-$B$4,$B$4)),0,-1)),IF(J9="-",IF(N11&lt;N13*(1+IF(N13&gt;0,-$B$4,$B$4)),1,IF(N11&lt;=N12*(1+IF(N12&gt;0,$B$4,-$B$4)),0,-1))))</f>
        <v>1</v>
      </c>
      <c r="N13" s="33">
        <f>_xll.DBRW(A4,A10,A14,J13,A20,A23,A26,"EBITDA","Value")</f>
        <v>0</v>
      </c>
      <c r="O13" s="42"/>
      <c r="P13" s="13"/>
      <c r="Q13" s="30" t="s">
        <v>11</v>
      </c>
      <c r="R13" s="31">
        <f>IF(Q9="+",IF(S11&gt;S13,1,IF(S11&gt;=S12,0,-1)),IF(Q9="-",IF(S11&lt;S13,1,IF(S11&lt;=S12,0,-1))))</f>
        <v>-1</v>
      </c>
      <c r="S13" s="25">
        <f>_xll.DBRW(A4,A10,A13,Q13,A20,A23,A26,"EBITDA","Value")-_xll.DBRW(A4,A10,A13,Q13,A20,A23,"PRODCE010 - Cement","EBITDA","Value")</f>
        <v>0</v>
      </c>
      <c r="T13" s="31">
        <f>IF(Q9="+",IF(U11&gt;U13,1,IF(U11&gt;=U12,0,-1)),IF(Q9="-",IF(U11&lt;U13,1,IF(U11&lt;=U12,0,-1))))</f>
        <v>-1</v>
      </c>
      <c r="U13" s="33">
        <f>_xll.DBRW(A4,A10,A14,Q13,A20,A23,A26,"EBITDA","Value")-_xll.DBRW(A4,A10,A14,Q13,A20,A23,"PRODCE010 - Cement","EBITDA","Value")</f>
        <v>0</v>
      </c>
      <c r="V13" s="5"/>
      <c r="X13" s="30" t="s">
        <v>11</v>
      </c>
      <c r="Y13" s="31">
        <f>IF(X9="+",IF(Z11&gt;Z13*(1+IF(Z13&gt;0,$B$4,-$B$4)),1,IF(Z11&gt;=Z12*(1+IF(Z12&gt;0,-$B$4,$B$4)),0,-1)),IF(X9="-",IF(Z11&lt;Z13*(1+IF(Z13&gt;0,-$B$4,$B$4)),1,IF(Z11&lt;=Z12*(1+IF(Z12&gt;0,$B$4,-$B$4)),0,-1))))</f>
        <v>1</v>
      </c>
      <c r="Z13" s="32">
        <f>_xll.DBRW(A3,A10,A13,X13,A20,A23,"Cement Group","Price","Value")</f>
        <v>0</v>
      </c>
      <c r="AA13" s="31">
        <f>IF(X9="+",IF(AB11&gt;AB13*(1+IF(AB13&gt;0,$B$4,-$B$4)),1,IF(AB11&gt;=AB12*(1+IF(AB12&gt;0,-$B$4,$B$4)),0,-1)),IF(X9="-",IF(AB11&lt;AB13*(1+IF(AB13&gt;0,-$B$4,$B$4)),1,IF(AB11&lt;=AB12*(1+IF(AB12&gt;0,$B$4,-$B$4)),0,-1))))</f>
        <v>1</v>
      </c>
      <c r="AB13" s="33">
        <f>_xll.DBRW(A3,A10,A14,X13,A20,A23,"Cement Group","Price","Value")</f>
        <v>0</v>
      </c>
      <c r="AC13" s="34"/>
      <c r="AE13" s="30" t="s">
        <v>11</v>
      </c>
      <c r="AF13" s="31">
        <f>IF(AE9="+",IF(AG11&gt;AG13*(1+IF(AG13&gt;0,$B$4,-$B$4)),0,IF(AG11&gt;=AG12*(1+IF(AG12&gt;0,-$B$4,$B$4)),0,-1)),IF(AE9="-",IF(AG11&lt;AG13*(1+IF(AG13&gt;0,-$B$4,$B$4)),0,IF(AG11&lt;=AG12*(1+IF(AG12&gt;0,$B$4,-$B$4)),0,-1))))</f>
        <v>0</v>
      </c>
      <c r="AG13" s="24">
        <f>_xll.DBRW('Value Tree'!A3,A10,A13,AE13,A20,A23,"Cement Group","CO2 Gross (kg/ton)","Value")</f>
        <v>0</v>
      </c>
      <c r="AH13" s="31">
        <f>IF(AE9="+",IF(AI11&gt;AI13*(1+IF(AI13&gt;0,$B$4,-$B$4)),0,IF(AI11&gt;=AI12*(1+IF(AI12&gt;0,-$B$4,$B$4)),0,-1)),IF(AE9="-",IF(AI11&lt;AI13*(1+IF(AI13&gt;0,-$B$4,$B$4)),0,IF(AI11&lt;=AI12*(1+IF(AI12&gt;0,$B$4,-$B$4)),0,-1))))</f>
        <v>0</v>
      </c>
      <c r="AI13" s="33">
        <f>_xll.DBRW('Value Tree'!A3,A10,A14,AE13,A20,A23,"Cement Group","CO2 Gross (kg/ton)","Value")</f>
        <v>0</v>
      </c>
      <c r="AJ13" s="34"/>
      <c r="AL13" s="30" t="s">
        <v>11</v>
      </c>
      <c r="AM13" s="31">
        <f>IF(AL9="+",IF(AN11&gt;AN13*(1+IF(AN13&gt;0,$B$4,-$B$4)),0,IF(AN11&gt;=AN12*(1+IF(AN12&gt;0,-$B$4,$B$4)),0,-1)),IF(AL9="-",IF(AN11&lt;AN13*(1+IF(AN13&gt;0,-$B$4,$B$4)),0,IF(AN11&lt;=AN12*(1+IF(AN12&gt;0,$B$4,-$B$4)),0,-1))))</f>
        <v>0</v>
      </c>
      <c r="AN13" s="24">
        <f>_xll.DBRW(A3,A10,A13,AL13,A20,A23,"Cement Group","Thermal C. (kcal/t kk)","Value")</f>
        <v>0</v>
      </c>
      <c r="AO13" s="31" t="e">
        <f>IF(AL9="+",IF(AS11&gt;AP13*(1+IF(AP13&gt;0,$B$4,-$B$4)),0,IF(AS11&gt;=AS12*(1+IF(AS12&gt;0,-$B$4,$B$4)),0,-1)),IF(AL9="-",IF(AS11&lt;AP13*(1+IF(AP13&gt;0,-$B$4,$B$4)),0,IF(AS11&lt;=AS12*(1+IF(AS12&gt;0,$B$4,-$B$4)),0,-1))))</f>
        <v>#REF!</v>
      </c>
      <c r="AP13" s="33">
        <f>_xll.DBRW(A3,A10,A14,AL13,A20,A23,"Cement Group","Thermal C. (kcal/t kk)","Value")</f>
        <v>0</v>
      </c>
      <c r="AR13"/>
    </row>
    <row r="14" spans="1:45" ht="18" customHeight="1" collapsed="1" x14ac:dyDescent="0.3">
      <c r="A14" t="s">
        <v>57</v>
      </c>
      <c r="H14" s="51"/>
      <c r="J14" s="36"/>
      <c r="K14" s="36"/>
      <c r="L14" s="36"/>
      <c r="M14" s="36"/>
      <c r="N14" s="36"/>
      <c r="O14" s="42"/>
      <c r="P14" s="13"/>
      <c r="X14" s="36"/>
      <c r="Y14" s="40"/>
      <c r="Z14" s="40"/>
      <c r="AA14" s="40"/>
      <c r="AB14" s="40"/>
      <c r="AC14" s="41"/>
      <c r="AG14" s="52"/>
      <c r="AJ14" s="41"/>
      <c r="AL14" s="36"/>
      <c r="AM14" s="40"/>
      <c r="AN14" s="40"/>
      <c r="AO14" s="40"/>
      <c r="AP14" s="40"/>
      <c r="AR14"/>
    </row>
    <row r="15" spans="1:45" ht="18" customHeight="1" x14ac:dyDescent="0.3">
      <c r="A15"/>
      <c r="C15" s="8" t="s">
        <v>0</v>
      </c>
      <c r="D15" s="9"/>
      <c r="E15" s="117" t="s">
        <v>1</v>
      </c>
      <c r="F15" s="9"/>
      <c r="G15" s="116" t="s">
        <v>2</v>
      </c>
      <c r="H15" s="42"/>
      <c r="J15" s="8" t="s">
        <v>0</v>
      </c>
      <c r="K15" s="9"/>
      <c r="L15" s="117" t="s">
        <v>1</v>
      </c>
      <c r="M15" s="117"/>
      <c r="N15" s="116" t="s">
        <v>2</v>
      </c>
      <c r="O15" s="42"/>
      <c r="P15" s="13"/>
      <c r="AC15" s="41"/>
      <c r="AE15" s="8" t="s">
        <v>3</v>
      </c>
      <c r="AF15" s="9"/>
      <c r="AG15" s="117" t="s">
        <v>1</v>
      </c>
      <c r="AH15" s="9"/>
      <c r="AI15" s="116" t="s">
        <v>2</v>
      </c>
      <c r="AJ15" s="42"/>
      <c r="AL15" s="8" t="s">
        <v>3</v>
      </c>
      <c r="AM15" s="9"/>
      <c r="AN15" s="117" t="s">
        <v>1</v>
      </c>
      <c r="AO15" s="9"/>
      <c r="AP15" s="116" t="s">
        <v>2</v>
      </c>
      <c r="AR15"/>
    </row>
    <row r="16" spans="1:45" s="6" customFormat="1" ht="18" customHeight="1" x14ac:dyDescent="0.3">
      <c r="A16" s="113" t="s">
        <v>153</v>
      </c>
      <c r="B16" s="4"/>
      <c r="C16" s="11"/>
      <c r="D16" s="125" t="s">
        <v>18</v>
      </c>
      <c r="E16" s="126"/>
      <c r="F16" s="126"/>
      <c r="G16" s="127"/>
      <c r="H16" s="43"/>
      <c r="I16" s="3"/>
      <c r="J16" s="11"/>
      <c r="K16" s="125" t="s">
        <v>19</v>
      </c>
      <c r="L16" s="126"/>
      <c r="M16" s="126"/>
      <c r="N16" s="127"/>
      <c r="O16" s="43"/>
      <c r="P16" s="13"/>
      <c r="Q16" s="4"/>
      <c r="X16" s="4"/>
      <c r="AC16" s="41"/>
      <c r="AE16" s="11"/>
      <c r="AF16" s="125" t="s">
        <v>20</v>
      </c>
      <c r="AG16" s="126"/>
      <c r="AH16" s="126"/>
      <c r="AI16" s="127"/>
      <c r="AJ16" s="43"/>
      <c r="AL16" s="11"/>
      <c r="AM16" s="125" t="s">
        <v>21</v>
      </c>
      <c r="AN16" s="126"/>
      <c r="AO16" s="126"/>
      <c r="AP16" s="127"/>
      <c r="AR16"/>
    </row>
    <row r="17" spans="1:47" s="6" customFormat="1" ht="18" customHeight="1" thickBot="1" x14ac:dyDescent="0.35">
      <c r="A17" t="str">
        <f>_xll.SUBNM("CONS_VC:ALL.D.Version",,"RF","Descrição")</f>
        <v>RF</v>
      </c>
      <c r="B17" s="48"/>
      <c r="C17" s="11" t="str">
        <f>A17</f>
        <v>RF</v>
      </c>
      <c r="D17" s="118"/>
      <c r="E17" s="15">
        <f>_xll.DBRW('Value Tree'!A5,'Value Tree'!A10,A13,C17,A20,A23,"Cash generation before financing",'Value Tree'!A39)</f>
        <v>-790.52843969024639</v>
      </c>
      <c r="F17" s="118"/>
      <c r="G17" s="15">
        <f>_xll.DBRW('Value Tree'!A5,'Value Tree'!A10,A14,C17,A20,A23,"Cash generation before financing",'Value Tree'!A39)</f>
        <v>-464.74998653239578</v>
      </c>
      <c r="H17" s="26"/>
      <c r="I17" s="3"/>
      <c r="J17" s="11" t="str">
        <f>A17</f>
        <v>RF</v>
      </c>
      <c r="K17" s="118"/>
      <c r="L17" s="14">
        <f>_xll.DBRW('Value Tree'!A5,A10,A13,J17,A20,A23,"Expansion Capex",Planilha3!B$19) +_xll.DBRW('Value Tree'!A5,A10,A13,J17,A20,A23,"Non expansion capex",Planilha3!B$19)</f>
        <v>0</v>
      </c>
      <c r="M17" s="118"/>
      <c r="N17" s="15">
        <f>_xll.DBRW('Value Tree'!A5,A10,A14,J17,A20,A23,"Expansion Capex",Planilha3!B$19) +_xll.DBRW('Value Tree'!A5,A10,A14,J17,A20,A23,"Non expansion capex",Planilha3!B$19)</f>
        <v>0</v>
      </c>
      <c r="O17" s="26"/>
      <c r="P17" s="13"/>
      <c r="Q17" s="4"/>
      <c r="X17" s="4"/>
      <c r="AC17" s="41"/>
      <c r="AE17" s="11" t="str">
        <f>A17</f>
        <v>RF</v>
      </c>
      <c r="AF17" s="118"/>
      <c r="AG17" s="14">
        <f>_xll.DBRW(A3,A10,A13,AE17,A20,A23,"Cement Group","CO2 Net (kg/ton)","Value")</f>
        <v>0</v>
      </c>
      <c r="AH17" s="118"/>
      <c r="AI17" s="15">
        <f>_xll.DBRW(A3,A10,A14,AE17,A20,A23,"Cement Group","CO2 Net (kg/ton)","Value")</f>
        <v>0</v>
      </c>
      <c r="AJ17" s="26"/>
      <c r="AK17" s="19"/>
      <c r="AL17" s="11" t="str">
        <f>A17</f>
        <v>RF</v>
      </c>
      <c r="AM17" s="118"/>
      <c r="AN17" s="14">
        <f>_xll.DBRW(A3,A10,A13,AL17,A20,A23,"Cement Group","Petcoke Price (LMU/t)","Value")</f>
        <v>0</v>
      </c>
      <c r="AO17" s="118"/>
      <c r="AP17" s="15">
        <f>_xll.DBRW(A3,A10,A14,AL17,A20,A23,"Cement Group","Petcoke Price (LMU/t)","Value")</f>
        <v>0</v>
      </c>
      <c r="AQ17" s="53"/>
      <c r="AR17"/>
    </row>
    <row r="18" spans="1:47" s="6" customFormat="1" ht="18" customHeight="1" x14ac:dyDescent="0.3">
      <c r="A18" t="str">
        <f>_xll.SUBNM("CONS_VC:ALL.D.Version",,"L300","MEMBER_NAME")</f>
        <v>L300</v>
      </c>
      <c r="B18" s="48"/>
      <c r="C18" s="11" t="str">
        <f>A18</f>
        <v>L300</v>
      </c>
      <c r="D18" s="119"/>
      <c r="E18" s="24">
        <f>_xll.DBRW('Value Tree'!A5,'Value Tree'!A10,A13,C18,A20,A23,"Cash generation before financing",'Value Tree'!A39)</f>
        <v>0</v>
      </c>
      <c r="F18" s="119"/>
      <c r="G18" s="25">
        <f>_xll.DBRW('Value Tree'!A5,'Value Tree'!A10,A14,C18,A20,A23,"Cash generation before financing",'Value Tree'!A39)</f>
        <v>0</v>
      </c>
      <c r="H18" s="54"/>
      <c r="I18" s="55"/>
      <c r="J18" s="11" t="str">
        <f>A18</f>
        <v>L300</v>
      </c>
      <c r="K18" s="119"/>
      <c r="L18" s="24">
        <f>_xll.DBRW('Value Tree'!A5,A10,A13,J18,A20,A23,"Expansion Capex",Planilha3!B$19) +_xll.DBRW('Value Tree'!A5,A10,A13,J18,A20,A23,"Non expansion capex",Planilha3!B$19)</f>
        <v>0</v>
      </c>
      <c r="M18" s="119"/>
      <c r="N18" s="25">
        <f>_xll.DBRW('Value Tree'!A5,A10,A14,J18,A20,A23,"Expansion Capex",Planilha3!B$19) +_xll.DBRW('Value Tree'!A5,A10,A14,J18,A20,A23,"Non expansion capex",Planilha3!B$19)</f>
        <v>0</v>
      </c>
      <c r="O18" s="26"/>
      <c r="P18" s="13"/>
      <c r="Q18" s="4"/>
      <c r="X18" s="4"/>
      <c r="AC18" s="41"/>
      <c r="AE18" s="11" t="str">
        <f>A18</f>
        <v>L300</v>
      </c>
      <c r="AF18" s="119"/>
      <c r="AG18" s="24">
        <f>_xll.DBRW(A3,A10,A13,AE18,A20,A23,"Cement Group","CO2 Net (kg/ton)","Value")</f>
        <v>0</v>
      </c>
      <c r="AH18" s="119"/>
      <c r="AI18" s="25">
        <f>_xll.DBRW(A3,A10,A14,AE18,A20,A23,"Cement Group","CO2 Net (kg/ton)","Value")</f>
        <v>0</v>
      </c>
      <c r="AJ18" s="16"/>
      <c r="AL18" s="11" t="str">
        <f>A18</f>
        <v>L300</v>
      </c>
      <c r="AM18" s="119"/>
      <c r="AN18" s="24">
        <f>_xll.DBRW(A3,A10,A13,AL18,A20,A23,"Cement Group","Petcoke Price (LMU/t)","Value")</f>
        <v>0</v>
      </c>
      <c r="AO18" s="119"/>
      <c r="AP18" s="25">
        <f>_xll.DBRW(A3,A10,A14,AL18,A20,A23,"Cement Group","Petcoke Price (LMU/t)","Value")</f>
        <v>0</v>
      </c>
      <c r="AR18"/>
    </row>
    <row r="19" spans="1:47" ht="18" hidden="1" customHeight="1" outlineLevel="1" x14ac:dyDescent="0.3">
      <c r="A19" s="113" t="s">
        <v>154</v>
      </c>
      <c r="B19" s="48"/>
      <c r="C19" s="30" t="s">
        <v>11</v>
      </c>
      <c r="D19" s="31">
        <f>IF(C15="+",IF(E17&gt;E19,1,IF(E17&gt;=E18,0,-1)),IF(C15="-",IF(E17&lt;E19,1,IF(E17&lt;=E18,0,-1))))</f>
        <v>-1</v>
      </c>
      <c r="E19" s="32">
        <f>_xll.DBRW('Value Tree'!A5,'Value Tree'!A10,A13,C19,A20,A23,"Cash generation before financing",'Value Tree'!A39)</f>
        <v>0</v>
      </c>
      <c r="F19" s="31">
        <f>IF(C15="+",IF(G17&gt;G19*(1+IF(G19&gt;0,$B$4,-$B$4)),1,IF(G17&gt;=G18*(1+IF(G18&gt;0,-$B$4,$B$4)),0,-1)),IF(C15="-",IF(G17&lt;G19*(1+IF(G19&gt;0,-$B$4,$B$4)),1,IF(G17&lt;=G18*(1+IF(G18&gt;0,$B$4,-$B$4)),0,-1))))</f>
        <v>-1</v>
      </c>
      <c r="G19" s="33">
        <f>_xll.DBRW('Value Tree'!A5,'Value Tree'!A10,A14,C19,A20,A23,"Cash generation before financing",'Value Tree'!A39)</f>
        <v>0</v>
      </c>
      <c r="H19" s="34"/>
      <c r="J19" s="30" t="s">
        <v>11</v>
      </c>
      <c r="K19" s="31">
        <f>IF(J15="+",IF(L17&gt;L19*(1+IF(L19&gt;0,$B$4,-$B$4)),1,IF(L17&gt;=L18*(1+IF(L18&gt;0,-$B$4,$B$4)),0,-1)),IF(J15="-",IF(L17&lt;L19*(1+IF(L19&gt;0,-$B$4,$B$4)),1,IF(L17&lt;=L18*(1+IF(L18&gt;0,$B$4,-$B$4)),0,-1))))</f>
        <v>0</v>
      </c>
      <c r="L19" s="32">
        <f>_xll.DBRW('Value Tree'!A5,A10,A13,J19,A20,A23,"Expansion Capex",Planilha3!B$19) +_xll.DBRW('Value Tree'!A5,A10,A13,J19,A20,A23,"Non expansion capex",Planilha3!B$19)</f>
        <v>0</v>
      </c>
      <c r="M19" s="31">
        <f>IF(J15="+",IF(N17&gt;N19*(1+IF(N19&gt;0,$B$4,-$B$4)),1,IF(N17&gt;=N18*(1+IF(N18&gt;0,-$B$4,$B$4)),0,-1)),IF(J15="-",IF(N17&lt;N19*(1+IF(N19&gt;0,-$B$4,$B$4)),1,IF(N17&lt;=N18*(1+IF(N18&gt;0,$B$4,-$B$4)),0,-1))))</f>
        <v>0</v>
      </c>
      <c r="N19" s="33">
        <f>_xll.DBRW('Value Tree'!A5,A10,A14,J19,A20,A23,"Expansion Capex",Planilha3!B$19) +_xll.DBRW('Value Tree'!A5,A10,A14,J19,A20,A23,"Non expansion capex",Planilha3!B$19)</f>
        <v>0</v>
      </c>
      <c r="O19" s="34"/>
      <c r="P19" s="13"/>
      <c r="AC19" s="41"/>
      <c r="AE19" s="30" t="s">
        <v>11</v>
      </c>
      <c r="AF19" s="31">
        <f>IF(AE15="+",IF(AG17&gt;AG19*(1+IF(AG19&gt;0,$B$4,-$B$4)),0,IF(AG17&gt;=AG18*(1+IF(AG18&gt;0,-$B$4,$B$4)),0,-1)),IF(AE15="-",IF(AG17&lt;AG19*(1+IF(AG19&gt;0,-$B$4,$B$4)),0,IF(AG17&lt;=AG18*(1+IF(AG18&gt;0,$B$4,-$B$4)),0,-1))))</f>
        <v>0</v>
      </c>
      <c r="AG19" s="24">
        <f>_xll.DBRW(A3,A10,A13,AE19,A20,A23,"Cement Group","CO2 Net (kg/ton)","Value")</f>
        <v>0</v>
      </c>
      <c r="AH19" s="31">
        <f>IF(AE15="+",IF(AI17&gt;AI19*(1+IF(AI19&gt;0,$B$4,-$B$4)),0,IF(AI17&gt;=AI18*(1+IF(AI18&gt;0,-$B$4,$B$4)),0,-1)),IF(AE15="-",IF(AI17&lt;AI19*(1+IF(AI19&gt;0,-$B$4,$B$4)),0,IF(AI17&lt;=AI18*(1+IF(AI18&gt;0,$B$4,-$B$4)),0,-1))))</f>
        <v>0</v>
      </c>
      <c r="AI19" s="33">
        <f>_xll.DBRW(A3,A10,A14,AE19,A20,A23,"Cement Group","CO2 Net (kg/ton)","Value")</f>
        <v>0</v>
      </c>
      <c r="AJ19" s="5"/>
      <c r="AL19" s="30" t="s">
        <v>11</v>
      </c>
      <c r="AM19" s="31">
        <f>IF(AL15="+",IF(AN17&gt;AN19*(1+IF(AN19&gt;0,$B$4,-$B$4)),0,IF(AN17&gt;=AN18*(1+IF(AN18&gt;0,-$B$4,$B$4)),0,-1)),IF(AL15="-",IF(AN17&lt;AN19*(1+IF(AN19&gt;0,-$B$4,$B$4)),0,IF(AN17&lt;=AN18*(1+IF(AN18&gt;0,$B$4,-$B$4)),0,-1))))</f>
        <v>0</v>
      </c>
      <c r="AN19" s="24">
        <f>_xll.DBRW(A3,A10,A13,AL19,A20,A23,"Cement Group","Petcoke Price (LMU/t)","Value")</f>
        <v>0</v>
      </c>
      <c r="AO19" s="31">
        <f>IF(AL15="+",IF(AP17&gt;AP19*(1+IF(AP19&gt;0,$B$4,-$B$4)),0,IF(AP17&gt;=AP18*(1+IF(AP18&gt;0,-$B$4,$B$4)),0,-1)),IF(AL15="-",IF(AP17&lt;AP19*(1+IF(AP19&gt;0,-$B$4,$B$4)),0,IF(AP17&lt;=AP18*(1+IF(AP18&gt;0,$B$4,-$B$4)),0,-1))))</f>
        <v>0</v>
      </c>
      <c r="AP19" s="33">
        <f>_xll.DBRW(A3,A10,A14,AL19,A20,A23,"Cement Group","Petcoke Price (LMU/t)","Value")</f>
        <v>0</v>
      </c>
      <c r="AR19"/>
    </row>
    <row r="20" spans="1:47" ht="18" customHeight="1" collapsed="1" x14ac:dyDescent="0.3">
      <c r="A20" s="137" t="str">
        <f>_xll.SUBNM("CONS_VC:ALL.D.Currency","","USD","MEMBER_NAME")</f>
        <v>USD</v>
      </c>
      <c r="B20" s="48"/>
      <c r="C20" s="56"/>
      <c r="D20" s="57"/>
      <c r="E20" s="57"/>
      <c r="F20" s="57"/>
      <c r="G20" s="57"/>
      <c r="H20" s="51"/>
      <c r="J20" s="36"/>
      <c r="K20" s="37"/>
      <c r="L20" s="39"/>
      <c r="M20" s="37"/>
      <c r="N20" s="39"/>
      <c r="O20" s="34"/>
      <c r="P20" s="13"/>
      <c r="AC20" s="41"/>
      <c r="AL20" s="36"/>
      <c r="AM20" s="40"/>
      <c r="AN20" s="40"/>
      <c r="AO20" s="40"/>
      <c r="AP20" s="40"/>
      <c r="AR20"/>
    </row>
    <row r="21" spans="1:47" ht="18" customHeight="1" x14ac:dyDescent="0.3">
      <c r="A21"/>
      <c r="B21" s="48"/>
      <c r="C21" s="8" t="s">
        <v>0</v>
      </c>
      <c r="D21" s="9"/>
      <c r="E21" s="117" t="s">
        <v>1</v>
      </c>
      <c r="F21" s="9"/>
      <c r="G21" s="116" t="s">
        <v>2</v>
      </c>
      <c r="H21" s="42"/>
      <c r="J21" s="8" t="s">
        <v>0</v>
      </c>
      <c r="K21" s="9"/>
      <c r="L21" s="117" t="s">
        <v>1</v>
      </c>
      <c r="M21" s="117"/>
      <c r="N21" s="116" t="s">
        <v>2</v>
      </c>
      <c r="O21" s="42"/>
      <c r="P21" s="13"/>
      <c r="Q21" s="8" t="s">
        <v>3</v>
      </c>
      <c r="R21" s="9"/>
      <c r="S21" s="117" t="s">
        <v>1</v>
      </c>
      <c r="T21" s="117"/>
      <c r="U21" s="116" t="s">
        <v>2</v>
      </c>
      <c r="V21" s="3"/>
      <c r="X21" s="8" t="s">
        <v>3</v>
      </c>
      <c r="Y21" s="9"/>
      <c r="Z21" s="117" t="s">
        <v>1</v>
      </c>
      <c r="AA21" s="9"/>
      <c r="AB21" s="116" t="s">
        <v>2</v>
      </c>
      <c r="AC21" s="42"/>
      <c r="AE21" s="8" t="s">
        <v>3</v>
      </c>
      <c r="AF21" s="9"/>
      <c r="AG21" s="117" t="s">
        <v>1</v>
      </c>
      <c r="AH21" s="9"/>
      <c r="AI21" s="116" t="s">
        <v>2</v>
      </c>
      <c r="AJ21" s="3"/>
      <c r="AL21" s="8" t="s">
        <v>3</v>
      </c>
      <c r="AM21" s="9"/>
      <c r="AN21" s="117" t="s">
        <v>1</v>
      </c>
      <c r="AO21" s="9"/>
      <c r="AP21" s="116" t="s">
        <v>2</v>
      </c>
      <c r="AR21"/>
    </row>
    <row r="22" spans="1:47" s="6" customFormat="1" ht="18" customHeight="1" x14ac:dyDescent="0.3">
      <c r="A22" s="113" t="s">
        <v>155</v>
      </c>
      <c r="B22" s="48"/>
      <c r="C22" s="11"/>
      <c r="D22" s="125" t="s">
        <v>22</v>
      </c>
      <c r="E22" s="126"/>
      <c r="F22" s="126"/>
      <c r="G22" s="127"/>
      <c r="H22" s="43"/>
      <c r="I22" s="3"/>
      <c r="J22" s="11"/>
      <c r="K22" s="125" t="s">
        <v>23</v>
      </c>
      <c r="L22" s="126"/>
      <c r="M22" s="126"/>
      <c r="N22" s="127"/>
      <c r="O22" s="43"/>
      <c r="P22" s="13"/>
      <c r="Q22" s="11"/>
      <c r="R22" s="125" t="s">
        <v>24</v>
      </c>
      <c r="S22" s="126"/>
      <c r="T22" s="126"/>
      <c r="U22" s="127"/>
      <c r="V22" s="12"/>
      <c r="X22" s="11"/>
      <c r="Y22" s="125" t="s">
        <v>25</v>
      </c>
      <c r="Z22" s="126"/>
      <c r="AA22" s="126"/>
      <c r="AB22" s="127"/>
      <c r="AC22" s="43"/>
      <c r="AE22" s="11"/>
      <c r="AF22" s="125" t="s">
        <v>26</v>
      </c>
      <c r="AG22" s="126"/>
      <c r="AH22" s="126"/>
      <c r="AI22" s="127"/>
      <c r="AJ22" s="12"/>
      <c r="AL22" s="11"/>
      <c r="AM22" s="125" t="s">
        <v>27</v>
      </c>
      <c r="AN22" s="126"/>
      <c r="AO22" s="126"/>
      <c r="AP22" s="127"/>
      <c r="AR22"/>
    </row>
    <row r="23" spans="1:47" s="6" customFormat="1" ht="18" customHeight="1" thickBot="1" x14ac:dyDescent="0.35">
      <c r="A23" s="137" t="str">
        <f>_xll.SUBNM("CONS_VC:ALL.D.Region","","VCNA","MEMBER_NAME")</f>
        <v>VCNA</v>
      </c>
      <c r="B23" s="48"/>
      <c r="C23" s="11" t="str">
        <f>A17</f>
        <v>RF</v>
      </c>
      <c r="D23" s="118"/>
      <c r="E23" s="21">
        <f>_xll.DBRW('Value Tree'!A3,A10,A13,C23,A20,A23,A26,"% ROIC","Value")</f>
        <v>0</v>
      </c>
      <c r="F23" s="118"/>
      <c r="G23" s="22">
        <f>_xll.DBRW('Value Tree'!A3,A10,A14,C23,A20,A23,A26,"% ROIC","Value")</f>
        <v>0</v>
      </c>
      <c r="H23" s="26"/>
      <c r="I23" s="3"/>
      <c r="J23" s="11" t="str">
        <f>A17</f>
        <v>RF</v>
      </c>
      <c r="K23" s="118"/>
      <c r="L23" s="14">
        <f>_xll.DBRW('Value Tree'!A3,A10,A13,J23,A20,A23,A26,"Working Capital Balance","Value")</f>
        <v>3383.0569030049414</v>
      </c>
      <c r="M23" s="118"/>
      <c r="N23" s="15">
        <f>_xll.DBRW('Value Tree'!A3,A10,A14,J23,A20,A23,A26,"Working Capital Balance","Value")</f>
        <v>50032.712973237787</v>
      </c>
      <c r="O23" s="26"/>
      <c r="P23" s="17"/>
      <c r="Q23" s="11" t="str">
        <f>A17</f>
        <v>RF</v>
      </c>
      <c r="R23" s="118"/>
      <c r="S23" s="14">
        <f>Z23+Z29</f>
        <v>0</v>
      </c>
      <c r="T23" s="129"/>
      <c r="U23" s="15">
        <f>AB23+AB29</f>
        <v>0</v>
      </c>
      <c r="V23" s="18"/>
      <c r="W23" s="19"/>
      <c r="X23" s="11" t="str">
        <f>A17</f>
        <v>RF</v>
      </c>
      <c r="Y23" s="118"/>
      <c r="Z23" s="14">
        <f>SUM(AG5,AG23,AG29,AG35)</f>
        <v>0</v>
      </c>
      <c r="AA23" s="118"/>
      <c r="AB23" s="15">
        <f>SUM(AI5,AI23,AI29,AI35)</f>
        <v>0</v>
      </c>
      <c r="AC23" s="46"/>
      <c r="AD23" s="19"/>
      <c r="AE23" s="11" t="str">
        <f>A17</f>
        <v>RF</v>
      </c>
      <c r="AF23" s="118"/>
      <c r="AG23" s="14">
        <f>_xll.DBRW('Value Tree'!A3,A10,A13,AE23,A20,A23,"Cement Group","Power (LMU/t)","Value")</f>
        <v>0</v>
      </c>
      <c r="AH23" s="118"/>
      <c r="AI23" s="15">
        <f>_xll.DBRW('Value Tree'!A3,A10,A14,AE23,A20,A23,"Cement Group","Power (LMU/t)","Value")</f>
        <v>0</v>
      </c>
      <c r="AJ23" s="18"/>
      <c r="AK23" s="19"/>
      <c r="AL23" s="11" t="str">
        <f>A17</f>
        <v>RF</v>
      </c>
      <c r="AM23" s="131"/>
      <c r="AN23" s="14">
        <f>_xll.DBRW(A3,A10,A13,AL23,A20,A23,"Cement Group","Power Price (LMU/MWh)","Value")</f>
        <v>0</v>
      </c>
      <c r="AO23" s="118"/>
      <c r="AP23" s="15">
        <f>_xll.DBRW(A3,A10,A14,AL23,A20,A23,"Cement Group","Power Price (LMU/MWh)","Value")</f>
        <v>0</v>
      </c>
      <c r="AR23"/>
      <c r="AS23" s="58"/>
    </row>
    <row r="24" spans="1:47" s="6" customFormat="1" ht="18" customHeight="1" x14ac:dyDescent="0.3">
      <c r="A24"/>
      <c r="B24" s="48"/>
      <c r="C24" s="11" t="str">
        <f>A18</f>
        <v>L300</v>
      </c>
      <c r="D24" s="119"/>
      <c r="E24" s="28">
        <f>_xll.DBRW('Value Tree'!A3,A10,A13,C24,A20,A23,A26,"% ROIC","Value")</f>
        <v>0</v>
      </c>
      <c r="F24" s="119"/>
      <c r="G24" s="29">
        <f>_xll.DBRW('Value Tree'!A3,A10,A14,C24,A20,A23,A26,"% ROIC","Value")</f>
        <v>0</v>
      </c>
      <c r="H24" s="26"/>
      <c r="I24" s="55"/>
      <c r="J24" s="11" t="str">
        <f>A18</f>
        <v>L300</v>
      </c>
      <c r="K24" s="119"/>
      <c r="L24" s="24">
        <f>_xll.DBRW('Value Tree'!A3,A10,A13,J24,A20,A23,A26,"Working Capital Balance","Value")</f>
        <v>0</v>
      </c>
      <c r="M24" s="119"/>
      <c r="N24" s="25">
        <f>_xll.DBRW('Value Tree'!A3,A10,A14,J24,A20,A23,A26,"Working Capital Balance","Value")</f>
        <v>0</v>
      </c>
      <c r="O24" s="26"/>
      <c r="P24" s="13"/>
      <c r="Q24" s="11" t="str">
        <f>A18</f>
        <v>L300</v>
      </c>
      <c r="R24" s="119"/>
      <c r="S24" s="24">
        <f>Z24+Z30</f>
        <v>0</v>
      </c>
      <c r="T24" s="130"/>
      <c r="U24" s="25">
        <f>AB24+AB30</f>
        <v>0</v>
      </c>
      <c r="V24" s="27"/>
      <c r="X24" s="11" t="str">
        <f>A18</f>
        <v>L300</v>
      </c>
      <c r="Y24" s="119"/>
      <c r="Z24" s="24">
        <f>SUM(AG6,AG24,AG30,AG36)</f>
        <v>0</v>
      </c>
      <c r="AA24" s="119"/>
      <c r="AB24" s="25">
        <f>SUM(AI6,AI24,AI30,AI36)</f>
        <v>0</v>
      </c>
      <c r="AC24" s="27"/>
      <c r="AE24" s="11" t="str">
        <f>A18</f>
        <v>L300</v>
      </c>
      <c r="AF24" s="119"/>
      <c r="AG24" s="24">
        <f>_xll.DBRW('Value Tree'!A3,A10,A13,AE24,A20,A23,"Cement Group","Power (LMU/t)","Value")</f>
        <v>0</v>
      </c>
      <c r="AH24" s="119"/>
      <c r="AI24" s="25">
        <f>_xll.DBRW('Value Tree'!A3,A10,A14,AE24,A20,A23,"Cement Group","Power (LMU/t)","Value")</f>
        <v>0</v>
      </c>
      <c r="AJ24" s="27"/>
      <c r="AL24" s="11" t="str">
        <f>A18</f>
        <v>L300</v>
      </c>
      <c r="AM24" s="132"/>
      <c r="AN24" s="59">
        <f>_xll.DBRW(A3,A10,A13,AL24,A20,A23,"Cement Group","Power Price (LMU/MWh)","Value")</f>
        <v>0</v>
      </c>
      <c r="AO24" s="128"/>
      <c r="AP24" s="25">
        <f>_xll.DBRW(A3,A10,A14,AL24,A20,A23,"Cement Group","Power Price (LMU/MWh)","Value")</f>
        <v>0</v>
      </c>
      <c r="AR24"/>
    </row>
    <row r="25" spans="1:47" ht="18" hidden="1" customHeight="1" outlineLevel="1" x14ac:dyDescent="0.3">
      <c r="A25" s="113" t="s">
        <v>156</v>
      </c>
      <c r="B25" s="48"/>
      <c r="C25" s="30" t="s">
        <v>11</v>
      </c>
      <c r="D25" s="60">
        <f>IF(C21="+",IF(E23&gt;E25,1,IF(E23&gt;=E24,0,-1)),IF(C21="-",IF(E23&lt;E25,1,IF(E23&lt;=E24,0,-1))))</f>
        <v>0</v>
      </c>
      <c r="E25" s="61">
        <f>_xll.DBRW('Value Tree'!A3,A10,A13,C25,A20,A23,A26,"% ROIC","Value")</f>
        <v>0</v>
      </c>
      <c r="F25" s="60">
        <f>IF(C21="+",IF(G23&gt;G25,1,IF(G23&gt;=G24,0,-1)),IF(C21="-",IF(G23&lt;G25,1,IF(G23&lt;=G24,0,-1))))</f>
        <v>0</v>
      </c>
      <c r="G25" s="35">
        <f>_xll.DBRW('Value Tree'!A3,A10,A14,C25,A20,A23,A26,"% ROIC","Value")</f>
        <v>0</v>
      </c>
      <c r="H25" s="34"/>
      <c r="J25" s="30" t="s">
        <v>11</v>
      </c>
      <c r="K25" s="31">
        <f>IF(J21="+",IF(L23&gt;L25*(1+IF(L25&gt;0,$B$4,-$B$4)),1,IF(L23&gt;=L24*(1+IF(L24&gt;0,-$B$4,$B$4)),0,-1)),IF(J21="-",IF(L23&lt;L25*(1+IF(L25&gt;0,-$B$4,$B$4)),1,IF(L23&lt;=L24*(1+IF(L24&gt;0,$B$4,-$B$4)),0,-1))))</f>
        <v>1</v>
      </c>
      <c r="L25" s="32">
        <f>_xll.DBRW('Value Tree'!A3,A10,A13,J25,A20,A23,A26,"Working Capital Balance","Value")</f>
        <v>0</v>
      </c>
      <c r="M25" s="31">
        <f>IF(J21="+",IF(N23&gt;N25*(1+IF(N25&gt;0,$B$4,-$B$4)),1,IF(N23&gt;=N24*(1+IF(N24&gt;0,-$B$4,$B$4)),0,-1)),IF(J21="-",IF(N23&lt;N25*(1+IF(N25&gt;0,-$B$4,$B$4)),1,IF(N23&lt;=N24*(1+IF(N24&gt;0,$B$4,-$B$4)),0,-1))))</f>
        <v>1</v>
      </c>
      <c r="N25" s="32">
        <f>_xll.DBRW('Value Tree'!A3,A10,A14,J25,A20,A23,A26,"Working Capital Balance","Value")</f>
        <v>0</v>
      </c>
      <c r="O25" s="34"/>
      <c r="P25" s="13"/>
      <c r="Q25" s="30" t="s">
        <v>11</v>
      </c>
      <c r="R25" s="31">
        <f>IF(Q21="+",IF(S23&gt;S25*(1+IF(S25&gt;0,$B$4,-$B$4)),1,IF(S23&gt;=S24*(1+IF(S24&gt;0,-$B$4,$B$4)),0,-1)),IF(Q21="-",IF(S23&lt;S25*(1+IF(S25&gt;0,-$B$4,$B$4)),1,IF(S23&lt;=S24*(1+IF(S24&gt;0,$B$4,-$B$4)),0,-1))))</f>
        <v>0</v>
      </c>
      <c r="S25" s="33">
        <f>Z25+Z31</f>
        <v>0</v>
      </c>
      <c r="T25" s="31">
        <f>IF(Q21="+",IF(U23&gt;U25*(1+IF(U25&gt;0,$B$4,-$B$4)),1,IF(U23&gt;=U24*(1+IF(U24&gt;0,-$B$4,$B$4)),0,-1)),IF(Q21="-",IF(U23&lt;U25*(1+IF(U25&gt;0,-$B$4,$B$4)),1,IF(U23&lt;=U24*(1+IF(U24&gt;0,$B$4,-$B$4)),0,-1))))</f>
        <v>0</v>
      </c>
      <c r="U25" s="33">
        <f>AB25+AB31</f>
        <v>0</v>
      </c>
      <c r="V25" s="34"/>
      <c r="X25" s="30" t="s">
        <v>11</v>
      </c>
      <c r="Y25" s="31">
        <f>IF(X21="+",IF(Z23&gt;Z25*(1+IF(Z25&gt;0,$B$4,-$B$4)),0,IF(Z23&gt;=Z24*(1+IF(Z24&gt;0,-$B$4,$B$4)),0,-1)),IF(X21="-",IF(Z23&lt;Z25*(1+IF(Z25&gt;0,-$B$4,$B$4)),0,IF(Z23&lt;=Z24*(1+IF(Z24&gt;0,$B$4,-$B$4)),0,-1))))</f>
        <v>0</v>
      </c>
      <c r="Z25" s="24">
        <f>SUM(AG7,AG25,AG31,AG37)</f>
        <v>0</v>
      </c>
      <c r="AA25" s="31">
        <f>IF(X21="+",IF(AB23&gt;AB25*(1+IF(AB25&gt;0,$B$4,-$B$4)),0,IF(AB23&gt;=AB24*(1+IF(AB24&gt;0,-$B$4,$B$4)),0,-1)),IF(X21="-",IF(AB23&lt;AB25*(1+IF(AB25&gt;0,-$B$4,$B$4)),0,IF(AB23&lt;=AB24*(1+IF(AB24&gt;0,$B$4,-$B$4)),0,-1))))</f>
        <v>0</v>
      </c>
      <c r="AB25" s="25">
        <f>SUM(AI7,AI25,AI31,AI37)</f>
        <v>0</v>
      </c>
      <c r="AC25" s="34"/>
      <c r="AE25" s="30" t="s">
        <v>11</v>
      </c>
      <c r="AF25" s="31">
        <f>IF(AE21="+",IF(AG23&gt;AG25*(1+IF(AG25&gt;0,$B$4,-$B$4)),0,IF(AG23&gt;=AG24*(1+IF(AG24&gt;0,-$B$4,$B$4)),0,-1)),IF(AE21="-",IF(AG23&lt;AG25*(1+IF(AG25&gt;0,-$B$4,$B$4)),0,IF(AG23&lt;=AG24*(1+IF(AG24&gt;0,$B$4,-$B$4)),0,-1))))</f>
        <v>0</v>
      </c>
      <c r="AG25" s="32">
        <f>_xll.DBRW('Value Tree'!A3,A10,A13,AE25,A20,A23,"Cement Group","Power (LMU/t)","Value")</f>
        <v>0</v>
      </c>
      <c r="AH25" s="31">
        <f>IF(AE21="+",IF(AI23&gt;AI25*(1+IF(AI25&gt;0,$B$4,-$B$4)),0,IF(AI23&gt;=AI24*(1+IF(AI24&gt;0,-$B$4,$B$4)),0,-1)),IF(AE21="-",IF(AI23&lt;AI25*(1+IF(AI25&gt;0,-$B$4,$B$4)),0,IF(AI23&lt;=AI24*(1+IF(AI24&gt;0,$B$4,-$B$4)),0,-1))))</f>
        <v>0</v>
      </c>
      <c r="AI25" s="33">
        <f>_xll.DBRW('Value Tree'!A3,A10,A14,AE25,A20,A23,"Cement Group","Power (LMU/t)","Value")</f>
        <v>0</v>
      </c>
      <c r="AJ25" s="34"/>
      <c r="AL25" s="30" t="s">
        <v>11</v>
      </c>
      <c r="AM25" s="31">
        <f>IF(AL21="+",IF(AN23&gt;AN25*(1+IF(AN25&gt;0,$B$4,-$B$4)),0,IF(AN23&gt;=AN24*(1+IF(AN24&gt;0,-$B$4,$B$4)),0,-1)),IF(AL21="-",IF(AN23&lt;AN25*(1+IF(AN25&gt;0,-$B$4,$B$4)),0,IF(AN23&lt;=AN24*(1+IF(AN24&gt;0,$B$4,-$B$4)),0,-1))))</f>
        <v>0</v>
      </c>
      <c r="AN25" s="59">
        <f>_xll.DBRW(A3,A10,A13,AL25,A20,A23,"Cement Group","Power Price (LMU/MWh)","Value")</f>
        <v>0</v>
      </c>
      <c r="AO25" s="31">
        <f>IF(AL21="+",IF(AP23&gt;AP25*(1+IF(AP25&gt;0,$B$4,-$B$4)),0,IF(AP23&gt;=AP24*(1+IF(AP24&gt;0,-$B$4,$B$4)),0,-1)),IF(AL21="-",IF(AP23&lt;AP25*(1+IF(AP25&gt;0,-$B$4,$B$4)),0,IF(AP23&lt;=AP24*(1+IF(AP24&gt;0,$B$4,-$B$4)),0,-1))))</f>
        <v>0</v>
      </c>
      <c r="AP25" s="33">
        <f>_xll.DBRW(A3,A10,A14,AL25,A20,A23,"Cement Group","Power Price (LMU/MWh)","Value")</f>
        <v>0</v>
      </c>
      <c r="AR25"/>
      <c r="AT25" s="7">
        <f>R25</f>
        <v>0</v>
      </c>
    </row>
    <row r="26" spans="1:47" ht="18" customHeight="1" collapsed="1" x14ac:dyDescent="0.3">
      <c r="A26" t="str">
        <f>_xll.SUBNM("CONS_VC:ALL.D.Products","","Total Products")</f>
        <v>Total Products</v>
      </c>
      <c r="B26" s="48"/>
      <c r="C26" s="56"/>
      <c r="D26" s="57"/>
      <c r="E26" s="57"/>
      <c r="F26" s="57"/>
      <c r="G26" s="57"/>
      <c r="H26" s="51"/>
      <c r="J26" s="36"/>
      <c r="K26" s="37"/>
      <c r="L26" s="39"/>
      <c r="M26" s="37"/>
      <c r="N26" s="39"/>
      <c r="O26" s="34"/>
      <c r="P26" s="13"/>
      <c r="Q26" s="36"/>
      <c r="R26" s="40"/>
      <c r="S26" s="40"/>
      <c r="T26" s="40"/>
      <c r="U26" s="40"/>
      <c r="V26" s="41"/>
      <c r="X26" s="36"/>
      <c r="Y26" s="40"/>
      <c r="Z26" s="40"/>
      <c r="AA26" s="40"/>
      <c r="AB26" s="40"/>
      <c r="AC26" s="41"/>
      <c r="AE26" s="36"/>
      <c r="AF26" s="40"/>
      <c r="AG26" s="40"/>
      <c r="AH26" s="40"/>
      <c r="AI26" s="40"/>
      <c r="AJ26" s="41"/>
      <c r="AL26" s="36"/>
      <c r="AM26" s="40"/>
      <c r="AN26" s="40"/>
      <c r="AO26" s="40"/>
      <c r="AP26" s="40"/>
      <c r="AR26"/>
      <c r="AS26"/>
      <c r="AT26"/>
      <c r="AU26"/>
    </row>
    <row r="27" spans="1:47" ht="18" customHeight="1" x14ac:dyDescent="0.3">
      <c r="A27"/>
      <c r="B27" s="48"/>
      <c r="H27" s="51"/>
      <c r="J27" s="8" t="s">
        <v>0</v>
      </c>
      <c r="K27" s="9"/>
      <c r="L27" s="117" t="s">
        <v>1</v>
      </c>
      <c r="M27" s="117"/>
      <c r="N27" s="116" t="s">
        <v>2</v>
      </c>
      <c r="O27" s="42"/>
      <c r="P27" s="13"/>
      <c r="Q27" s="8" t="s">
        <v>3</v>
      </c>
      <c r="R27" s="9"/>
      <c r="S27" s="117" t="s">
        <v>1</v>
      </c>
      <c r="T27" s="117"/>
      <c r="U27" s="116" t="s">
        <v>2</v>
      </c>
      <c r="V27" s="42"/>
      <c r="X27" s="8" t="s">
        <v>3</v>
      </c>
      <c r="Y27" s="9"/>
      <c r="Z27" s="117" t="s">
        <v>1</v>
      </c>
      <c r="AA27" s="9"/>
      <c r="AB27" s="116" t="s">
        <v>2</v>
      </c>
      <c r="AC27" s="42"/>
      <c r="AE27" s="8" t="s">
        <v>3</v>
      </c>
      <c r="AF27" s="9"/>
      <c r="AG27" s="117" t="s">
        <v>1</v>
      </c>
      <c r="AH27" s="9"/>
      <c r="AI27" s="116" t="s">
        <v>2</v>
      </c>
      <c r="AJ27" s="42"/>
      <c r="AL27" s="8" t="s">
        <v>3</v>
      </c>
      <c r="AM27" s="9"/>
      <c r="AN27" s="117" t="s">
        <v>1</v>
      </c>
      <c r="AO27" s="9"/>
      <c r="AP27" s="116" t="s">
        <v>2</v>
      </c>
      <c r="AR27"/>
      <c r="AS27"/>
      <c r="AT27"/>
      <c r="AU27"/>
    </row>
    <row r="28" spans="1:47" s="6" customFormat="1" ht="18" customHeight="1" x14ac:dyDescent="0.3">
      <c r="A28" s="113" t="s">
        <v>157</v>
      </c>
      <c r="B28" s="48"/>
      <c r="C28" s="1"/>
      <c r="D28" s="2"/>
      <c r="E28" s="2"/>
      <c r="F28" s="2"/>
      <c r="G28" s="2"/>
      <c r="H28" s="51"/>
      <c r="I28" s="3"/>
      <c r="J28" s="11"/>
      <c r="K28" s="125" t="s">
        <v>28</v>
      </c>
      <c r="L28" s="126"/>
      <c r="M28" s="126"/>
      <c r="N28" s="127"/>
      <c r="O28" s="43"/>
      <c r="P28" s="13"/>
      <c r="Q28" s="11"/>
      <c r="R28" s="125" t="s">
        <v>29</v>
      </c>
      <c r="S28" s="126"/>
      <c r="T28" s="126"/>
      <c r="U28" s="127"/>
      <c r="V28" s="43"/>
      <c r="X28" s="11"/>
      <c r="Y28" s="125" t="s">
        <v>30</v>
      </c>
      <c r="Z28" s="126"/>
      <c r="AA28" s="126"/>
      <c r="AB28" s="127"/>
      <c r="AC28" s="43"/>
      <c r="AE28" s="11"/>
      <c r="AF28" s="125" t="s">
        <v>31</v>
      </c>
      <c r="AG28" s="126"/>
      <c r="AH28" s="126"/>
      <c r="AI28" s="127"/>
      <c r="AJ28" s="43"/>
      <c r="AL28" s="11"/>
      <c r="AM28" s="125" t="s">
        <v>32</v>
      </c>
      <c r="AN28" s="126"/>
      <c r="AO28" s="126"/>
      <c r="AP28" s="127"/>
      <c r="AR28"/>
      <c r="AS28"/>
      <c r="AT28"/>
      <c r="AU28"/>
    </row>
    <row r="29" spans="1:47" s="6" customFormat="1" ht="18" customHeight="1" thickBot="1" x14ac:dyDescent="0.35">
      <c r="A29" t="s">
        <v>58</v>
      </c>
      <c r="B29" s="48"/>
      <c r="C29" s="1"/>
      <c r="D29" s="2"/>
      <c r="E29" s="2"/>
      <c r="F29" s="2"/>
      <c r="G29" s="2"/>
      <c r="H29" s="51"/>
      <c r="I29" s="45"/>
      <c r="J29" s="11" t="str">
        <f>A17</f>
        <v>RF</v>
      </c>
      <c r="K29" s="118"/>
      <c r="L29" s="14">
        <f>_xll.DBRW(A4,A10,A13,J29,A20,A23,A26,"Income Tax","Value")</f>
        <v>-10.003639776183601</v>
      </c>
      <c r="M29" s="118"/>
      <c r="N29" s="15">
        <f>_xll.DBRW(A4,A10,A14,J29,A20,A23,A26,"Income Tax","Value")</f>
        <v>38.335250817909916</v>
      </c>
      <c r="O29" s="26"/>
      <c r="P29" s="17"/>
      <c r="Q29" s="11" t="str">
        <f>A17</f>
        <v>RF</v>
      </c>
      <c r="R29" s="118"/>
      <c r="S29" s="14" cm="1">
        <f t="array" ref="S29">_xll.DBRW(A4,A10,A13,Q29,A20,A23,A26,"Fixed Costs","Total Value")</f>
        <v>-34.839500003718697</v>
      </c>
      <c r="T29" s="118"/>
      <c r="U29" s="15" cm="1">
        <f t="array" ref="U29">_xll.DBRW(A4,A10,A14,Q29,A20,A23,A26,"Fixed Costs","Total Value")</f>
        <v>-301.2231438370481</v>
      </c>
      <c r="V29" s="26"/>
      <c r="W29" s="19"/>
      <c r="X29" s="11" t="str">
        <f>A17</f>
        <v>RF</v>
      </c>
      <c r="Y29" s="118"/>
      <c r="Z29" s="14">
        <f>_xll.DBRW('Value Tree'!A3,A10,A13,X29,A20,A23,A26,"Cement Fix. Costs (LMU/t)","Value")</f>
        <v>0</v>
      </c>
      <c r="AA29" s="118"/>
      <c r="AB29" s="15">
        <f>_xll.DBRW('Value Tree'!A3,A10,A14,X29,A20,A23,A26,"Cement Fix. Costs (LMU/t)","Value")</f>
        <v>0</v>
      </c>
      <c r="AC29" s="26"/>
      <c r="AD29" s="19"/>
      <c r="AE29" s="11" t="str">
        <f>A17</f>
        <v>RF</v>
      </c>
      <c r="AF29" s="118"/>
      <c r="AG29" s="14">
        <f>_xll.DBRW('Value Tree'!A3,A10,A13,AE29,A20,A23,"Cement Group","Raw Material (LMU/t)","Value")</f>
        <v>0</v>
      </c>
      <c r="AH29" s="118"/>
      <c r="AI29" s="15">
        <f>_xll.DBRW('Value Tree'!A3,A10,A14,AE29,A20,A23,"Cement Group","Raw Material (LMU/t)","Value")</f>
        <v>0</v>
      </c>
      <c r="AJ29" s="26"/>
      <c r="AK29" s="47"/>
      <c r="AL29" s="11" t="str">
        <f>A17</f>
        <v>RF</v>
      </c>
      <c r="AM29" s="118"/>
      <c r="AN29" s="14">
        <f>_xll.DBRW(A3,A10,A13,AL29,A20,A23,"Cement Group","Power Cons. (kWh/t)","Value")</f>
        <v>0</v>
      </c>
      <c r="AO29" s="118"/>
      <c r="AP29" s="15">
        <f>_xll.DBRW(A3,A10,A14,AL29,A20,A23,"Cement Group","Power Cons. (kWh/t)","Value")</f>
        <v>0</v>
      </c>
      <c r="AR29"/>
      <c r="AS29"/>
      <c r="AT29"/>
      <c r="AU29"/>
    </row>
    <row r="30" spans="1:47" s="6" customFormat="1" ht="18" customHeight="1" x14ac:dyDescent="0.3">
      <c r="A30"/>
      <c r="B30" s="48"/>
      <c r="C30" s="1"/>
      <c r="D30" s="2"/>
      <c r="E30" s="2"/>
      <c r="F30" s="2"/>
      <c r="G30" s="2"/>
      <c r="H30" s="51"/>
      <c r="I30" s="62"/>
      <c r="J30" s="11" t="str">
        <f>A18</f>
        <v>L300</v>
      </c>
      <c r="K30" s="119"/>
      <c r="L30" s="24">
        <f>_xll.DBRW(A4,A10,A13,J30,A20,A23,A26,"Income Tax","Value")</f>
        <v>0</v>
      </c>
      <c r="M30" s="119"/>
      <c r="N30" s="25">
        <f>_xll.DBRW(A4,A10,A14,J30,A20,A23,A26,"Income Tax","Value")</f>
        <v>0</v>
      </c>
      <c r="O30" s="26"/>
      <c r="P30" s="63"/>
      <c r="Q30" s="11" t="str">
        <f>A18</f>
        <v>L300</v>
      </c>
      <c r="R30" s="119"/>
      <c r="S30" s="24" cm="1">
        <f t="array" ref="S30">_xll.DBRW(A4,A10,A13,Q30,A20,A23,A26,"Fixed Costs","Total Value")</f>
        <v>0</v>
      </c>
      <c r="T30" s="119"/>
      <c r="U30" s="25" cm="1">
        <f t="array" ref="U30">_xll.DBRW(A4,A10,A14,Q30,A20,A23,A26,"Fixed Costs","Total Value")</f>
        <v>0</v>
      </c>
      <c r="V30" s="16"/>
      <c r="X30" s="11" t="str">
        <f>A18</f>
        <v>L300</v>
      </c>
      <c r="Y30" s="119"/>
      <c r="Z30" s="24">
        <f>_xll.DBRW('Value Tree'!A3,A10,A13,X30,A20,A23,A26,"Cement Fix. Costs (LMU/t)","Value")</f>
        <v>0</v>
      </c>
      <c r="AA30" s="119"/>
      <c r="AB30" s="25">
        <f>_xll.DBRW('Value Tree'!A3,A10,A14,X30,A20,A23,A26,"Cement Fix. Costs (LMU/t)","Value")</f>
        <v>0</v>
      </c>
      <c r="AC30" s="26"/>
      <c r="AE30" s="11" t="str">
        <f>A18</f>
        <v>L300</v>
      </c>
      <c r="AF30" s="119"/>
      <c r="AG30" s="24">
        <f>_xll.DBRW('Value Tree'!A3,A10,A13,AE30,A20,A23,"Cement Group","Raw Material (LMU/t)","Value")</f>
        <v>0</v>
      </c>
      <c r="AH30" s="119"/>
      <c r="AI30" s="25">
        <f>_xll.DBRW('Value Tree'!A3,A10,A14,AE30,A20,A23,"Cement Group","Raw Material (LMU/t)","Value")</f>
        <v>0</v>
      </c>
      <c r="AJ30" s="26"/>
      <c r="AL30" s="11" t="str">
        <f>A18</f>
        <v>L300</v>
      </c>
      <c r="AM30" s="119"/>
      <c r="AN30" s="24">
        <f>_xll.DBRW(A3,A10,A13,AL30,A20,A23,"Cement Group","Power Cons. (kWh/t)","Value")</f>
        <v>0</v>
      </c>
      <c r="AO30" s="119"/>
      <c r="AP30" s="25">
        <f>_xll.DBRW(A3,A10,A14,AL30,A20,A23,"Cement Group","Power Cons. (kWh/t)","Value")</f>
        <v>0</v>
      </c>
      <c r="AR30"/>
      <c r="AS30"/>
      <c r="AT30"/>
      <c r="AU30"/>
    </row>
    <row r="31" spans="1:47" ht="18" hidden="1" customHeight="1" outlineLevel="1" x14ac:dyDescent="0.3">
      <c r="A31" s="114" t="s">
        <v>159</v>
      </c>
      <c r="H31" s="51"/>
      <c r="I31" s="62"/>
      <c r="J31" s="30" t="s">
        <v>11</v>
      </c>
      <c r="K31" s="31">
        <f>IF(J27="+",IF(L29&gt;L31*(1+IF(L31&gt;0,$B$4,-$B$4)),0,IF(L29&gt;=L30*(1+IF(L30&gt;0,-$B$4,$B$4)),0,-1)),IF(J27="-",IF(L29&lt;L31*(1+IF(L31&gt;0,-$B$4,$B$4)),0,IF(L29&lt;=L30*(1+IF(L30&gt;0,$B$4,-$B$4)),0,-1))))</f>
        <v>-1</v>
      </c>
      <c r="L31" s="32">
        <f>_xll.DBRW(A4,A10,A13,J31,A20,A23,A26,"Income Tax","Value")</f>
        <v>0</v>
      </c>
      <c r="M31" s="31">
        <f>IF(J27="+",IF(N29&gt;N31*(1+IF(N31&gt;0,$B$4,-$B$4)),0,IF(N29&gt;=N30*(1+IF(N30&gt;0,-$B$4,$B$4)),0,-1)),IF(J27="-",IF(N29&lt;N31*(1+IF(N31&gt;0,-$B$4,$B$4)),0,IF(N29&lt;=N30*(1+IF(N30&gt;0,$B$4,-$B$4)),0,-1))))</f>
        <v>0</v>
      </c>
      <c r="N31" s="32">
        <f>_xll.DBRW(A4,A10,A14,J31,A20,A23,A26,"Income Tax","Value")</f>
        <v>0</v>
      </c>
      <c r="O31" s="34"/>
      <c r="P31" s="13"/>
      <c r="Q31" s="30" t="s">
        <v>11</v>
      </c>
      <c r="R31" s="31">
        <f>IF(Q27="+",IF(S29&gt;S31*(1+IF(S31&gt;0,$B$4,-$B$4)),0,IF(S29&gt;=S30*(1+IF(S30&gt;0,-$B$4,$B$4)),0,-1)),IF(Q27="-",IF(S29&lt;S31*(1+IF(S31&gt;0,-$B$4,$B$4)),0,IF(S29&lt;=S30*(1+IF(S30&gt;0,$B$4,-$B$4)),0,-1))))</f>
        <v>0</v>
      </c>
      <c r="S31" s="24" cm="1">
        <f t="array" ref="S31">_xll.DBRW(A4,A10,A13,Q31,A20,A23,A26,"Fixed Costs","Total Value")</f>
        <v>0</v>
      </c>
      <c r="T31" s="31">
        <f>IF(Q27="+",IF(U29&gt;U31*(1+IF(U31&gt;0,$B$4,-$B$4)),0,IF(U29&gt;=U30*(1+IF(U30&gt;0,-$B$4,$B$4)),0,-1)),IF(Q27="-",IF(U29&lt;U31*(1+IF(U31&gt;0,-$B$4,$B$4)),0,IF(U29&lt;=U30*(1+IF(U30&gt;0,$B$4,-$B$4)),0,-1))))</f>
        <v>0</v>
      </c>
      <c r="U31" s="33" cm="1">
        <f t="array" ref="U31">_xll.DBRW(A4,A10,A14,Q31,A20,A23,A26,"Fixed Costs","Total Value")</f>
        <v>0</v>
      </c>
      <c r="V31" s="5"/>
      <c r="X31" s="30" t="s">
        <v>11</v>
      </c>
      <c r="Y31" s="31">
        <f>IF(X27="+",IF(Z29&gt;Z31*(1+IF(Z31&gt;0,$B$4,-$B$4)),0,IF(Z29&gt;=Z30*(1+IF(Z30&gt;0,-$B$4,$B$4)),0,-1)),IF(X27="-",IF(Z29&lt;Z31*(1+IF(Z31&gt;0,-$B$4,$B$4)),0,IF(Z29&lt;=Z30*(1+IF(Z30&gt;0,$B$4,-$B$4)),0,-1))))</f>
        <v>0</v>
      </c>
      <c r="Z31" s="24">
        <f>_xll.DBRW('Value Tree'!A3,A10,A13,X31,A20,A23,A26,"Cement Fix. Costs (LMU/t)","Value")</f>
        <v>0</v>
      </c>
      <c r="AA31" s="31">
        <f>IF(X27="+",IF(AB29&gt;AB31*(1+IF(AB31&gt;0,$B$4,-$B$4)),0,IF(AB29&gt;=AB30*(1+IF(AB30&gt;0,-$B$4,$B$4)),0,-1)),IF(X27="-",IF(AB29&lt;AB31*(1+IF(AB31&gt;0,-$B$4,$B$4)),0,IF(AB29&lt;=AB30*(1+IF(AB30&gt;0,$B$4,-$B$4)),0,-1))))</f>
        <v>0</v>
      </c>
      <c r="AB31" s="25">
        <f>_xll.DBRW('Value Tree'!A3,A10,A14,X31,A20,A23,A26,"Cement Fix. Costs (LMU/t)","Value")</f>
        <v>0</v>
      </c>
      <c r="AC31" s="34"/>
      <c r="AE31" s="30" t="s">
        <v>11</v>
      </c>
      <c r="AF31" s="31">
        <f>IF(AE27="+",IF(AG29&gt;AG31*(1+IF(AG31&gt;0,$B$4,-$B$4)),0,IF(AG29&gt;=AG30*(1+IF(AG30&gt;0,-$B$4,$B$4)),0,-1)),IF(AE27="-",IF(AG29&lt;AG31*(1+IF(AG31&gt;0,-$B$4,$B$4)),0,IF(AG29&lt;=AG30*(1+IF(AG30&gt;0,$B$4,-$B$4)),0,-1))))</f>
        <v>0</v>
      </c>
      <c r="AG31" s="64">
        <f>_xll.DBRW('Value Tree'!A3,A10,A13,AE31,A20,A23,"Cement Group","Raw Material (LMU/t)","Value")</f>
        <v>0</v>
      </c>
      <c r="AH31" s="31">
        <f>IF(AE27="+",IF(AI29&gt;AI31*(1+IF(AI31&gt;0,$B$4,-$B$4)),0,IF(AI29&gt;=AI30*(1+IF(AI30&gt;0,-$B$4,$B$4)),0,-1)),IF(AE27="-",IF(AI29&lt;AI31*(1+IF(AI31&gt;0,-$B$4,$B$4)),0,IF(AI29&lt;=AI30*(1+IF(AI30&gt;0,$B$4,-$B$4)),0,-1))))</f>
        <v>0</v>
      </c>
      <c r="AI31" s="33">
        <f>_xll.DBRW('Value Tree'!A3,A10,A14,AE31,A20,A23,"Cement Group","Raw Material (LMU/t)","Value")</f>
        <v>0</v>
      </c>
      <c r="AJ31" s="34"/>
      <c r="AL31" s="30" t="s">
        <v>11</v>
      </c>
      <c r="AM31" s="31">
        <f>IF(AL27="+",IF(AN29&gt;AN31*(1+IF(AN31&gt;0,$B$4,-$B$4)),0,IF(AN29&gt;=AN30*(1+IF(AN30&gt;0,-$B$4,$B$4)),0,-1)),IF(AL27="-",IF(AN29&lt;AN31*(1+IF(AN31&gt;0,-$B$4,$B$4)),0,IF(AN29&lt;=AN30*(1+IF(AN30&gt;0,$B$4,-$B$4)),0,-1))))</f>
        <v>0</v>
      </c>
      <c r="AN31" s="24">
        <f>_xll.DBRW(A3,A10,A13,AL31,A20,A23,"Cement Group","Power Cons. (kWh/t)","Value")</f>
        <v>0</v>
      </c>
      <c r="AO31" s="31">
        <f>IF(AL27="+",IF(AP29&gt;AP31*(1+IF(AP31&gt;0,$B$4,-$B$4)),0,IF(AP29&gt;=AP30*(1+IF(AP30&gt;0,-$B$4,$B$4)),0,-1)),IF(AL27="-",IF(AP29&lt;AP31*(1+IF(AP31&gt;0,-$B$4,$B$4)),0,IF(AP29&lt;=AP30*(1+IF(AP30&gt;0,$B$4,-$B$4)),0,-1))))</f>
        <v>0</v>
      </c>
      <c r="AP31" s="33">
        <f>_xll.DBRW(A3,A10,A14,AL31,A20,A23,"Cement Group","Power Cons. (kWh/t)","Value")</f>
        <v>0</v>
      </c>
      <c r="AR31"/>
      <c r="AS31" s="65"/>
      <c r="AT31" s="65">
        <f>AF31</f>
        <v>0</v>
      </c>
      <c r="AU31"/>
    </row>
    <row r="32" spans="1:47" ht="18" customHeight="1" collapsed="1" x14ac:dyDescent="0.3">
      <c r="A32" t="s">
        <v>88</v>
      </c>
      <c r="H32" s="51"/>
      <c r="I32" s="62"/>
      <c r="J32" s="36"/>
      <c r="K32" s="37"/>
      <c r="L32" s="39"/>
      <c r="M32" s="37"/>
      <c r="N32" s="39"/>
      <c r="O32" s="34"/>
      <c r="P32" s="13"/>
      <c r="Q32" s="36"/>
      <c r="R32" s="40"/>
      <c r="S32" s="40"/>
      <c r="T32" s="40"/>
      <c r="U32" s="40"/>
      <c r="X32" s="36"/>
      <c r="Y32" s="40"/>
      <c r="Z32" s="40"/>
      <c r="AA32" s="40"/>
      <c r="AB32" s="40"/>
      <c r="AC32" s="41"/>
      <c r="AE32" s="36"/>
      <c r="AF32" s="40"/>
      <c r="AG32" s="40"/>
      <c r="AH32" s="40"/>
      <c r="AI32" s="40"/>
      <c r="AJ32" s="41"/>
      <c r="AL32" s="36"/>
      <c r="AM32" s="40"/>
      <c r="AN32" s="40"/>
      <c r="AO32" s="40"/>
      <c r="AP32" s="40"/>
      <c r="AR32"/>
      <c r="AS32"/>
      <c r="AT32"/>
      <c r="AU32"/>
    </row>
    <row r="33" spans="1:47" ht="18" customHeight="1" x14ac:dyDescent="0.3">
      <c r="H33" s="51"/>
      <c r="I33" s="62"/>
      <c r="J33" s="8" t="s">
        <v>0</v>
      </c>
      <c r="K33" s="9"/>
      <c r="L33" s="117" t="s">
        <v>1</v>
      </c>
      <c r="M33" s="117"/>
      <c r="N33" s="116" t="s">
        <v>2</v>
      </c>
      <c r="O33" s="42"/>
      <c r="P33" s="13"/>
      <c r="Q33" s="8" t="s">
        <v>3</v>
      </c>
      <c r="R33" s="9"/>
      <c r="S33" s="117" t="s">
        <v>1</v>
      </c>
      <c r="T33" s="117"/>
      <c r="U33" s="116" t="s">
        <v>2</v>
      </c>
      <c r="V33" s="3"/>
      <c r="X33" s="8" t="s">
        <v>3</v>
      </c>
      <c r="Y33" s="9"/>
      <c r="Z33" s="117" t="s">
        <v>1</v>
      </c>
      <c r="AA33" s="9"/>
      <c r="AB33" s="116" t="s">
        <v>2</v>
      </c>
      <c r="AC33" s="42"/>
      <c r="AE33" s="8" t="s">
        <v>3</v>
      </c>
      <c r="AF33" s="9"/>
      <c r="AG33" s="117" t="s">
        <v>1</v>
      </c>
      <c r="AH33" s="9"/>
      <c r="AI33" s="116" t="s">
        <v>2</v>
      </c>
      <c r="AJ33" s="42"/>
      <c r="AL33" s="8" t="s">
        <v>3</v>
      </c>
      <c r="AM33" s="9"/>
      <c r="AN33" s="117" t="s">
        <v>1</v>
      </c>
      <c r="AO33" s="9"/>
      <c r="AP33" s="116" t="s">
        <v>2</v>
      </c>
      <c r="AR33"/>
      <c r="AS33"/>
      <c r="AT33"/>
      <c r="AU33"/>
    </row>
    <row r="34" spans="1:47" s="6" customFormat="1" ht="18" customHeight="1" x14ac:dyDescent="0.3">
      <c r="B34" s="4"/>
      <c r="C34" s="1"/>
      <c r="D34" s="4"/>
      <c r="E34" s="4"/>
      <c r="F34" s="4"/>
      <c r="G34" s="4"/>
      <c r="H34" s="66"/>
      <c r="I34" s="62"/>
      <c r="J34" s="11"/>
      <c r="K34" s="125" t="s">
        <v>164</v>
      </c>
      <c r="L34" s="126"/>
      <c r="M34" s="126"/>
      <c r="N34" s="127"/>
      <c r="O34" s="43"/>
      <c r="P34" s="13"/>
      <c r="Q34" s="11"/>
      <c r="R34" s="125" t="s">
        <v>33</v>
      </c>
      <c r="S34" s="126"/>
      <c r="T34" s="126"/>
      <c r="U34" s="127"/>
      <c r="V34" s="12"/>
      <c r="X34" s="11"/>
      <c r="Y34" s="125" t="s">
        <v>34</v>
      </c>
      <c r="Z34" s="126"/>
      <c r="AA34" s="126"/>
      <c r="AB34" s="127"/>
      <c r="AC34" s="43"/>
      <c r="AE34" s="11"/>
      <c r="AF34" s="125" t="s">
        <v>35</v>
      </c>
      <c r="AG34" s="126"/>
      <c r="AH34" s="126"/>
      <c r="AI34" s="127"/>
      <c r="AJ34" s="43"/>
      <c r="AL34" s="11"/>
      <c r="AM34" s="125" t="s">
        <v>36</v>
      </c>
      <c r="AN34" s="126"/>
      <c r="AO34" s="126"/>
      <c r="AP34" s="127"/>
      <c r="AR34"/>
      <c r="AS34"/>
      <c r="AT34"/>
      <c r="AU34"/>
    </row>
    <row r="35" spans="1:47" s="6" customFormat="1" ht="18" customHeight="1" thickBot="1" x14ac:dyDescent="0.35">
      <c r="A35" s="113" t="s">
        <v>160</v>
      </c>
      <c r="B35" s="4"/>
      <c r="C35" s="1"/>
      <c r="D35" s="4"/>
      <c r="E35" s="4"/>
      <c r="F35" s="4"/>
      <c r="G35" s="4"/>
      <c r="H35" s="66"/>
      <c r="I35" s="67"/>
      <c r="J35" s="11" t="str">
        <f>A17</f>
        <v>RF</v>
      </c>
      <c r="K35" s="118"/>
      <c r="L35" s="14">
        <f>_xll.DBRW(A5,A10,A13,J35,A20,A23,"Financial Results",Planilha3!B$19)</f>
        <v>-0.81343818259398404</v>
      </c>
      <c r="M35" s="118"/>
      <c r="N35" s="15">
        <f>_xll.DBRW(A5,A10,A14,J35,A20,A23,"Financial Results",Planilha3!B$19)</f>
        <v>-55.192952157982873</v>
      </c>
      <c r="O35" s="26"/>
      <c r="P35" s="17"/>
      <c r="Q35" s="11" t="str">
        <f>A17</f>
        <v>RF</v>
      </c>
      <c r="R35" s="118"/>
      <c r="S35" s="14">
        <f>_xll.DBRW(A4,A10,A13,Q35,A20,A23,A26,"Operational Expenses","Value")</f>
        <v>-7.6474136504325703</v>
      </c>
      <c r="T35" s="118"/>
      <c r="U35" s="15">
        <f>_xll.DBRW('Value Tree'!A4,A10,A14,Q35,A20,A23,A26,"Operational Expenses","Value")</f>
        <v>-107.89133819949463</v>
      </c>
      <c r="V35" s="16"/>
      <c r="X35" s="11" t="str">
        <f>A17</f>
        <v>RF</v>
      </c>
      <c r="Y35" s="118"/>
      <c r="Z35" s="68">
        <f>ABS(IFERROR((S29+S35)/S5,0))</f>
        <v>0.79436970510258853</v>
      </c>
      <c r="AA35" s="118"/>
      <c r="AB35" s="69">
        <f>ABS(IFERROR((U29+U35)/U5,0))</f>
        <v>0.25443059386791628</v>
      </c>
      <c r="AC35" s="70"/>
      <c r="AD35" s="19"/>
      <c r="AE35" s="11" t="str">
        <f>A17</f>
        <v>RF</v>
      </c>
      <c r="AF35" s="118"/>
      <c r="AG35" s="14">
        <f>_xll.DBRW(A3,A10,A13,AE35,A20,A23,"Cement Group","Other Variable (LMU/t)","Value")</f>
        <v>0</v>
      </c>
      <c r="AH35" s="118"/>
      <c r="AI35" s="15">
        <f>_xll.DBRW(A3,A10,A14,AE35,A20,A23,"Cement Group","Other Variable (LMU/t)","Value")</f>
        <v>0</v>
      </c>
      <c r="AJ35" s="26"/>
      <c r="AK35" s="71"/>
      <c r="AL35" s="72" t="str">
        <f>A17</f>
        <v>RF</v>
      </c>
      <c r="AM35" s="118"/>
      <c r="AN35" s="21">
        <f>_xll.DBRW(A3,A10,A13,AL35,A20,A23,"Cement Group","Clinker Factor (%)","Value")</f>
        <v>0</v>
      </c>
      <c r="AO35" s="120"/>
      <c r="AP35" s="22">
        <f>_xll.DBRW(A3,A10,A14,AL35,A20,A23,"Cement Group","Clinker Factor (%)","Value")</f>
        <v>0</v>
      </c>
      <c r="AR35">
        <v>75</v>
      </c>
      <c r="AS35" s="22" t="e">
        <v>#REF!</v>
      </c>
    </row>
    <row r="36" spans="1:47" s="6" customFormat="1" ht="18" customHeight="1" x14ac:dyDescent="0.3">
      <c r="A36" t="s">
        <v>61</v>
      </c>
      <c r="B36" s="4"/>
      <c r="C36" s="1"/>
      <c r="D36" s="4"/>
      <c r="E36" s="4"/>
      <c r="F36" s="4"/>
      <c r="G36" s="4"/>
      <c r="H36" s="4"/>
      <c r="I36" s="62"/>
      <c r="J36" s="11" t="str">
        <f>A18</f>
        <v>L300</v>
      </c>
      <c r="K36" s="119"/>
      <c r="L36" s="24">
        <f>_xll.DBRW(A5,A10,A13,J36,A20,A23,"Financial Results",Planilha3!B$19)</f>
        <v>0</v>
      </c>
      <c r="M36" s="119"/>
      <c r="N36" s="25">
        <f>_xll.DBRW(A5,A10,A14,J36,A20,A23,"Financial Results",Planilha3!B$19)</f>
        <v>0</v>
      </c>
      <c r="O36" s="16"/>
      <c r="P36" s="13"/>
      <c r="Q36" s="11" t="str">
        <f>A18</f>
        <v>L300</v>
      </c>
      <c r="R36" s="119"/>
      <c r="S36" s="24">
        <f>_xll.DBRW(A4,A10,A13,Q36,A20,A23,A26,"Operational Expenses","Value")</f>
        <v>0</v>
      </c>
      <c r="T36" s="119"/>
      <c r="U36" s="25">
        <f>_xll.DBRW('Value Tree'!A4,A10,A14,Q36,A20,A23,A26,"Operational Expenses","Value")</f>
        <v>0</v>
      </c>
      <c r="V36" s="16"/>
      <c r="X36" s="11" t="str">
        <f>A18</f>
        <v>L300</v>
      </c>
      <c r="Y36" s="119"/>
      <c r="Z36" s="73">
        <f>ABS(IFERROR((S30+S36)/S6,0))</f>
        <v>0</v>
      </c>
      <c r="AA36" s="119"/>
      <c r="AB36" s="74">
        <f>ABS(IFERROR((U30+U36)/U6,0))</f>
        <v>0</v>
      </c>
      <c r="AC36" s="75"/>
      <c r="AE36" s="11" t="str">
        <f>A18</f>
        <v>L300</v>
      </c>
      <c r="AF36" s="119"/>
      <c r="AG36" s="24">
        <f>_xll.DBRW(A3,A10,A13,AE36,A20,A23,"Cement Group","Other Variable (LMU/t)","Value")</f>
        <v>0</v>
      </c>
      <c r="AH36" s="119"/>
      <c r="AI36" s="25">
        <f>_xll.DBRW(A3,A10,A14,AE36,A20,A23,"Cement Group","Other Variable (LMU/t)","Value")</f>
        <v>0</v>
      </c>
      <c r="AJ36" s="16"/>
      <c r="AL36" s="11" t="str">
        <f>A18</f>
        <v>L300</v>
      </c>
      <c r="AM36" s="119"/>
      <c r="AN36" s="28">
        <f>_xll.DBRW(A3,A10,A13,AL36,A20,A23,"Cement Group","Clinker Factor (%)","Value")</f>
        <v>0</v>
      </c>
      <c r="AO36" s="121"/>
      <c r="AP36" s="29">
        <f>_xll.DBRW(A3,A10,A14,AL36,A20,A23,"Cement Group","Clinker Factor (%)","Value")</f>
        <v>0</v>
      </c>
      <c r="AR36" s="6">
        <v>75</v>
      </c>
      <c r="AS36" s="29" t="e">
        <v>#REF!</v>
      </c>
    </row>
    <row r="37" spans="1:47" ht="18" hidden="1" customHeight="1" outlineLevel="1" x14ac:dyDescent="0.3">
      <c r="I37" s="76"/>
      <c r="J37" s="30" t="s">
        <v>11</v>
      </c>
      <c r="K37" s="31">
        <f>IF(J33="+",IF(L35&gt;L37*(1+IF(L37&gt;0,$B$4,-$B$4)),0,IF(L35&gt;=L36*(1+IF(L36&gt;0,-$B$4,$B$4)),0,-1)),IF(J33="-",IF(L35&lt;L37*(1+IF(L37&gt;0,-$B$4,$B$4)),0,IF(L35&lt;=L36*(1+IF(L36&gt;0,$B$4,-$B$4)),0,-1))))</f>
        <v>-1</v>
      </c>
      <c r="L37" s="32">
        <f>_xll.DBRW(A5,A10,A13,J37,A20,A23,"Financial Results",Planilha3!B$19)</f>
        <v>0</v>
      </c>
      <c r="M37" s="31">
        <f>IF(J33="+",IF(N35&gt;N37*(1+IF(N37&gt;0,$B$4,-$B$4)),0,IF(N35&gt;=N36*(1+IF(N36&gt;0,-$B$4,$B$4)),0,-1)),IF(J33="-",IF(N35&lt;N37*(1+IF(N37&gt;0,-$B$4,$B$4)),0,IF(N35&lt;=N36*(1+IF(N36&gt;0,$B$4,-$B$4)),0,-1))))</f>
        <v>-1</v>
      </c>
      <c r="N37" s="32">
        <f>_xll.DBRW(A5,A10,A14,J37,A20,A23,"Financial Results",Planilha3!B$19)</f>
        <v>0</v>
      </c>
      <c r="Q37" s="30" t="s">
        <v>11</v>
      </c>
      <c r="R37" s="31">
        <f>IF(Q33="+",IF(S35&gt;S37*(1+IF(S37&gt;0,$B$4,-$B$4)),0,IF(S35&gt;=S36*(1+IF(S36&gt;0,-$B$4,$B$4)),0,-1)),IF(Q33="-",IF(S35&lt;S37*(1+IF(S37&gt;0,-$B$4,$B$4)),0,IF(S35&lt;=S36*(1+IF(S36&gt;0,$B$4,-$B$4)),0,-1))))</f>
        <v>0</v>
      </c>
      <c r="S37" s="24">
        <f>_xll.DBRW('Value Tree'!A3,A10,A13,Q37,A20,A23,A26,"ZBB Total","Value")</f>
        <v>0</v>
      </c>
      <c r="T37" s="60">
        <f>IF(Q33="+",IF(U35&gt;U37,1,IF(U35&gt;=U36,0,-1)),IF(Q33="-",IF(U35&lt;U37,1,IF(U35&lt;=U36,0,-1))))</f>
        <v>1</v>
      </c>
      <c r="U37" s="33">
        <f>_xll.DBRW('Value Tree'!A3,A10,A14,Q37,A20,A23,A26,"ZBB Total","Value")</f>
        <v>0</v>
      </c>
      <c r="V37" s="5"/>
      <c r="X37" s="30" t="s">
        <v>11</v>
      </c>
      <c r="Y37" s="60">
        <f>IF(X33="+",IF(Z35&gt;Z37,1,IF(Z35&gt;=Z36,0,-1)),IF(X33="-",IF(Z35&lt;Z37,1,IF(Z35&lt;=Z36,0,-1))))</f>
        <v>-1</v>
      </c>
      <c r="Z37" s="77">
        <f>IFERROR((S30+S36)/S7,0)</f>
        <v>0</v>
      </c>
      <c r="AA37" s="60">
        <f>IF(X33="+",IF(AB35&gt;AB37,1,IF(AB35&gt;=AB36,0,-1)),IF(X33="-",IF(AB35&lt;AB37,1,IF(AB35&lt;=AB36,0,-1))))</f>
        <v>-1</v>
      </c>
      <c r="AB37" s="78">
        <f>IFERROR((U30+U36)/U7,0)</f>
        <v>0</v>
      </c>
      <c r="AC37" s="79"/>
      <c r="AE37" s="30" t="s">
        <v>11</v>
      </c>
      <c r="AF37" s="31">
        <f>IF(AE33="+",IF(AG35&gt;AG37*(1+IF(AG37&gt;0,$B$4,-$B$4)),0,IF(AG35&gt;=AG36*(1+IF(AG36&gt;0,-$B$4,$B$4)),0,-1)),IF(AE33="-",IF(AG35&lt;AG37*(1+IF(AG37&gt;0,-$B$4,$B$4)),0,IF(AG35&lt;=AG36*(1+IF(AG36&gt;0,$B$4,-$B$4)),0,-1))))</f>
        <v>0</v>
      </c>
      <c r="AG37" s="32">
        <f>_xll.DBRW(A3,A10,A13,AE37,A20,A23,"Cement Group","Other Variable (LMU/t)","Value")</f>
        <v>0</v>
      </c>
      <c r="AH37" s="31">
        <f>IF(AE33="+",IF(AI35&gt;AI37*(1+IF(AI37&gt;0,$B$4,-$B$4)),0,IF(AI35&gt;=AI36*(1+IF(AI36&gt;0,-$B$4,$B$4)),0,-1)),IF(AE33="-",IF(AI35&lt;AI37*(1+IF(AI37&gt;0,-$B$4,$B$4)),0,IF(AI35&lt;=AI36*(1+IF(AI36&gt;0,$B$4,-$B$4)),0,-1))))</f>
        <v>0</v>
      </c>
      <c r="AI37" s="33">
        <f>_xll.DBRW(A3,A10,A14,AE37,A20,A23,"Cement Group","Other Variable (LMU/t)","Value")</f>
        <v>0</v>
      </c>
      <c r="AJ37" s="5"/>
      <c r="AL37" s="30" t="s">
        <v>11</v>
      </c>
      <c r="AM37" s="31">
        <f>IF(AL33="+",IF(AN35&gt;AN37*(1+IF(AN37&gt;0,$B$4,-$B$4)),0,IF(AN35&gt;=AN36*(1+IF(AN36&gt;0,-$B$4,$B$4)),0,-1)),IF(AL33="-",IF(AN35&lt;AN37*(1+IF(AN37&gt;0,-$B$4,$B$4)),0,IF(AN35&lt;=AN36*(1+IF(AN36&gt;0,$B$4,-$B$4)),0,-1))))</f>
        <v>0</v>
      </c>
      <c r="AN37" s="28">
        <f>_xll.DBRW(A3,A10,A13,AL37,A20,A23,"Cement Group","Clinker Factor (%)","Value")</f>
        <v>0</v>
      </c>
      <c r="AO37" s="31" t="e">
        <f>IF(AL33="+",IF(AS35&gt;AP37*(1+IF(AP37&gt;0,$B$4,-$B$4)),0,IF(AS35&gt;=AS36*(1+IF(AS36&gt;0,-$B$4,$B$4)),0,-1)),IF(AL33="-",IF(AS35&lt;AP37*(1+IF(AP37&gt;0,-$B$4,$B$4)),0,IF(AS35&lt;=AS36*(1+IF(AS36&gt;0,$B$4,-$B$4)),0,-1))))</f>
        <v>#REF!</v>
      </c>
      <c r="AP37" s="35">
        <f>_xll.DBRW(A3,A10,A14,AL37,A20,A23,"Cement Group","Clinker Factor (%)","Value")</f>
        <v>0</v>
      </c>
    </row>
    <row r="38" spans="1:47" ht="10.050000000000001" customHeight="1" collapsed="1" x14ac:dyDescent="0.3">
      <c r="A38" s="113" t="s">
        <v>161</v>
      </c>
      <c r="J38" s="36"/>
      <c r="K38" s="9"/>
      <c r="L38" s="39"/>
      <c r="M38" s="9"/>
      <c r="N38" s="39"/>
      <c r="Q38" s="36"/>
      <c r="R38" s="40"/>
      <c r="S38" s="40"/>
      <c r="T38" s="40"/>
      <c r="U38" s="40"/>
      <c r="X38" s="36"/>
      <c r="Y38" s="40"/>
      <c r="Z38" s="40"/>
      <c r="AA38" s="40"/>
      <c r="AB38" s="40"/>
      <c r="AE38" s="36"/>
      <c r="AF38" s="40"/>
      <c r="AG38" s="40"/>
      <c r="AH38" s="40"/>
      <c r="AI38" s="40"/>
      <c r="AL38" s="36"/>
      <c r="AM38" s="40"/>
      <c r="AN38" s="40"/>
      <c r="AO38" s="40"/>
      <c r="AP38" s="40"/>
    </row>
    <row r="39" spans="1:47" ht="18" hidden="1" customHeight="1" x14ac:dyDescent="0.3">
      <c r="A39" t="s">
        <v>60</v>
      </c>
      <c r="E39" s="1"/>
      <c r="Z39" s="3"/>
      <c r="AB39" s="3"/>
      <c r="AC39" s="3"/>
    </row>
    <row r="41" spans="1:47" ht="18" hidden="1" customHeight="1" x14ac:dyDescent="0.3">
      <c r="E41" s="1"/>
    </row>
    <row r="42" spans="1:47" ht="18" hidden="1" customHeight="1" x14ac:dyDescent="0.3">
      <c r="C42" s="1" t="s">
        <v>0</v>
      </c>
      <c r="E42" s="4" t="s">
        <v>37</v>
      </c>
    </row>
    <row r="43" spans="1:47" ht="18" hidden="1" customHeight="1" x14ac:dyDescent="0.3">
      <c r="C43" s="1" t="s">
        <v>3</v>
      </c>
      <c r="E43" s="4" t="s">
        <v>38</v>
      </c>
    </row>
    <row r="45" spans="1:47" ht="18" hidden="1" customHeight="1" x14ac:dyDescent="0.3">
      <c r="B45" s="48"/>
      <c r="D45" s="122" t="s">
        <v>39</v>
      </c>
      <c r="E45" s="123"/>
      <c r="F45" s="123" t="s">
        <v>2</v>
      </c>
      <c r="G45" s="124"/>
      <c r="H45" s="80"/>
    </row>
    <row r="46" spans="1:47" ht="18" hidden="1" customHeight="1" x14ac:dyDescent="0.3">
      <c r="B46" s="48"/>
      <c r="C46" s="1" t="s">
        <v>9</v>
      </c>
      <c r="D46" s="81"/>
      <c r="E46" s="82" t="s">
        <v>40</v>
      </c>
      <c r="F46" s="83"/>
      <c r="G46" s="84" t="s">
        <v>41</v>
      </c>
      <c r="H46" s="85"/>
    </row>
    <row r="47" spans="1:47" ht="18" hidden="1" customHeight="1" x14ac:dyDescent="0.3">
      <c r="B47" s="48"/>
      <c r="C47" s="1" t="s">
        <v>10</v>
      </c>
      <c r="D47" s="86"/>
      <c r="E47" s="87" t="s">
        <v>42</v>
      </c>
      <c r="F47" s="88"/>
      <c r="G47" s="89" t="s">
        <v>43</v>
      </c>
      <c r="H47" s="85"/>
    </row>
    <row r="48" spans="1:47" ht="18" hidden="1" customHeight="1" x14ac:dyDescent="0.3">
      <c r="B48" s="48"/>
      <c r="D48" s="4"/>
      <c r="E48" s="4"/>
      <c r="F48" s="4"/>
      <c r="G48" s="4"/>
      <c r="H48" s="4"/>
      <c r="U48" s="6">
        <f>BZ48+BZ56</f>
        <v>0</v>
      </c>
    </row>
    <row r="49" spans="1:22" ht="18" hidden="1" customHeight="1" x14ac:dyDescent="0.3">
      <c r="B49" s="90"/>
      <c r="C49" s="91"/>
      <c r="D49" s="92" t="s">
        <v>44</v>
      </c>
      <c r="E49" s="92"/>
      <c r="F49" s="92"/>
      <c r="G49" s="92"/>
      <c r="H49" s="93"/>
      <c r="I49" s="92"/>
    </row>
    <row r="50" spans="1:22" ht="18" hidden="1" customHeight="1" x14ac:dyDescent="0.3">
      <c r="B50" s="2">
        <v>0.02</v>
      </c>
      <c r="C50" s="94"/>
      <c r="D50" s="95" t="s">
        <v>45</v>
      </c>
      <c r="E50" s="96"/>
      <c r="F50" s="96"/>
      <c r="G50" s="4"/>
      <c r="H50" s="4"/>
    </row>
    <row r="51" spans="1:22" ht="18" hidden="1" customHeight="1" x14ac:dyDescent="0.3">
      <c r="B51" s="90"/>
      <c r="C51" s="97"/>
      <c r="D51" s="92" t="s">
        <v>46</v>
      </c>
      <c r="E51" s="92"/>
      <c r="F51" s="92"/>
      <c r="G51" s="92"/>
      <c r="H51" s="93"/>
      <c r="I51" s="92"/>
    </row>
    <row r="53" spans="1:22" ht="18" hidden="1" customHeight="1" x14ac:dyDescent="0.3">
      <c r="G53" s="2">
        <v>102</v>
      </c>
      <c r="I53" s="3">
        <v>-98</v>
      </c>
    </row>
    <row r="54" spans="1:22" ht="18" hidden="1" customHeight="1" x14ac:dyDescent="0.3">
      <c r="G54" s="2">
        <v>100</v>
      </c>
      <c r="I54" s="3">
        <v>-100</v>
      </c>
    </row>
    <row r="55" spans="1:22" ht="18" hidden="1" customHeight="1" x14ac:dyDescent="0.3">
      <c r="G55" s="2">
        <v>98</v>
      </c>
      <c r="I55" s="3">
        <v>-102</v>
      </c>
      <c r="V55" s="6">
        <f>BZ56</f>
        <v>0</v>
      </c>
    </row>
    <row r="56" spans="1:22" ht="18" hidden="1" customHeight="1" x14ac:dyDescent="0.3">
      <c r="U56" s="6">
        <f>BZ48+BZ56</f>
        <v>0</v>
      </c>
    </row>
    <row r="57" spans="1:22" ht="18" hidden="1" customHeight="1" x14ac:dyDescent="0.3">
      <c r="E57" s="2" t="s">
        <v>47</v>
      </c>
    </row>
    <row r="58" spans="1:22" ht="18" hidden="1" customHeight="1" x14ac:dyDescent="0.3">
      <c r="E58" s="98" t="s">
        <v>48</v>
      </c>
    </row>
    <row r="59" spans="1:22" ht="18" hidden="1" customHeight="1" x14ac:dyDescent="0.3">
      <c r="E59" s="2" t="s">
        <v>49</v>
      </c>
    </row>
    <row r="60" spans="1:22" ht="18" hidden="1" customHeight="1" x14ac:dyDescent="0.3">
      <c r="E60" s="98" t="s">
        <v>50</v>
      </c>
    </row>
    <row r="62" spans="1:22" ht="18" hidden="1" customHeight="1" x14ac:dyDescent="0.3">
      <c r="A62" s="113" t="s">
        <v>162</v>
      </c>
    </row>
    <row r="63" spans="1:22" ht="18" hidden="1" customHeight="1" x14ac:dyDescent="0.3">
      <c r="A63" t="s">
        <v>61</v>
      </c>
    </row>
  </sheetData>
  <dataConsolidate/>
  <mergeCells count="94">
    <mergeCell ref="K5:K6"/>
    <mergeCell ref="M5:M6"/>
    <mergeCell ref="R5:R6"/>
    <mergeCell ref="T5:T6"/>
    <mergeCell ref="Y5:Y6"/>
    <mergeCell ref="K4:N4"/>
    <mergeCell ref="R4:U4"/>
    <mergeCell ref="Y4:AB4"/>
    <mergeCell ref="AF4:AI4"/>
    <mergeCell ref="AM4:AP4"/>
    <mergeCell ref="AA5:AA6"/>
    <mergeCell ref="AF5:AF6"/>
    <mergeCell ref="AH5:AH6"/>
    <mergeCell ref="AM5:AM6"/>
    <mergeCell ref="AO5:AO6"/>
    <mergeCell ref="AM10:AP10"/>
    <mergeCell ref="D11:D12"/>
    <mergeCell ref="F11:F12"/>
    <mergeCell ref="K11:K12"/>
    <mergeCell ref="M11:M12"/>
    <mergeCell ref="R11:R12"/>
    <mergeCell ref="T11:T12"/>
    <mergeCell ref="Y11:Y12"/>
    <mergeCell ref="AA11:AA12"/>
    <mergeCell ref="AF11:AF12"/>
    <mergeCell ref="D10:G10"/>
    <mergeCell ref="K10:N10"/>
    <mergeCell ref="R10:U10"/>
    <mergeCell ref="Y10:AB10"/>
    <mergeCell ref="AF10:AI10"/>
    <mergeCell ref="AH11:AH12"/>
    <mergeCell ref="AM11:AM12"/>
    <mergeCell ref="AO11:AO12"/>
    <mergeCell ref="D16:G16"/>
    <mergeCell ref="K16:N16"/>
    <mergeCell ref="AF16:AI16"/>
    <mergeCell ref="AM16:AP16"/>
    <mergeCell ref="AM17:AM18"/>
    <mergeCell ref="AO17:AO18"/>
    <mergeCell ref="D22:G22"/>
    <mergeCell ref="K22:N22"/>
    <mergeCell ref="R22:U22"/>
    <mergeCell ref="Y22:AB22"/>
    <mergeCell ref="AF22:AI22"/>
    <mergeCell ref="AM22:AP22"/>
    <mergeCell ref="D17:D18"/>
    <mergeCell ref="F17:F18"/>
    <mergeCell ref="K17:K18"/>
    <mergeCell ref="M17:M18"/>
    <mergeCell ref="AF17:AF18"/>
    <mergeCell ref="AH17:AH18"/>
    <mergeCell ref="AO23:AO24"/>
    <mergeCell ref="D23:D24"/>
    <mergeCell ref="F23:F24"/>
    <mergeCell ref="K23:K24"/>
    <mergeCell ref="M23:M24"/>
    <mergeCell ref="R23:R24"/>
    <mergeCell ref="T23:T24"/>
    <mergeCell ref="Y23:Y24"/>
    <mergeCell ref="AA23:AA24"/>
    <mergeCell ref="AF23:AF24"/>
    <mergeCell ref="AH23:AH24"/>
    <mergeCell ref="AM23:AM24"/>
    <mergeCell ref="K29:K30"/>
    <mergeCell ref="M29:M30"/>
    <mergeCell ref="R29:R30"/>
    <mergeCell ref="T29:T30"/>
    <mergeCell ref="Y29:Y30"/>
    <mergeCell ref="K28:N28"/>
    <mergeCell ref="R28:U28"/>
    <mergeCell ref="Y28:AB28"/>
    <mergeCell ref="AF28:AI28"/>
    <mergeCell ref="AM28:AP28"/>
    <mergeCell ref="K34:N34"/>
    <mergeCell ref="R34:U34"/>
    <mergeCell ref="Y34:AB34"/>
    <mergeCell ref="AF34:AI34"/>
    <mergeCell ref="AM34:AP34"/>
    <mergeCell ref="AA29:AA30"/>
    <mergeCell ref="AF29:AF30"/>
    <mergeCell ref="AH29:AH30"/>
    <mergeCell ref="AM29:AM30"/>
    <mergeCell ref="AO29:AO30"/>
    <mergeCell ref="AF35:AF36"/>
    <mergeCell ref="AH35:AH36"/>
    <mergeCell ref="AM35:AM36"/>
    <mergeCell ref="AO35:AO36"/>
    <mergeCell ref="D45:G45"/>
    <mergeCell ref="K35:K36"/>
    <mergeCell ref="M35:M36"/>
    <mergeCell ref="R35:R36"/>
    <mergeCell ref="T35:T36"/>
    <mergeCell ref="Y35:Y36"/>
    <mergeCell ref="AA35:AA36"/>
  </mergeCells>
  <conditionalFormatting sqref="D11">
    <cfRule type="expression" dxfId="185" priority="58">
      <formula>D13=0</formula>
    </cfRule>
    <cfRule type="expression" dxfId="184" priority="59">
      <formula>D13=-1</formula>
    </cfRule>
    <cfRule type="expression" dxfId="183" priority="60">
      <formula>D13=1</formula>
    </cfRule>
  </conditionalFormatting>
  <conditionalFormatting sqref="D17">
    <cfRule type="expression" dxfId="182" priority="55">
      <formula>D19=0</formula>
    </cfRule>
    <cfRule type="expression" dxfId="181" priority="57">
      <formula>D19=1</formula>
    </cfRule>
    <cfRule type="expression" dxfId="180" priority="56">
      <formula>D19=-1</formula>
    </cfRule>
  </conditionalFormatting>
  <conditionalFormatting sqref="D23">
    <cfRule type="expression" dxfId="179" priority="30">
      <formula>D25=1</formula>
    </cfRule>
    <cfRule type="expression" dxfId="178" priority="28">
      <formula>D25=0</formula>
    </cfRule>
    <cfRule type="expression" dxfId="177" priority="29">
      <formula>D25=-1</formula>
    </cfRule>
  </conditionalFormatting>
  <conditionalFormatting sqref="F11">
    <cfRule type="expression" dxfId="176" priority="65">
      <formula>F13=-1</formula>
    </cfRule>
    <cfRule type="expression" dxfId="175" priority="64">
      <formula>F13=0</formula>
    </cfRule>
    <cfRule type="expression" dxfId="174" priority="66">
      <formula>F13=1</formula>
    </cfRule>
  </conditionalFormatting>
  <conditionalFormatting sqref="F17">
    <cfRule type="expression" dxfId="173" priority="63">
      <formula>F19=1</formula>
    </cfRule>
    <cfRule type="expression" dxfId="172" priority="62">
      <formula>F19=-1</formula>
    </cfRule>
    <cfRule type="expression" dxfId="171" priority="61">
      <formula>F19=0</formula>
    </cfRule>
  </conditionalFormatting>
  <conditionalFormatting sqref="F23">
    <cfRule type="expression" dxfId="170" priority="31">
      <formula>F25=0</formula>
    </cfRule>
    <cfRule type="expression" dxfId="169" priority="32">
      <formula>F25=-1</formula>
    </cfRule>
    <cfRule type="expression" dxfId="168" priority="33">
      <formula>F25=1</formula>
    </cfRule>
  </conditionalFormatting>
  <conditionalFormatting sqref="K5">
    <cfRule type="expression" dxfId="167" priority="76">
      <formula>K7=0</formula>
    </cfRule>
    <cfRule type="expression" dxfId="166" priority="78">
      <formula>K7=1</formula>
    </cfRule>
    <cfRule type="expression" dxfId="165" priority="77">
      <formula>K7=-1</formula>
    </cfRule>
  </conditionalFormatting>
  <conditionalFormatting sqref="K11">
    <cfRule type="expression" dxfId="164" priority="16">
      <formula>K13=0</formula>
    </cfRule>
    <cfRule type="expression" dxfId="163" priority="17">
      <formula>K13=-1</formula>
    </cfRule>
    <cfRule type="expression" dxfId="162" priority="18">
      <formula>K13=1</formula>
    </cfRule>
  </conditionalFormatting>
  <conditionalFormatting sqref="K17">
    <cfRule type="expression" dxfId="161" priority="12">
      <formula>K19=1</formula>
    </cfRule>
    <cfRule type="expression" dxfId="160" priority="10">
      <formula>K19=0</formula>
    </cfRule>
    <cfRule type="expression" dxfId="159" priority="11">
      <formula>K19=-1</formula>
    </cfRule>
  </conditionalFormatting>
  <conditionalFormatting sqref="K23">
    <cfRule type="expression" dxfId="158" priority="75">
      <formula>K25=1</formula>
    </cfRule>
    <cfRule type="expression" dxfId="157" priority="74">
      <formula>K25=-1</formula>
    </cfRule>
    <cfRule type="expression" dxfId="156" priority="73">
      <formula>K25=0</formula>
    </cfRule>
  </conditionalFormatting>
  <conditionalFormatting sqref="K29">
    <cfRule type="expression" dxfId="155" priority="72">
      <formula>K31=1</formula>
    </cfRule>
    <cfRule type="expression" dxfId="154" priority="70">
      <formula>K31=0</formula>
    </cfRule>
    <cfRule type="expression" dxfId="153" priority="71">
      <formula>K31=-1</formula>
    </cfRule>
  </conditionalFormatting>
  <conditionalFormatting sqref="K35">
    <cfRule type="expression" dxfId="152" priority="67">
      <formula>K37=0</formula>
    </cfRule>
    <cfRule type="expression" dxfId="151" priority="69">
      <formula>K37=1</formula>
    </cfRule>
    <cfRule type="expression" dxfId="150" priority="68">
      <formula>K37=-1</formula>
    </cfRule>
  </conditionalFormatting>
  <conditionalFormatting sqref="M5">
    <cfRule type="expression" dxfId="149" priority="90">
      <formula>M7=1</formula>
    </cfRule>
    <cfRule type="expression" dxfId="148" priority="88">
      <formula>M7=0</formula>
    </cfRule>
    <cfRule type="expression" dxfId="147" priority="89">
      <formula>M7=-1</formula>
    </cfRule>
  </conditionalFormatting>
  <conditionalFormatting sqref="M11">
    <cfRule type="expression" dxfId="146" priority="20">
      <formula>M13=-1</formula>
    </cfRule>
    <cfRule type="expression" dxfId="145" priority="21">
      <formula>M13=1</formula>
    </cfRule>
    <cfRule type="expression" dxfId="144" priority="19">
      <formula>M13=0</formula>
    </cfRule>
  </conditionalFormatting>
  <conditionalFormatting sqref="M17">
    <cfRule type="expression" dxfId="143" priority="13">
      <formula>M19=0</formula>
    </cfRule>
    <cfRule type="expression" dxfId="142" priority="15">
      <formula>M19=1</formula>
    </cfRule>
    <cfRule type="expression" dxfId="141" priority="14">
      <formula>M19=-1</formula>
    </cfRule>
  </conditionalFormatting>
  <conditionalFormatting sqref="M23">
    <cfRule type="expression" dxfId="140" priority="85">
      <formula>M25=0</formula>
    </cfRule>
    <cfRule type="expression" dxfId="139" priority="86">
      <formula>M25=-1</formula>
    </cfRule>
    <cfRule type="expression" dxfId="138" priority="87">
      <formula>M25=1</formula>
    </cfRule>
  </conditionalFormatting>
  <conditionalFormatting sqref="M29">
    <cfRule type="expression" dxfId="137" priority="84">
      <formula>M31=1</formula>
    </cfRule>
    <cfRule type="expression" dxfId="136" priority="82">
      <formula>M31=0</formula>
    </cfRule>
    <cfRule type="expression" dxfId="135" priority="83">
      <formula>M31=-1</formula>
    </cfRule>
  </conditionalFormatting>
  <conditionalFormatting sqref="M35">
    <cfRule type="expression" dxfId="134" priority="81">
      <formula>M37=1</formula>
    </cfRule>
    <cfRule type="expression" dxfId="133" priority="80">
      <formula>M37=-1</formula>
    </cfRule>
    <cfRule type="expression" dxfId="132" priority="79">
      <formula>M37=0</formula>
    </cfRule>
  </conditionalFormatting>
  <conditionalFormatting sqref="R5">
    <cfRule type="expression" dxfId="131" priority="102">
      <formula>R7=1</formula>
    </cfRule>
    <cfRule type="expression" dxfId="130" priority="100">
      <formula>R7=0</formula>
    </cfRule>
    <cfRule type="expression" dxfId="129" priority="101">
      <formula>R7=-1</formula>
    </cfRule>
  </conditionalFormatting>
  <conditionalFormatting sqref="R11">
    <cfRule type="expression" dxfId="128" priority="24">
      <formula>R13=1</formula>
    </cfRule>
    <cfRule type="expression" dxfId="127" priority="22">
      <formula>R13=0</formula>
    </cfRule>
    <cfRule type="expression" dxfId="126" priority="23">
      <formula>R13=-1</formula>
    </cfRule>
  </conditionalFormatting>
  <conditionalFormatting sqref="R23">
    <cfRule type="expression" dxfId="125" priority="99">
      <formula>R25=1</formula>
    </cfRule>
    <cfRule type="expression" dxfId="124" priority="98">
      <formula>R25=-1</formula>
    </cfRule>
    <cfRule type="expression" dxfId="123" priority="97">
      <formula>R25=0</formula>
    </cfRule>
  </conditionalFormatting>
  <conditionalFormatting sqref="R29">
    <cfRule type="expression" dxfId="122" priority="94">
      <formula>R31=0</formula>
    </cfRule>
    <cfRule type="expression" dxfId="121" priority="96">
      <formula>R31=1</formula>
    </cfRule>
    <cfRule type="expression" dxfId="120" priority="95">
      <formula>R31=-1</formula>
    </cfRule>
  </conditionalFormatting>
  <conditionalFormatting sqref="R35">
    <cfRule type="expression" dxfId="119" priority="93">
      <formula>R37=1</formula>
    </cfRule>
    <cfRule type="expression" dxfId="118" priority="92">
      <formula>R37=-1</formula>
    </cfRule>
    <cfRule type="expression" dxfId="117" priority="91">
      <formula>R37=0</formula>
    </cfRule>
  </conditionalFormatting>
  <conditionalFormatting sqref="T5">
    <cfRule type="expression" dxfId="116" priority="113">
      <formula>T7=-1</formula>
    </cfRule>
    <cfRule type="expression" dxfId="115" priority="112">
      <formula>T7=0</formula>
    </cfRule>
    <cfRule type="expression" dxfId="114" priority="114">
      <formula>T7=1</formula>
    </cfRule>
  </conditionalFormatting>
  <conditionalFormatting sqref="T11">
    <cfRule type="expression" dxfId="113" priority="27">
      <formula>T13=1</formula>
    </cfRule>
    <cfRule type="expression" dxfId="112" priority="26">
      <formula>T13=-1</formula>
    </cfRule>
    <cfRule type="expression" dxfId="111" priority="25">
      <formula>T13=0</formula>
    </cfRule>
  </conditionalFormatting>
  <conditionalFormatting sqref="T23">
    <cfRule type="expression" dxfId="110" priority="109">
      <formula>T25=0</formula>
    </cfRule>
    <cfRule type="expression" dxfId="109" priority="110">
      <formula>T25=-1</formula>
    </cfRule>
    <cfRule type="expression" dxfId="108" priority="111">
      <formula>T25=1</formula>
    </cfRule>
  </conditionalFormatting>
  <conditionalFormatting sqref="T29">
    <cfRule type="expression" dxfId="107" priority="106">
      <formula>T31=0</formula>
    </cfRule>
    <cfRule type="expression" dxfId="106" priority="107">
      <formula>T31=-1</formula>
    </cfRule>
    <cfRule type="expression" dxfId="105" priority="108">
      <formula>T31=1</formula>
    </cfRule>
  </conditionalFormatting>
  <conditionalFormatting sqref="T35">
    <cfRule type="expression" dxfId="104" priority="103">
      <formula>T37=0</formula>
    </cfRule>
    <cfRule type="expression" dxfId="103" priority="104">
      <formula>T37=-1</formula>
    </cfRule>
    <cfRule type="expression" dxfId="102" priority="105">
      <formula>T37=1</formula>
    </cfRule>
  </conditionalFormatting>
  <conditionalFormatting sqref="Y5">
    <cfRule type="expression" dxfId="101" priority="124">
      <formula>Y7=0</formula>
    </cfRule>
    <cfRule type="expression" dxfId="100" priority="125">
      <formula>Y7=-1</formula>
    </cfRule>
    <cfRule type="expression" dxfId="99" priority="126">
      <formula>Y7=1</formula>
    </cfRule>
  </conditionalFormatting>
  <conditionalFormatting sqref="Y11">
    <cfRule type="expression" dxfId="98" priority="121">
      <formula>Y13=0</formula>
    </cfRule>
    <cfRule type="expression" dxfId="97" priority="122">
      <formula>Y13=-1</formula>
    </cfRule>
    <cfRule type="expression" dxfId="96" priority="123">
      <formula>Y13=1</formula>
    </cfRule>
  </conditionalFormatting>
  <conditionalFormatting sqref="Y23">
    <cfRule type="expression" dxfId="95" priority="118">
      <formula>Y25=0</formula>
    </cfRule>
    <cfRule type="expression" dxfId="94" priority="119">
      <formula>Y25=-1</formula>
    </cfRule>
    <cfRule type="expression" dxfId="93" priority="120">
      <formula>Y25=1</formula>
    </cfRule>
  </conditionalFormatting>
  <conditionalFormatting sqref="Y29">
    <cfRule type="expression" dxfId="92" priority="115">
      <formula>Y31=0</formula>
    </cfRule>
    <cfRule type="expression" dxfId="91" priority="117">
      <formula>Y31=1</formula>
    </cfRule>
    <cfRule type="expression" dxfId="90" priority="116">
      <formula>Y31=-1</formula>
    </cfRule>
  </conditionalFormatting>
  <conditionalFormatting sqref="Y35">
    <cfRule type="expression" dxfId="89" priority="7">
      <formula>Y37=0</formula>
    </cfRule>
    <cfRule type="expression" dxfId="88" priority="9">
      <formula>Y37=1</formula>
    </cfRule>
    <cfRule type="expression" dxfId="87" priority="8">
      <formula>Y37=-1</formula>
    </cfRule>
  </conditionalFormatting>
  <conditionalFormatting sqref="AA5">
    <cfRule type="expression" dxfId="86" priority="144">
      <formula>AA7=1</formula>
    </cfRule>
    <cfRule type="expression" dxfId="85" priority="142">
      <formula>AA7=0</formula>
    </cfRule>
    <cfRule type="expression" dxfId="84" priority="143">
      <formula>AA7=-1</formula>
    </cfRule>
  </conditionalFormatting>
  <conditionalFormatting sqref="AA11">
    <cfRule type="expression" dxfId="83" priority="139">
      <formula>AA13=0</formula>
    </cfRule>
    <cfRule type="expression" dxfId="82" priority="140">
      <formula>AA13=-1</formula>
    </cfRule>
    <cfRule type="expression" dxfId="81" priority="141">
      <formula>AA13=1</formula>
    </cfRule>
  </conditionalFormatting>
  <conditionalFormatting sqref="AA23">
    <cfRule type="expression" dxfId="80" priority="136">
      <formula>AA25=0</formula>
    </cfRule>
    <cfRule type="expression" dxfId="79" priority="137">
      <formula>AA25=-1</formula>
    </cfRule>
    <cfRule type="expression" dxfId="78" priority="138">
      <formula>AA25=1</formula>
    </cfRule>
  </conditionalFormatting>
  <conditionalFormatting sqref="AA29">
    <cfRule type="expression" dxfId="77" priority="47">
      <formula>AA31=-1</formula>
    </cfRule>
    <cfRule type="expression" dxfId="76" priority="46">
      <formula>AA31=0</formula>
    </cfRule>
    <cfRule type="expression" dxfId="75" priority="48">
      <formula>AA31=1</formula>
    </cfRule>
  </conditionalFormatting>
  <conditionalFormatting sqref="AA35">
    <cfRule type="expression" dxfId="74" priority="6">
      <formula>AA37=1</formula>
    </cfRule>
    <cfRule type="expression" dxfId="73" priority="5">
      <formula>AA37=-1</formula>
    </cfRule>
    <cfRule type="expression" dxfId="72" priority="4">
      <formula>AA37=0</formula>
    </cfRule>
  </conditionalFormatting>
  <conditionalFormatting sqref="AF5">
    <cfRule type="expression" dxfId="71" priority="133">
      <formula>AF7=0</formula>
    </cfRule>
    <cfRule type="expression" dxfId="70" priority="135">
      <formula>AF7=1</formula>
    </cfRule>
    <cfRule type="expression" dxfId="69" priority="134">
      <formula>AF7=-1</formula>
    </cfRule>
  </conditionalFormatting>
  <conditionalFormatting sqref="AF11">
    <cfRule type="expression" dxfId="68" priority="40">
      <formula>AF13=0</formula>
    </cfRule>
    <cfRule type="expression" dxfId="67" priority="41">
      <formula>AF13=-1</formula>
    </cfRule>
    <cfRule type="expression" dxfId="66" priority="42">
      <formula>AF13=1</formula>
    </cfRule>
  </conditionalFormatting>
  <conditionalFormatting sqref="AF17">
    <cfRule type="expression" dxfId="65" priority="35">
      <formula>AF19=-1</formula>
    </cfRule>
    <cfRule type="expression" dxfId="64" priority="34">
      <formula>AF19=0</formula>
    </cfRule>
    <cfRule type="expression" dxfId="63" priority="36">
      <formula>AF19=1</formula>
    </cfRule>
  </conditionalFormatting>
  <conditionalFormatting sqref="AF23">
    <cfRule type="expression" dxfId="62" priority="130">
      <formula>AF25=0</formula>
    </cfRule>
    <cfRule type="expression" dxfId="61" priority="131">
      <formula>AF25=-1</formula>
    </cfRule>
    <cfRule type="expression" dxfId="60" priority="132">
      <formula>AF25=1</formula>
    </cfRule>
  </conditionalFormatting>
  <conditionalFormatting sqref="AF29">
    <cfRule type="expression" dxfId="59" priority="49">
      <formula>AF31=0</formula>
    </cfRule>
    <cfRule type="expression" dxfId="58" priority="50">
      <formula>AF31=-1</formula>
    </cfRule>
    <cfRule type="expression" dxfId="57" priority="51">
      <formula>AF31=1</formula>
    </cfRule>
  </conditionalFormatting>
  <conditionalFormatting sqref="AF35">
    <cfRule type="expression" dxfId="56" priority="129">
      <formula>AF37=1</formula>
    </cfRule>
    <cfRule type="expression" dxfId="55" priority="127">
      <formula>AF37=0</formula>
    </cfRule>
    <cfRule type="expression" dxfId="54" priority="128">
      <formula>AF37=-1</formula>
    </cfRule>
  </conditionalFormatting>
  <conditionalFormatting sqref="AH5">
    <cfRule type="expression" dxfId="53" priority="156">
      <formula>AH7=1</formula>
    </cfRule>
    <cfRule type="expression" dxfId="52" priority="154">
      <formula>AH7=0</formula>
    </cfRule>
    <cfRule type="expression" dxfId="51" priority="155">
      <formula>AH7=-1</formula>
    </cfRule>
  </conditionalFormatting>
  <conditionalFormatting sqref="AH11">
    <cfRule type="expression" dxfId="50" priority="45">
      <formula>AH13=1</formula>
    </cfRule>
    <cfRule type="expression" dxfId="49" priority="44">
      <formula>AH13=-1</formula>
    </cfRule>
    <cfRule type="expression" dxfId="48" priority="43">
      <formula>AH13=0</formula>
    </cfRule>
  </conditionalFormatting>
  <conditionalFormatting sqref="AH17">
    <cfRule type="expression" dxfId="47" priority="39">
      <formula>AH19=1</formula>
    </cfRule>
    <cfRule type="expression" dxfId="46" priority="38">
      <formula>AH19=-1</formula>
    </cfRule>
    <cfRule type="expression" dxfId="45" priority="37">
      <formula>AH19=0</formula>
    </cfRule>
  </conditionalFormatting>
  <conditionalFormatting sqref="AH23">
    <cfRule type="expression" dxfId="44" priority="153">
      <formula>AH25=1</formula>
    </cfRule>
    <cfRule type="expression" dxfId="43" priority="152">
      <formula>AH25=-1</formula>
    </cfRule>
    <cfRule type="expression" dxfId="42" priority="151">
      <formula>AH25=0</formula>
    </cfRule>
  </conditionalFormatting>
  <conditionalFormatting sqref="AH29">
    <cfRule type="expression" dxfId="41" priority="148">
      <formula>AH31=0</formula>
    </cfRule>
    <cfRule type="expression" dxfId="40" priority="149">
      <formula>AH31=-1</formula>
    </cfRule>
    <cfRule type="expression" dxfId="39" priority="150">
      <formula>AH31=1</formula>
    </cfRule>
  </conditionalFormatting>
  <conditionalFormatting sqref="AH35">
    <cfRule type="expression" dxfId="38" priority="147">
      <formula>AH37=1</formula>
    </cfRule>
    <cfRule type="expression" dxfId="37" priority="146">
      <formula>AH37=-1</formula>
    </cfRule>
    <cfRule type="expression" dxfId="36" priority="145">
      <formula>AH37=0</formula>
    </cfRule>
  </conditionalFormatting>
  <conditionalFormatting sqref="AM5">
    <cfRule type="expression" dxfId="35" priority="169">
      <formula>AM7=0</formula>
    </cfRule>
    <cfRule type="expression" dxfId="34" priority="170">
      <formula>AM7=-1</formula>
    </cfRule>
    <cfRule type="expression" dxfId="33" priority="171">
      <formula>AM7=1</formula>
    </cfRule>
  </conditionalFormatting>
  <conditionalFormatting sqref="AM11">
    <cfRule type="expression" dxfId="32" priority="167">
      <formula>AM13=-1</formula>
    </cfRule>
    <cfRule type="expression" dxfId="31" priority="166">
      <formula>AM13=0</formula>
    </cfRule>
    <cfRule type="expression" dxfId="30" priority="168">
      <formula>AM13=1</formula>
    </cfRule>
  </conditionalFormatting>
  <conditionalFormatting sqref="AM17">
    <cfRule type="expression" dxfId="29" priority="54">
      <formula>AM19=1</formula>
    </cfRule>
    <cfRule type="expression" dxfId="28" priority="52">
      <formula>AM19=0</formula>
    </cfRule>
    <cfRule type="expression" dxfId="27" priority="53">
      <formula>AM19=-1</formula>
    </cfRule>
  </conditionalFormatting>
  <conditionalFormatting sqref="AM23">
    <cfRule type="expression" dxfId="26" priority="165">
      <formula>AM25=1</formula>
    </cfRule>
    <cfRule type="expression" dxfId="25" priority="163">
      <formula>AM25=0</formula>
    </cfRule>
    <cfRule type="expression" dxfId="24" priority="164">
      <formula>AM25=-1</formula>
    </cfRule>
  </conditionalFormatting>
  <conditionalFormatting sqref="AM29">
    <cfRule type="expression" dxfId="23" priority="160">
      <formula>AM31=0</formula>
    </cfRule>
    <cfRule type="expression" dxfId="22" priority="161">
      <formula>AM31=-1</formula>
    </cfRule>
    <cfRule type="expression" dxfId="21" priority="162">
      <formula>AM31=1</formula>
    </cfRule>
  </conditionalFormatting>
  <conditionalFormatting sqref="AM35">
    <cfRule type="expression" dxfId="20" priority="157">
      <formula>AM37=0</formula>
    </cfRule>
    <cfRule type="expression" dxfId="19" priority="158">
      <formula>AM37=-1</formula>
    </cfRule>
    <cfRule type="expression" dxfId="18" priority="159">
      <formula>AM37=1</formula>
    </cfRule>
  </conditionalFormatting>
  <conditionalFormatting sqref="AO5">
    <cfRule type="expression" dxfId="17" priority="186">
      <formula>AO7=1</formula>
    </cfRule>
    <cfRule type="expression" dxfId="16" priority="184">
      <formula>AO7=0</formula>
    </cfRule>
    <cfRule type="expression" dxfId="15" priority="185">
      <formula>AO7=-1</formula>
    </cfRule>
  </conditionalFormatting>
  <conditionalFormatting sqref="AO11">
    <cfRule type="expression" dxfId="14" priority="1">
      <formula>AO13=0</formula>
    </cfRule>
    <cfRule type="expression" dxfId="13" priority="3">
      <formula>AO13=1</formula>
    </cfRule>
    <cfRule type="expression" dxfId="12" priority="2">
      <formula>AO13=-1</formula>
    </cfRule>
  </conditionalFormatting>
  <conditionalFormatting sqref="AO17">
    <cfRule type="expression" dxfId="11" priority="181">
      <formula>AO19=0</formula>
    </cfRule>
    <cfRule type="expression" dxfId="10" priority="182">
      <formula>AO19=-1</formula>
    </cfRule>
    <cfRule type="expression" dxfId="9" priority="183">
      <formula>AO19=1</formula>
    </cfRule>
  </conditionalFormatting>
  <conditionalFormatting sqref="AO23">
    <cfRule type="expression" dxfId="8" priority="178">
      <formula>AO25=0</formula>
    </cfRule>
    <cfRule type="expression" dxfId="7" priority="179">
      <formula>AO25=-1</formula>
    </cfRule>
    <cfRule type="expression" dxfId="6" priority="180">
      <formula>AO25=1</formula>
    </cfRule>
  </conditionalFormatting>
  <conditionalFormatting sqref="AO29">
    <cfRule type="expression" dxfId="5" priority="175">
      <formula>AO31=0</formula>
    </cfRule>
    <cfRule type="expression" dxfId="4" priority="176">
      <formula>AO31=-1</formula>
    </cfRule>
    <cfRule type="expression" dxfId="3" priority="177">
      <formula>AO31=1</formula>
    </cfRule>
  </conditionalFormatting>
  <conditionalFormatting sqref="AO35">
    <cfRule type="expression" dxfId="2" priority="172">
      <formula>AO37=0</formula>
    </cfRule>
    <cfRule type="expression" dxfId="1" priority="173">
      <formula>AO37=-1</formula>
    </cfRule>
    <cfRule type="expression" dxfId="0" priority="174">
      <formula>AO37=1</formula>
    </cfRule>
  </conditionalFormatting>
  <dataValidations disablePrompts="1" count="1">
    <dataValidation type="list" allowBlank="1" showInputMessage="1" showErrorMessage="1" sqref="J3 Q9 C21 AE15 AE9 AE3 AL3 AL9 AL15 AL21 AL27 AL33 AE33 AE27 AE21 X9 X21 X27 X33 Q33 Q27 Q21 Q3 X3 J9 J15 J21 J27 J33 C15 C9" xr:uid="{62E7DCCD-4CF5-4070-8559-92CB0CAB9369}">
      <formula1>$C$42:$C$43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&amp;R_x000D_&amp;1#&amp;"Aptos"&amp;10&amp;K0000FF # Conteúdo interno</oddFooter>
  </headerFooter>
  <customProperties>
    <customPr name="_pios_id" r:id="rId2"/>
    <customPr name="EpmWorksheetKeyString_GUID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6708-9F3B-4918-A929-68D8072E8EB5}">
  <dimension ref="A1:A31"/>
  <sheetViews>
    <sheetView workbookViewId="0">
      <selection sqref="A1:A31"/>
    </sheetView>
  </sheetViews>
  <sheetFormatPr defaultRowHeight="14.4" x14ac:dyDescent="0.3"/>
  <sheetData>
    <row r="1" spans="1:1" x14ac:dyDescent="0.3">
      <c r="A1" s="113" t="s">
        <v>150</v>
      </c>
    </row>
    <row r="2" spans="1:1" x14ac:dyDescent="0.3">
      <c r="A2" s="112" t="s">
        <v>98</v>
      </c>
    </row>
    <row r="3" spans="1:1" x14ac:dyDescent="0.3">
      <c r="A3" s="112" t="s">
        <v>143</v>
      </c>
    </row>
    <row r="4" spans="1:1" x14ac:dyDescent="0.3">
      <c r="A4" t="s">
        <v>144</v>
      </c>
    </row>
    <row r="5" spans="1:1" x14ac:dyDescent="0.3">
      <c r="A5" t="s">
        <v>145</v>
      </c>
    </row>
    <row r="6" spans="1:1" x14ac:dyDescent="0.3">
      <c r="A6" t="s">
        <v>149</v>
      </c>
    </row>
    <row r="8" spans="1:1" x14ac:dyDescent="0.3">
      <c r="A8" s="113" t="s">
        <v>151</v>
      </c>
    </row>
    <row r="9" spans="1:1" x14ac:dyDescent="0.3">
      <c r="A9" t="str">
        <f>_xll.SUBNM("CONS_VC:ALL.D.Year","","2025")</f>
        <v>2025</v>
      </c>
    </row>
    <row r="11" spans="1:1" x14ac:dyDescent="0.3">
      <c r="A11" s="113" t="s">
        <v>152</v>
      </c>
    </row>
    <row r="12" spans="1:1" x14ac:dyDescent="0.3">
      <c r="A12" t="str">
        <f>_xll.SUBNM("CONS_VC:ALL.D.Month",,"Total YTD","MEMBER_NAME")</f>
        <v>Total YTD</v>
      </c>
    </row>
    <row r="13" spans="1:1" x14ac:dyDescent="0.3">
      <c r="A13" t="str">
        <f>_xll.SUBNM("CONS_VC:ALL.D.Month",,"Year","MEMBER_NAME")</f>
        <v>Year</v>
      </c>
    </row>
    <row r="15" spans="1:1" x14ac:dyDescent="0.3">
      <c r="A15" s="113" t="s">
        <v>153</v>
      </c>
    </row>
    <row r="18" spans="1:1" x14ac:dyDescent="0.3">
      <c r="A18" s="113" t="s">
        <v>154</v>
      </c>
    </row>
    <row r="19" spans="1:1" x14ac:dyDescent="0.3">
      <c r="A19" t="str">
        <f>_xll.SUBNM("CONS_VC:ALL.D.Currency","","BRL")</f>
        <v>BRL</v>
      </c>
    </row>
    <row r="21" spans="1:1" x14ac:dyDescent="0.3">
      <c r="A21" s="113" t="s">
        <v>155</v>
      </c>
    </row>
    <row r="22" spans="1:1" x14ac:dyDescent="0.3">
      <c r="A22" t="str">
        <f>_xll.SUBNM("CONS_VC:ALL.D.Region","","VCBR")</f>
        <v>VCBR</v>
      </c>
    </row>
    <row r="24" spans="1:1" x14ac:dyDescent="0.3">
      <c r="A24" s="113" t="s">
        <v>156</v>
      </c>
    </row>
    <row r="25" spans="1:1" x14ac:dyDescent="0.3">
      <c r="A25" t="str">
        <f>_xll.SUBNM("CONS_VC:ALL.D.Products","","Total Products")</f>
        <v>Total Products</v>
      </c>
    </row>
    <row r="27" spans="1:1" x14ac:dyDescent="0.3">
      <c r="A27" s="113" t="s">
        <v>157</v>
      </c>
    </row>
    <row r="28" spans="1:1" x14ac:dyDescent="0.3">
      <c r="A28" t="s">
        <v>58</v>
      </c>
    </row>
    <row r="30" spans="1:1" x14ac:dyDescent="0.3">
      <c r="A30" s="113" t="s">
        <v>158</v>
      </c>
    </row>
    <row r="31" spans="1:1" x14ac:dyDescent="0.3">
      <c r="A31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C831-E2AF-454A-9EA1-712CD561DBE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customProperties>
    <customPr name="CafeStyleVersion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966B-06B4-48FF-9600-7348E2D6D2AC}">
  <dimension ref="A1:D60"/>
  <sheetViews>
    <sheetView topLeftCell="A9" workbookViewId="0">
      <selection activeCell="B19" sqref="B19"/>
    </sheetView>
  </sheetViews>
  <sheetFormatPr defaultRowHeight="14.4" x14ac:dyDescent="0.3"/>
  <cols>
    <col min="1" max="1" width="55.33203125" bestFit="1" customWidth="1"/>
    <col min="2" max="4" width="14.5546875" bestFit="1" customWidth="1"/>
  </cols>
  <sheetData>
    <row r="1" spans="1:2" x14ac:dyDescent="0.3">
      <c r="A1" s="100" t="str">
        <f>_xll.VIEW("CONS_VC:DFS.100.Profit_and_Loss",'Value Tree'!$E$3,"!",'Value Tree'!$G$3,'Value Tree'!$E$4,'Value Tree'!$G$4,$B$7,"!",$B$3)</f>
        <v>CONS_VC:DFS.100.Profit_and_Loss:-1231230054-1315469618</v>
      </c>
      <c r="B1" s="99"/>
    </row>
    <row r="2" spans="1:2" x14ac:dyDescent="0.3">
      <c r="A2" s="101" t="s">
        <v>51</v>
      </c>
      <c r="B2" s="109"/>
    </row>
    <row r="3" spans="1:2" x14ac:dyDescent="0.3">
      <c r="A3" s="101" t="s">
        <v>52</v>
      </c>
      <c r="B3" s="105" t="str">
        <f>_xll.SUBNM("CONS_VC:DFS.M.100.Profit_and_Loss","","Value")</f>
        <v>Value</v>
      </c>
    </row>
    <row r="4" spans="1:2" x14ac:dyDescent="0.3">
      <c r="A4" s="101" t="s">
        <v>53</v>
      </c>
      <c r="B4" s="109"/>
    </row>
    <row r="5" spans="1:2" x14ac:dyDescent="0.3">
      <c r="A5" s="101" t="s">
        <v>54</v>
      </c>
      <c r="B5" s="109"/>
    </row>
    <row r="6" spans="1:2" x14ac:dyDescent="0.3">
      <c r="A6" s="101" t="s">
        <v>55</v>
      </c>
      <c r="B6" s="109"/>
    </row>
    <row r="7" spans="1:2" x14ac:dyDescent="0.3">
      <c r="A7" s="101" t="s">
        <v>56</v>
      </c>
      <c r="B7" s="105" t="str">
        <f>_xll.SUBNM("CONS_VC:ALL.D.Products","","Total Products")</f>
        <v>Total Products</v>
      </c>
    </row>
    <row r="9" spans="1:2" ht="15" thickBot="1" x14ac:dyDescent="0.35">
      <c r="B9" s="102" t="s">
        <v>57</v>
      </c>
    </row>
    <row r="10" spans="1:2" x14ac:dyDescent="0.3">
      <c r="A10" s="104" t="s">
        <v>58</v>
      </c>
    </row>
    <row r="12" spans="1:2" x14ac:dyDescent="0.3">
      <c r="A12" s="100" t="str">
        <f>_xll.VIEW("CONS_VC:DFS.140.Indirect_Cash_Flow",$B$13,$B$14,$B$15,$B$16,$B$17,"!","!")</f>
        <v>CONS_VC:DFS.140.Indirect_Cash_Flow:-3297255361808148316</v>
      </c>
      <c r="B12" s="99"/>
    </row>
    <row r="13" spans="1:2" x14ac:dyDescent="0.3">
      <c r="A13" s="101" t="s">
        <v>51</v>
      </c>
      <c r="B13" s="99" t="str">
        <f>_xll.SUBNM("CONS_VC:ALL.D.Year","","2025")</f>
        <v>2025</v>
      </c>
    </row>
    <row r="14" spans="1:2" x14ac:dyDescent="0.3">
      <c r="A14" s="101" t="s">
        <v>59</v>
      </c>
      <c r="B14" s="99" t="str">
        <f>_xll.SUBNM("CONS_VC:ALL.D.Month","Default","Jan","Desc")</f>
        <v>Jan</v>
      </c>
    </row>
    <row r="15" spans="1:2" x14ac:dyDescent="0.3">
      <c r="A15" s="101" t="s">
        <v>53</v>
      </c>
      <c r="B15" s="99" t="str">
        <f>_xll.SUBNM("CONS_VC:ALL.D.Version","","T4")</f>
        <v>T4</v>
      </c>
    </row>
    <row r="16" spans="1:2" x14ac:dyDescent="0.3">
      <c r="A16" s="101" t="s">
        <v>54</v>
      </c>
      <c r="B16" s="99" t="str">
        <f>_xll.SUBNM("CONS_VC:ALL.D.Currency","","BRL")</f>
        <v>BRL</v>
      </c>
    </row>
    <row r="17" spans="1:4" x14ac:dyDescent="0.3">
      <c r="A17" s="101" t="s">
        <v>55</v>
      </c>
      <c r="B17" s="99" t="str">
        <f>_xll.SUBNM("CONS_VC:ALL.D.Region","","VCBR")</f>
        <v>VCBR</v>
      </c>
    </row>
    <row r="19" spans="1:4" ht="15" thickBot="1" x14ac:dyDescent="0.35">
      <c r="A19" s="107"/>
      <c r="B19" s="102" t="s">
        <v>60</v>
      </c>
      <c r="C19" s="102" t="s">
        <v>61</v>
      </c>
      <c r="D19" s="102" t="s">
        <v>62</v>
      </c>
    </row>
    <row r="20" spans="1:4" x14ac:dyDescent="0.3">
      <c r="A20" s="104" t="s">
        <v>63</v>
      </c>
      <c r="B20" s="103">
        <f>_xll.DBRW($A$12,$B$13,$B$14,$B$15,$B$16,$B$17,$A20,B$19)</f>
        <v>135.51336269216355</v>
      </c>
      <c r="C20" s="103">
        <f>_xll.DBRW($A$12,$B$13,$B$14,$B$15,$B$16,$B$17,$A20,C$19)</f>
        <v>135.51336269216355</v>
      </c>
      <c r="D20" s="103">
        <f>_xll.DBRW($A$12,$B$13,$B$14,$B$15,$B$16,$B$17,$A20,D$19)</f>
        <v>0</v>
      </c>
    </row>
    <row r="21" spans="1:4" x14ac:dyDescent="0.3">
      <c r="A21" s="104" t="s">
        <v>64</v>
      </c>
      <c r="B21" s="103">
        <f>_xll.DBRW($A$12,$B$13,$B$14,$B$15,$B$16,$B$17,$A21,B$19)</f>
        <v>-26.351263599999999</v>
      </c>
      <c r="C21" s="103">
        <f>_xll.DBRW($A$12,$B$13,$B$14,$B$15,$B$16,$B$17,$A21,C$19)</f>
        <v>-26.351263599999999</v>
      </c>
      <c r="D21" s="103">
        <f>_xll.DBRW($A$12,$B$13,$B$14,$B$15,$B$16,$B$17,$A21,D$19)</f>
        <v>0</v>
      </c>
    </row>
    <row r="22" spans="1:4" x14ac:dyDescent="0.3">
      <c r="A22" s="104" t="s">
        <v>65</v>
      </c>
      <c r="B22" s="103">
        <f>_xll.DBRW($A$12,$B$13,$B$14,$B$15,$B$16,$B$17,$A22,B$19)</f>
        <v>-97.235466412338994</v>
      </c>
      <c r="C22" s="103">
        <f>_xll.DBRW($A$12,$B$13,$B$14,$B$15,$B$16,$B$17,$A22,C$19)</f>
        <v>-97.235466412338994</v>
      </c>
      <c r="D22" s="103">
        <f>_xll.DBRW($A$12,$B$13,$B$14,$B$15,$B$16,$B$17,$A22,D$19)</f>
        <v>0</v>
      </c>
    </row>
    <row r="23" spans="1:4" x14ac:dyDescent="0.3">
      <c r="A23" s="104" t="s">
        <v>66</v>
      </c>
      <c r="B23" s="103">
        <f>_xll.DBRW($A$12,$B$13,$B$14,$B$15,$B$16,$B$17,$A23,B$19)</f>
        <v>-64.688578750000005</v>
      </c>
      <c r="C23" s="103">
        <f>_xll.DBRW($A$12,$B$13,$B$14,$B$15,$B$16,$B$17,$A23,C$19)</f>
        <v>-64.688578750000005</v>
      </c>
      <c r="D23" s="103">
        <f>_xll.DBRW($A$12,$B$13,$B$14,$B$15,$B$16,$B$17,$A23,D$19)</f>
        <v>0</v>
      </c>
    </row>
    <row r="24" spans="1:4" x14ac:dyDescent="0.3">
      <c r="A24" s="104" t="s">
        <v>67</v>
      </c>
      <c r="B24" s="103">
        <f>_xll.DBRW($A$12,$B$13,$B$14,$B$15,$B$16,$B$17,$A24,B$19)</f>
        <v>0</v>
      </c>
      <c r="C24" s="103">
        <f>_xll.DBRW($A$12,$B$13,$B$14,$B$15,$B$16,$B$17,$A24,C$19)</f>
        <v>0</v>
      </c>
      <c r="D24" s="103">
        <f>_xll.DBRW($A$12,$B$13,$B$14,$B$15,$B$16,$B$17,$A24,D$19)</f>
        <v>0</v>
      </c>
    </row>
    <row r="25" spans="1:4" x14ac:dyDescent="0.3">
      <c r="A25" s="104" t="s">
        <v>68</v>
      </c>
      <c r="B25" s="103">
        <f>_xll.DBRW($A$12,$B$13,$B$14,$B$15,$B$16,$B$17,$A25,B$19)</f>
        <v>-3.6362082729465035</v>
      </c>
      <c r="C25" s="103">
        <f>_xll.DBRW($A$12,$B$13,$B$14,$B$15,$B$16,$B$17,$A25,C$19)</f>
        <v>-3.6362082729465035</v>
      </c>
      <c r="D25" s="103">
        <f>_xll.DBRW($A$12,$B$13,$B$14,$B$15,$B$16,$B$17,$A25,D$19)</f>
        <v>0</v>
      </c>
    </row>
    <row r="26" spans="1:4" x14ac:dyDescent="0.3">
      <c r="A26" s="108" t="s">
        <v>69</v>
      </c>
      <c r="B26" s="103">
        <f>_xll.DBRW($A$12,$B$13,$B$14,$B$15,$B$16,$B$17,$A26,B$19)</f>
        <v>-0.57019600000000004</v>
      </c>
      <c r="C26" s="103">
        <f>_xll.DBRW($A$12,$B$13,$B$14,$B$15,$B$16,$B$17,$A26,C$19)</f>
        <v>-0.57019600000000004</v>
      </c>
      <c r="D26" s="103">
        <f>_xll.DBRW($A$12,$B$13,$B$14,$B$15,$B$16,$B$17,$A26,D$19)</f>
        <v>0</v>
      </c>
    </row>
    <row r="27" spans="1:4" x14ac:dyDescent="0.3">
      <c r="A27" s="108" t="s">
        <v>70</v>
      </c>
      <c r="B27" s="103">
        <f>_xll.DBRW($A$12,$B$13,$B$14,$B$15,$B$16,$B$17,$A27,B$19)</f>
        <v>32.409624271316872</v>
      </c>
      <c r="C27" s="103">
        <f>_xll.DBRW($A$12,$B$13,$B$14,$B$15,$B$16,$B$17,$A27,C$19)</f>
        <v>32.409624271316872</v>
      </c>
      <c r="D27" s="103">
        <f>_xll.DBRW($A$12,$B$13,$B$14,$B$15,$B$16,$B$17,$A27,D$19)</f>
        <v>0</v>
      </c>
    </row>
    <row r="28" spans="1:4" x14ac:dyDescent="0.3">
      <c r="A28" s="108" t="s">
        <v>71</v>
      </c>
      <c r="B28" s="103">
        <f>_xll.DBRW($A$12,$B$13,$B$14,$B$15,$B$16,$B$17,$A28,B$19)</f>
        <v>-8.5350574600000009</v>
      </c>
      <c r="C28" s="103">
        <f>_xll.DBRW($A$12,$B$13,$B$14,$B$15,$B$16,$B$17,$A28,C$19)</f>
        <v>-8.5350574600000009</v>
      </c>
      <c r="D28" s="103">
        <f>_xll.DBRW($A$12,$B$13,$B$14,$B$15,$B$16,$B$17,$A28,D$19)</f>
        <v>0</v>
      </c>
    </row>
    <row r="29" spans="1:4" x14ac:dyDescent="0.3">
      <c r="A29" s="108" t="s">
        <v>72</v>
      </c>
      <c r="B29" s="103">
        <f>_xll.DBRW($A$12,$B$13,$B$14,$B$15,$B$16,$B$17,$A29,B$19)</f>
        <v>-20.45865423</v>
      </c>
      <c r="C29" s="103">
        <f>_xll.DBRW($A$12,$B$13,$B$14,$B$15,$B$16,$B$17,$A29,C$19)</f>
        <v>-20.45865423</v>
      </c>
      <c r="D29" s="103">
        <f>_xll.DBRW($A$12,$B$13,$B$14,$B$15,$B$16,$B$17,$A29,D$19)</f>
        <v>0</v>
      </c>
    </row>
    <row r="30" spans="1:4" x14ac:dyDescent="0.3">
      <c r="A30" s="108" t="s">
        <v>73</v>
      </c>
      <c r="B30" s="103">
        <f>_xll.DBRW($A$12,$B$13,$B$14,$B$15,$B$16,$B$17,$A30,B$19)</f>
        <v>-6.4819248542633749</v>
      </c>
      <c r="C30" s="103">
        <f>_xll.DBRW($A$12,$B$13,$B$14,$B$15,$B$16,$B$17,$A30,C$19)</f>
        <v>-6.4819248542633749</v>
      </c>
      <c r="D30" s="103">
        <f>_xll.DBRW($A$12,$B$13,$B$14,$B$15,$B$16,$B$17,$A30,D$19)</f>
        <v>0</v>
      </c>
    </row>
    <row r="31" spans="1:4" x14ac:dyDescent="0.3">
      <c r="A31" s="104" t="s">
        <v>74</v>
      </c>
      <c r="B31" s="103">
        <f>_xll.DBRW($A$12,$B$13,$B$14,$B$15,$B$16,$B$17,$A31,B$19)</f>
        <v>24.556222519999999</v>
      </c>
      <c r="C31" s="103">
        <f>_xll.DBRW($A$12,$B$13,$B$14,$B$15,$B$16,$B$17,$A31,C$19)</f>
        <v>24.556222519999999</v>
      </c>
      <c r="D31" s="103">
        <f>_xll.DBRW($A$12,$B$13,$B$14,$B$15,$B$16,$B$17,$A31,D$19)</f>
        <v>0</v>
      </c>
    </row>
    <row r="32" spans="1:4" x14ac:dyDescent="0.3">
      <c r="A32" s="104" t="s">
        <v>75</v>
      </c>
      <c r="B32" s="103">
        <f>_xll.DBRW($A$12,$B$13,$B$14,$B$15,$B$16,$B$17,$A32,B$19)</f>
        <v>-31.841931823121946</v>
      </c>
      <c r="C32" s="103">
        <f>_xll.DBRW($A$12,$B$13,$B$14,$B$15,$B$16,$B$17,$A32,C$19)</f>
        <v>-31.841931823121946</v>
      </c>
      <c r="D32" s="103">
        <f>_xll.DBRW($A$12,$B$13,$B$14,$B$15,$B$16,$B$17,$A32,D$19)</f>
        <v>0</v>
      </c>
    </row>
    <row r="33" spans="1:4" x14ac:dyDescent="0.3">
      <c r="A33" s="104" t="s">
        <v>76</v>
      </c>
      <c r="B33" s="103">
        <f>_xll.DBRW($A$12,$B$13,$B$14,$B$15,$B$16,$B$17,$A33,B$19)</f>
        <v>0</v>
      </c>
      <c r="C33" s="103">
        <f>_xll.DBRW($A$12,$B$13,$B$14,$B$15,$B$16,$B$17,$A33,C$19)</f>
        <v>0</v>
      </c>
      <c r="D33" s="103">
        <f>_xll.DBRW($A$12,$B$13,$B$14,$B$15,$B$16,$B$17,$A33,D$19)</f>
        <v>0</v>
      </c>
    </row>
    <row r="34" spans="1:4" x14ac:dyDescent="0.3">
      <c r="A34" s="104" t="s">
        <v>77</v>
      </c>
      <c r="B34" s="103">
        <f>_xll.DBRW($A$12,$B$13,$B$14,$B$15,$B$16,$B$17,$A34,B$19)</f>
        <v>0</v>
      </c>
      <c r="C34" s="103">
        <f>_xll.DBRW($A$12,$B$13,$B$14,$B$15,$B$16,$B$17,$A34,C$19)</f>
        <v>0</v>
      </c>
      <c r="D34" s="103">
        <f>_xll.DBRW($A$12,$B$13,$B$14,$B$15,$B$16,$B$17,$A34,D$19)</f>
        <v>0</v>
      </c>
    </row>
    <row r="35" spans="1:4" x14ac:dyDescent="0.3">
      <c r="A35" s="104" t="s">
        <v>78</v>
      </c>
      <c r="B35" s="103">
        <f>_xll.DBRW($A$12,$B$13,$B$14,$B$15,$B$16,$B$17,$A35,B$19)</f>
        <v>-31.841931823121946</v>
      </c>
      <c r="C35" s="103">
        <f>_xll.DBRW($A$12,$B$13,$B$14,$B$15,$B$16,$B$17,$A35,C$19)</f>
        <v>-31.841931823121946</v>
      </c>
      <c r="D35" s="103">
        <f>_xll.DBRW($A$12,$B$13,$B$14,$B$15,$B$16,$B$17,$A35,D$19)</f>
        <v>0</v>
      </c>
    </row>
    <row r="36" spans="1:4" x14ac:dyDescent="0.3">
      <c r="A36" s="104" t="s">
        <v>79</v>
      </c>
      <c r="B36" s="103">
        <f>_xll.DBRW($A$12,$B$13,$B$14,$B$15,$B$16,$B$17,$A36,B$19)</f>
        <v>-36.908797550000003</v>
      </c>
      <c r="C36" s="103">
        <f>_xll.DBRW($A$12,$B$13,$B$14,$B$15,$B$16,$B$17,$A36,C$19)</f>
        <v>-36.908797550000003</v>
      </c>
      <c r="D36" s="103">
        <f>_xll.DBRW($A$12,$B$13,$B$14,$B$15,$B$16,$B$17,$A36,D$19)</f>
        <v>0</v>
      </c>
    </row>
    <row r="37" spans="1:4" x14ac:dyDescent="0.3">
      <c r="A37" s="104" t="s">
        <v>80</v>
      </c>
      <c r="B37" s="103">
        <f>_xll.DBRW($A$12,$B$13,$B$14,$B$15,$B$16,$B$17,$A37,B$19)</f>
        <v>-12.1647853</v>
      </c>
      <c r="C37" s="103">
        <f>_xll.DBRW($A$12,$B$13,$B$14,$B$15,$B$16,$B$17,$A37,C$19)</f>
        <v>-12.1647853</v>
      </c>
      <c r="D37" s="103">
        <f>_xll.DBRW($A$12,$B$13,$B$14,$B$15,$B$16,$B$17,$A37,D$19)</f>
        <v>0</v>
      </c>
    </row>
    <row r="38" spans="1:4" x14ac:dyDescent="0.3">
      <c r="A38" s="104" t="s">
        <v>81</v>
      </c>
      <c r="B38" s="103">
        <f>_xll.DBRW($A$12,$B$13,$B$14,$B$15,$B$16,$B$17,$A38,B$19)</f>
        <v>3.9712860000000003E-2</v>
      </c>
      <c r="C38" s="103">
        <f>_xll.DBRW($A$12,$B$13,$B$14,$B$15,$B$16,$B$17,$A38,C$19)</f>
        <v>3.9712860000000003E-2</v>
      </c>
      <c r="D38" s="103">
        <f>_xll.DBRW($A$12,$B$13,$B$14,$B$15,$B$16,$B$17,$A38,D$19)</f>
        <v>0</v>
      </c>
    </row>
    <row r="39" spans="1:4" x14ac:dyDescent="0.3">
      <c r="A39" s="108" t="s">
        <v>82</v>
      </c>
      <c r="B39" s="103">
        <f>_xll.DBRW($A$12,$B$13,$B$14,$B$15,$B$16,$B$17,$A39,B$19)</f>
        <v>0</v>
      </c>
      <c r="C39" s="103">
        <f>_xll.DBRW($A$12,$B$13,$B$14,$B$15,$B$16,$B$17,$A39,C$19)</f>
        <v>0</v>
      </c>
      <c r="D39" s="103">
        <f>_xll.DBRW($A$12,$B$13,$B$14,$B$15,$B$16,$B$17,$A39,D$19)</f>
        <v>0</v>
      </c>
    </row>
    <row r="40" spans="1:4" x14ac:dyDescent="0.3">
      <c r="A40" s="108" t="s">
        <v>83</v>
      </c>
      <c r="B40" s="103">
        <f>_xll.DBRW($A$12,$B$13,$B$14,$B$15,$B$16,$B$17,$A40,B$19)</f>
        <v>3.9712860000000003E-2</v>
      </c>
      <c r="C40" s="103">
        <f>_xll.DBRW($A$12,$B$13,$B$14,$B$15,$B$16,$B$17,$A40,C$19)</f>
        <v>3.9712860000000003E-2</v>
      </c>
      <c r="D40" s="103">
        <f>_xll.DBRW($A$12,$B$13,$B$14,$B$15,$B$16,$B$17,$A40,D$19)</f>
        <v>0</v>
      </c>
    </row>
    <row r="41" spans="1:4" x14ac:dyDescent="0.3">
      <c r="A41" s="104" t="s">
        <v>84</v>
      </c>
      <c r="B41" s="103">
        <f>_xll.DBRW($A$12,$B$13,$B$14,$B$15,$B$16,$B$17,$A41,B$19)</f>
        <v>-80.875801813121953</v>
      </c>
      <c r="C41" s="103">
        <f>_xll.DBRW($A$12,$B$13,$B$14,$B$15,$B$16,$B$17,$A41,C$19)</f>
        <v>-80.875801813121953</v>
      </c>
      <c r="D41" s="103">
        <f>_xll.DBRW($A$12,$B$13,$B$14,$B$15,$B$16,$B$17,$A41,D$19)</f>
        <v>0</v>
      </c>
    </row>
    <row r="42" spans="1:4" x14ac:dyDescent="0.3">
      <c r="A42" s="104" t="s">
        <v>85</v>
      </c>
      <c r="B42" s="103">
        <f>_xll.DBRW($A$12,$B$13,$B$14,$B$15,$B$16,$B$17,$A42,B$19)</f>
        <v>0</v>
      </c>
      <c r="C42" s="103">
        <f>_xll.DBRW($A$12,$B$13,$B$14,$B$15,$B$16,$B$17,$A42,C$19)</f>
        <v>0</v>
      </c>
      <c r="D42" s="103">
        <f>_xll.DBRW($A$12,$B$13,$B$14,$B$15,$B$16,$B$17,$A42,D$19)</f>
        <v>0</v>
      </c>
    </row>
    <row r="43" spans="1:4" x14ac:dyDescent="0.3">
      <c r="A43" s="104" t="s">
        <v>86</v>
      </c>
      <c r="B43" s="103">
        <f>_xll.DBRW($A$12,$B$13,$B$14,$B$15,$B$16,$B$17,$A43,B$19)</f>
        <v>-14.12821376</v>
      </c>
      <c r="C43" s="103">
        <f>_xll.DBRW($A$12,$B$13,$B$14,$B$15,$B$16,$B$17,$A43,C$19)</f>
        <v>-14.12821376</v>
      </c>
      <c r="D43" s="103">
        <f>_xll.DBRW($A$12,$B$13,$B$14,$B$15,$B$16,$B$17,$A43,D$19)</f>
        <v>0</v>
      </c>
    </row>
    <row r="44" spans="1:4" x14ac:dyDescent="0.3">
      <c r="A44" s="104" t="s">
        <v>87</v>
      </c>
      <c r="B44" s="103">
        <f>_xll.DBRW($A$12,$B$13,$B$14,$B$15,$B$16,$B$17,$A44,B$19)</f>
        <v>-1.57304741</v>
      </c>
      <c r="C44" s="103">
        <f>_xll.DBRW($A$12,$B$13,$B$14,$B$15,$B$16,$B$17,$A44,C$19)</f>
        <v>-1.57304741</v>
      </c>
      <c r="D44" s="103">
        <f>_xll.DBRW($A$12,$B$13,$B$14,$B$15,$B$16,$B$17,$A44,D$19)</f>
        <v>0</v>
      </c>
    </row>
    <row r="45" spans="1:4" x14ac:dyDescent="0.3">
      <c r="A45" s="104" t="s">
        <v>88</v>
      </c>
      <c r="C45" s="103">
        <f>_xll.DBRW($A$12,$B$13,$B$14,$B$15,$B$16,$B$17,$A45,C$19)</f>
        <v>-96.577062983121948</v>
      </c>
      <c r="D45" s="103">
        <f>_xll.DBRW($A$12,$B$13,$B$14,$B$15,$B$16,$B$17,$A45,D$19)</f>
        <v>0</v>
      </c>
    </row>
    <row r="46" spans="1:4" x14ac:dyDescent="0.3">
      <c r="A46" s="104" t="s">
        <v>89</v>
      </c>
      <c r="B46" s="103">
        <f>_xll.DBRW($A$12,$B$13,$B$14,$B$15,$B$16,$B$17,$A46,B$19)</f>
        <v>2906.6917170000002</v>
      </c>
      <c r="C46" s="103">
        <f>_xll.DBRW($A$12,$B$13,$B$14,$B$15,$B$16,$B$17,$A46,C$19)</f>
        <v>2906.6917170000002</v>
      </c>
      <c r="D46" s="103">
        <f>_xll.DBRW($A$12,$B$13,$B$14,$B$15,$B$16,$B$17,$A46,D$19)</f>
        <v>2906.6917170000002</v>
      </c>
    </row>
    <row r="47" spans="1:4" x14ac:dyDescent="0.3">
      <c r="A47" s="104" t="s">
        <v>90</v>
      </c>
      <c r="B47" s="103">
        <f>_xll.DBRW($A$12,$B$13,$B$14,$B$15,$B$16,$B$17,$A47,B$19)</f>
        <v>5716.806371016879</v>
      </c>
      <c r="C47" s="103">
        <f>_xll.DBRW($A$12,$B$13,$B$14,$B$15,$B$16,$B$17,$A47,C$19)</f>
        <v>2810.1146540168784</v>
      </c>
      <c r="D47" s="103">
        <f>_xll.DBRW($A$12,$B$13,$B$14,$B$15,$B$16,$B$17,$A47,D$19)</f>
        <v>2906.6917170000002</v>
      </c>
    </row>
    <row r="48" spans="1:4" x14ac:dyDescent="0.3">
      <c r="A48" s="104" t="s">
        <v>91</v>
      </c>
      <c r="B48" s="103">
        <f>_xll.DBRW($A$12,$B$13,$B$14,$B$15,$B$16,$B$17,$A48,B$19)</f>
        <v>5716.806371016879</v>
      </c>
      <c r="C48" s="103">
        <f>_xll.DBRW($A$12,$B$13,$B$14,$B$15,$B$16,$B$17,$A48,C$19)</f>
        <v>2810.1146540168784</v>
      </c>
      <c r="D48" s="103">
        <f>_xll.DBRW($A$12,$B$13,$B$14,$B$15,$B$16,$B$17,$A48,D$19)</f>
        <v>2906.6917170000002</v>
      </c>
    </row>
    <row r="49" spans="1:4" x14ac:dyDescent="0.3">
      <c r="A49" s="104" t="s">
        <v>92</v>
      </c>
      <c r="B49" s="103">
        <f>_xll.DBRW($A$12,$B$13,$B$14,$B$15,$B$16,$B$17,$A49,B$19)</f>
        <v>-6017.0039779359995</v>
      </c>
      <c r="C49" s="103">
        <f>_xll.DBRW($A$12,$B$13,$B$14,$B$15,$B$16,$B$17,$A49,C$19)</f>
        <v>-6017.0039779359995</v>
      </c>
      <c r="D49" s="103">
        <f>_xll.DBRW($A$12,$B$13,$B$14,$B$15,$B$16,$B$17,$A49,D$19)</f>
        <v>0</v>
      </c>
    </row>
    <row r="50" spans="1:4" x14ac:dyDescent="0.3">
      <c r="A50" s="104" t="s">
        <v>93</v>
      </c>
      <c r="B50" s="103">
        <f>_xll.DBRW($A$12,$B$13,$B$14,$B$15,$B$16,$B$17,$A50,B$19)</f>
        <v>70.478512319999993</v>
      </c>
      <c r="C50" s="103">
        <f>_xll.DBRW($A$12,$B$13,$B$14,$B$15,$B$16,$B$17,$A50,C$19)</f>
        <v>70.478512319999993</v>
      </c>
      <c r="D50" s="103">
        <f>_xll.DBRW($A$12,$B$13,$B$14,$B$15,$B$16,$B$17,$A50,D$19)</f>
        <v>0</v>
      </c>
    </row>
    <row r="51" spans="1:4" x14ac:dyDescent="0.3">
      <c r="A51" s="104" t="s">
        <v>94</v>
      </c>
      <c r="B51" s="103">
        <f>_xll.DBRW($A$12,$B$13,$B$14,$B$15,$B$16,$B$17,$A51,B$19)</f>
        <v>-229.71909459912104</v>
      </c>
      <c r="C51" s="103">
        <f>_xll.DBRW($A$12,$B$13,$B$14,$B$15,$B$16,$B$17,$A51,C$19)</f>
        <v>-3136.4108115991212</v>
      </c>
      <c r="D51" s="103">
        <f>_xll.DBRW($A$12,$B$13,$B$14,$B$15,$B$16,$B$17,$A51,D$19)</f>
        <v>2906.6917170000002</v>
      </c>
    </row>
    <row r="52" spans="1:4" x14ac:dyDescent="0.3">
      <c r="A52" s="104" t="s">
        <v>95</v>
      </c>
      <c r="B52" s="103">
        <f>_xll.DBRW($A$12,$B$13,$B$14,$B$15,$B$16,$B$17,$A52,B$19)</f>
        <v>135.51336269216355</v>
      </c>
      <c r="C52" s="103">
        <f>_xll.DBRW($A$12,$B$13,$B$14,$B$15,$B$16,$B$17,$A52,C$19)</f>
        <v>135.51336269216355</v>
      </c>
      <c r="D52" s="103">
        <f>_xll.DBRW($A$12,$B$13,$B$14,$B$15,$B$16,$B$17,$A52,D$19)</f>
        <v>0</v>
      </c>
    </row>
    <row r="53" spans="1:4" x14ac:dyDescent="0.3">
      <c r="A53" s="104" t="s">
        <v>96</v>
      </c>
      <c r="B53" s="103">
        <f>_xll.DBRW($A$12,$B$13,$B$14,$B$15,$B$16,$B$17,$A53,B$19)</f>
        <v>0</v>
      </c>
      <c r="C53" s="103">
        <f>_xll.DBRW($A$12,$B$13,$B$14,$B$15,$B$16,$B$17,$A53,C$19)</f>
        <v>0</v>
      </c>
      <c r="D53" s="103">
        <f>_xll.DBRW($A$12,$B$13,$B$14,$B$15,$B$16,$B$17,$A53,D$19)</f>
        <v>0</v>
      </c>
    </row>
    <row r="54" spans="1:4" x14ac:dyDescent="0.3">
      <c r="A54" s="104" t="s">
        <v>97</v>
      </c>
      <c r="B54" s="103">
        <f>_xll.DBRW($A$12,$B$13,$B$14,$B$15,$B$16,$B$17,$A54,B$19)</f>
        <v>-23.144660786876724</v>
      </c>
      <c r="C54" s="103">
        <f>_xll.DBRW($A$12,$B$13,$B$14,$B$15,$B$16,$B$17,$A54,C$19)</f>
        <v>-23.144660786876724</v>
      </c>
      <c r="D54" s="103">
        <f>_xll.DBRW($A$12,$B$13,$B$14,$B$15,$B$16,$B$17,$A54,D$19)</f>
        <v>0</v>
      </c>
    </row>
    <row r="56" spans="1:4" x14ac:dyDescent="0.3">
      <c r="A56" s="110" t="s">
        <v>98</v>
      </c>
    </row>
    <row r="57" spans="1:4" x14ac:dyDescent="0.3">
      <c r="A57" s="110" t="s">
        <v>143</v>
      </c>
    </row>
    <row r="58" spans="1:4" x14ac:dyDescent="0.3">
      <c r="A58" t="s">
        <v>144</v>
      </c>
    </row>
    <row r="59" spans="1:4" x14ac:dyDescent="0.3">
      <c r="A59" t="s">
        <v>145</v>
      </c>
    </row>
    <row r="60" spans="1:4" x14ac:dyDescent="0.3">
      <c r="A60" t="s">
        <v>149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9135-FD40-4D2C-AA13-7BFD01FADAA8}">
  <dimension ref="A1:C58"/>
  <sheetViews>
    <sheetView topLeftCell="A27" workbookViewId="0">
      <selection activeCell="B10" sqref="B10"/>
    </sheetView>
  </sheetViews>
  <sheetFormatPr defaultRowHeight="14.4" x14ac:dyDescent="0.3"/>
  <cols>
    <col min="1" max="1" width="41.44140625" bestFit="1" customWidth="1"/>
    <col min="2" max="3" width="14.5546875" bestFit="1" customWidth="1"/>
  </cols>
  <sheetData>
    <row r="1" spans="1:3" x14ac:dyDescent="0.3">
      <c r="A1" s="100" t="str">
        <f>_xll.VIEW("CONS_VC:DFS.200.KPIs",$B$2,$B$3,$B$4,$B$5,$B$6,$B$7,"!","!")</f>
        <v>CONS_VC:DFS.200.KPIs:340476972643356372</v>
      </c>
      <c r="B1" s="99"/>
    </row>
    <row r="2" spans="1:3" x14ac:dyDescent="0.3">
      <c r="A2" s="101" t="s">
        <v>51</v>
      </c>
      <c r="B2" s="105" t="str">
        <f>_xll.SUBNM("CONS_VC:ALL.D.Year","","2025")</f>
        <v>2025</v>
      </c>
    </row>
    <row r="3" spans="1:3" x14ac:dyDescent="0.3">
      <c r="A3" s="101" t="s">
        <v>59</v>
      </c>
      <c r="B3" s="105" t="str">
        <f>_xll.SUBNM("CONS_VC:ALL.D.Month","Default","Jan","Desc")</f>
        <v>Jan</v>
      </c>
    </row>
    <row r="4" spans="1:3" x14ac:dyDescent="0.3">
      <c r="A4" s="101" t="s">
        <v>53</v>
      </c>
      <c r="B4" s="105" t="str">
        <f>_xll.SUBNM("CONS_VC:ALL.D.Version","","T4")</f>
        <v>T4</v>
      </c>
    </row>
    <row r="5" spans="1:3" x14ac:dyDescent="0.3">
      <c r="A5" s="101" t="s">
        <v>54</v>
      </c>
      <c r="B5" s="105" t="str">
        <f>_xll.SUBNM("CONS_VC:ALL.D.Currency","Default","BRL","MEMBER_NAME")</f>
        <v>BRL</v>
      </c>
    </row>
    <row r="6" spans="1:3" x14ac:dyDescent="0.3">
      <c r="A6" s="101" t="s">
        <v>55</v>
      </c>
      <c r="B6" s="105" t="str">
        <f>_xll.SUBNM("CONS_VC:ALL.D.Region","","VCBR")</f>
        <v>VCBR</v>
      </c>
    </row>
    <row r="7" spans="1:3" x14ac:dyDescent="0.3">
      <c r="A7" s="101" t="s">
        <v>56</v>
      </c>
      <c r="B7" s="105" t="str">
        <f>_xll.SUBNM("CONS_VC:ALL.D.Products","Default","PROD099 - Others","Código e Descrição")</f>
        <v>PROD099 - Others</v>
      </c>
    </row>
    <row r="9" spans="1:3" ht="15" thickBot="1" x14ac:dyDescent="0.35">
      <c r="A9" s="107"/>
      <c r="B9" s="102" t="s">
        <v>61</v>
      </c>
      <c r="C9" s="102" t="s">
        <v>99</v>
      </c>
    </row>
    <row r="10" spans="1:3" x14ac:dyDescent="0.3">
      <c r="A10" s="104" t="s">
        <v>100</v>
      </c>
      <c r="B10" s="103">
        <f>_xll.DBRW($A$1,$B$2,$B$3,$B$4,$B$5,$B$6,$B$7,$A10,B$9)</f>
        <v>100</v>
      </c>
      <c r="C10" s="103">
        <f>_xll.DBRW($A$1,$B$2,$B$3,$B$4,$B$5,$B$6,$B$7,$A10,C$9)</f>
        <v>0</v>
      </c>
    </row>
    <row r="11" spans="1:3" x14ac:dyDescent="0.3">
      <c r="A11" s="104" t="s">
        <v>8</v>
      </c>
      <c r="B11" s="103">
        <f>_xll.DBRW($A$1,$B$2,$B$3,$B$4,$B$5,$B$6,$B$7,$A11,B$9)</f>
        <v>0.1</v>
      </c>
      <c r="C11" s="103">
        <f>_xll.DBRW($A$1,$B$2,$B$3,$B$4,$B$5,$B$6,$B$7,$A11,C$9)</f>
        <v>10</v>
      </c>
    </row>
    <row r="12" spans="1:3" x14ac:dyDescent="0.3">
      <c r="A12" s="104" t="s">
        <v>17</v>
      </c>
      <c r="B12" s="103">
        <f>_xll.DBRW($A$1,$B$2,$B$3,$B$4,$B$5,$B$6,$B$7,$A12,B$9)</f>
        <v>50</v>
      </c>
      <c r="C12" s="103">
        <f>_xll.DBRW($A$1,$B$2,$B$3,$B$4,$B$5,$B$6,$B$7,$A12,C$9)</f>
        <v>5000</v>
      </c>
    </row>
    <row r="13" spans="1:3" x14ac:dyDescent="0.3">
      <c r="A13" s="104" t="s">
        <v>101</v>
      </c>
      <c r="B13" s="103">
        <f>_xll.DBRW($A$1,$B$2,$B$3,$B$4,$B$5,$B$6,$B$7,$A13,B$9)</f>
        <v>10</v>
      </c>
      <c r="C13" s="103">
        <f>_xll.DBRW($A$1,$B$2,$B$3,$B$4,$B$5,$B$6,$B$7,$A13,C$9)</f>
        <v>0</v>
      </c>
    </row>
    <row r="14" spans="1:3" x14ac:dyDescent="0.3">
      <c r="A14" s="104" t="s">
        <v>16</v>
      </c>
      <c r="B14" s="103">
        <f>_xll.DBRW($A$1,$B$2,$B$3,$B$4,$B$5,$B$6,$B$7,$A14,B$9)</f>
        <v>100</v>
      </c>
      <c r="C14" s="103">
        <f>_xll.DBRW($A$1,$B$2,$B$3,$B$4,$B$5,$B$6,$B$7,$A14,C$9)</f>
        <v>10000</v>
      </c>
    </row>
    <row r="15" spans="1:3" x14ac:dyDescent="0.3">
      <c r="A15" s="104" t="s">
        <v>20</v>
      </c>
      <c r="B15" s="103">
        <f>_xll.DBRW($A$1,$B$2,$B$3,$B$4,$B$5,$B$6,$B$7,$A15,B$9)</f>
        <v>100</v>
      </c>
      <c r="C15" s="103">
        <f>_xll.DBRW($A$1,$B$2,$B$3,$B$4,$B$5,$B$6,$B$7,$A15,C$9)</f>
        <v>10000</v>
      </c>
    </row>
    <row r="16" spans="1:3" x14ac:dyDescent="0.3">
      <c r="A16" s="104" t="s">
        <v>102</v>
      </c>
      <c r="B16" s="103">
        <f>_xll.DBRW($A$1,$B$2,$B$3,$B$4,$B$5,$B$6,$B$7,$A16,B$9)</f>
        <v>50</v>
      </c>
      <c r="C16" s="103">
        <f>_xll.DBRW($A$1,$B$2,$B$3,$B$4,$B$5,$B$6,$B$7,$A16,C$9)</f>
        <v>5000</v>
      </c>
    </row>
    <row r="17" spans="1:3" x14ac:dyDescent="0.3">
      <c r="A17" s="104" t="s">
        <v>32</v>
      </c>
      <c r="B17" s="103">
        <f>_xll.DBRW($A$1,$B$2,$B$3,$B$4,$B$5,$B$6,$B$7,$A17,B$9)</f>
        <v>50</v>
      </c>
      <c r="C17" s="103">
        <f>_xll.DBRW($A$1,$B$2,$B$3,$B$4,$B$5,$B$6,$B$7,$A17,C$9)</f>
        <v>5000</v>
      </c>
    </row>
    <row r="18" spans="1:3" x14ac:dyDescent="0.3">
      <c r="A18" s="104" t="s">
        <v>36</v>
      </c>
      <c r="B18" s="103">
        <f>_xll.DBRW($A$1,$B$2,$B$3,$B$4,$B$5,$B$6,$B$7,$A18,B$9)</f>
        <v>0.5</v>
      </c>
      <c r="C18" s="103">
        <f>_xll.DBRW($A$1,$B$2,$B$3,$B$4,$B$5,$B$6,$B$7,$A18,C$9)</f>
        <v>50</v>
      </c>
    </row>
    <row r="19" spans="1:3" x14ac:dyDescent="0.3">
      <c r="A19" s="104" t="s">
        <v>103</v>
      </c>
      <c r="B19" s="103">
        <f>_xll.DBRW($A$1,$B$2,$B$3,$B$4,$B$5,$B$6,$B$7,$A19,B$9)</f>
        <v>510</v>
      </c>
      <c r="C19" s="103">
        <f>_xll.DBRW($A$1,$B$2,$B$3,$B$4,$B$5,$B$6,$B$7,$A19,C$9)</f>
        <v>51000</v>
      </c>
    </row>
    <row r="20" spans="1:3" x14ac:dyDescent="0.3">
      <c r="A20" s="108" t="s">
        <v>104</v>
      </c>
      <c r="B20" s="103">
        <f>_xll.DBRW($A$1,$B$2,$B$3,$B$4,$B$5,$B$6,$B$7,$A20,B$9)</f>
        <v>360</v>
      </c>
      <c r="C20" s="103">
        <f>_xll.DBRW($A$1,$B$2,$B$3,$B$4,$B$5,$B$6,$B$7,$A20,C$9)</f>
        <v>36000</v>
      </c>
    </row>
    <row r="21" spans="1:3" x14ac:dyDescent="0.3">
      <c r="A21" s="111" t="s">
        <v>105</v>
      </c>
      <c r="B21" s="103">
        <f>_xll.DBRW($A$1,$B$2,$B$3,$B$4,$B$5,$B$6,$B$7,$A21,B$9)</f>
        <v>10</v>
      </c>
      <c r="C21" s="103">
        <f>_xll.DBRW($A$1,$B$2,$B$3,$B$4,$B$5,$B$6,$B$7,$A21,C$9)</f>
        <v>1000</v>
      </c>
    </row>
    <row r="22" spans="1:3" x14ac:dyDescent="0.3">
      <c r="A22" s="111" t="s">
        <v>106</v>
      </c>
      <c r="B22" s="103">
        <f>_xll.DBRW($A$1,$B$2,$B$3,$B$4,$B$5,$B$6,$B$7,$A22,B$9)</f>
        <v>50</v>
      </c>
      <c r="C22" s="103">
        <f>_xll.DBRW($A$1,$B$2,$B$3,$B$4,$B$5,$B$6,$B$7,$A22,C$9)</f>
        <v>5000</v>
      </c>
    </row>
    <row r="23" spans="1:3" x14ac:dyDescent="0.3">
      <c r="A23" s="111" t="s">
        <v>107</v>
      </c>
      <c r="B23" s="103">
        <f>_xll.DBRW($A$1,$B$2,$B$3,$B$4,$B$5,$B$6,$B$7,$A23,B$9)</f>
        <v>50</v>
      </c>
      <c r="C23" s="103">
        <f>_xll.DBRW($A$1,$B$2,$B$3,$B$4,$B$5,$B$6,$B$7,$A23,C$9)</f>
        <v>5000</v>
      </c>
    </row>
    <row r="24" spans="1:3" x14ac:dyDescent="0.3">
      <c r="A24" s="111" t="s">
        <v>108</v>
      </c>
      <c r="B24" s="103">
        <f>_xll.DBRW($A$1,$B$2,$B$3,$B$4,$B$5,$B$6,$B$7,$A24,B$9)</f>
        <v>20</v>
      </c>
      <c r="C24" s="103">
        <f>_xll.DBRW($A$1,$B$2,$B$3,$B$4,$B$5,$B$6,$B$7,$A24,C$9)</f>
        <v>2000</v>
      </c>
    </row>
    <row r="25" spans="1:3" x14ac:dyDescent="0.3">
      <c r="A25" s="111" t="s">
        <v>109</v>
      </c>
      <c r="B25" s="103">
        <f>_xll.DBRW($A$1,$B$2,$B$3,$B$4,$B$5,$B$6,$B$7,$A25,B$9)</f>
        <v>30</v>
      </c>
      <c r="C25" s="103">
        <f>_xll.DBRW($A$1,$B$2,$B$3,$B$4,$B$5,$B$6,$B$7,$A25,C$9)</f>
        <v>3000</v>
      </c>
    </row>
    <row r="26" spans="1:3" x14ac:dyDescent="0.3">
      <c r="A26" s="111" t="s">
        <v>110</v>
      </c>
      <c r="B26" s="103">
        <f>_xll.DBRW($A$1,$B$2,$B$3,$B$4,$B$5,$B$6,$B$7,$A26,B$9)</f>
        <v>40</v>
      </c>
      <c r="C26" s="103">
        <f>_xll.DBRW($A$1,$B$2,$B$3,$B$4,$B$5,$B$6,$B$7,$A26,C$9)</f>
        <v>4000</v>
      </c>
    </row>
    <row r="27" spans="1:3" x14ac:dyDescent="0.3">
      <c r="A27" s="111" t="s">
        <v>111</v>
      </c>
      <c r="B27" s="103">
        <f>_xll.DBRW($A$1,$B$2,$B$3,$B$4,$B$5,$B$6,$B$7,$A27,B$9)</f>
        <v>50</v>
      </c>
      <c r="C27" s="103">
        <f>_xll.DBRW($A$1,$B$2,$B$3,$B$4,$B$5,$B$6,$B$7,$A27,C$9)</f>
        <v>5000</v>
      </c>
    </row>
    <row r="28" spans="1:3" x14ac:dyDescent="0.3">
      <c r="A28" s="111" t="s">
        <v>112</v>
      </c>
      <c r="B28" s="103">
        <f>_xll.DBRW($A$1,$B$2,$B$3,$B$4,$B$5,$B$6,$B$7,$A28,B$9)</f>
        <v>60</v>
      </c>
      <c r="C28" s="103">
        <f>_xll.DBRW($A$1,$B$2,$B$3,$B$4,$B$5,$B$6,$B$7,$A28,C$9)</f>
        <v>6000</v>
      </c>
    </row>
    <row r="29" spans="1:3" x14ac:dyDescent="0.3">
      <c r="A29" s="111" t="s">
        <v>113</v>
      </c>
      <c r="B29" s="103">
        <f>_xll.DBRW($A$1,$B$2,$B$3,$B$4,$B$5,$B$6,$B$7,$A29,B$9)</f>
        <v>50</v>
      </c>
      <c r="C29" s="103">
        <f>_xll.DBRW($A$1,$B$2,$B$3,$B$4,$B$5,$B$6,$B$7,$A29,C$9)</f>
        <v>5000</v>
      </c>
    </row>
    <row r="30" spans="1:3" x14ac:dyDescent="0.3">
      <c r="A30" s="108" t="s">
        <v>114</v>
      </c>
      <c r="B30" s="103">
        <f>_xll.DBRW($A$1,$B$2,$B$3,$B$4,$B$5,$B$6,$B$7,$A30,B$9)</f>
        <v>150</v>
      </c>
      <c r="C30" s="103">
        <f>_xll.DBRW($A$1,$B$2,$B$3,$B$4,$B$5,$B$6,$B$7,$A30,C$9)</f>
        <v>15000</v>
      </c>
    </row>
    <row r="31" spans="1:3" x14ac:dyDescent="0.3">
      <c r="A31" s="111" t="s">
        <v>115</v>
      </c>
      <c r="B31" s="103">
        <f>_xll.DBRW($A$1,$B$2,$B$3,$B$4,$B$5,$B$6,$B$7,$A31,B$9)</f>
        <v>50</v>
      </c>
      <c r="C31" s="103">
        <f>_xll.DBRW($A$1,$B$2,$B$3,$B$4,$B$5,$B$6,$B$7,$A31,C$9)</f>
        <v>5000</v>
      </c>
    </row>
    <row r="32" spans="1:3" x14ac:dyDescent="0.3">
      <c r="A32" s="111" t="s">
        <v>116</v>
      </c>
      <c r="B32" s="103">
        <f>_xll.DBRW($A$1,$B$2,$B$3,$B$4,$B$5,$B$6,$B$7,$A32,B$9)</f>
        <v>50</v>
      </c>
      <c r="C32" s="103">
        <f>_xll.DBRW($A$1,$B$2,$B$3,$B$4,$B$5,$B$6,$B$7,$A32,C$9)</f>
        <v>5000</v>
      </c>
    </row>
    <row r="33" spans="1:3" x14ac:dyDescent="0.3">
      <c r="A33" s="111" t="s">
        <v>117</v>
      </c>
      <c r="B33" s="103">
        <f>_xll.DBRW($A$1,$B$2,$B$3,$B$4,$B$5,$B$6,$B$7,$A33,B$9)</f>
        <v>50</v>
      </c>
      <c r="C33" s="103">
        <f>_xll.DBRW($A$1,$B$2,$B$3,$B$4,$B$5,$B$6,$B$7,$A33,C$9)</f>
        <v>5000</v>
      </c>
    </row>
    <row r="34" spans="1:3" x14ac:dyDescent="0.3">
      <c r="A34" s="104" t="s">
        <v>118</v>
      </c>
      <c r="B34" s="103">
        <f>_xll.DBRW($A$1,$B$2,$B$3,$B$4,$B$5,$B$6,$B$7,$A34,B$9)</f>
        <v>-6017.0039779359995</v>
      </c>
      <c r="C34" s="103">
        <f>_xll.DBRW($A$1,$B$2,$B$3,$B$4,$B$5,$B$6,$B$7,$A34,C$9)</f>
        <v>0</v>
      </c>
    </row>
    <row r="35" spans="1:3" x14ac:dyDescent="0.3">
      <c r="A35" s="104" t="s">
        <v>119</v>
      </c>
      <c r="B35" s="103">
        <f>_xll.DBRW($A$1,$B$2,$B$3,$B$4,$B$5,$B$6,$B$7,$A35,B$9)</f>
        <v>0.44</v>
      </c>
      <c r="C35" s="103">
        <f>_xll.DBRW($A$1,$B$2,$B$3,$B$4,$B$5,$B$6,$B$7,$A35,C$9)</f>
        <v>0</v>
      </c>
    </row>
    <row r="36" spans="1:3" x14ac:dyDescent="0.3">
      <c r="A36" s="104" t="s">
        <v>120</v>
      </c>
      <c r="B36" s="103">
        <f>_xll.DBRW($A$1,$B$2,$B$3,$B$4,$B$5,$B$6,$B$7,$A36,B$9)</f>
        <v>22</v>
      </c>
      <c r="C36" s="103">
        <f>_xll.DBRW($A$1,$B$2,$B$3,$B$4,$B$5,$B$6,$B$7,$A36,C$9)</f>
        <v>0</v>
      </c>
    </row>
    <row r="37" spans="1:3" x14ac:dyDescent="0.3">
      <c r="A37" s="104" t="s">
        <v>121</v>
      </c>
      <c r="B37" s="103">
        <f>_xll.DBRW($A$1,$B$2,$B$3,$B$4,$B$5,$B$6,$B$7,$A37,B$9)</f>
        <v>50</v>
      </c>
      <c r="C37" s="103">
        <f>_xll.DBRW($A$1,$B$2,$B$3,$B$4,$B$5,$B$6,$B$7,$A37,C$9)</f>
        <v>1100</v>
      </c>
    </row>
    <row r="38" spans="1:3" x14ac:dyDescent="0.3">
      <c r="A38" s="104" t="s">
        <v>122</v>
      </c>
      <c r="B38" s="103">
        <f>_xll.DBRW($A$1,$B$2,$B$3,$B$4,$B$5,$B$6,$B$7,$A38,B$9)</f>
        <v>0.6</v>
      </c>
      <c r="C38" s="103">
        <f>_xll.DBRW($A$1,$B$2,$B$3,$B$4,$B$5,$B$6,$B$7,$A38,C$9)</f>
        <v>0</v>
      </c>
    </row>
    <row r="39" spans="1:3" x14ac:dyDescent="0.3">
      <c r="A39" s="104" t="s">
        <v>123</v>
      </c>
      <c r="B39" s="103">
        <f>_xll.DBRW($A$1,$B$2,$B$3,$B$4,$B$5,$B$6,$B$7,$A39,B$9)</f>
        <v>100000</v>
      </c>
      <c r="C39" s="103">
        <f>_xll.DBRW($A$1,$B$2,$B$3,$B$4,$B$5,$B$6,$B$7,$A39,C$9)</f>
        <v>0</v>
      </c>
    </row>
    <row r="40" spans="1:3" x14ac:dyDescent="0.3">
      <c r="A40" s="104" t="s">
        <v>124</v>
      </c>
      <c r="B40" s="103">
        <f>_xll.DBRW($A$1,$B$2,$B$3,$B$4,$B$5,$B$6,$B$7,$A40,B$9)</f>
        <v>135.51336269216355</v>
      </c>
      <c r="C40" s="103">
        <f>_xll.DBRW($A$1,$B$2,$B$3,$B$4,$B$5,$B$6,$B$7,$A40,C$9)</f>
        <v>0</v>
      </c>
    </row>
    <row r="41" spans="1:3" x14ac:dyDescent="0.3">
      <c r="A41" s="104" t="s">
        <v>125</v>
      </c>
      <c r="B41" s="103">
        <f>_xll.DBRW($A$1,$B$2,$B$3,$B$4,$B$5,$B$6,$B$7,$A41,B$9)</f>
        <v>-89.445895199999995</v>
      </c>
      <c r="C41" s="103">
        <f>_xll.DBRW($A$1,$B$2,$B$3,$B$4,$B$5,$B$6,$B$7,$A41,C$9)</f>
        <v>0</v>
      </c>
    </row>
    <row r="42" spans="1:3" x14ac:dyDescent="0.3">
      <c r="A42" s="104" t="s">
        <v>126</v>
      </c>
      <c r="B42" s="103">
        <f>_xll.DBRW($A$1,$B$2,$B$3,$B$4,$B$5,$B$6,$B$7,$A42,B$9)</f>
        <v>0</v>
      </c>
      <c r="C42" s="103">
        <f>_xll.DBRW($A$1,$B$2,$B$3,$B$4,$B$5,$B$6,$B$7,$A42,C$9)</f>
        <v>0</v>
      </c>
    </row>
    <row r="43" spans="1:3" x14ac:dyDescent="0.3">
      <c r="A43" s="104" t="s">
        <v>127</v>
      </c>
      <c r="B43" s="103">
        <f>_xll.DBRW($A$1,$B$2,$B$3,$B$4,$B$5,$B$6,$B$7,$A43,B$9)</f>
        <v>0</v>
      </c>
      <c r="C43" s="103">
        <f>_xll.DBRW($A$1,$B$2,$B$3,$B$4,$B$5,$B$6,$B$7,$A43,C$9)</f>
        <v>0</v>
      </c>
    </row>
    <row r="44" spans="1:3" x14ac:dyDescent="0.3">
      <c r="A44" s="104" t="s">
        <v>128</v>
      </c>
      <c r="B44" s="103">
        <f>_xll.DBRW($A$1,$B$2,$B$3,$B$4,$B$5,$B$6,$B$7,$A44,B$9)</f>
        <v>2.2189325820000008</v>
      </c>
      <c r="C44" s="103">
        <f>_xll.DBRW($A$1,$B$2,$B$3,$B$4,$B$5,$B$6,$B$7,$A44,C$9)</f>
        <v>0</v>
      </c>
    </row>
    <row r="45" spans="1:3" x14ac:dyDescent="0.3">
      <c r="A45" s="104" t="s">
        <v>129</v>
      </c>
      <c r="B45" s="103">
        <f>_xll.DBRW($A$1,$B$2,$B$3,$B$4,$B$5,$B$6,$B$7,$A45,B$9)</f>
        <v>3600</v>
      </c>
      <c r="C45" s="103">
        <f>_xll.DBRW($A$1,$B$2,$B$3,$B$4,$B$5,$B$6,$B$7,$A45,C$9)</f>
        <v>0</v>
      </c>
    </row>
    <row r="46" spans="1:3" x14ac:dyDescent="0.3">
      <c r="A46" s="108" t="s">
        <v>130</v>
      </c>
      <c r="B46" s="103">
        <f>_xll.DBRW($A$1,$B$2,$B$3,$B$4,$B$5,$B$6,$B$7,$A46,B$9)</f>
        <v>100</v>
      </c>
      <c r="C46" s="103">
        <f>_xll.DBRW($A$1,$B$2,$B$3,$B$4,$B$5,$B$6,$B$7,$A46,C$9)</f>
        <v>0</v>
      </c>
    </row>
    <row r="47" spans="1:3" x14ac:dyDescent="0.3">
      <c r="A47" s="108" t="s">
        <v>131</v>
      </c>
      <c r="B47" s="103">
        <f>_xll.DBRW($A$1,$B$2,$B$3,$B$4,$B$5,$B$6,$B$7,$A47,B$9)</f>
        <v>200</v>
      </c>
      <c r="C47" s="103">
        <f>_xll.DBRW($A$1,$B$2,$B$3,$B$4,$B$5,$B$6,$B$7,$A47,C$9)</f>
        <v>0</v>
      </c>
    </row>
    <row r="48" spans="1:3" x14ac:dyDescent="0.3">
      <c r="A48" s="108" t="s">
        <v>132</v>
      </c>
      <c r="B48" s="103">
        <f>_xll.DBRW($A$1,$B$2,$B$3,$B$4,$B$5,$B$6,$B$7,$A48,B$9)</f>
        <v>300</v>
      </c>
      <c r="C48" s="103">
        <f>_xll.DBRW($A$1,$B$2,$B$3,$B$4,$B$5,$B$6,$B$7,$A48,C$9)</f>
        <v>0</v>
      </c>
    </row>
    <row r="49" spans="1:3" x14ac:dyDescent="0.3">
      <c r="A49" s="108" t="s">
        <v>133</v>
      </c>
      <c r="B49" s="103">
        <f>_xll.DBRW($A$1,$B$2,$B$3,$B$4,$B$5,$B$6,$B$7,$A49,B$9)</f>
        <v>400</v>
      </c>
      <c r="C49" s="103">
        <f>_xll.DBRW($A$1,$B$2,$B$3,$B$4,$B$5,$B$6,$B$7,$A49,C$9)</f>
        <v>0</v>
      </c>
    </row>
    <row r="50" spans="1:3" x14ac:dyDescent="0.3">
      <c r="A50" s="108" t="s">
        <v>134</v>
      </c>
      <c r="B50" s="103">
        <f>_xll.DBRW($A$1,$B$2,$B$3,$B$4,$B$5,$B$6,$B$7,$A50,B$9)</f>
        <v>500</v>
      </c>
      <c r="C50" s="103">
        <f>_xll.DBRW($A$1,$B$2,$B$3,$B$4,$B$5,$B$6,$B$7,$A50,C$9)</f>
        <v>0</v>
      </c>
    </row>
    <row r="51" spans="1:3" x14ac:dyDescent="0.3">
      <c r="A51" s="108" t="s">
        <v>135</v>
      </c>
      <c r="B51" s="103">
        <f>_xll.DBRW($A$1,$B$2,$B$3,$B$4,$B$5,$B$6,$B$7,$A51,B$9)</f>
        <v>600</v>
      </c>
      <c r="C51" s="103">
        <f>_xll.DBRW($A$1,$B$2,$B$3,$B$4,$B$5,$B$6,$B$7,$A51,C$9)</f>
        <v>0</v>
      </c>
    </row>
    <row r="52" spans="1:3" x14ac:dyDescent="0.3">
      <c r="A52" s="108" t="s">
        <v>136</v>
      </c>
      <c r="B52" s="103">
        <f>_xll.DBRW($A$1,$B$2,$B$3,$B$4,$B$5,$B$6,$B$7,$A52,B$9)</f>
        <v>700</v>
      </c>
      <c r="C52" s="103">
        <f>_xll.DBRW($A$1,$B$2,$B$3,$B$4,$B$5,$B$6,$B$7,$A52,C$9)</f>
        <v>0</v>
      </c>
    </row>
    <row r="53" spans="1:3" x14ac:dyDescent="0.3">
      <c r="A53" s="108" t="s">
        <v>137</v>
      </c>
      <c r="B53" s="103">
        <f>_xll.DBRW($A$1,$B$2,$B$3,$B$4,$B$5,$B$6,$B$7,$A53,B$9)</f>
        <v>800</v>
      </c>
      <c r="C53" s="103">
        <f>_xll.DBRW($A$1,$B$2,$B$3,$B$4,$B$5,$B$6,$B$7,$A53,C$9)</f>
        <v>0</v>
      </c>
    </row>
    <row r="54" spans="1:3" x14ac:dyDescent="0.3">
      <c r="A54" s="104" t="s">
        <v>138</v>
      </c>
      <c r="B54" s="103">
        <f>_xll.DBRW($A$1,$B$2,$B$3,$B$4,$B$5,$B$6,$B$7,$A54,B$9)</f>
        <v>-411.70624758666099</v>
      </c>
      <c r="C54" s="103">
        <f>_xll.DBRW($A$1,$B$2,$B$3,$B$4,$B$5,$B$6,$B$7,$A54,C$9)</f>
        <v>0</v>
      </c>
    </row>
    <row r="55" spans="1:3" x14ac:dyDescent="0.3">
      <c r="A55" s="104" t="s">
        <v>139</v>
      </c>
      <c r="B55" s="103">
        <f>_xll.DBRW($A$1,$B$2,$B$3,$B$4,$B$5,$B$6,$B$7,$A55,B$9)</f>
        <v>-345.30045886940491</v>
      </c>
      <c r="C55" s="103">
        <f>_xll.DBRW($A$1,$B$2,$B$3,$B$4,$B$5,$B$6,$B$7,$A55,C$9)</f>
        <v>0</v>
      </c>
    </row>
    <row r="56" spans="1:3" x14ac:dyDescent="0.3">
      <c r="A56" s="104" t="s">
        <v>140</v>
      </c>
      <c r="B56" s="103">
        <f>_xll.DBRW($A$1,$B$2,$B$3,$B$4,$B$5,$B$6,$B$7,$A56,B$9)</f>
        <v>-1005.0750206609999</v>
      </c>
      <c r="C56" s="103">
        <f>_xll.DBRW($A$1,$B$2,$B$3,$B$4,$B$5,$B$6,$B$7,$A56,C$9)</f>
        <v>0</v>
      </c>
    </row>
    <row r="57" spans="1:3" x14ac:dyDescent="0.3">
      <c r="A57" s="104" t="s">
        <v>141</v>
      </c>
      <c r="B57" s="103">
        <f>_xll.DBRW($A$1,$B$2,$B$3,$B$4,$B$5,$B$6,$B$7,$A57,B$9)</f>
        <v>0</v>
      </c>
      <c r="C57" s="103">
        <f>_xll.DBRW($A$1,$B$2,$B$3,$B$4,$B$5,$B$6,$B$7,$A57,C$9)</f>
        <v>0</v>
      </c>
    </row>
    <row r="58" spans="1:3" x14ac:dyDescent="0.3">
      <c r="A58" s="104" t="s">
        <v>142</v>
      </c>
      <c r="B58" s="103">
        <f>_xll.DBRW($A$1,$B$2,$B$3,$B$4,$B$5,$B$6,$B$7,$A58,B$9)</f>
        <v>0</v>
      </c>
      <c r="C58" s="103">
        <f>_xll.DBRW($A$1,$B$2,$B$3,$B$4,$B$5,$B$6,$B$7,$A58,C$9)</f>
        <v>0</v>
      </c>
    </row>
  </sheetData>
  <pageMargins left="0.511811024" right="0.511811024" top="0.78740157499999996" bottom="0.78740157499999996" header="0.31496062000000002" footer="0.31496062000000002"/>
  <customProperties>
    <customPr name="COR_LastLabelRowStart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184F-C869-438D-98A2-82F0BE106442}">
  <dimension ref="B2:E3"/>
  <sheetViews>
    <sheetView workbookViewId="0">
      <selection activeCell="C4" sqref="C4"/>
    </sheetView>
  </sheetViews>
  <sheetFormatPr defaultRowHeight="14.4" x14ac:dyDescent="0.3"/>
  <cols>
    <col min="2" max="2" width="18.77734375" bestFit="1" customWidth="1"/>
    <col min="3" max="3" width="15.6640625" bestFit="1" customWidth="1"/>
    <col min="4" max="4" width="14.44140625" bestFit="1" customWidth="1"/>
  </cols>
  <sheetData>
    <row r="2" spans="2:5" x14ac:dyDescent="0.3">
      <c r="B2" t="s">
        <v>15</v>
      </c>
      <c r="C2" t="s">
        <v>146</v>
      </c>
      <c r="D2" t="s">
        <v>147</v>
      </c>
      <c r="E2" t="s">
        <v>148</v>
      </c>
    </row>
    <row r="3" spans="2:5" x14ac:dyDescent="0.3">
      <c r="B3" t="s">
        <v>33</v>
      </c>
      <c r="C3" t="s">
        <v>163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Value Tree</vt:lpstr>
      <vt:lpstr>Menu</vt:lpstr>
      <vt:lpstr>Planilha3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Araújo</dc:creator>
  <cp:lastModifiedBy>Hélder Araújo</cp:lastModifiedBy>
  <dcterms:created xsi:type="dcterms:W3CDTF">2026-03-09T20:09:30Z</dcterms:created>
  <dcterms:modified xsi:type="dcterms:W3CDTF">2026-03-24T20:24:47Z</dcterms:modified>
</cp:coreProperties>
</file>