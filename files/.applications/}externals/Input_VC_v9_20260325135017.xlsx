
<file path=[Content_Types].xml><?xml version="1.0" encoding="utf-8"?>
<Types xmlns="http://schemas.openxmlformats.org/package/2006/content-types">
  <Default Extension="bin" ContentType="application/vnd.openxmlformats-officedocument.spreadsheetml.customProperty"/>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ticonsultores-my.sharepoint.com/personal/fmiranda_ctiglobal_com/Documents/Área de Trabalho/Votorantim/Relatorios/"/>
    </mc:Choice>
  </mc:AlternateContent>
  <xr:revisionPtr revIDLastSave="0" documentId="8_{E58E86D2-140E-4343-9863-3A3C180AE5A3}" xr6:coauthVersionLast="47" xr6:coauthVersionMax="47" xr10:uidLastSave="{00000000-0000-0000-0000-000000000000}"/>
  <bookViews>
    <workbookView xWindow="-120" yWindow="-120" windowWidth="29040" windowHeight="15720" xr2:uid="{CDA19FDD-75B2-41E7-A310-50001757EE51}"/>
  </bookViews>
  <sheets>
    <sheet name="Cons_Region" sheetId="11" r:id="rId1"/>
    <sheet name="Input_Prod_01" sheetId="4" r:id="rId2"/>
    <sheet name="Input_Prod_02" sheetId="12" state="hidden" r:id="rId3"/>
    <sheet name="Input_Prod_03" sheetId="13" state="hidden" r:id="rId4"/>
    <sheet name="Input_Prod_04" sheetId="14" state="hidden" r:id="rId5"/>
    <sheet name="Opening" sheetId="10" r:id="rId6"/>
    <sheet name="Data Table Style #2" sheetId="3" state="hidden" r:id="rId7"/>
    <sheet name="Cognos_Office_Connection_Cache" sheetId="5" state="veryHidden" r:id="rId8"/>
  </sheets>
  <externalReferences>
    <externalReference r:id="rId9"/>
  </externalReferences>
  <definedNames>
    <definedName name="__123Graph_A" hidden="1">#REF!</definedName>
    <definedName name="__123Graph_ACOMPARA" hidden="1">#REF!</definedName>
    <definedName name="__123Graph_ACONSMED" hidden="1">#REF!</definedName>
    <definedName name="__123Graph_APREVRCOM" hidden="1">#REF!</definedName>
    <definedName name="__123Graph_APREVREALI" hidden="1">#REF!</definedName>
    <definedName name="__123Graph_APREVRIND" hidden="1">#REF!</definedName>
    <definedName name="__123Graph_APREVROUT" hidden="1">#REF!</definedName>
    <definedName name="__123Graph_APREVRRES" hidden="1">#REF!</definedName>
    <definedName name="__123Graph_APREVRTOT" hidden="1">#REF!</definedName>
    <definedName name="__123Graph_B" hidden="1">#REF!</definedName>
    <definedName name="__123Graph_BCOMPARA" hidden="1">#REF!</definedName>
    <definedName name="__123Graph_BPREVREALI" hidden="1">#REF!</definedName>
    <definedName name="__123Graph_CPREVREALI" hidden="1">#REF!</definedName>
    <definedName name="__123Graph_D" hidden="1">#REF!</definedName>
    <definedName name="__123Graph_DCOMPARA" hidden="1">#REF!</definedName>
    <definedName name="__123Graph_DPREVREALI" hidden="1">#REF!</definedName>
    <definedName name="__123Graph_EPREVREALI" hidden="1">#REF!</definedName>
    <definedName name="__123Graph_F" hidden="1">#REF!</definedName>
    <definedName name="__123Graph_FCOMPARA" hidden="1">#REF!</definedName>
    <definedName name="__123Graph_XCONSMED" hidden="1">#REF!</definedName>
    <definedName name="__123Graph_XELASTIC" hidden="1">#REF!</definedName>
    <definedName name="__123Graph_XPREVRCOM" hidden="1">#REF!</definedName>
    <definedName name="__123Graph_XPREVREALI" hidden="1">#REF!</definedName>
    <definedName name="__123Graph_XPREVRIND" hidden="1">#REF!</definedName>
    <definedName name="__123Graph_XPREVROUT" hidden="1">[1]Mercado!#REF!</definedName>
    <definedName name="__123Graph_XPREVRRES" hidden="1">#REF!</definedName>
    <definedName name="__123Graph_XPREVRTOT" hidden="1">#REF!</definedName>
    <definedName name="_2_0_Dist_Val" hidden="1">#REF!</definedName>
    <definedName name="_4_0_F"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516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ist_Bin" hidden="1">#REF!</definedName>
    <definedName name="_Dist_Values" hidden="1">#REF!</definedName>
    <definedName name="_Fill" hidden="1">#REF!</definedName>
    <definedName name="_Key1" hidden="1">#REF!</definedName>
    <definedName name="_Order1" hidden="1">0</definedName>
    <definedName name="aaaaaaaaaaaaaaaaaaaaaaaaaa" hidden="1">"(GMT-03:00)24/06/2015 16:31:05"</definedName>
    <definedName name="anscount" hidden="1">3</definedName>
    <definedName name="cafe_validation_temp" hidden="1">Cognos_Office_Connection_Cache!$B$2:$B$12</definedName>
    <definedName name="EPMWorkbookOptions_1" hidden="1">"dgEAAB+LCAAAAAAABADtvQdgHEmWJSYvbcp7f0r1StfgdKEIgGATJNiQQBDswYjN5pLsHWlHIymrKoHKZVZlXWYWQMztnbz33nvvvffee++997o7nU4n99//P1xmZAFs9s5K2smeIYCqyB8/fnwfPyIe/x7vFmV6mddNUS0/+2h3vPNRmi+n1axYXnz20bo939799KPf4+g3Th5/t6rfTqrq7Zerlpo2Kb23bB69a4rPPpq37erR3btXV1fj"</definedName>
    <definedName name="EPMWorkbookOptions_2" hidden="1">"q3vjqr64u7ezs3v39/7i+evpPF9k28WyabPlNP/IvjW7+a2PqNc0ffwqP6/zZv7l8stVvjw6z8omf3w3/JDbnZR5Vj/N2uzL5evsMjctux9zWzOWl3XV5tM2n5nW/S/C9lez9K58dNb8ZFYX2aTMv8jrCweh9zmRzoJV2h39P45h/1l2AQAA"</definedName>
    <definedName name="EV__EVCOM_OPTIONS__" hidden="1">8</definedName>
    <definedName name="EV__EXPOPTIONS__" hidden="1">0</definedName>
    <definedName name="EV__LASTREFTIME__" hidden="1">"(GMT-03:00)19/08/2015 17:08:16"</definedName>
    <definedName name="EV__LASTREFTIME___1" hidden="1">"(GMT-03:00)19/08/2015 17:08:16"</definedName>
    <definedName name="EV__MAXEXPCOLS__" hidden="1">100</definedName>
    <definedName name="EV__MAXEXPROWS__" hidden="1">1000</definedName>
    <definedName name="EV__MEMORYCVW__" hidden="1">0</definedName>
    <definedName name="EV__WBEVMODE__" hidden="1">1</definedName>
    <definedName name="EV__WBREFOPTIONS__" hidden="1">134217732</definedName>
    <definedName name="EV__WBVERSION__" hidden="1">0</definedName>
    <definedName name="ID" localSheetId="7" hidden="1">"8cf5af60-f32c-4d17-a048-978f4aaf10e7"</definedName>
    <definedName name="ID" localSheetId="0" hidden="1">"b8bf1036-8a64-45be-90a6-f55a5830b4e7"</definedName>
    <definedName name="ID" localSheetId="6" hidden="1">"182707c2-558b-4bdb-8ec3-7d5f11558c6a"</definedName>
    <definedName name="ID" localSheetId="1" hidden="1">"1414a462-bf13-4731-9c08-ea86933b6bde"</definedName>
    <definedName name="ID" localSheetId="2" hidden="1">"676a63c1-f43c-4518-b3ca-e3dc9fe2860a"</definedName>
    <definedName name="ID" localSheetId="3" hidden="1">"01a3b281-cf6e-416a-8187-15c13317fc18"</definedName>
    <definedName name="ID" localSheetId="4" hidden="1">"565c980d-3556-45ea-a6c3-541bca180c86"</definedName>
    <definedName name="ID" localSheetId="5" hidden="1">"d88367c1-eea5-4e4d-9529-bb0b9173de43"</definedName>
    <definedName name="ID_1" localSheetId="0" hidden="1">"a376d371-2eeb-41d5-a15e-b1b031ed95af"</definedName>
    <definedName name="ID_1" localSheetId="1" hidden="1">"a376d371-2eeb-41d5-a15e-b1b031ed95af"</definedName>
    <definedName name="ID_1" localSheetId="2" hidden="1">"a376d371-2eeb-41d5-a15e-b1b031ed95af"</definedName>
    <definedName name="ID_1" localSheetId="3" hidden="1">"a376d371-2eeb-41d5-a15e-b1b031ed95af"</definedName>
    <definedName name="ID_1" localSheetId="4" hidden="1">"a376d371-2eeb-41d5-a15e-b1b031ed95af"</definedName>
    <definedName name="ID_1" localSheetId="5" hidden="1">"a376d371-2eeb-41d5-a15e-b1b031ed95af"</definedName>
    <definedName name="limcount" hidden="1">3</definedName>
    <definedName name="Moeda" hidden="1">#NAME?</definedName>
    <definedName name="Moeda2" hidden="1">#NAME?</definedName>
    <definedName name="Pal_Workbook_GUID" hidden="1">"8K8KFLBWNVJH1BNZRXPZ8WSS"</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revision" hidden="1">14</definedName>
    <definedName name="SAPBEXsysID" hidden="1">"BW3"</definedName>
    <definedName name="SAPBEXwbID" hidden="1">"3SO04G3IWYENSZLK6QOKKYLB2"</definedName>
    <definedName name="sencount" hidden="1">3</definedName>
    <definedName name="XRefCopy16" hidden="1">#REF!</definedName>
    <definedName name="XRefCopy18" hidden="1">#REF!</definedName>
    <definedName name="XRefCopy2" hidden="1">#REF!</definedName>
    <definedName name="XRefCopy3" hidden="1">#REF!</definedName>
    <definedName name="XRefCopy4" hidden="1">#REF!</definedName>
    <definedName name="XRefCopy5" hidden="1">#REF!</definedName>
    <definedName name="XRefCopy6" hidden="1">#REF!</definedName>
    <definedName name="XRefCopyRangeCount" hidden="1">1</definedName>
    <definedName name="XRefPaste1" hidden="1">#REF!</definedName>
    <definedName name="XRefPaste18" hidden="1">#REF!</definedName>
    <definedName name="XRefPaste2" hidden="1">#REF!</definedName>
    <definedName name="XRefPaste3" hidden="1">#REF!</definedName>
    <definedName name="XRefPaste4" hidden="1">#REF!</definedName>
    <definedName name="XRefPaste5" hidden="1">#REF!</definedName>
    <definedName name="XRefPaste6" hidden="1">#REF!</definedName>
    <definedName name="XRefPasteRangeCount" hidden="1">1</definedName>
  </definedNames>
  <calcPr calcId="191029" calcMode="manual"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1" l="1"/>
  <c r="D9" i="11"/>
  <c r="M1" i="11"/>
  <c r="G9" i="11"/>
  <c r="J9" i="11"/>
  <c r="N213" i="11"/>
  <c r="M213" i="11"/>
  <c r="L213" i="11"/>
  <c r="K213" i="11"/>
  <c r="J213" i="11"/>
  <c r="I213" i="11"/>
  <c r="H213" i="11"/>
  <c r="G213" i="11"/>
  <c r="F213" i="11"/>
  <c r="E213" i="11"/>
  <c r="D213" i="11"/>
  <c r="C213" i="11"/>
  <c r="N218" i="11"/>
  <c r="M218" i="11"/>
  <c r="L218" i="11"/>
  <c r="K218" i="11"/>
  <c r="J218" i="11"/>
  <c r="I218" i="11"/>
  <c r="H218" i="11"/>
  <c r="G218" i="11"/>
  <c r="F218" i="11"/>
  <c r="E218" i="11"/>
  <c r="D218" i="11"/>
  <c r="C218" i="11"/>
  <c r="N217" i="11"/>
  <c r="M217" i="11"/>
  <c r="L217" i="11"/>
  <c r="K217" i="11"/>
  <c r="J217" i="11"/>
  <c r="I217" i="11"/>
  <c r="H217" i="11"/>
  <c r="G217" i="11"/>
  <c r="F217" i="11"/>
  <c r="E217" i="11"/>
  <c r="D217" i="11"/>
  <c r="C217" i="11"/>
  <c r="N216" i="11"/>
  <c r="M216" i="11"/>
  <c r="L216" i="11"/>
  <c r="K216" i="11"/>
  <c r="J216" i="11"/>
  <c r="I216" i="11"/>
  <c r="H216" i="11"/>
  <c r="G216" i="11"/>
  <c r="F216" i="11"/>
  <c r="E216" i="11"/>
  <c r="D216" i="11"/>
  <c r="C216" i="11"/>
  <c r="N215" i="11"/>
  <c r="M215" i="11"/>
  <c r="L215" i="11"/>
  <c r="K215" i="11"/>
  <c r="J215" i="11"/>
  <c r="I215" i="11"/>
  <c r="H215" i="11"/>
  <c r="G215" i="11"/>
  <c r="F215" i="11"/>
  <c r="E215" i="11"/>
  <c r="D215" i="11"/>
  <c r="C215" i="11"/>
  <c r="N214" i="11"/>
  <c r="M214" i="11"/>
  <c r="L214" i="11"/>
  <c r="K214" i="11"/>
  <c r="J214" i="11"/>
  <c r="I214" i="11"/>
  <c r="H214" i="11"/>
  <c r="G214" i="11"/>
  <c r="F214" i="11"/>
  <c r="E214" i="11"/>
  <c r="D214" i="11"/>
  <c r="C214" i="11"/>
  <c r="B1" i="11"/>
  <c r="N212" i="11"/>
  <c r="M212" i="11"/>
  <c r="L212" i="11"/>
  <c r="K212" i="11"/>
  <c r="J212" i="11"/>
  <c r="I212" i="11"/>
  <c r="H212" i="11"/>
  <c r="G212" i="11"/>
  <c r="F212" i="11"/>
  <c r="E212" i="11"/>
  <c r="D212" i="11"/>
  <c r="C212" i="11"/>
  <c r="G196" i="11"/>
  <c r="C200" i="11"/>
  <c r="G154" i="11"/>
  <c r="C158" i="11"/>
  <c r="C4" i="11"/>
  <c r="N207" i="11"/>
  <c r="M207" i="11"/>
  <c r="L207" i="11"/>
  <c r="K207" i="11"/>
  <c r="J207" i="11"/>
  <c r="I207" i="11"/>
  <c r="H207" i="11"/>
  <c r="G207" i="11"/>
  <c r="F207" i="11"/>
  <c r="E207" i="11"/>
  <c r="D207" i="11"/>
  <c r="C207" i="11"/>
  <c r="G182" i="11"/>
  <c r="N193" i="11"/>
  <c r="M193" i="11"/>
  <c r="L193" i="11"/>
  <c r="K193" i="11"/>
  <c r="J193" i="11"/>
  <c r="I193" i="11"/>
  <c r="H193" i="11"/>
  <c r="G193" i="11"/>
  <c r="F193" i="11"/>
  <c r="E193" i="11"/>
  <c r="D193" i="11"/>
  <c r="C193" i="11"/>
  <c r="N192" i="11"/>
  <c r="M192" i="11"/>
  <c r="L192" i="11"/>
  <c r="K192" i="11"/>
  <c r="J192" i="11"/>
  <c r="I192" i="11"/>
  <c r="H192" i="11"/>
  <c r="G192" i="11"/>
  <c r="F192" i="11"/>
  <c r="E192" i="11"/>
  <c r="D192" i="11"/>
  <c r="C192" i="11"/>
  <c r="N191" i="11"/>
  <c r="M191" i="11"/>
  <c r="L191" i="11"/>
  <c r="K191" i="11"/>
  <c r="J191" i="11"/>
  <c r="I191" i="11"/>
  <c r="H191" i="11"/>
  <c r="G191" i="11"/>
  <c r="F191" i="11"/>
  <c r="E191" i="11"/>
  <c r="D191" i="11"/>
  <c r="C191" i="11"/>
  <c r="N190" i="11"/>
  <c r="M190" i="11"/>
  <c r="L190" i="11"/>
  <c r="K190" i="11"/>
  <c r="J190" i="11"/>
  <c r="I190" i="11"/>
  <c r="H190" i="11"/>
  <c r="G190" i="11"/>
  <c r="F190" i="11"/>
  <c r="E190" i="11"/>
  <c r="D190" i="11"/>
  <c r="C190" i="11"/>
  <c r="N189" i="11"/>
  <c r="M189" i="11"/>
  <c r="L189" i="11"/>
  <c r="K189" i="11"/>
  <c r="J189" i="11"/>
  <c r="I189" i="11"/>
  <c r="H189" i="11"/>
  <c r="G189" i="11"/>
  <c r="F189" i="11"/>
  <c r="E189" i="11"/>
  <c r="D189" i="11"/>
  <c r="C189" i="11"/>
  <c r="N188" i="11"/>
  <c r="M188" i="11"/>
  <c r="L188" i="11"/>
  <c r="K188" i="11"/>
  <c r="J188" i="11"/>
  <c r="I188" i="11"/>
  <c r="H188" i="11"/>
  <c r="G188" i="11"/>
  <c r="F188" i="11"/>
  <c r="E188" i="11"/>
  <c r="D188" i="11"/>
  <c r="C188" i="11"/>
  <c r="N187" i="11"/>
  <c r="M187" i="11"/>
  <c r="L187" i="11"/>
  <c r="K187" i="11"/>
  <c r="J187" i="11"/>
  <c r="I187" i="11"/>
  <c r="H187" i="11"/>
  <c r="G187" i="11"/>
  <c r="F187" i="11"/>
  <c r="E187" i="11"/>
  <c r="D187" i="11"/>
  <c r="C187" i="11"/>
  <c r="N186" i="11"/>
  <c r="M186" i="11"/>
  <c r="L186" i="11"/>
  <c r="K186" i="11"/>
  <c r="J186" i="11"/>
  <c r="I186" i="11"/>
  <c r="H186" i="11"/>
  <c r="G186" i="11"/>
  <c r="F186" i="11"/>
  <c r="E186" i="11"/>
  <c r="D186" i="11"/>
  <c r="C186" i="11"/>
  <c r="N185" i="11"/>
  <c r="M185" i="11"/>
  <c r="L185" i="11"/>
  <c r="K185" i="11"/>
  <c r="J185" i="11"/>
  <c r="I185" i="11"/>
  <c r="H185" i="11"/>
  <c r="G185" i="11"/>
  <c r="F185" i="11"/>
  <c r="E185" i="11"/>
  <c r="D185" i="11"/>
  <c r="C185" i="11"/>
  <c r="G168" i="11"/>
  <c r="N179" i="11"/>
  <c r="M179" i="11"/>
  <c r="L179" i="11"/>
  <c r="K179" i="11"/>
  <c r="J179" i="11"/>
  <c r="I179" i="11"/>
  <c r="H179" i="11"/>
  <c r="G179" i="11"/>
  <c r="F179" i="11"/>
  <c r="E179" i="11"/>
  <c r="D179" i="11"/>
  <c r="C179" i="11"/>
  <c r="N165" i="11"/>
  <c r="M165" i="11"/>
  <c r="L165" i="11"/>
  <c r="K165" i="11"/>
  <c r="J165" i="11"/>
  <c r="I165" i="11"/>
  <c r="H165" i="11"/>
  <c r="G165" i="11"/>
  <c r="F165" i="11"/>
  <c r="E165" i="11"/>
  <c r="D165" i="11"/>
  <c r="C165" i="11"/>
  <c r="N178" i="11"/>
  <c r="M178" i="11"/>
  <c r="L178" i="11"/>
  <c r="K178" i="11"/>
  <c r="J178" i="11"/>
  <c r="I178" i="11"/>
  <c r="H178" i="11"/>
  <c r="G178" i="11"/>
  <c r="F178" i="11"/>
  <c r="E178" i="11"/>
  <c r="D178" i="11"/>
  <c r="C178" i="11"/>
  <c r="N177" i="11"/>
  <c r="M177" i="11"/>
  <c r="L177" i="11"/>
  <c r="K177" i="11"/>
  <c r="J177" i="11"/>
  <c r="I177" i="11"/>
  <c r="H177" i="11"/>
  <c r="G177" i="11"/>
  <c r="F177" i="11"/>
  <c r="E177" i="11"/>
  <c r="D177" i="11"/>
  <c r="C177" i="11"/>
  <c r="N176" i="11"/>
  <c r="M176" i="11"/>
  <c r="L176" i="11"/>
  <c r="K176" i="11"/>
  <c r="J176" i="11"/>
  <c r="I176" i="11"/>
  <c r="H176" i="11"/>
  <c r="G176" i="11"/>
  <c r="F176" i="11"/>
  <c r="E176" i="11"/>
  <c r="D176" i="11"/>
  <c r="C176" i="11"/>
  <c r="N175" i="11"/>
  <c r="M175" i="11"/>
  <c r="L175" i="11"/>
  <c r="K175" i="11"/>
  <c r="J175" i="11"/>
  <c r="I175" i="11"/>
  <c r="H175" i="11"/>
  <c r="G175" i="11"/>
  <c r="F175" i="11"/>
  <c r="E175" i="11"/>
  <c r="D175" i="11"/>
  <c r="C175" i="11"/>
  <c r="N174" i="11"/>
  <c r="M174" i="11"/>
  <c r="L174" i="11"/>
  <c r="K174" i="11"/>
  <c r="J174" i="11"/>
  <c r="I174" i="11"/>
  <c r="H174" i="11"/>
  <c r="G174" i="11"/>
  <c r="F174" i="11"/>
  <c r="E174" i="11"/>
  <c r="D174" i="11"/>
  <c r="C174" i="11"/>
  <c r="N173" i="11"/>
  <c r="M173" i="11"/>
  <c r="L173" i="11"/>
  <c r="K173" i="11"/>
  <c r="J173" i="11"/>
  <c r="I173" i="11"/>
  <c r="H173" i="11"/>
  <c r="G173" i="11"/>
  <c r="F173" i="11"/>
  <c r="E173" i="11"/>
  <c r="D173" i="11"/>
  <c r="C173" i="11"/>
  <c r="N172" i="11"/>
  <c r="M172" i="11"/>
  <c r="L172" i="11"/>
  <c r="K172" i="11"/>
  <c r="J172" i="11"/>
  <c r="I172" i="11"/>
  <c r="H172" i="11"/>
  <c r="G172" i="11"/>
  <c r="F172" i="11"/>
  <c r="E172" i="11"/>
  <c r="D172" i="11"/>
  <c r="C172" i="11"/>
  <c r="N171" i="11"/>
  <c r="M171" i="11"/>
  <c r="L171" i="11"/>
  <c r="K171" i="11"/>
  <c r="J171" i="11"/>
  <c r="I171" i="11"/>
  <c r="H171" i="11"/>
  <c r="G171" i="11"/>
  <c r="F171" i="11"/>
  <c r="E171" i="11"/>
  <c r="D171" i="11"/>
  <c r="C171" i="11"/>
  <c r="N164" i="11"/>
  <c r="M164" i="11"/>
  <c r="L164" i="11"/>
  <c r="K164" i="11"/>
  <c r="J164" i="11"/>
  <c r="I164" i="11"/>
  <c r="H164" i="11"/>
  <c r="G164" i="11"/>
  <c r="F164" i="11"/>
  <c r="E164" i="11"/>
  <c r="D164" i="11"/>
  <c r="C164" i="11"/>
  <c r="N163" i="11"/>
  <c r="M163" i="11"/>
  <c r="L163" i="11"/>
  <c r="K163" i="11"/>
  <c r="J163" i="11"/>
  <c r="I163" i="11"/>
  <c r="H163" i="11"/>
  <c r="G163" i="11"/>
  <c r="F163" i="11"/>
  <c r="E163" i="11"/>
  <c r="D163" i="11"/>
  <c r="C163" i="11"/>
  <c r="N162" i="11"/>
  <c r="M162" i="11"/>
  <c r="L162" i="11"/>
  <c r="K162" i="11"/>
  <c r="J162" i="11"/>
  <c r="I162" i="11"/>
  <c r="H162" i="11"/>
  <c r="G162" i="11"/>
  <c r="F162" i="11"/>
  <c r="E162" i="11"/>
  <c r="D162" i="11"/>
  <c r="C162" i="11"/>
  <c r="N161" i="11"/>
  <c r="M161" i="11"/>
  <c r="L161" i="11"/>
  <c r="K161" i="11"/>
  <c r="J161" i="11"/>
  <c r="I161" i="11"/>
  <c r="H161" i="11"/>
  <c r="G161" i="11"/>
  <c r="F161" i="11"/>
  <c r="E161" i="11"/>
  <c r="D161" i="11"/>
  <c r="C161" i="11"/>
  <c r="N160" i="11"/>
  <c r="M160" i="11"/>
  <c r="L160" i="11"/>
  <c r="K160" i="11"/>
  <c r="J160" i="11"/>
  <c r="I160" i="11"/>
  <c r="H160" i="11"/>
  <c r="G160" i="11"/>
  <c r="F160" i="11"/>
  <c r="E160" i="11"/>
  <c r="D160" i="11"/>
  <c r="C160" i="11"/>
  <c r="N159" i="11"/>
  <c r="M159" i="11"/>
  <c r="L159" i="11"/>
  <c r="K159" i="11"/>
  <c r="J159" i="11"/>
  <c r="I159" i="11"/>
  <c r="H159" i="11"/>
  <c r="G159" i="11"/>
  <c r="F159" i="11"/>
  <c r="E159" i="11"/>
  <c r="D159" i="11"/>
  <c r="C159" i="11"/>
  <c r="N158" i="11"/>
  <c r="M158" i="11"/>
  <c r="L158" i="11"/>
  <c r="K158" i="11"/>
  <c r="J158" i="11"/>
  <c r="I158" i="11"/>
  <c r="H158" i="11"/>
  <c r="G158" i="11"/>
  <c r="F158" i="11"/>
  <c r="E158" i="11"/>
  <c r="D158" i="11"/>
  <c r="N157" i="11"/>
  <c r="M157" i="11"/>
  <c r="L157" i="11"/>
  <c r="K157" i="11"/>
  <c r="J157" i="11"/>
  <c r="I157" i="11"/>
  <c r="H157" i="11"/>
  <c r="G157" i="11"/>
  <c r="F157" i="11"/>
  <c r="E157" i="11"/>
  <c r="D157" i="11"/>
  <c r="C157" i="11"/>
  <c r="N206" i="11"/>
  <c r="M206" i="11"/>
  <c r="L206" i="11"/>
  <c r="K206" i="11"/>
  <c r="J206" i="11"/>
  <c r="I206" i="11"/>
  <c r="H206" i="11"/>
  <c r="G206" i="11"/>
  <c r="F206" i="11"/>
  <c r="E206" i="11"/>
  <c r="D206" i="11"/>
  <c r="C206" i="11"/>
  <c r="N205" i="11"/>
  <c r="M205" i="11"/>
  <c r="L205" i="11"/>
  <c r="K205" i="11"/>
  <c r="J205" i="11"/>
  <c r="I205" i="11"/>
  <c r="H205" i="11"/>
  <c r="G205" i="11"/>
  <c r="F205" i="11"/>
  <c r="E205" i="11"/>
  <c r="D205" i="11"/>
  <c r="C205" i="11"/>
  <c r="N204" i="11"/>
  <c r="M204" i="11"/>
  <c r="L204" i="11"/>
  <c r="K204" i="11"/>
  <c r="J204" i="11"/>
  <c r="I204" i="11"/>
  <c r="H204" i="11"/>
  <c r="G204" i="11"/>
  <c r="F204" i="11"/>
  <c r="E204" i="11"/>
  <c r="D204" i="11"/>
  <c r="C204" i="11"/>
  <c r="N203" i="11"/>
  <c r="M203" i="11"/>
  <c r="L203" i="11"/>
  <c r="K203" i="11"/>
  <c r="J203" i="11"/>
  <c r="I203" i="11"/>
  <c r="H203" i="11"/>
  <c r="G203" i="11"/>
  <c r="F203" i="11"/>
  <c r="E203" i="11"/>
  <c r="D203" i="11"/>
  <c r="C203" i="11"/>
  <c r="N201" i="11"/>
  <c r="M201" i="11"/>
  <c r="L201" i="11"/>
  <c r="K201" i="11"/>
  <c r="J201" i="11"/>
  <c r="I201" i="11"/>
  <c r="H201" i="11"/>
  <c r="G201" i="11"/>
  <c r="F201" i="11"/>
  <c r="E201" i="11"/>
  <c r="D201" i="11"/>
  <c r="C201" i="11"/>
  <c r="N200" i="11"/>
  <c r="M200" i="11"/>
  <c r="L200" i="11"/>
  <c r="K200" i="11"/>
  <c r="J200" i="11"/>
  <c r="I200" i="11"/>
  <c r="H200" i="11"/>
  <c r="G200" i="11"/>
  <c r="F200" i="11"/>
  <c r="E200" i="11"/>
  <c r="D200" i="11"/>
  <c r="N199" i="11"/>
  <c r="M199" i="11"/>
  <c r="L199" i="11"/>
  <c r="K199" i="11"/>
  <c r="J199" i="11"/>
  <c r="I199" i="11"/>
  <c r="H199" i="11"/>
  <c r="G199" i="11"/>
  <c r="F199" i="11"/>
  <c r="E199" i="11"/>
  <c r="D199" i="11"/>
  <c r="C199" i="11"/>
  <c r="N198" i="11"/>
  <c r="M198" i="11"/>
  <c r="L198" i="11"/>
  <c r="K198" i="11"/>
  <c r="J198" i="11"/>
  <c r="I198" i="11"/>
  <c r="H198" i="11"/>
  <c r="G198" i="11"/>
  <c r="F198" i="11"/>
  <c r="E198" i="11"/>
  <c r="D198" i="11"/>
  <c r="C198" i="11"/>
  <c r="N184" i="11"/>
  <c r="M184" i="11"/>
  <c r="L184" i="11"/>
  <c r="K184" i="11"/>
  <c r="J184" i="11"/>
  <c r="I184" i="11"/>
  <c r="H184" i="11"/>
  <c r="G184" i="11"/>
  <c r="F184" i="11"/>
  <c r="E184" i="11"/>
  <c r="D184" i="11"/>
  <c r="C184" i="11"/>
  <c r="N170" i="11"/>
  <c r="M170" i="11"/>
  <c r="L170" i="11"/>
  <c r="K170" i="11"/>
  <c r="J170" i="11"/>
  <c r="I170" i="11"/>
  <c r="H170" i="11"/>
  <c r="G170" i="11"/>
  <c r="F170" i="11"/>
  <c r="E170" i="11"/>
  <c r="D170" i="11"/>
  <c r="C170" i="11"/>
  <c r="N156" i="11"/>
  <c r="M156" i="11"/>
  <c r="L156" i="11"/>
  <c r="K156" i="11"/>
  <c r="J156" i="11"/>
  <c r="I156" i="11"/>
  <c r="H156" i="11"/>
  <c r="G156" i="11"/>
  <c r="F156" i="11"/>
  <c r="E156" i="11"/>
  <c r="D156" i="11"/>
  <c r="C156" i="11"/>
  <c r="N96" i="11"/>
  <c r="M96" i="11"/>
  <c r="L96" i="11"/>
  <c r="K96" i="11"/>
  <c r="J96" i="11"/>
  <c r="I96" i="11"/>
  <c r="H96" i="11"/>
  <c r="G96" i="11"/>
  <c r="F96" i="11"/>
  <c r="E96" i="11"/>
  <c r="D96" i="11"/>
  <c r="C96" i="11"/>
  <c r="N95" i="11"/>
  <c r="M95" i="11"/>
  <c r="L95" i="11"/>
  <c r="K95" i="11"/>
  <c r="J95" i="11"/>
  <c r="I95" i="11"/>
  <c r="H95" i="11"/>
  <c r="G95" i="11"/>
  <c r="F95" i="11"/>
  <c r="E95" i="11"/>
  <c r="D95" i="11"/>
  <c r="C95" i="11"/>
  <c r="N94" i="11"/>
  <c r="M94" i="11"/>
  <c r="L94" i="11"/>
  <c r="K94" i="11"/>
  <c r="J94" i="11"/>
  <c r="I94" i="11"/>
  <c r="H94" i="11"/>
  <c r="G94" i="11"/>
  <c r="F94" i="11"/>
  <c r="E94" i="11"/>
  <c r="D94" i="11"/>
  <c r="C94" i="11"/>
  <c r="N93" i="11"/>
  <c r="M93" i="11"/>
  <c r="L93" i="11"/>
  <c r="K93" i="11"/>
  <c r="J93" i="11"/>
  <c r="I93" i="11"/>
  <c r="H93" i="11"/>
  <c r="G93" i="11"/>
  <c r="F93" i="11"/>
  <c r="E93" i="11"/>
  <c r="D93" i="11"/>
  <c r="C93" i="11"/>
  <c r="N92" i="11"/>
  <c r="M92" i="11"/>
  <c r="L92" i="11"/>
  <c r="K92" i="11"/>
  <c r="J92" i="11"/>
  <c r="I92" i="11"/>
  <c r="H92" i="11"/>
  <c r="G92" i="11"/>
  <c r="F92" i="11"/>
  <c r="E92" i="11"/>
  <c r="D92" i="11"/>
  <c r="C92" i="11"/>
  <c r="D9" i="4"/>
  <c r="B1" i="4"/>
  <c r="M1" i="4"/>
  <c r="G9" i="4"/>
  <c r="J9" i="4"/>
  <c r="E30" i="4"/>
  <c r="N54" i="4"/>
  <c r="M54" i="4"/>
  <c r="L54" i="4"/>
  <c r="K54" i="4"/>
  <c r="J54" i="4"/>
  <c r="I54" i="4"/>
  <c r="H54" i="4"/>
  <c r="G54" i="4"/>
  <c r="F54" i="4"/>
  <c r="E54" i="4"/>
  <c r="D54" i="4"/>
  <c r="C54" i="4"/>
  <c r="N70" i="4"/>
  <c r="M70" i="4"/>
  <c r="L70" i="4"/>
  <c r="K70" i="4"/>
  <c r="J70" i="4"/>
  <c r="I70" i="4"/>
  <c r="H70" i="4"/>
  <c r="G70" i="4"/>
  <c r="F70" i="4"/>
  <c r="E70" i="4"/>
  <c r="D70" i="4"/>
  <c r="C70" i="4"/>
  <c r="N69" i="4"/>
  <c r="M69" i="4"/>
  <c r="L69" i="4"/>
  <c r="K69" i="4"/>
  <c r="J69" i="4"/>
  <c r="I69" i="4"/>
  <c r="H69" i="4"/>
  <c r="G69" i="4"/>
  <c r="F69" i="4"/>
  <c r="E69" i="4"/>
  <c r="D69" i="4"/>
  <c r="C69" i="4"/>
  <c r="N68" i="4"/>
  <c r="M68" i="4"/>
  <c r="L68" i="4"/>
  <c r="K68" i="4"/>
  <c r="J68" i="4"/>
  <c r="I68" i="4"/>
  <c r="H68" i="4"/>
  <c r="G68" i="4"/>
  <c r="F68" i="4"/>
  <c r="E68" i="4"/>
  <c r="D68" i="4"/>
  <c r="C68" i="4"/>
  <c r="N67" i="4"/>
  <c r="M67" i="4"/>
  <c r="L67" i="4"/>
  <c r="K67" i="4"/>
  <c r="J67" i="4"/>
  <c r="I67" i="4"/>
  <c r="H67" i="4"/>
  <c r="G67" i="4"/>
  <c r="F67" i="4"/>
  <c r="E67" i="4"/>
  <c r="D67" i="4"/>
  <c r="C67" i="4"/>
  <c r="N66" i="4"/>
  <c r="M66" i="4"/>
  <c r="L66" i="4"/>
  <c r="K66" i="4"/>
  <c r="J66" i="4"/>
  <c r="I66" i="4"/>
  <c r="H66" i="4"/>
  <c r="G66" i="4"/>
  <c r="F66" i="4"/>
  <c r="E66" i="4"/>
  <c r="D66" i="4"/>
  <c r="C66" i="4"/>
  <c r="N65" i="4"/>
  <c r="M65" i="4"/>
  <c r="L65" i="4"/>
  <c r="K65" i="4"/>
  <c r="J65" i="4"/>
  <c r="I65" i="4"/>
  <c r="H65" i="4"/>
  <c r="G65" i="4"/>
  <c r="F65" i="4"/>
  <c r="E65" i="4"/>
  <c r="D65" i="4"/>
  <c r="C65" i="4"/>
  <c r="N64" i="4"/>
  <c r="M64" i="4"/>
  <c r="L64" i="4"/>
  <c r="K64" i="4"/>
  <c r="J64" i="4"/>
  <c r="I64" i="4"/>
  <c r="H64" i="4"/>
  <c r="G64" i="4"/>
  <c r="F64" i="4"/>
  <c r="E64" i="4"/>
  <c r="D64" i="4"/>
  <c r="C64" i="4"/>
  <c r="N63" i="4"/>
  <c r="M63" i="4"/>
  <c r="L63" i="4"/>
  <c r="K63" i="4"/>
  <c r="J63" i="4"/>
  <c r="I63" i="4"/>
  <c r="H63" i="4"/>
  <c r="G63" i="4"/>
  <c r="F63" i="4"/>
  <c r="E63" i="4"/>
  <c r="D63" i="4"/>
  <c r="C63" i="4"/>
  <c r="N62" i="4"/>
  <c r="M62" i="4"/>
  <c r="L62" i="4"/>
  <c r="K62" i="4"/>
  <c r="J62" i="4"/>
  <c r="I62" i="4"/>
  <c r="H62" i="4"/>
  <c r="G62" i="4"/>
  <c r="F62" i="4"/>
  <c r="E62" i="4"/>
  <c r="D62" i="4"/>
  <c r="C62" i="4"/>
  <c r="N61" i="4"/>
  <c r="M61" i="4"/>
  <c r="L61" i="4"/>
  <c r="K61" i="4"/>
  <c r="J61" i="4"/>
  <c r="I61" i="4"/>
  <c r="H61" i="4"/>
  <c r="G61" i="4"/>
  <c r="F61" i="4"/>
  <c r="E61" i="4"/>
  <c r="D61" i="4"/>
  <c r="C61" i="4"/>
  <c r="N60" i="4"/>
  <c r="M60" i="4"/>
  <c r="L60" i="4"/>
  <c r="K60" i="4"/>
  <c r="J60" i="4"/>
  <c r="I60" i="4"/>
  <c r="H60" i="4"/>
  <c r="G60" i="4"/>
  <c r="F60" i="4"/>
  <c r="E60" i="4"/>
  <c r="D60" i="4"/>
  <c r="C60" i="4"/>
  <c r="N59" i="4"/>
  <c r="M59" i="4"/>
  <c r="L59" i="4"/>
  <c r="K59" i="4"/>
  <c r="J59" i="4"/>
  <c r="I59" i="4"/>
  <c r="H59" i="4"/>
  <c r="G59" i="4"/>
  <c r="F59" i="4"/>
  <c r="E59" i="4"/>
  <c r="D59" i="4"/>
  <c r="C59" i="4"/>
  <c r="N58" i="4"/>
  <c r="M58" i="4"/>
  <c r="L58" i="4"/>
  <c r="K58" i="4"/>
  <c r="J58" i="4"/>
  <c r="I58" i="4"/>
  <c r="H58" i="4"/>
  <c r="G58" i="4"/>
  <c r="F58" i="4"/>
  <c r="E58" i="4"/>
  <c r="D58" i="4"/>
  <c r="C58" i="4"/>
  <c r="N57" i="4"/>
  <c r="M57" i="4"/>
  <c r="L57" i="4"/>
  <c r="K57" i="4"/>
  <c r="J57" i="4"/>
  <c r="I57" i="4"/>
  <c r="H57" i="4"/>
  <c r="G57" i="4"/>
  <c r="F57" i="4"/>
  <c r="E57" i="4"/>
  <c r="D57" i="4"/>
  <c r="C57" i="4"/>
  <c r="N56" i="4"/>
  <c r="M56" i="4"/>
  <c r="L56" i="4"/>
  <c r="K56" i="4"/>
  <c r="J56" i="4"/>
  <c r="I56" i="4"/>
  <c r="H56" i="4"/>
  <c r="G56" i="4"/>
  <c r="F56" i="4"/>
  <c r="E56" i="4"/>
  <c r="D56" i="4"/>
  <c r="C56" i="4"/>
  <c r="N55" i="4"/>
  <c r="M55" i="4"/>
  <c r="L55" i="4"/>
  <c r="K55" i="4"/>
  <c r="J55" i="4"/>
  <c r="I55" i="4"/>
  <c r="H55" i="4"/>
  <c r="G55" i="4"/>
  <c r="F55" i="4"/>
  <c r="E55" i="4"/>
  <c r="D55" i="4"/>
  <c r="C55" i="4"/>
  <c r="N236" i="11"/>
  <c r="M236" i="11"/>
  <c r="L236" i="11"/>
  <c r="K236" i="11"/>
  <c r="J236" i="11"/>
  <c r="I236" i="11"/>
  <c r="H236" i="11"/>
  <c r="G236" i="11"/>
  <c r="F236" i="11"/>
  <c r="E236" i="11"/>
  <c r="D236" i="11"/>
  <c r="C236" i="11"/>
  <c r="G229" i="11"/>
  <c r="N225" i="11"/>
  <c r="M225" i="11"/>
  <c r="L225" i="11"/>
  <c r="K225" i="11"/>
  <c r="J225" i="11"/>
  <c r="I225" i="11"/>
  <c r="H225" i="11"/>
  <c r="G225" i="11"/>
  <c r="F225" i="11"/>
  <c r="E225" i="11"/>
  <c r="D225" i="11"/>
  <c r="C225" i="11"/>
  <c r="G268" i="11"/>
  <c r="G259" i="11"/>
  <c r="G250" i="11"/>
  <c r="G239" i="11"/>
  <c r="G222" i="11"/>
  <c r="N247" i="11"/>
  <c r="M247" i="11"/>
  <c r="L247" i="11"/>
  <c r="K247" i="11"/>
  <c r="J247" i="11"/>
  <c r="I247" i="11"/>
  <c r="H247" i="11"/>
  <c r="G247" i="11"/>
  <c r="F247" i="11"/>
  <c r="E247" i="11"/>
  <c r="D247" i="11"/>
  <c r="C247" i="11"/>
  <c r="C133" i="11"/>
  <c r="C2" i="11"/>
  <c r="C13" i="11"/>
  <c r="D13" i="11"/>
  <c r="E13" i="11"/>
  <c r="F13" i="11"/>
  <c r="G13" i="11"/>
  <c r="H13" i="11"/>
  <c r="I13" i="11"/>
  <c r="J13" i="11"/>
  <c r="K13" i="11"/>
  <c r="L13" i="11"/>
  <c r="M13" i="11"/>
  <c r="N13" i="11"/>
  <c r="C14" i="11"/>
  <c r="D14" i="11"/>
  <c r="E14" i="11"/>
  <c r="F14" i="11"/>
  <c r="G14" i="11"/>
  <c r="H14" i="11"/>
  <c r="I14" i="11"/>
  <c r="J14" i="11"/>
  <c r="K14" i="11"/>
  <c r="L14" i="11"/>
  <c r="M14" i="11"/>
  <c r="N14" i="11"/>
  <c r="C15" i="11"/>
  <c r="D15" i="11"/>
  <c r="E15" i="11"/>
  <c r="F15" i="11"/>
  <c r="G15" i="11"/>
  <c r="H15" i="11"/>
  <c r="I15" i="11"/>
  <c r="J15" i="11"/>
  <c r="K15" i="11"/>
  <c r="L15" i="11"/>
  <c r="M15" i="11"/>
  <c r="N15" i="11"/>
  <c r="C16" i="11"/>
  <c r="D16" i="11"/>
  <c r="E16" i="11"/>
  <c r="F16" i="11"/>
  <c r="G16" i="11"/>
  <c r="H16" i="11"/>
  <c r="I16" i="11"/>
  <c r="J16" i="11"/>
  <c r="K16" i="11"/>
  <c r="L16" i="11"/>
  <c r="M16" i="11"/>
  <c r="N16" i="11"/>
  <c r="C17" i="11"/>
  <c r="D17" i="11"/>
  <c r="E17" i="11"/>
  <c r="F17" i="11"/>
  <c r="G17" i="11"/>
  <c r="H17" i="11"/>
  <c r="I17" i="11"/>
  <c r="J17" i="11"/>
  <c r="K17" i="11"/>
  <c r="L17" i="11"/>
  <c r="M17" i="11"/>
  <c r="N17" i="11"/>
  <c r="C18" i="11"/>
  <c r="D18" i="11"/>
  <c r="E18" i="11"/>
  <c r="F18" i="11"/>
  <c r="G18" i="11"/>
  <c r="H18" i="11"/>
  <c r="I18" i="11"/>
  <c r="J18" i="11"/>
  <c r="K18" i="11"/>
  <c r="L18" i="11"/>
  <c r="M18" i="11"/>
  <c r="N18" i="11"/>
  <c r="C19" i="11"/>
  <c r="D19" i="11"/>
  <c r="E19" i="11"/>
  <c r="F19" i="11"/>
  <c r="G19" i="11"/>
  <c r="H19" i="11"/>
  <c r="I19" i="11"/>
  <c r="J19" i="11"/>
  <c r="K19" i="11"/>
  <c r="L19" i="11"/>
  <c r="M19" i="11"/>
  <c r="N19" i="11"/>
  <c r="C20" i="11"/>
  <c r="D20" i="11"/>
  <c r="E20" i="11"/>
  <c r="F20" i="11"/>
  <c r="G20" i="11"/>
  <c r="H20" i="11"/>
  <c r="I20" i="11"/>
  <c r="J20" i="11"/>
  <c r="K20" i="11"/>
  <c r="L20" i="11"/>
  <c r="M20" i="11"/>
  <c r="N20" i="11"/>
  <c r="C21" i="11"/>
  <c r="D21" i="11"/>
  <c r="E21" i="11"/>
  <c r="F21" i="11"/>
  <c r="G21" i="11"/>
  <c r="H21" i="11"/>
  <c r="I21" i="11"/>
  <c r="J21" i="11"/>
  <c r="K21" i="11"/>
  <c r="L21" i="11"/>
  <c r="M21" i="11"/>
  <c r="N21" i="11"/>
  <c r="C22" i="11"/>
  <c r="D22" i="11"/>
  <c r="E22" i="11"/>
  <c r="F22" i="11"/>
  <c r="G22" i="11"/>
  <c r="H22" i="11"/>
  <c r="I22" i="11"/>
  <c r="J22" i="11"/>
  <c r="K22" i="11"/>
  <c r="L22" i="11"/>
  <c r="M22" i="11"/>
  <c r="N22" i="11"/>
  <c r="C23" i="11"/>
  <c r="D23" i="11"/>
  <c r="E23" i="11"/>
  <c r="F23" i="11"/>
  <c r="G23" i="11"/>
  <c r="H23" i="11"/>
  <c r="I23" i="11"/>
  <c r="J23" i="11"/>
  <c r="K23" i="11"/>
  <c r="L23" i="11"/>
  <c r="M23" i="11"/>
  <c r="N23" i="11"/>
  <c r="C24" i="11"/>
  <c r="D24" i="11"/>
  <c r="E24" i="11"/>
  <c r="F24" i="11"/>
  <c r="G24" i="11"/>
  <c r="H24" i="11"/>
  <c r="I24" i="11"/>
  <c r="J24" i="11"/>
  <c r="K24" i="11"/>
  <c r="L24" i="11"/>
  <c r="M24" i="11"/>
  <c r="N24" i="11"/>
  <c r="C25" i="11"/>
  <c r="D25" i="11"/>
  <c r="E25" i="11"/>
  <c r="F25" i="11"/>
  <c r="G25" i="11"/>
  <c r="H25" i="11"/>
  <c r="I25" i="11"/>
  <c r="J25" i="11"/>
  <c r="K25" i="11"/>
  <c r="L25" i="11"/>
  <c r="M25" i="11"/>
  <c r="N25" i="11"/>
  <c r="C26" i="11"/>
  <c r="D26" i="11"/>
  <c r="E26" i="11"/>
  <c r="F26" i="11"/>
  <c r="G26" i="11"/>
  <c r="H26" i="11"/>
  <c r="I26" i="11"/>
  <c r="J26" i="11"/>
  <c r="K26" i="11"/>
  <c r="L26" i="11"/>
  <c r="M26" i="11"/>
  <c r="N26" i="11"/>
  <c r="C27" i="11"/>
  <c r="D27" i="11"/>
  <c r="E27" i="11"/>
  <c r="F27" i="11"/>
  <c r="G27" i="11"/>
  <c r="H27" i="11"/>
  <c r="I27" i="11"/>
  <c r="J27" i="11"/>
  <c r="K27" i="11"/>
  <c r="L27" i="11"/>
  <c r="M27" i="11"/>
  <c r="N27" i="11"/>
  <c r="D44" i="11"/>
  <c r="E44" i="11"/>
  <c r="F44" i="11"/>
  <c r="G44" i="11"/>
  <c r="H44" i="11"/>
  <c r="I44" i="11"/>
  <c r="J44" i="11"/>
  <c r="K44" i="11"/>
  <c r="L44" i="11"/>
  <c r="M44" i="11"/>
  <c r="N44" i="11"/>
  <c r="C45" i="11"/>
  <c r="D45" i="11"/>
  <c r="E45" i="11"/>
  <c r="F45" i="11"/>
  <c r="G45" i="11"/>
  <c r="H45" i="11"/>
  <c r="I45" i="11"/>
  <c r="J45" i="11"/>
  <c r="K45" i="11"/>
  <c r="L45" i="11"/>
  <c r="M45" i="11"/>
  <c r="N45" i="11"/>
  <c r="C46" i="11"/>
  <c r="D46" i="11"/>
  <c r="E46" i="11"/>
  <c r="F46" i="11"/>
  <c r="G46" i="11"/>
  <c r="H46" i="11"/>
  <c r="I46" i="11"/>
  <c r="J46" i="11"/>
  <c r="K46" i="11"/>
  <c r="L46" i="11"/>
  <c r="M46" i="11"/>
  <c r="N46" i="11"/>
  <c r="C47" i="11"/>
  <c r="D47" i="11"/>
  <c r="E47" i="11"/>
  <c r="F47" i="11"/>
  <c r="G47" i="11"/>
  <c r="H47" i="11"/>
  <c r="I47" i="11"/>
  <c r="J47" i="11"/>
  <c r="K47" i="11"/>
  <c r="L47" i="11"/>
  <c r="M47" i="11"/>
  <c r="N47" i="11"/>
  <c r="C48" i="11"/>
  <c r="D48" i="11"/>
  <c r="E48" i="11"/>
  <c r="F48" i="11"/>
  <c r="G48" i="11"/>
  <c r="H48" i="11"/>
  <c r="I48" i="11"/>
  <c r="J48" i="11"/>
  <c r="K48" i="11"/>
  <c r="L48" i="11"/>
  <c r="M48" i="11"/>
  <c r="N48" i="11"/>
  <c r="C49" i="11"/>
  <c r="D49" i="11"/>
  <c r="E49" i="11"/>
  <c r="F49" i="11"/>
  <c r="G49" i="11"/>
  <c r="H49" i="11"/>
  <c r="I49" i="11"/>
  <c r="J49" i="11"/>
  <c r="K49" i="11"/>
  <c r="L49" i="11"/>
  <c r="M49" i="11"/>
  <c r="N49" i="11"/>
  <c r="C44" i="11"/>
  <c r="G139" i="11"/>
  <c r="C3" i="11"/>
  <c r="N133" i="11"/>
  <c r="M133" i="11"/>
  <c r="L133" i="11"/>
  <c r="K133" i="11"/>
  <c r="J133" i="11"/>
  <c r="I133" i="11"/>
  <c r="H133" i="11"/>
  <c r="G133" i="11"/>
  <c r="F133" i="11"/>
  <c r="E133" i="11"/>
  <c r="D133" i="11"/>
  <c r="C115" i="11"/>
  <c r="N116" i="11"/>
  <c r="M116" i="11"/>
  <c r="L116" i="11"/>
  <c r="K116" i="11"/>
  <c r="J116" i="11"/>
  <c r="I116" i="11"/>
  <c r="H116" i="11"/>
  <c r="G116" i="11"/>
  <c r="F116" i="11"/>
  <c r="E116" i="11"/>
  <c r="D116" i="11"/>
  <c r="C116" i="11"/>
  <c r="N114" i="11"/>
  <c r="M114" i="11"/>
  <c r="L114" i="11"/>
  <c r="K114" i="11"/>
  <c r="J114" i="11"/>
  <c r="I114" i="11"/>
  <c r="H114" i="11"/>
  <c r="G114" i="11"/>
  <c r="F114" i="11"/>
  <c r="E114" i="11"/>
  <c r="D114" i="11"/>
  <c r="C114" i="11"/>
  <c r="N113" i="11"/>
  <c r="M113" i="11"/>
  <c r="L113" i="11"/>
  <c r="K113" i="11"/>
  <c r="J113" i="11"/>
  <c r="I113" i="11"/>
  <c r="H113" i="11"/>
  <c r="G113" i="11"/>
  <c r="F113" i="11"/>
  <c r="E113" i="11"/>
  <c r="D113" i="11"/>
  <c r="C113" i="11"/>
  <c r="N112" i="11"/>
  <c r="M112" i="11"/>
  <c r="L112" i="11"/>
  <c r="K112" i="11"/>
  <c r="J112" i="11"/>
  <c r="I112" i="11"/>
  <c r="H112" i="11"/>
  <c r="G112" i="11"/>
  <c r="F112" i="11"/>
  <c r="E112" i="11"/>
  <c r="D112" i="11"/>
  <c r="C112" i="11"/>
  <c r="N117" i="11"/>
  <c r="M117" i="11"/>
  <c r="L117" i="11"/>
  <c r="K117" i="11"/>
  <c r="J117" i="11"/>
  <c r="I117" i="11"/>
  <c r="H117" i="11"/>
  <c r="G117" i="11"/>
  <c r="F117" i="11"/>
  <c r="E117" i="11"/>
  <c r="D117" i="11"/>
  <c r="C117" i="11"/>
  <c r="N110" i="11"/>
  <c r="M110" i="11"/>
  <c r="L110" i="11"/>
  <c r="K110" i="11"/>
  <c r="J110" i="11"/>
  <c r="I110" i="11"/>
  <c r="H110" i="11"/>
  <c r="G110" i="11"/>
  <c r="F110" i="11"/>
  <c r="E110" i="11"/>
  <c r="D110" i="11"/>
  <c r="N104" i="11"/>
  <c r="M104" i="11"/>
  <c r="L104" i="11"/>
  <c r="K104" i="11"/>
  <c r="J104" i="11"/>
  <c r="I104" i="11"/>
  <c r="H104" i="11"/>
  <c r="G104" i="11"/>
  <c r="F104" i="11"/>
  <c r="E104" i="11"/>
  <c r="D104" i="11"/>
  <c r="C104" i="11"/>
  <c r="N103" i="11"/>
  <c r="M103" i="11"/>
  <c r="L103" i="11"/>
  <c r="K103" i="11"/>
  <c r="J103" i="11"/>
  <c r="I103" i="11"/>
  <c r="H103" i="11"/>
  <c r="G103" i="11"/>
  <c r="F103" i="11"/>
  <c r="E103" i="11"/>
  <c r="D103" i="11"/>
  <c r="C103" i="11"/>
  <c r="N102" i="11"/>
  <c r="M102" i="11"/>
  <c r="L102" i="11"/>
  <c r="K102" i="11"/>
  <c r="J102" i="11"/>
  <c r="I102" i="11"/>
  <c r="H102" i="11"/>
  <c r="G102" i="11"/>
  <c r="F102" i="11"/>
  <c r="E102" i="11"/>
  <c r="D102" i="11"/>
  <c r="C102" i="11"/>
  <c r="N101" i="11"/>
  <c r="M101" i="11"/>
  <c r="L101" i="11"/>
  <c r="K101" i="11"/>
  <c r="J101" i="11"/>
  <c r="I101" i="11"/>
  <c r="H101" i="11"/>
  <c r="G101" i="11"/>
  <c r="F101" i="11"/>
  <c r="E101" i="11"/>
  <c r="D101" i="11"/>
  <c r="C101" i="11"/>
  <c r="N91" i="11"/>
  <c r="M91" i="11"/>
  <c r="L91" i="11"/>
  <c r="K91" i="11"/>
  <c r="J91" i="11"/>
  <c r="I91" i="11"/>
  <c r="H91" i="11"/>
  <c r="G91" i="11"/>
  <c r="F91" i="11"/>
  <c r="E91" i="11"/>
  <c r="D91" i="11"/>
  <c r="C91" i="11"/>
  <c r="N90" i="11"/>
  <c r="M90" i="11"/>
  <c r="L90" i="11"/>
  <c r="K90" i="11"/>
  <c r="J90" i="11"/>
  <c r="I90" i="11"/>
  <c r="H90" i="11"/>
  <c r="G90" i="11"/>
  <c r="F90" i="11"/>
  <c r="E90" i="11"/>
  <c r="D90" i="11"/>
  <c r="C90" i="11"/>
  <c r="N89" i="11"/>
  <c r="M89" i="11"/>
  <c r="L89" i="11"/>
  <c r="K89" i="11"/>
  <c r="J89" i="11"/>
  <c r="I89" i="11"/>
  <c r="H89" i="11"/>
  <c r="G89" i="11"/>
  <c r="F89" i="11"/>
  <c r="E89" i="11"/>
  <c r="D89" i="11"/>
  <c r="C89" i="11"/>
  <c r="C1" i="11"/>
  <c r="N81" i="11"/>
  <c r="M81" i="11"/>
  <c r="L81" i="11"/>
  <c r="K81" i="11"/>
  <c r="J81" i="11"/>
  <c r="I81" i="11"/>
  <c r="H81" i="11"/>
  <c r="G81" i="11"/>
  <c r="F81" i="11"/>
  <c r="E81" i="11"/>
  <c r="D81" i="11"/>
  <c r="C81" i="11"/>
  <c r="N74" i="11"/>
  <c r="M74" i="11"/>
  <c r="L74" i="11"/>
  <c r="K74" i="11"/>
  <c r="J74" i="11"/>
  <c r="I74" i="11"/>
  <c r="H74" i="11"/>
  <c r="G74" i="11"/>
  <c r="F74" i="11"/>
  <c r="E74" i="11"/>
  <c r="D74" i="11"/>
  <c r="C74" i="11"/>
  <c r="N63" i="11"/>
  <c r="M63" i="11"/>
  <c r="L63" i="11"/>
  <c r="K63" i="11"/>
  <c r="J63" i="11"/>
  <c r="I63" i="11"/>
  <c r="H63" i="11"/>
  <c r="G63" i="11"/>
  <c r="F63" i="11"/>
  <c r="E63" i="11"/>
  <c r="D63" i="11"/>
  <c r="C63" i="11"/>
  <c r="D9" i="14"/>
  <c r="B1" i="14"/>
  <c r="M1" i="14"/>
  <c r="G9" i="14"/>
  <c r="J9" i="14"/>
  <c r="E30" i="14"/>
  <c r="N51" i="14"/>
  <c r="M51" i="14"/>
  <c r="L51" i="14"/>
  <c r="K51" i="14"/>
  <c r="J51" i="14"/>
  <c r="I51" i="14"/>
  <c r="H51" i="14"/>
  <c r="G51" i="14"/>
  <c r="F51" i="14"/>
  <c r="E51" i="14"/>
  <c r="D51" i="14"/>
  <c r="C51" i="14"/>
  <c r="N55" i="11"/>
  <c r="M55" i="11"/>
  <c r="L55" i="11"/>
  <c r="K55" i="11"/>
  <c r="J55" i="11"/>
  <c r="I55" i="11"/>
  <c r="H55" i="11"/>
  <c r="G55" i="11"/>
  <c r="F55" i="11"/>
  <c r="E55" i="11"/>
  <c r="D55" i="11"/>
  <c r="C55" i="11"/>
  <c r="E11" i="10"/>
  <c r="B1" i="10"/>
  <c r="N1" i="10"/>
  <c r="H11" i="10"/>
  <c r="K11" i="10"/>
  <c r="O30" i="10"/>
  <c r="N30" i="10"/>
  <c r="M30" i="10"/>
  <c r="L30" i="10"/>
  <c r="K30" i="10"/>
  <c r="J30" i="10"/>
  <c r="I30" i="10"/>
  <c r="H30" i="10"/>
  <c r="G30" i="10"/>
  <c r="F30" i="10"/>
  <c r="E30" i="10"/>
  <c r="D30" i="10"/>
  <c r="O20" i="10"/>
  <c r="N20" i="10"/>
  <c r="M20" i="10"/>
  <c r="L20" i="10"/>
  <c r="K20" i="10"/>
  <c r="J20" i="10"/>
  <c r="I20" i="10"/>
  <c r="H20" i="10"/>
  <c r="G20" i="10"/>
  <c r="F20" i="10"/>
  <c r="E20" i="10"/>
  <c r="D20" i="10"/>
  <c r="D9" i="12"/>
  <c r="B1" i="12"/>
  <c r="M1" i="12"/>
  <c r="G9" i="12"/>
  <c r="J9" i="12"/>
  <c r="E30" i="12"/>
  <c r="N51" i="12"/>
  <c r="M51" i="12"/>
  <c r="L51" i="12"/>
  <c r="K51" i="12"/>
  <c r="J51" i="12"/>
  <c r="I51" i="12"/>
  <c r="H51" i="12"/>
  <c r="G51" i="12"/>
  <c r="F51" i="12"/>
  <c r="E51" i="12"/>
  <c r="D51" i="12"/>
  <c r="C51" i="12"/>
  <c r="N51" i="4"/>
  <c r="M51" i="4"/>
  <c r="L51" i="4"/>
  <c r="K51" i="4"/>
  <c r="J51" i="4"/>
  <c r="I51" i="4"/>
  <c r="H51" i="4"/>
  <c r="G51" i="4"/>
  <c r="F51" i="4"/>
  <c r="E51" i="4"/>
  <c r="D51" i="4"/>
  <c r="C51" i="4"/>
  <c r="N39" i="14"/>
  <c r="M39" i="14"/>
  <c r="L39" i="14"/>
  <c r="K39" i="14"/>
  <c r="J39" i="14"/>
  <c r="I39" i="14"/>
  <c r="H39" i="14"/>
  <c r="G39" i="14"/>
  <c r="F39" i="14"/>
  <c r="E39" i="14"/>
  <c r="D39" i="14"/>
  <c r="C39" i="14"/>
  <c r="N36" i="14"/>
  <c r="M36" i="14"/>
  <c r="L36" i="14"/>
  <c r="K36" i="14"/>
  <c r="J36" i="14"/>
  <c r="I36" i="14"/>
  <c r="H36" i="14"/>
  <c r="G36" i="14"/>
  <c r="F36" i="14"/>
  <c r="E36" i="14"/>
  <c r="D36" i="14"/>
  <c r="C36" i="14"/>
  <c r="B3" i="14"/>
  <c r="N89" i="14"/>
  <c r="M89" i="14"/>
  <c r="L89" i="14"/>
  <c r="K89" i="14"/>
  <c r="J89" i="14"/>
  <c r="I89" i="14"/>
  <c r="H89" i="14"/>
  <c r="G89" i="14"/>
  <c r="F89" i="14"/>
  <c r="E89" i="14"/>
  <c r="D89" i="14"/>
  <c r="C89" i="14"/>
  <c r="N88" i="14"/>
  <c r="M88" i="14"/>
  <c r="L88" i="14"/>
  <c r="K88" i="14"/>
  <c r="J88" i="14"/>
  <c r="I88" i="14"/>
  <c r="H88" i="14"/>
  <c r="G88" i="14"/>
  <c r="F88" i="14"/>
  <c r="E88" i="14"/>
  <c r="D88" i="14"/>
  <c r="C88" i="14"/>
  <c r="C1" i="14"/>
  <c r="N87" i="14"/>
  <c r="M87" i="14"/>
  <c r="L87" i="14"/>
  <c r="K87" i="14"/>
  <c r="J87" i="14"/>
  <c r="I87" i="14"/>
  <c r="H87" i="14"/>
  <c r="G87" i="14"/>
  <c r="F87" i="14"/>
  <c r="E87" i="14"/>
  <c r="D87" i="14"/>
  <c r="C87" i="14"/>
  <c r="N86" i="14"/>
  <c r="M86" i="14"/>
  <c r="L86" i="14"/>
  <c r="K86" i="14"/>
  <c r="J86" i="14"/>
  <c r="I86" i="14"/>
  <c r="H86" i="14"/>
  <c r="G86" i="14"/>
  <c r="F86" i="14"/>
  <c r="E86" i="14"/>
  <c r="D86" i="14"/>
  <c r="C86" i="14"/>
  <c r="N81" i="14"/>
  <c r="M81" i="14"/>
  <c r="L81" i="14"/>
  <c r="K81" i="14"/>
  <c r="J81" i="14"/>
  <c r="I81" i="14"/>
  <c r="H81" i="14"/>
  <c r="G81" i="14"/>
  <c r="F81" i="14"/>
  <c r="E81" i="14"/>
  <c r="D81" i="14"/>
  <c r="C81" i="14"/>
  <c r="N80" i="14"/>
  <c r="M80" i="14"/>
  <c r="L80" i="14"/>
  <c r="K80" i="14"/>
  <c r="J80" i="14"/>
  <c r="I80" i="14"/>
  <c r="H80" i="14"/>
  <c r="G80" i="14"/>
  <c r="F80" i="14"/>
  <c r="E80" i="14"/>
  <c r="D80" i="14"/>
  <c r="C80" i="14"/>
  <c r="N79" i="14"/>
  <c r="M79" i="14"/>
  <c r="L79" i="14"/>
  <c r="K79" i="14"/>
  <c r="J79" i="14"/>
  <c r="I79" i="14"/>
  <c r="H79" i="14"/>
  <c r="G79" i="14"/>
  <c r="F79" i="14"/>
  <c r="E79" i="14"/>
  <c r="D79" i="14"/>
  <c r="C79" i="14"/>
  <c r="N78" i="14"/>
  <c r="M78" i="14"/>
  <c r="L78" i="14"/>
  <c r="K78" i="14"/>
  <c r="J78" i="14"/>
  <c r="I78" i="14"/>
  <c r="H78" i="14"/>
  <c r="G78" i="14"/>
  <c r="F78" i="14"/>
  <c r="E78" i="14"/>
  <c r="D78" i="14"/>
  <c r="C78" i="14"/>
  <c r="N77" i="14"/>
  <c r="M77" i="14"/>
  <c r="L77" i="14"/>
  <c r="K77" i="14"/>
  <c r="J77" i="14"/>
  <c r="I77" i="14"/>
  <c r="H77" i="14"/>
  <c r="G77" i="14"/>
  <c r="F77" i="14"/>
  <c r="E77" i="14"/>
  <c r="D77" i="14"/>
  <c r="C77" i="14"/>
  <c r="N72" i="14"/>
  <c r="M72" i="14"/>
  <c r="L72" i="14"/>
  <c r="K72" i="14"/>
  <c r="J72" i="14"/>
  <c r="I72" i="14"/>
  <c r="H72" i="14"/>
  <c r="G72" i="14"/>
  <c r="F72" i="14"/>
  <c r="E72" i="14"/>
  <c r="D72" i="14"/>
  <c r="C72" i="14"/>
  <c r="N71" i="14"/>
  <c r="M71" i="14"/>
  <c r="L71" i="14"/>
  <c r="K71" i="14"/>
  <c r="J71" i="14"/>
  <c r="I71" i="14"/>
  <c r="H71" i="14"/>
  <c r="G71" i="14"/>
  <c r="F71" i="14"/>
  <c r="E71" i="14"/>
  <c r="D71" i="14"/>
  <c r="C71" i="14"/>
  <c r="N70" i="14"/>
  <c r="M70" i="14"/>
  <c r="L70" i="14"/>
  <c r="K70" i="14"/>
  <c r="J70" i="14"/>
  <c r="I70" i="14"/>
  <c r="H70" i="14"/>
  <c r="G70" i="14"/>
  <c r="F70" i="14"/>
  <c r="E70" i="14"/>
  <c r="D70" i="14"/>
  <c r="C70" i="14"/>
  <c r="N69" i="14"/>
  <c r="M69" i="14"/>
  <c r="L69" i="14"/>
  <c r="K69" i="14"/>
  <c r="J69" i="14"/>
  <c r="I69" i="14"/>
  <c r="H69" i="14"/>
  <c r="G69" i="14"/>
  <c r="F69" i="14"/>
  <c r="E69" i="14"/>
  <c r="D69" i="14"/>
  <c r="C69" i="14"/>
  <c r="N68" i="14"/>
  <c r="M68" i="14"/>
  <c r="L68" i="14"/>
  <c r="K68" i="14"/>
  <c r="J68" i="14"/>
  <c r="I68" i="14"/>
  <c r="H68" i="14"/>
  <c r="G68" i="14"/>
  <c r="F68" i="14"/>
  <c r="E68" i="14"/>
  <c r="D68" i="14"/>
  <c r="C68" i="14"/>
  <c r="N63" i="14"/>
  <c r="M63" i="14"/>
  <c r="L63" i="14"/>
  <c r="K63" i="14"/>
  <c r="J63" i="14"/>
  <c r="I63" i="14"/>
  <c r="H63" i="14"/>
  <c r="G63" i="14"/>
  <c r="F63" i="14"/>
  <c r="E63" i="14"/>
  <c r="D63" i="14"/>
  <c r="C63" i="14"/>
  <c r="N62" i="14"/>
  <c r="M62" i="14"/>
  <c r="L62" i="14"/>
  <c r="K62" i="14"/>
  <c r="J62" i="14"/>
  <c r="I62" i="14"/>
  <c r="H62" i="14"/>
  <c r="G62" i="14"/>
  <c r="F62" i="14"/>
  <c r="E62" i="14"/>
  <c r="D62" i="14"/>
  <c r="C62" i="14"/>
  <c r="N61" i="14"/>
  <c r="M61" i="14"/>
  <c r="L61" i="14"/>
  <c r="K61" i="14"/>
  <c r="J61" i="14"/>
  <c r="I61" i="14"/>
  <c r="H61" i="14"/>
  <c r="G61" i="14"/>
  <c r="F61" i="14"/>
  <c r="E61" i="14"/>
  <c r="D61" i="14"/>
  <c r="C61" i="14"/>
  <c r="N60" i="14"/>
  <c r="M60" i="14"/>
  <c r="L60" i="14"/>
  <c r="K60" i="14"/>
  <c r="J60" i="14"/>
  <c r="I60" i="14"/>
  <c r="H60" i="14"/>
  <c r="G60" i="14"/>
  <c r="F60" i="14"/>
  <c r="E60" i="14"/>
  <c r="D60" i="14"/>
  <c r="C60" i="14"/>
  <c r="N55" i="14"/>
  <c r="M55" i="14"/>
  <c r="L55" i="14"/>
  <c r="K55" i="14"/>
  <c r="J55" i="14"/>
  <c r="I55" i="14"/>
  <c r="H55" i="14"/>
  <c r="G55" i="14"/>
  <c r="F55" i="14"/>
  <c r="E55" i="14"/>
  <c r="D55" i="14"/>
  <c r="C55" i="14"/>
  <c r="N54" i="14"/>
  <c r="M54" i="14"/>
  <c r="L54" i="14"/>
  <c r="K54" i="14"/>
  <c r="J54" i="14"/>
  <c r="I54" i="14"/>
  <c r="H54" i="14"/>
  <c r="G54" i="14"/>
  <c r="F54" i="14"/>
  <c r="E54" i="14"/>
  <c r="D54" i="14"/>
  <c r="C54" i="14"/>
  <c r="N53" i="14"/>
  <c r="M53" i="14"/>
  <c r="L53" i="14"/>
  <c r="K53" i="14"/>
  <c r="J53" i="14"/>
  <c r="I53" i="14"/>
  <c r="H53" i="14"/>
  <c r="G53" i="14"/>
  <c r="F53" i="14"/>
  <c r="E53" i="14"/>
  <c r="D53" i="14"/>
  <c r="C53" i="14"/>
  <c r="N52" i="14"/>
  <c r="M52" i="14"/>
  <c r="L52" i="14"/>
  <c r="K52" i="14"/>
  <c r="J52" i="14"/>
  <c r="I52" i="14"/>
  <c r="H52" i="14"/>
  <c r="G52" i="14"/>
  <c r="F52" i="14"/>
  <c r="E52" i="14"/>
  <c r="D52" i="14"/>
  <c r="C52" i="14"/>
  <c r="N50" i="14"/>
  <c r="M50" i="14"/>
  <c r="L50" i="14"/>
  <c r="K50" i="14"/>
  <c r="J50" i="14"/>
  <c r="I50" i="14"/>
  <c r="H50" i="14"/>
  <c r="G50" i="14"/>
  <c r="F50" i="14"/>
  <c r="E50" i="14"/>
  <c r="D50" i="14"/>
  <c r="C50" i="14"/>
  <c r="N49" i="14"/>
  <c r="M49" i="14"/>
  <c r="L49" i="14"/>
  <c r="K49" i="14"/>
  <c r="J49" i="14"/>
  <c r="I49" i="14"/>
  <c r="H49" i="14"/>
  <c r="G49" i="14"/>
  <c r="F49" i="14"/>
  <c r="E49" i="14"/>
  <c r="D49" i="14"/>
  <c r="C49" i="14"/>
  <c r="B2" i="14"/>
  <c r="N42" i="14"/>
  <c r="M42" i="14"/>
  <c r="L42" i="14"/>
  <c r="K42" i="14"/>
  <c r="J42" i="14"/>
  <c r="I42" i="14"/>
  <c r="H42" i="14"/>
  <c r="G42" i="14"/>
  <c r="F42" i="14"/>
  <c r="E42" i="14"/>
  <c r="D42" i="14"/>
  <c r="C42" i="14"/>
  <c r="N41" i="14"/>
  <c r="M41" i="14"/>
  <c r="L41" i="14"/>
  <c r="K41" i="14"/>
  <c r="J41" i="14"/>
  <c r="I41" i="14"/>
  <c r="H41" i="14"/>
  <c r="G41" i="14"/>
  <c r="F41" i="14"/>
  <c r="E41" i="14"/>
  <c r="D41" i="14"/>
  <c r="C41" i="14"/>
  <c r="N40" i="14"/>
  <c r="M40" i="14"/>
  <c r="L40" i="14"/>
  <c r="K40" i="14"/>
  <c r="J40" i="14"/>
  <c r="I40" i="14"/>
  <c r="H40" i="14"/>
  <c r="G40" i="14"/>
  <c r="F40" i="14"/>
  <c r="E40" i="14"/>
  <c r="D40" i="14"/>
  <c r="C40" i="14"/>
  <c r="N38" i="14"/>
  <c r="M38" i="14"/>
  <c r="L38" i="14"/>
  <c r="K38" i="14"/>
  <c r="J38" i="14"/>
  <c r="I38" i="14"/>
  <c r="H38" i="14"/>
  <c r="G38" i="14"/>
  <c r="F38" i="14"/>
  <c r="E38" i="14"/>
  <c r="D38" i="14"/>
  <c r="C38" i="14"/>
  <c r="N37" i="14"/>
  <c r="M37" i="14"/>
  <c r="L37" i="14"/>
  <c r="K37" i="14"/>
  <c r="J37" i="14"/>
  <c r="I37" i="14"/>
  <c r="H37" i="14"/>
  <c r="G37" i="14"/>
  <c r="F37" i="14"/>
  <c r="E37" i="14"/>
  <c r="D37" i="14"/>
  <c r="C37" i="14"/>
  <c r="N35" i="14"/>
  <c r="M35" i="14"/>
  <c r="L35" i="14"/>
  <c r="K35" i="14"/>
  <c r="J35" i="14"/>
  <c r="I35" i="14"/>
  <c r="H35" i="14"/>
  <c r="G35" i="14"/>
  <c r="F35" i="14"/>
  <c r="E35" i="14"/>
  <c r="D35" i="14"/>
  <c r="C35" i="14"/>
  <c r="N34" i="14"/>
  <c r="M34" i="14"/>
  <c r="L34" i="14"/>
  <c r="K34" i="14"/>
  <c r="J34" i="14"/>
  <c r="I34" i="14"/>
  <c r="H34" i="14"/>
  <c r="G34" i="14"/>
  <c r="F34" i="14"/>
  <c r="E34" i="14"/>
  <c r="D34" i="14"/>
  <c r="C34" i="14"/>
  <c r="N33" i="14"/>
  <c r="M33" i="14"/>
  <c r="L33" i="14"/>
  <c r="K33" i="14"/>
  <c r="J33" i="14"/>
  <c r="I33" i="14"/>
  <c r="H33" i="14"/>
  <c r="G33" i="14"/>
  <c r="F33" i="14"/>
  <c r="E33" i="14"/>
  <c r="D33" i="14"/>
  <c r="C33" i="14"/>
  <c r="C2" i="14"/>
  <c r="N27" i="14"/>
  <c r="M27" i="14"/>
  <c r="L27" i="14"/>
  <c r="K27" i="14"/>
  <c r="J27" i="14"/>
  <c r="I27" i="14"/>
  <c r="H27" i="14"/>
  <c r="G27" i="14"/>
  <c r="F27" i="14"/>
  <c r="E27" i="14"/>
  <c r="D27" i="14"/>
  <c r="C27" i="14"/>
  <c r="N26" i="14"/>
  <c r="M26" i="14"/>
  <c r="L26" i="14"/>
  <c r="K26" i="14"/>
  <c r="J26" i="14"/>
  <c r="I26" i="14"/>
  <c r="H26" i="14"/>
  <c r="G26" i="14"/>
  <c r="F26" i="14"/>
  <c r="E26" i="14"/>
  <c r="D26" i="14"/>
  <c r="C26" i="14"/>
  <c r="N25" i="14"/>
  <c r="M25" i="14"/>
  <c r="L25" i="14"/>
  <c r="K25" i="14"/>
  <c r="J25" i="14"/>
  <c r="I25" i="14"/>
  <c r="H25" i="14"/>
  <c r="G25" i="14"/>
  <c r="F25" i="14"/>
  <c r="E25" i="14"/>
  <c r="D25" i="14"/>
  <c r="C25" i="14"/>
  <c r="N24" i="14"/>
  <c r="M24" i="14"/>
  <c r="L24" i="14"/>
  <c r="K24" i="14"/>
  <c r="J24" i="14"/>
  <c r="I24" i="14"/>
  <c r="H24" i="14"/>
  <c r="G24" i="14"/>
  <c r="F24" i="14"/>
  <c r="E24" i="14"/>
  <c r="D24" i="14"/>
  <c r="C24" i="14"/>
  <c r="N23" i="14"/>
  <c r="M23" i="14"/>
  <c r="L23" i="14"/>
  <c r="K23" i="14"/>
  <c r="J23" i="14"/>
  <c r="I23" i="14"/>
  <c r="H23" i="14"/>
  <c r="G23" i="14"/>
  <c r="F23" i="14"/>
  <c r="E23" i="14"/>
  <c r="D23" i="14"/>
  <c r="C23" i="14"/>
  <c r="N22" i="14"/>
  <c r="M22" i="14"/>
  <c r="L22" i="14"/>
  <c r="K22" i="14"/>
  <c r="J22" i="14"/>
  <c r="I22" i="14"/>
  <c r="H22" i="14"/>
  <c r="G22" i="14"/>
  <c r="F22" i="14"/>
  <c r="E22" i="14"/>
  <c r="D22" i="14"/>
  <c r="C22" i="14"/>
  <c r="N21" i="14"/>
  <c r="M21" i="14"/>
  <c r="L21" i="14"/>
  <c r="K21" i="14"/>
  <c r="J21" i="14"/>
  <c r="I21" i="14"/>
  <c r="H21" i="14"/>
  <c r="G21" i="14"/>
  <c r="F21" i="14"/>
  <c r="E21" i="14"/>
  <c r="D21" i="14"/>
  <c r="C21" i="14"/>
  <c r="N20" i="14"/>
  <c r="M20" i="14"/>
  <c r="L20" i="14"/>
  <c r="K20" i="14"/>
  <c r="J20" i="14"/>
  <c r="I20" i="14"/>
  <c r="H20" i="14"/>
  <c r="G20" i="14"/>
  <c r="F20" i="14"/>
  <c r="E20" i="14"/>
  <c r="D20" i="14"/>
  <c r="C20" i="14"/>
  <c r="N19" i="14"/>
  <c r="M19" i="14"/>
  <c r="L19" i="14"/>
  <c r="K19" i="14"/>
  <c r="J19" i="14"/>
  <c r="I19" i="14"/>
  <c r="H19" i="14"/>
  <c r="G19" i="14"/>
  <c r="F19" i="14"/>
  <c r="E19" i="14"/>
  <c r="D19" i="14"/>
  <c r="C19" i="14"/>
  <c r="N18" i="14"/>
  <c r="M18" i="14"/>
  <c r="L18" i="14"/>
  <c r="K18" i="14"/>
  <c r="J18" i="14"/>
  <c r="I18" i="14"/>
  <c r="H18" i="14"/>
  <c r="G18" i="14"/>
  <c r="F18" i="14"/>
  <c r="E18" i="14"/>
  <c r="D18" i="14"/>
  <c r="C18" i="14"/>
  <c r="N17" i="14"/>
  <c r="M17" i="14"/>
  <c r="L17" i="14"/>
  <c r="K17" i="14"/>
  <c r="J17" i="14"/>
  <c r="I17" i="14"/>
  <c r="H17" i="14"/>
  <c r="G17" i="14"/>
  <c r="F17" i="14"/>
  <c r="E17" i="14"/>
  <c r="D17" i="14"/>
  <c r="C17" i="14"/>
  <c r="N16" i="14"/>
  <c r="M16" i="14"/>
  <c r="L16" i="14"/>
  <c r="K16" i="14"/>
  <c r="J16" i="14"/>
  <c r="I16" i="14"/>
  <c r="H16" i="14"/>
  <c r="G16" i="14"/>
  <c r="F16" i="14"/>
  <c r="E16" i="14"/>
  <c r="D16" i="14"/>
  <c r="C16" i="14"/>
  <c r="N15" i="14"/>
  <c r="M15" i="14"/>
  <c r="L15" i="14"/>
  <c r="K15" i="14"/>
  <c r="J15" i="14"/>
  <c r="I15" i="14"/>
  <c r="H15" i="14"/>
  <c r="G15" i="14"/>
  <c r="F15" i="14"/>
  <c r="E15" i="14"/>
  <c r="D15" i="14"/>
  <c r="C15" i="14"/>
  <c r="N14" i="14"/>
  <c r="M14" i="14"/>
  <c r="L14" i="14"/>
  <c r="K14" i="14"/>
  <c r="J14" i="14"/>
  <c r="I14" i="14"/>
  <c r="H14" i="14"/>
  <c r="G14" i="14"/>
  <c r="F14" i="14"/>
  <c r="E14" i="14"/>
  <c r="D14" i="14"/>
  <c r="C14" i="14"/>
  <c r="N13" i="14"/>
  <c r="M13" i="14"/>
  <c r="L13" i="14"/>
  <c r="K13" i="14"/>
  <c r="J13" i="14"/>
  <c r="I13" i="14"/>
  <c r="H13" i="14"/>
  <c r="G13" i="14"/>
  <c r="F13" i="14"/>
  <c r="E13" i="14"/>
  <c r="D13" i="14"/>
  <c r="C13" i="14"/>
  <c r="N12" i="14"/>
  <c r="M12" i="14"/>
  <c r="L12" i="14"/>
  <c r="K12" i="14"/>
  <c r="J12" i="14"/>
  <c r="I12" i="14"/>
  <c r="H12" i="14"/>
  <c r="G12" i="14"/>
  <c r="F12" i="14"/>
  <c r="E12" i="14"/>
  <c r="D12" i="14"/>
  <c r="C12" i="14"/>
  <c r="D3" i="14"/>
  <c r="N7" i="14"/>
  <c r="B4" i="14"/>
  <c r="N5" i="14"/>
  <c r="M5" i="14"/>
  <c r="L5" i="14"/>
  <c r="K5" i="14"/>
  <c r="J5" i="14"/>
  <c r="I5" i="14"/>
  <c r="H5" i="14"/>
  <c r="G5" i="14"/>
  <c r="F5" i="14"/>
  <c r="E5" i="14"/>
  <c r="D5" i="14"/>
  <c r="C5" i="14"/>
  <c r="C4" i="14"/>
  <c r="C3" i="14"/>
  <c r="D2" i="14"/>
  <c r="D1" i="14"/>
  <c r="D9" i="13"/>
  <c r="B1" i="13"/>
  <c r="M1" i="13"/>
  <c r="G9" i="13"/>
  <c r="J9" i="13"/>
  <c r="E30" i="13"/>
  <c r="N39" i="13"/>
  <c r="M39" i="13"/>
  <c r="L39" i="13"/>
  <c r="K39" i="13"/>
  <c r="J39" i="13"/>
  <c r="I39" i="13"/>
  <c r="H39" i="13"/>
  <c r="G39" i="13"/>
  <c r="F39" i="13"/>
  <c r="E39" i="13"/>
  <c r="D39" i="13"/>
  <c r="C39" i="13"/>
  <c r="N36" i="13"/>
  <c r="M36" i="13"/>
  <c r="L36" i="13"/>
  <c r="K36" i="13"/>
  <c r="J36" i="13"/>
  <c r="I36" i="13"/>
  <c r="H36" i="13"/>
  <c r="G36" i="13"/>
  <c r="F36" i="13"/>
  <c r="E36" i="13"/>
  <c r="D36" i="13"/>
  <c r="C36" i="13"/>
  <c r="B3" i="13"/>
  <c r="N89" i="13"/>
  <c r="M89" i="13"/>
  <c r="L89" i="13"/>
  <c r="K89" i="13"/>
  <c r="J89" i="13"/>
  <c r="I89" i="13"/>
  <c r="H89" i="13"/>
  <c r="G89" i="13"/>
  <c r="F89" i="13"/>
  <c r="E89" i="13"/>
  <c r="D89" i="13"/>
  <c r="C89" i="13"/>
  <c r="N88" i="13"/>
  <c r="M88" i="13"/>
  <c r="L88" i="13"/>
  <c r="K88" i="13"/>
  <c r="J88" i="13"/>
  <c r="I88" i="13"/>
  <c r="H88" i="13"/>
  <c r="G88" i="13"/>
  <c r="F88" i="13"/>
  <c r="E88" i="13"/>
  <c r="D88" i="13"/>
  <c r="C88" i="13"/>
  <c r="C1" i="13"/>
  <c r="N87" i="13"/>
  <c r="M87" i="13"/>
  <c r="L87" i="13"/>
  <c r="K87" i="13"/>
  <c r="J87" i="13"/>
  <c r="I87" i="13"/>
  <c r="H87" i="13"/>
  <c r="G87" i="13"/>
  <c r="F87" i="13"/>
  <c r="E87" i="13"/>
  <c r="D87" i="13"/>
  <c r="C87" i="13"/>
  <c r="N86" i="13"/>
  <c r="M86" i="13"/>
  <c r="L86" i="13"/>
  <c r="K86" i="13"/>
  <c r="J86" i="13"/>
  <c r="I86" i="13"/>
  <c r="H86" i="13"/>
  <c r="G86" i="13"/>
  <c r="F86" i="13"/>
  <c r="E86" i="13"/>
  <c r="D86" i="13"/>
  <c r="C86" i="13"/>
  <c r="N81" i="13"/>
  <c r="M81" i="13"/>
  <c r="L81" i="13"/>
  <c r="K81" i="13"/>
  <c r="J81" i="13"/>
  <c r="I81" i="13"/>
  <c r="H81" i="13"/>
  <c r="G81" i="13"/>
  <c r="F81" i="13"/>
  <c r="E81" i="13"/>
  <c r="D81" i="13"/>
  <c r="C81" i="13"/>
  <c r="N80" i="13"/>
  <c r="M80" i="13"/>
  <c r="L80" i="13"/>
  <c r="K80" i="13"/>
  <c r="J80" i="13"/>
  <c r="I80" i="13"/>
  <c r="H80" i="13"/>
  <c r="G80" i="13"/>
  <c r="F80" i="13"/>
  <c r="E80" i="13"/>
  <c r="D80" i="13"/>
  <c r="C80" i="13"/>
  <c r="N79" i="13"/>
  <c r="M79" i="13"/>
  <c r="L79" i="13"/>
  <c r="K79" i="13"/>
  <c r="J79" i="13"/>
  <c r="I79" i="13"/>
  <c r="H79" i="13"/>
  <c r="G79" i="13"/>
  <c r="F79" i="13"/>
  <c r="E79" i="13"/>
  <c r="D79" i="13"/>
  <c r="C79" i="13"/>
  <c r="N78" i="13"/>
  <c r="M78" i="13"/>
  <c r="L78" i="13"/>
  <c r="K78" i="13"/>
  <c r="J78" i="13"/>
  <c r="I78" i="13"/>
  <c r="H78" i="13"/>
  <c r="G78" i="13"/>
  <c r="F78" i="13"/>
  <c r="E78" i="13"/>
  <c r="D78" i="13"/>
  <c r="C78" i="13"/>
  <c r="N77" i="13"/>
  <c r="M77" i="13"/>
  <c r="L77" i="13"/>
  <c r="K77" i="13"/>
  <c r="J77" i="13"/>
  <c r="I77" i="13"/>
  <c r="H77" i="13"/>
  <c r="G77" i="13"/>
  <c r="F77" i="13"/>
  <c r="E77" i="13"/>
  <c r="D77" i="13"/>
  <c r="C77" i="13"/>
  <c r="N72" i="13"/>
  <c r="M72" i="13"/>
  <c r="L72" i="13"/>
  <c r="K72" i="13"/>
  <c r="J72" i="13"/>
  <c r="I72" i="13"/>
  <c r="H72" i="13"/>
  <c r="G72" i="13"/>
  <c r="F72" i="13"/>
  <c r="E72" i="13"/>
  <c r="D72" i="13"/>
  <c r="C72" i="13"/>
  <c r="N71" i="13"/>
  <c r="M71" i="13"/>
  <c r="L71" i="13"/>
  <c r="K71" i="13"/>
  <c r="J71" i="13"/>
  <c r="I71" i="13"/>
  <c r="H71" i="13"/>
  <c r="G71" i="13"/>
  <c r="F71" i="13"/>
  <c r="E71" i="13"/>
  <c r="D71" i="13"/>
  <c r="C71" i="13"/>
  <c r="N70" i="13"/>
  <c r="M70" i="13"/>
  <c r="L70" i="13"/>
  <c r="K70" i="13"/>
  <c r="J70" i="13"/>
  <c r="I70" i="13"/>
  <c r="H70" i="13"/>
  <c r="G70" i="13"/>
  <c r="F70" i="13"/>
  <c r="E70" i="13"/>
  <c r="D70" i="13"/>
  <c r="C70" i="13"/>
  <c r="N69" i="13"/>
  <c r="M69" i="13"/>
  <c r="L69" i="13"/>
  <c r="K69" i="13"/>
  <c r="J69" i="13"/>
  <c r="I69" i="13"/>
  <c r="H69" i="13"/>
  <c r="G69" i="13"/>
  <c r="F69" i="13"/>
  <c r="E69" i="13"/>
  <c r="D69" i="13"/>
  <c r="C69" i="13"/>
  <c r="N68" i="13"/>
  <c r="M68" i="13"/>
  <c r="L68" i="13"/>
  <c r="K68" i="13"/>
  <c r="J68" i="13"/>
  <c r="I68" i="13"/>
  <c r="H68" i="13"/>
  <c r="G68" i="13"/>
  <c r="F68" i="13"/>
  <c r="E68" i="13"/>
  <c r="D68" i="13"/>
  <c r="C68" i="13"/>
  <c r="N63" i="13"/>
  <c r="M63" i="13"/>
  <c r="L63" i="13"/>
  <c r="K63" i="13"/>
  <c r="J63" i="13"/>
  <c r="I63" i="13"/>
  <c r="H63" i="13"/>
  <c r="G63" i="13"/>
  <c r="F63" i="13"/>
  <c r="E63" i="13"/>
  <c r="D63" i="13"/>
  <c r="C63" i="13"/>
  <c r="N62" i="13"/>
  <c r="M62" i="13"/>
  <c r="L62" i="13"/>
  <c r="K62" i="13"/>
  <c r="J62" i="13"/>
  <c r="I62" i="13"/>
  <c r="H62" i="13"/>
  <c r="G62" i="13"/>
  <c r="F62" i="13"/>
  <c r="E62" i="13"/>
  <c r="D62" i="13"/>
  <c r="C62" i="13"/>
  <c r="N61" i="13"/>
  <c r="M61" i="13"/>
  <c r="L61" i="13"/>
  <c r="K61" i="13"/>
  <c r="J61" i="13"/>
  <c r="I61" i="13"/>
  <c r="H61" i="13"/>
  <c r="G61" i="13"/>
  <c r="F61" i="13"/>
  <c r="E61" i="13"/>
  <c r="D61" i="13"/>
  <c r="C61" i="13"/>
  <c r="N60" i="13"/>
  <c r="M60" i="13"/>
  <c r="L60" i="13"/>
  <c r="K60" i="13"/>
  <c r="J60" i="13"/>
  <c r="I60" i="13"/>
  <c r="H60" i="13"/>
  <c r="G60" i="13"/>
  <c r="F60" i="13"/>
  <c r="E60" i="13"/>
  <c r="D60" i="13"/>
  <c r="C60" i="13"/>
  <c r="N55" i="13"/>
  <c r="M55" i="13"/>
  <c r="L55" i="13"/>
  <c r="K55" i="13"/>
  <c r="J55" i="13"/>
  <c r="I55" i="13"/>
  <c r="H55" i="13"/>
  <c r="G55" i="13"/>
  <c r="F55" i="13"/>
  <c r="E55" i="13"/>
  <c r="D55" i="13"/>
  <c r="C55" i="13"/>
  <c r="N54" i="13"/>
  <c r="M54" i="13"/>
  <c r="L54" i="13"/>
  <c r="K54" i="13"/>
  <c r="J54" i="13"/>
  <c r="I54" i="13"/>
  <c r="H54" i="13"/>
  <c r="G54" i="13"/>
  <c r="F54" i="13"/>
  <c r="E54" i="13"/>
  <c r="D54" i="13"/>
  <c r="C54" i="13"/>
  <c r="N53" i="13"/>
  <c r="M53" i="13"/>
  <c r="L53" i="13"/>
  <c r="K53" i="13"/>
  <c r="J53" i="13"/>
  <c r="I53" i="13"/>
  <c r="H53" i="13"/>
  <c r="G53" i="13"/>
  <c r="F53" i="13"/>
  <c r="E53" i="13"/>
  <c r="D53" i="13"/>
  <c r="C53" i="13"/>
  <c r="N52" i="13"/>
  <c r="M52" i="13"/>
  <c r="L52" i="13"/>
  <c r="K52" i="13"/>
  <c r="J52" i="13"/>
  <c r="I52" i="13"/>
  <c r="H52" i="13"/>
  <c r="G52" i="13"/>
  <c r="F52" i="13"/>
  <c r="E52" i="13"/>
  <c r="D52" i="13"/>
  <c r="C52" i="13"/>
  <c r="N51" i="13"/>
  <c r="M51" i="13"/>
  <c r="L51" i="13"/>
  <c r="K51" i="13"/>
  <c r="J51" i="13"/>
  <c r="I51" i="13"/>
  <c r="H51" i="13"/>
  <c r="G51" i="13"/>
  <c r="F51" i="13"/>
  <c r="E51" i="13"/>
  <c r="D51" i="13"/>
  <c r="C51" i="13"/>
  <c r="N50" i="13"/>
  <c r="M50" i="13"/>
  <c r="L50" i="13"/>
  <c r="K50" i="13"/>
  <c r="J50" i="13"/>
  <c r="I50" i="13"/>
  <c r="H50" i="13"/>
  <c r="G50" i="13"/>
  <c r="F50" i="13"/>
  <c r="E50" i="13"/>
  <c r="D50" i="13"/>
  <c r="C50" i="13"/>
  <c r="N49" i="13"/>
  <c r="M49" i="13"/>
  <c r="L49" i="13"/>
  <c r="K49" i="13"/>
  <c r="J49" i="13"/>
  <c r="I49" i="13"/>
  <c r="H49" i="13"/>
  <c r="G49" i="13"/>
  <c r="F49" i="13"/>
  <c r="E49" i="13"/>
  <c r="D49" i="13"/>
  <c r="C49" i="13"/>
  <c r="B2" i="13"/>
  <c r="N42" i="13"/>
  <c r="M42" i="13"/>
  <c r="L42" i="13"/>
  <c r="K42" i="13"/>
  <c r="J42" i="13"/>
  <c r="I42" i="13"/>
  <c r="H42" i="13"/>
  <c r="G42" i="13"/>
  <c r="F42" i="13"/>
  <c r="E42" i="13"/>
  <c r="D42" i="13"/>
  <c r="C42" i="13"/>
  <c r="N41" i="13"/>
  <c r="M41" i="13"/>
  <c r="L41" i="13"/>
  <c r="K41" i="13"/>
  <c r="J41" i="13"/>
  <c r="I41" i="13"/>
  <c r="H41" i="13"/>
  <c r="G41" i="13"/>
  <c r="F41" i="13"/>
  <c r="E41" i="13"/>
  <c r="D41" i="13"/>
  <c r="C41" i="13"/>
  <c r="N40" i="13"/>
  <c r="M40" i="13"/>
  <c r="L40" i="13"/>
  <c r="K40" i="13"/>
  <c r="J40" i="13"/>
  <c r="I40" i="13"/>
  <c r="H40" i="13"/>
  <c r="G40" i="13"/>
  <c r="F40" i="13"/>
  <c r="E40" i="13"/>
  <c r="D40" i="13"/>
  <c r="C40" i="13"/>
  <c r="N38" i="13"/>
  <c r="M38" i="13"/>
  <c r="L38" i="13"/>
  <c r="K38" i="13"/>
  <c r="J38" i="13"/>
  <c r="I38" i="13"/>
  <c r="H38" i="13"/>
  <c r="G38" i="13"/>
  <c r="F38" i="13"/>
  <c r="E38" i="13"/>
  <c r="D38" i="13"/>
  <c r="C38" i="13"/>
  <c r="N37" i="13"/>
  <c r="M37" i="13"/>
  <c r="L37" i="13"/>
  <c r="K37" i="13"/>
  <c r="J37" i="13"/>
  <c r="I37" i="13"/>
  <c r="H37" i="13"/>
  <c r="G37" i="13"/>
  <c r="F37" i="13"/>
  <c r="E37" i="13"/>
  <c r="D37" i="13"/>
  <c r="C37" i="13"/>
  <c r="N35" i="13"/>
  <c r="M35" i="13"/>
  <c r="L35" i="13"/>
  <c r="K35" i="13"/>
  <c r="J35" i="13"/>
  <c r="I35" i="13"/>
  <c r="H35" i="13"/>
  <c r="G35" i="13"/>
  <c r="F35" i="13"/>
  <c r="E35" i="13"/>
  <c r="D35" i="13"/>
  <c r="C35" i="13"/>
  <c r="N34" i="13"/>
  <c r="M34" i="13"/>
  <c r="L34" i="13"/>
  <c r="K34" i="13"/>
  <c r="J34" i="13"/>
  <c r="I34" i="13"/>
  <c r="H34" i="13"/>
  <c r="G34" i="13"/>
  <c r="F34" i="13"/>
  <c r="E34" i="13"/>
  <c r="D34" i="13"/>
  <c r="C34" i="13"/>
  <c r="N33" i="13"/>
  <c r="M33" i="13"/>
  <c r="L33" i="13"/>
  <c r="K33" i="13"/>
  <c r="J33" i="13"/>
  <c r="I33" i="13"/>
  <c r="H33" i="13"/>
  <c r="G33" i="13"/>
  <c r="F33" i="13"/>
  <c r="E33" i="13"/>
  <c r="D33" i="13"/>
  <c r="C33" i="13"/>
  <c r="C2" i="13"/>
  <c r="N27" i="13"/>
  <c r="M27" i="13"/>
  <c r="L27" i="13"/>
  <c r="K27" i="13"/>
  <c r="J27" i="13"/>
  <c r="I27" i="13"/>
  <c r="H27" i="13"/>
  <c r="G27" i="13"/>
  <c r="F27" i="13"/>
  <c r="E27" i="13"/>
  <c r="D27" i="13"/>
  <c r="C27" i="13"/>
  <c r="N26" i="13"/>
  <c r="M26" i="13"/>
  <c r="L26" i="13"/>
  <c r="K26" i="13"/>
  <c r="J26" i="13"/>
  <c r="I26" i="13"/>
  <c r="H26" i="13"/>
  <c r="G26" i="13"/>
  <c r="F26" i="13"/>
  <c r="E26" i="13"/>
  <c r="D26" i="13"/>
  <c r="C26" i="13"/>
  <c r="N25" i="13"/>
  <c r="M25" i="13"/>
  <c r="L25" i="13"/>
  <c r="K25" i="13"/>
  <c r="J25" i="13"/>
  <c r="I25" i="13"/>
  <c r="H25" i="13"/>
  <c r="G25" i="13"/>
  <c r="F25" i="13"/>
  <c r="E25" i="13"/>
  <c r="D25" i="13"/>
  <c r="C25" i="13"/>
  <c r="N24" i="13"/>
  <c r="M24" i="13"/>
  <c r="L24" i="13"/>
  <c r="K24" i="13"/>
  <c r="J24" i="13"/>
  <c r="I24" i="13"/>
  <c r="H24" i="13"/>
  <c r="G24" i="13"/>
  <c r="F24" i="13"/>
  <c r="E24" i="13"/>
  <c r="D24" i="13"/>
  <c r="C24" i="13"/>
  <c r="N23" i="13"/>
  <c r="M23" i="13"/>
  <c r="L23" i="13"/>
  <c r="K23" i="13"/>
  <c r="J23" i="13"/>
  <c r="I23" i="13"/>
  <c r="H23" i="13"/>
  <c r="G23" i="13"/>
  <c r="F23" i="13"/>
  <c r="E23" i="13"/>
  <c r="D23" i="13"/>
  <c r="C23" i="13"/>
  <c r="N22" i="13"/>
  <c r="M22" i="13"/>
  <c r="L22" i="13"/>
  <c r="K22" i="13"/>
  <c r="J22" i="13"/>
  <c r="I22" i="13"/>
  <c r="H22" i="13"/>
  <c r="G22" i="13"/>
  <c r="F22" i="13"/>
  <c r="E22" i="13"/>
  <c r="D22" i="13"/>
  <c r="C22" i="13"/>
  <c r="N21" i="13"/>
  <c r="M21" i="13"/>
  <c r="L21" i="13"/>
  <c r="K21" i="13"/>
  <c r="J21" i="13"/>
  <c r="I21" i="13"/>
  <c r="H21" i="13"/>
  <c r="G21" i="13"/>
  <c r="F21" i="13"/>
  <c r="E21" i="13"/>
  <c r="D21" i="13"/>
  <c r="C21" i="13"/>
  <c r="N20" i="13"/>
  <c r="M20" i="13"/>
  <c r="L20" i="13"/>
  <c r="K20" i="13"/>
  <c r="J20" i="13"/>
  <c r="I20" i="13"/>
  <c r="H20" i="13"/>
  <c r="G20" i="13"/>
  <c r="F20" i="13"/>
  <c r="E20" i="13"/>
  <c r="D20" i="13"/>
  <c r="C20" i="13"/>
  <c r="N19" i="13"/>
  <c r="M19" i="13"/>
  <c r="L19" i="13"/>
  <c r="K19" i="13"/>
  <c r="J19" i="13"/>
  <c r="I19" i="13"/>
  <c r="H19" i="13"/>
  <c r="G19" i="13"/>
  <c r="F19" i="13"/>
  <c r="E19" i="13"/>
  <c r="D19" i="13"/>
  <c r="C19" i="13"/>
  <c r="N18" i="13"/>
  <c r="M18" i="13"/>
  <c r="L18" i="13"/>
  <c r="K18" i="13"/>
  <c r="J18" i="13"/>
  <c r="I18" i="13"/>
  <c r="H18" i="13"/>
  <c r="G18" i="13"/>
  <c r="F18" i="13"/>
  <c r="E18" i="13"/>
  <c r="D18" i="13"/>
  <c r="C18" i="13"/>
  <c r="N17" i="13"/>
  <c r="M17" i="13"/>
  <c r="L17" i="13"/>
  <c r="K17" i="13"/>
  <c r="J17" i="13"/>
  <c r="I17" i="13"/>
  <c r="H17" i="13"/>
  <c r="G17" i="13"/>
  <c r="F17" i="13"/>
  <c r="E17" i="13"/>
  <c r="D17" i="13"/>
  <c r="C17" i="13"/>
  <c r="N16" i="13"/>
  <c r="M16" i="13"/>
  <c r="L16" i="13"/>
  <c r="K16" i="13"/>
  <c r="J16" i="13"/>
  <c r="I16" i="13"/>
  <c r="H16" i="13"/>
  <c r="G16" i="13"/>
  <c r="F16" i="13"/>
  <c r="E16" i="13"/>
  <c r="D16" i="13"/>
  <c r="C16" i="13"/>
  <c r="N15" i="13"/>
  <c r="M15" i="13"/>
  <c r="L15" i="13"/>
  <c r="K15" i="13"/>
  <c r="J15" i="13"/>
  <c r="I15" i="13"/>
  <c r="H15" i="13"/>
  <c r="G15" i="13"/>
  <c r="F15" i="13"/>
  <c r="E15" i="13"/>
  <c r="D15" i="13"/>
  <c r="C15" i="13"/>
  <c r="N14" i="13"/>
  <c r="M14" i="13"/>
  <c r="L14" i="13"/>
  <c r="K14" i="13"/>
  <c r="J14" i="13"/>
  <c r="I14" i="13"/>
  <c r="H14" i="13"/>
  <c r="G14" i="13"/>
  <c r="F14" i="13"/>
  <c r="E14" i="13"/>
  <c r="D14" i="13"/>
  <c r="C14" i="13"/>
  <c r="N13" i="13"/>
  <c r="M13" i="13"/>
  <c r="L13" i="13"/>
  <c r="K13" i="13"/>
  <c r="J13" i="13"/>
  <c r="I13" i="13"/>
  <c r="H13" i="13"/>
  <c r="G13" i="13"/>
  <c r="F13" i="13"/>
  <c r="E13" i="13"/>
  <c r="D13" i="13"/>
  <c r="C13" i="13"/>
  <c r="N12" i="13"/>
  <c r="M12" i="13"/>
  <c r="L12" i="13"/>
  <c r="K12" i="13"/>
  <c r="J12" i="13"/>
  <c r="I12" i="13"/>
  <c r="H12" i="13"/>
  <c r="G12" i="13"/>
  <c r="F12" i="13"/>
  <c r="E12" i="13"/>
  <c r="D12" i="13"/>
  <c r="C12" i="13"/>
  <c r="D3" i="13"/>
  <c r="N7" i="13"/>
  <c r="B4" i="13"/>
  <c r="N5" i="13"/>
  <c r="M5" i="13"/>
  <c r="L5" i="13"/>
  <c r="K5" i="13"/>
  <c r="J5" i="13"/>
  <c r="I5" i="13"/>
  <c r="H5" i="13"/>
  <c r="G5" i="13"/>
  <c r="F5" i="13"/>
  <c r="E5" i="13"/>
  <c r="D5" i="13"/>
  <c r="C5" i="13"/>
  <c r="C4" i="13"/>
  <c r="C3" i="13"/>
  <c r="D2" i="13"/>
  <c r="D1" i="13"/>
  <c r="N39" i="12"/>
  <c r="M39" i="12"/>
  <c r="L39" i="12"/>
  <c r="K39" i="12"/>
  <c r="J39" i="12"/>
  <c r="I39" i="12"/>
  <c r="H39" i="12"/>
  <c r="G39" i="12"/>
  <c r="F39" i="12"/>
  <c r="E39" i="12"/>
  <c r="D39" i="12"/>
  <c r="C39" i="12"/>
  <c r="N36" i="12"/>
  <c r="M36" i="12"/>
  <c r="L36" i="12"/>
  <c r="K36" i="12"/>
  <c r="J36" i="12"/>
  <c r="I36" i="12"/>
  <c r="H36" i="12"/>
  <c r="G36" i="12"/>
  <c r="F36" i="12"/>
  <c r="E36" i="12"/>
  <c r="D36" i="12"/>
  <c r="C36" i="12"/>
  <c r="B3" i="12"/>
  <c r="N89" i="12"/>
  <c r="M89" i="12"/>
  <c r="L89" i="12"/>
  <c r="K89" i="12"/>
  <c r="J89" i="12"/>
  <c r="I89" i="12"/>
  <c r="H89" i="12"/>
  <c r="G89" i="12"/>
  <c r="F89" i="12"/>
  <c r="E89" i="12"/>
  <c r="D89" i="12"/>
  <c r="C89" i="12"/>
  <c r="N88" i="12"/>
  <c r="M88" i="12"/>
  <c r="L88" i="12"/>
  <c r="K88" i="12"/>
  <c r="J88" i="12"/>
  <c r="I88" i="12"/>
  <c r="H88" i="12"/>
  <c r="G88" i="12"/>
  <c r="F88" i="12"/>
  <c r="E88" i="12"/>
  <c r="D88" i="12"/>
  <c r="C88" i="12"/>
  <c r="C1" i="12"/>
  <c r="N87" i="12"/>
  <c r="M87" i="12"/>
  <c r="L87" i="12"/>
  <c r="K87" i="12"/>
  <c r="J87" i="12"/>
  <c r="I87" i="12"/>
  <c r="H87" i="12"/>
  <c r="G87" i="12"/>
  <c r="F87" i="12"/>
  <c r="E87" i="12"/>
  <c r="D87" i="12"/>
  <c r="C87" i="12"/>
  <c r="N86" i="12"/>
  <c r="M86" i="12"/>
  <c r="L86" i="12"/>
  <c r="K86" i="12"/>
  <c r="J86" i="12"/>
  <c r="I86" i="12"/>
  <c r="H86" i="12"/>
  <c r="G86" i="12"/>
  <c r="F86" i="12"/>
  <c r="E86" i="12"/>
  <c r="D86" i="12"/>
  <c r="C86" i="12"/>
  <c r="N81" i="12"/>
  <c r="M81" i="12"/>
  <c r="L81" i="12"/>
  <c r="K81" i="12"/>
  <c r="J81" i="12"/>
  <c r="I81" i="12"/>
  <c r="H81" i="12"/>
  <c r="G81" i="12"/>
  <c r="F81" i="12"/>
  <c r="E81" i="12"/>
  <c r="D81" i="12"/>
  <c r="C81" i="12"/>
  <c r="N80" i="12"/>
  <c r="M80" i="12"/>
  <c r="L80" i="12"/>
  <c r="K80" i="12"/>
  <c r="J80" i="12"/>
  <c r="I80" i="12"/>
  <c r="H80" i="12"/>
  <c r="G80" i="12"/>
  <c r="F80" i="12"/>
  <c r="E80" i="12"/>
  <c r="D80" i="12"/>
  <c r="C80" i="12"/>
  <c r="N79" i="12"/>
  <c r="M79" i="12"/>
  <c r="L79" i="12"/>
  <c r="K79" i="12"/>
  <c r="J79" i="12"/>
  <c r="I79" i="12"/>
  <c r="H79" i="12"/>
  <c r="G79" i="12"/>
  <c r="F79" i="12"/>
  <c r="E79" i="12"/>
  <c r="D79" i="12"/>
  <c r="C79" i="12"/>
  <c r="N78" i="12"/>
  <c r="M78" i="12"/>
  <c r="L78" i="12"/>
  <c r="K78" i="12"/>
  <c r="J78" i="12"/>
  <c r="I78" i="12"/>
  <c r="H78" i="12"/>
  <c r="G78" i="12"/>
  <c r="F78" i="12"/>
  <c r="E78" i="12"/>
  <c r="D78" i="12"/>
  <c r="C78" i="12"/>
  <c r="N77" i="12"/>
  <c r="M77" i="12"/>
  <c r="L77" i="12"/>
  <c r="K77" i="12"/>
  <c r="J77" i="12"/>
  <c r="I77" i="12"/>
  <c r="H77" i="12"/>
  <c r="G77" i="12"/>
  <c r="F77" i="12"/>
  <c r="E77" i="12"/>
  <c r="D77" i="12"/>
  <c r="C77" i="12"/>
  <c r="N72" i="12"/>
  <c r="M72" i="12"/>
  <c r="L72" i="12"/>
  <c r="K72" i="12"/>
  <c r="J72" i="12"/>
  <c r="I72" i="12"/>
  <c r="H72" i="12"/>
  <c r="G72" i="12"/>
  <c r="F72" i="12"/>
  <c r="E72" i="12"/>
  <c r="D72" i="12"/>
  <c r="C72" i="12"/>
  <c r="N71" i="12"/>
  <c r="M71" i="12"/>
  <c r="L71" i="12"/>
  <c r="K71" i="12"/>
  <c r="J71" i="12"/>
  <c r="I71" i="12"/>
  <c r="H71" i="12"/>
  <c r="G71" i="12"/>
  <c r="F71" i="12"/>
  <c r="E71" i="12"/>
  <c r="D71" i="12"/>
  <c r="C71" i="12"/>
  <c r="N70" i="12"/>
  <c r="M70" i="12"/>
  <c r="L70" i="12"/>
  <c r="K70" i="12"/>
  <c r="J70" i="12"/>
  <c r="I70" i="12"/>
  <c r="H70" i="12"/>
  <c r="G70" i="12"/>
  <c r="F70" i="12"/>
  <c r="E70" i="12"/>
  <c r="D70" i="12"/>
  <c r="C70" i="12"/>
  <c r="N69" i="12"/>
  <c r="M69" i="12"/>
  <c r="L69" i="12"/>
  <c r="K69" i="12"/>
  <c r="J69" i="12"/>
  <c r="I69" i="12"/>
  <c r="H69" i="12"/>
  <c r="G69" i="12"/>
  <c r="F69" i="12"/>
  <c r="E69" i="12"/>
  <c r="D69" i="12"/>
  <c r="C69" i="12"/>
  <c r="N68" i="12"/>
  <c r="M68" i="12"/>
  <c r="L68" i="12"/>
  <c r="K68" i="12"/>
  <c r="J68" i="12"/>
  <c r="I68" i="12"/>
  <c r="H68" i="12"/>
  <c r="G68" i="12"/>
  <c r="F68" i="12"/>
  <c r="E68" i="12"/>
  <c r="D68" i="12"/>
  <c r="C68" i="12"/>
  <c r="N63" i="12"/>
  <c r="M63" i="12"/>
  <c r="L63" i="12"/>
  <c r="K63" i="12"/>
  <c r="J63" i="12"/>
  <c r="I63" i="12"/>
  <c r="H63" i="12"/>
  <c r="G63" i="12"/>
  <c r="F63" i="12"/>
  <c r="E63" i="12"/>
  <c r="D63" i="12"/>
  <c r="C63" i="12"/>
  <c r="N62" i="12"/>
  <c r="M62" i="12"/>
  <c r="L62" i="12"/>
  <c r="K62" i="12"/>
  <c r="J62" i="12"/>
  <c r="I62" i="12"/>
  <c r="H62" i="12"/>
  <c r="G62" i="12"/>
  <c r="F62" i="12"/>
  <c r="E62" i="12"/>
  <c r="D62" i="12"/>
  <c r="C62" i="12"/>
  <c r="N61" i="12"/>
  <c r="M61" i="12"/>
  <c r="L61" i="12"/>
  <c r="K61" i="12"/>
  <c r="J61" i="12"/>
  <c r="I61" i="12"/>
  <c r="H61" i="12"/>
  <c r="G61" i="12"/>
  <c r="F61" i="12"/>
  <c r="E61" i="12"/>
  <c r="D61" i="12"/>
  <c r="C61" i="12"/>
  <c r="N60" i="12"/>
  <c r="M60" i="12"/>
  <c r="L60" i="12"/>
  <c r="K60" i="12"/>
  <c r="J60" i="12"/>
  <c r="I60" i="12"/>
  <c r="H60" i="12"/>
  <c r="G60" i="12"/>
  <c r="F60" i="12"/>
  <c r="E60" i="12"/>
  <c r="D60" i="12"/>
  <c r="C60" i="12"/>
  <c r="N55" i="12"/>
  <c r="M55" i="12"/>
  <c r="L55" i="12"/>
  <c r="K55" i="12"/>
  <c r="J55" i="12"/>
  <c r="I55" i="12"/>
  <c r="H55" i="12"/>
  <c r="G55" i="12"/>
  <c r="F55" i="12"/>
  <c r="E55" i="12"/>
  <c r="D55" i="12"/>
  <c r="C55" i="12"/>
  <c r="N54" i="12"/>
  <c r="M54" i="12"/>
  <c r="L54" i="12"/>
  <c r="K54" i="12"/>
  <c r="J54" i="12"/>
  <c r="I54" i="12"/>
  <c r="H54" i="12"/>
  <c r="G54" i="12"/>
  <c r="F54" i="12"/>
  <c r="E54" i="12"/>
  <c r="D54" i="12"/>
  <c r="C54" i="12"/>
  <c r="N53" i="12"/>
  <c r="M53" i="12"/>
  <c r="L53" i="12"/>
  <c r="K53" i="12"/>
  <c r="J53" i="12"/>
  <c r="I53" i="12"/>
  <c r="H53" i="12"/>
  <c r="G53" i="12"/>
  <c r="F53" i="12"/>
  <c r="E53" i="12"/>
  <c r="D53" i="12"/>
  <c r="C53" i="12"/>
  <c r="N52" i="12"/>
  <c r="M52" i="12"/>
  <c r="L52" i="12"/>
  <c r="K52" i="12"/>
  <c r="J52" i="12"/>
  <c r="I52" i="12"/>
  <c r="H52" i="12"/>
  <c r="G52" i="12"/>
  <c r="F52" i="12"/>
  <c r="E52" i="12"/>
  <c r="D52" i="12"/>
  <c r="C52" i="12"/>
  <c r="N50" i="12"/>
  <c r="M50" i="12"/>
  <c r="L50" i="12"/>
  <c r="K50" i="12"/>
  <c r="J50" i="12"/>
  <c r="I50" i="12"/>
  <c r="H50" i="12"/>
  <c r="G50" i="12"/>
  <c r="F50" i="12"/>
  <c r="E50" i="12"/>
  <c r="D50" i="12"/>
  <c r="C50" i="12"/>
  <c r="N49" i="12"/>
  <c r="M49" i="12"/>
  <c r="L49" i="12"/>
  <c r="K49" i="12"/>
  <c r="J49" i="12"/>
  <c r="I49" i="12"/>
  <c r="H49" i="12"/>
  <c r="G49" i="12"/>
  <c r="F49" i="12"/>
  <c r="E49" i="12"/>
  <c r="D49" i="12"/>
  <c r="C49" i="12"/>
  <c r="B2" i="12"/>
  <c r="N42" i="12"/>
  <c r="M42" i="12"/>
  <c r="L42" i="12"/>
  <c r="K42" i="12"/>
  <c r="J42" i="12"/>
  <c r="I42" i="12"/>
  <c r="H42" i="12"/>
  <c r="G42" i="12"/>
  <c r="F42" i="12"/>
  <c r="E42" i="12"/>
  <c r="D42" i="12"/>
  <c r="C42" i="12"/>
  <c r="N41" i="12"/>
  <c r="M41" i="12"/>
  <c r="L41" i="12"/>
  <c r="K41" i="12"/>
  <c r="J41" i="12"/>
  <c r="I41" i="12"/>
  <c r="H41" i="12"/>
  <c r="G41" i="12"/>
  <c r="F41" i="12"/>
  <c r="E41" i="12"/>
  <c r="D41" i="12"/>
  <c r="C41" i="12"/>
  <c r="N40" i="12"/>
  <c r="M40" i="12"/>
  <c r="L40" i="12"/>
  <c r="K40" i="12"/>
  <c r="J40" i="12"/>
  <c r="I40" i="12"/>
  <c r="H40" i="12"/>
  <c r="G40" i="12"/>
  <c r="F40" i="12"/>
  <c r="E40" i="12"/>
  <c r="D40" i="12"/>
  <c r="C40" i="12"/>
  <c r="N38" i="12"/>
  <c r="M38" i="12"/>
  <c r="L38" i="12"/>
  <c r="K38" i="12"/>
  <c r="J38" i="12"/>
  <c r="I38" i="12"/>
  <c r="H38" i="12"/>
  <c r="G38" i="12"/>
  <c r="F38" i="12"/>
  <c r="E38" i="12"/>
  <c r="D38" i="12"/>
  <c r="C38" i="12"/>
  <c r="N37" i="12"/>
  <c r="M37" i="12"/>
  <c r="L37" i="12"/>
  <c r="K37" i="12"/>
  <c r="J37" i="12"/>
  <c r="I37" i="12"/>
  <c r="H37" i="12"/>
  <c r="G37" i="12"/>
  <c r="F37" i="12"/>
  <c r="E37" i="12"/>
  <c r="D37" i="12"/>
  <c r="C37" i="12"/>
  <c r="N35" i="12"/>
  <c r="M35" i="12"/>
  <c r="L35" i="12"/>
  <c r="K35" i="12"/>
  <c r="J35" i="12"/>
  <c r="I35" i="12"/>
  <c r="H35" i="12"/>
  <c r="G35" i="12"/>
  <c r="F35" i="12"/>
  <c r="E35" i="12"/>
  <c r="D35" i="12"/>
  <c r="C35" i="12"/>
  <c r="N34" i="12"/>
  <c r="M34" i="12"/>
  <c r="L34" i="12"/>
  <c r="K34" i="12"/>
  <c r="J34" i="12"/>
  <c r="I34" i="12"/>
  <c r="H34" i="12"/>
  <c r="G34" i="12"/>
  <c r="F34" i="12"/>
  <c r="E34" i="12"/>
  <c r="D34" i="12"/>
  <c r="C34" i="12"/>
  <c r="N33" i="12"/>
  <c r="M33" i="12"/>
  <c r="L33" i="12"/>
  <c r="K33" i="12"/>
  <c r="J33" i="12"/>
  <c r="I33" i="12"/>
  <c r="H33" i="12"/>
  <c r="G33" i="12"/>
  <c r="F33" i="12"/>
  <c r="E33" i="12"/>
  <c r="D33" i="12"/>
  <c r="C33" i="12"/>
  <c r="C2" i="12"/>
  <c r="N27" i="12"/>
  <c r="M27" i="12"/>
  <c r="L27" i="12"/>
  <c r="K27" i="12"/>
  <c r="J27" i="12"/>
  <c r="I27" i="12"/>
  <c r="H27" i="12"/>
  <c r="G27" i="12"/>
  <c r="F27" i="12"/>
  <c r="E27" i="12"/>
  <c r="D27" i="12"/>
  <c r="C27" i="12"/>
  <c r="N26" i="12"/>
  <c r="M26" i="12"/>
  <c r="L26" i="12"/>
  <c r="K26" i="12"/>
  <c r="J26" i="12"/>
  <c r="I26" i="12"/>
  <c r="H26" i="12"/>
  <c r="G26" i="12"/>
  <c r="F26" i="12"/>
  <c r="E26" i="12"/>
  <c r="D26" i="12"/>
  <c r="C26" i="12"/>
  <c r="N25" i="12"/>
  <c r="M25" i="12"/>
  <c r="L25" i="12"/>
  <c r="K25" i="12"/>
  <c r="J25" i="12"/>
  <c r="I25" i="12"/>
  <c r="H25" i="12"/>
  <c r="G25" i="12"/>
  <c r="F25" i="12"/>
  <c r="E25" i="12"/>
  <c r="D25" i="12"/>
  <c r="C25" i="12"/>
  <c r="N24" i="12"/>
  <c r="M24" i="12"/>
  <c r="L24" i="12"/>
  <c r="K24" i="12"/>
  <c r="J24" i="12"/>
  <c r="I24" i="12"/>
  <c r="H24" i="12"/>
  <c r="G24" i="12"/>
  <c r="F24" i="12"/>
  <c r="E24" i="12"/>
  <c r="D24" i="12"/>
  <c r="C24" i="12"/>
  <c r="N23" i="12"/>
  <c r="M23" i="12"/>
  <c r="L23" i="12"/>
  <c r="K23" i="12"/>
  <c r="J23" i="12"/>
  <c r="I23" i="12"/>
  <c r="H23" i="12"/>
  <c r="G23" i="12"/>
  <c r="F23" i="12"/>
  <c r="E23" i="12"/>
  <c r="D23" i="12"/>
  <c r="C23" i="12"/>
  <c r="N22" i="12"/>
  <c r="M22" i="12"/>
  <c r="L22" i="12"/>
  <c r="K22" i="12"/>
  <c r="J22" i="12"/>
  <c r="I22" i="12"/>
  <c r="H22" i="12"/>
  <c r="G22" i="12"/>
  <c r="F22" i="12"/>
  <c r="E22" i="12"/>
  <c r="D22" i="12"/>
  <c r="C22" i="12"/>
  <c r="N21" i="12"/>
  <c r="M21" i="12"/>
  <c r="L21" i="12"/>
  <c r="K21" i="12"/>
  <c r="J21" i="12"/>
  <c r="I21" i="12"/>
  <c r="H21" i="12"/>
  <c r="G21" i="12"/>
  <c r="F21" i="12"/>
  <c r="E21" i="12"/>
  <c r="D21" i="12"/>
  <c r="C21" i="12"/>
  <c r="N20" i="12"/>
  <c r="M20" i="12"/>
  <c r="L20" i="12"/>
  <c r="K20" i="12"/>
  <c r="J20" i="12"/>
  <c r="I20" i="12"/>
  <c r="H20" i="12"/>
  <c r="G20" i="12"/>
  <c r="F20" i="12"/>
  <c r="E20" i="12"/>
  <c r="D20" i="12"/>
  <c r="C20" i="12"/>
  <c r="N19" i="12"/>
  <c r="M19" i="12"/>
  <c r="L19" i="12"/>
  <c r="K19" i="12"/>
  <c r="J19" i="12"/>
  <c r="I19" i="12"/>
  <c r="H19" i="12"/>
  <c r="G19" i="12"/>
  <c r="F19" i="12"/>
  <c r="E19" i="12"/>
  <c r="D19" i="12"/>
  <c r="C19" i="12"/>
  <c r="N18" i="12"/>
  <c r="M18" i="12"/>
  <c r="L18" i="12"/>
  <c r="K18" i="12"/>
  <c r="J18" i="12"/>
  <c r="I18" i="12"/>
  <c r="H18" i="12"/>
  <c r="G18" i="12"/>
  <c r="F18" i="12"/>
  <c r="E18" i="12"/>
  <c r="D18" i="12"/>
  <c r="C18" i="12"/>
  <c r="N17" i="12"/>
  <c r="M17" i="12"/>
  <c r="L17" i="12"/>
  <c r="K17" i="12"/>
  <c r="J17" i="12"/>
  <c r="I17" i="12"/>
  <c r="H17" i="12"/>
  <c r="G17" i="12"/>
  <c r="F17" i="12"/>
  <c r="E17" i="12"/>
  <c r="D17" i="12"/>
  <c r="C17" i="12"/>
  <c r="N16" i="12"/>
  <c r="M16" i="12"/>
  <c r="L16" i="12"/>
  <c r="K16" i="12"/>
  <c r="J16" i="12"/>
  <c r="I16" i="12"/>
  <c r="H16" i="12"/>
  <c r="G16" i="12"/>
  <c r="F16" i="12"/>
  <c r="E16" i="12"/>
  <c r="D16" i="12"/>
  <c r="C16" i="12"/>
  <c r="N15" i="12"/>
  <c r="M15" i="12"/>
  <c r="L15" i="12"/>
  <c r="K15" i="12"/>
  <c r="J15" i="12"/>
  <c r="I15" i="12"/>
  <c r="H15" i="12"/>
  <c r="G15" i="12"/>
  <c r="F15" i="12"/>
  <c r="E15" i="12"/>
  <c r="D15" i="12"/>
  <c r="C15" i="12"/>
  <c r="N14" i="12"/>
  <c r="M14" i="12"/>
  <c r="L14" i="12"/>
  <c r="K14" i="12"/>
  <c r="J14" i="12"/>
  <c r="I14" i="12"/>
  <c r="H14" i="12"/>
  <c r="G14" i="12"/>
  <c r="F14" i="12"/>
  <c r="E14" i="12"/>
  <c r="D14" i="12"/>
  <c r="C14" i="12"/>
  <c r="N13" i="12"/>
  <c r="M13" i="12"/>
  <c r="L13" i="12"/>
  <c r="K13" i="12"/>
  <c r="J13" i="12"/>
  <c r="I13" i="12"/>
  <c r="H13" i="12"/>
  <c r="G13" i="12"/>
  <c r="F13" i="12"/>
  <c r="E13" i="12"/>
  <c r="D13" i="12"/>
  <c r="C13" i="12"/>
  <c r="N12" i="12"/>
  <c r="M12" i="12"/>
  <c r="L12" i="12"/>
  <c r="K12" i="12"/>
  <c r="J12" i="12"/>
  <c r="I12" i="12"/>
  <c r="H12" i="12"/>
  <c r="G12" i="12"/>
  <c r="F12" i="12"/>
  <c r="E12" i="12"/>
  <c r="D12" i="12"/>
  <c r="C12" i="12"/>
  <c r="D3" i="12"/>
  <c r="N7" i="12"/>
  <c r="B4" i="12"/>
  <c r="N5" i="12"/>
  <c r="M5" i="12"/>
  <c r="L5" i="12"/>
  <c r="K5" i="12"/>
  <c r="J5" i="12"/>
  <c r="I5" i="12"/>
  <c r="H5" i="12"/>
  <c r="G5" i="12"/>
  <c r="F5" i="12"/>
  <c r="E5" i="12"/>
  <c r="D5" i="12"/>
  <c r="C5" i="12"/>
  <c r="C4" i="12"/>
  <c r="C3" i="12"/>
  <c r="D2" i="12"/>
  <c r="D1" i="12"/>
  <c r="N39" i="4"/>
  <c r="M39" i="4"/>
  <c r="L39" i="4"/>
  <c r="K39" i="4"/>
  <c r="J39" i="4"/>
  <c r="I39" i="4"/>
  <c r="H39" i="4"/>
  <c r="G39" i="4"/>
  <c r="F39" i="4"/>
  <c r="E39" i="4"/>
  <c r="D39" i="4"/>
  <c r="C39" i="4"/>
  <c r="N36" i="4"/>
  <c r="M36" i="4"/>
  <c r="L36" i="4"/>
  <c r="K36" i="4"/>
  <c r="J36" i="4"/>
  <c r="I36" i="4"/>
  <c r="H36" i="4"/>
  <c r="G36" i="4"/>
  <c r="F36" i="4"/>
  <c r="E36" i="4"/>
  <c r="D36" i="4"/>
  <c r="C36" i="4"/>
  <c r="B2" i="11"/>
  <c r="C34" i="11"/>
  <c r="N34" i="11"/>
  <c r="F34" i="11"/>
  <c r="E34" i="11"/>
  <c r="M34" i="11"/>
  <c r="L34" i="11"/>
  <c r="D34" i="11"/>
  <c r="G34" i="11"/>
  <c r="K34" i="11"/>
  <c r="J34" i="11"/>
  <c r="I34" i="11"/>
  <c r="H34" i="11"/>
  <c r="B4" i="11"/>
  <c r="D3" i="11"/>
  <c r="D2" i="11"/>
  <c r="D1" i="11"/>
  <c r="H5" i="11"/>
  <c r="N7" i="11"/>
  <c r="G5" i="11"/>
  <c r="M73" i="11"/>
  <c r="N5" i="11"/>
  <c r="F5" i="11"/>
  <c r="H73" i="11"/>
  <c r="M5" i="11"/>
  <c r="E5" i="11"/>
  <c r="I5" i="11"/>
  <c r="J5" i="11"/>
  <c r="C5" i="11"/>
  <c r="K5" i="11"/>
  <c r="D5" i="11"/>
  <c r="L5" i="11"/>
  <c r="E73" i="11"/>
  <c r="I73" i="11"/>
  <c r="F111" i="11"/>
  <c r="H123" i="11"/>
  <c r="G124" i="11"/>
  <c r="F125" i="11"/>
  <c r="F126" i="11"/>
  <c r="F127" i="11"/>
  <c r="J134" i="11"/>
  <c r="D143" i="11"/>
  <c r="L144" i="11"/>
  <c r="K146" i="11"/>
  <c r="H148" i="11"/>
  <c r="D150" i="11"/>
  <c r="C152" i="11"/>
  <c r="F277" i="11"/>
  <c r="J73" i="11"/>
  <c r="G111" i="11"/>
  <c r="J123" i="11"/>
  <c r="I124" i="11"/>
  <c r="G125" i="11"/>
  <c r="G126" i="11"/>
  <c r="H127" i="11"/>
  <c r="L134" i="11"/>
  <c r="D136" i="11"/>
  <c r="G143" i="11"/>
  <c r="D145" i="11"/>
  <c r="L146" i="11"/>
  <c r="K148" i="11"/>
  <c r="H150" i="11"/>
  <c r="D152" i="11"/>
  <c r="M277" i="11"/>
  <c r="E287" i="11"/>
  <c r="I292" i="11"/>
  <c r="C73" i="11"/>
  <c r="K73" i="11"/>
  <c r="H111" i="11"/>
  <c r="K123" i="11"/>
  <c r="J124" i="11"/>
  <c r="H125" i="11"/>
  <c r="I126" i="11"/>
  <c r="J127" i="11"/>
  <c r="N134" i="11"/>
  <c r="F136" i="11"/>
  <c r="H143" i="11"/>
  <c r="G145" i="11"/>
  <c r="D147" i="11"/>
  <c r="L148" i="11"/>
  <c r="K150" i="11"/>
  <c r="H152" i="11"/>
  <c r="N287" i="11"/>
  <c r="F293" i="11"/>
  <c r="D317" i="11"/>
  <c r="D73" i="11"/>
  <c r="L73" i="11"/>
  <c r="C110" i="11"/>
  <c r="J111" i="11"/>
  <c r="M123" i="11"/>
  <c r="K124" i="11"/>
  <c r="J125" i="11"/>
  <c r="J126" i="11"/>
  <c r="K127" i="11"/>
  <c r="I136" i="11"/>
  <c r="L143" i="11"/>
  <c r="H145" i="11"/>
  <c r="G147" i="11"/>
  <c r="D149" i="11"/>
  <c r="L150" i="11"/>
  <c r="K152" i="11"/>
  <c r="E279" i="11"/>
  <c r="I288" i="11"/>
  <c r="M293" i="11"/>
  <c r="L317" i="11"/>
  <c r="K111" i="11"/>
  <c r="C123" i="11"/>
  <c r="N123" i="11"/>
  <c r="L124" i="11"/>
  <c r="K125" i="11"/>
  <c r="L126" i="11"/>
  <c r="M127" i="11"/>
  <c r="J136" i="11"/>
  <c r="C144" i="11"/>
  <c r="L145" i="11"/>
  <c r="H147" i="11"/>
  <c r="G149" i="11"/>
  <c r="D151" i="11"/>
  <c r="C234" i="11"/>
  <c r="N279" i="11"/>
  <c r="F289" i="11"/>
  <c r="J294" i="11"/>
  <c r="H342" i="11"/>
  <c r="F73" i="11"/>
  <c r="N73" i="11"/>
  <c r="C111" i="11"/>
  <c r="L111" i="11"/>
  <c r="E123" i="11"/>
  <c r="C124" i="11"/>
  <c r="N124" i="11"/>
  <c r="M125" i="11"/>
  <c r="N126" i="11"/>
  <c r="N127" i="11"/>
  <c r="D134" i="11"/>
  <c r="L136" i="11"/>
  <c r="D144" i="11"/>
  <c r="C146" i="11"/>
  <c r="L147" i="11"/>
  <c r="H149" i="11"/>
  <c r="G151" i="11"/>
  <c r="F234" i="11"/>
  <c r="M289" i="11"/>
  <c r="D345" i="11"/>
  <c r="G73" i="11"/>
  <c r="D111" i="11"/>
  <c r="M111" i="11"/>
  <c r="F123" i="11"/>
  <c r="D124" i="11"/>
  <c r="C125" i="11"/>
  <c r="N125" i="11"/>
  <c r="C127" i="11"/>
  <c r="F134" i="11"/>
  <c r="N136" i="11"/>
  <c r="H144" i="11"/>
  <c r="D146" i="11"/>
  <c r="C148" i="11"/>
  <c r="L149" i="11"/>
  <c r="H151" i="11"/>
  <c r="N234" i="11"/>
  <c r="H253" i="11"/>
  <c r="J290" i="11"/>
  <c r="H309" i="11"/>
  <c r="L347" i="11"/>
  <c r="E111" i="11"/>
  <c r="N111" i="11"/>
  <c r="G123" i="11"/>
  <c r="F124" i="11"/>
  <c r="E125" i="11"/>
  <c r="D126" i="11"/>
  <c r="E127" i="11"/>
  <c r="I134" i="11"/>
  <c r="K144" i="11"/>
  <c r="H146" i="11"/>
  <c r="D148" i="11"/>
  <c r="C150" i="11"/>
  <c r="L151" i="11"/>
  <c r="I296" i="11"/>
  <c r="H350" i="11"/>
  <c r="G134" i="11"/>
  <c r="G136" i="11"/>
  <c r="E143" i="11"/>
  <c r="M143" i="11"/>
  <c r="I144" i="11"/>
  <c r="E145" i="11"/>
  <c r="M145" i="11"/>
  <c r="I146" i="11"/>
  <c r="E147" i="11"/>
  <c r="M147" i="11"/>
  <c r="I148" i="11"/>
  <c r="E149" i="11"/>
  <c r="M149" i="11"/>
  <c r="I150" i="11"/>
  <c r="E151" i="11"/>
  <c r="M151" i="11"/>
  <c r="I152" i="11"/>
  <c r="D234" i="11"/>
  <c r="J253" i="11"/>
  <c r="H277" i="11"/>
  <c r="D288" i="11"/>
  <c r="H289" i="11"/>
  <c r="L290" i="11"/>
  <c r="D292" i="11"/>
  <c r="H293" i="11"/>
  <c r="L294" i="11"/>
  <c r="D296" i="11"/>
  <c r="L309" i="11"/>
  <c r="E317" i="11"/>
  <c r="I342" i="11"/>
  <c r="E345" i="11"/>
  <c r="M347" i="11"/>
  <c r="I350" i="11"/>
  <c r="D123" i="11"/>
  <c r="L123" i="11"/>
  <c r="H124" i="11"/>
  <c r="D125" i="11"/>
  <c r="L125" i="11"/>
  <c r="H126" i="11"/>
  <c r="D127" i="11"/>
  <c r="L127" i="11"/>
  <c r="H134" i="11"/>
  <c r="H136" i="11"/>
  <c r="F143" i="11"/>
  <c r="N143" i="11"/>
  <c r="J144" i="11"/>
  <c r="F145" i="11"/>
  <c r="N145" i="11"/>
  <c r="J146" i="11"/>
  <c r="F147" i="11"/>
  <c r="N147" i="11"/>
  <c r="J148" i="11"/>
  <c r="F149" i="11"/>
  <c r="N149" i="11"/>
  <c r="J150" i="11"/>
  <c r="F151" i="11"/>
  <c r="N151" i="11"/>
  <c r="J152" i="11"/>
  <c r="E234" i="11"/>
  <c r="N253" i="11"/>
  <c r="L277" i="11"/>
  <c r="D279" i="11"/>
  <c r="D287" i="11"/>
  <c r="H288" i="11"/>
  <c r="L289" i="11"/>
  <c r="H292" i="11"/>
  <c r="L293" i="11"/>
  <c r="H296" i="11"/>
  <c r="M309" i="11"/>
  <c r="H317" i="11"/>
  <c r="D331" i="11"/>
  <c r="H340" i="11"/>
  <c r="D343" i="11"/>
  <c r="L345" i="11"/>
  <c r="H348" i="11"/>
  <c r="D351" i="11"/>
  <c r="D323" i="11"/>
  <c r="E331" i="11"/>
  <c r="I340" i="11"/>
  <c r="E343" i="11"/>
  <c r="M345" i="11"/>
  <c r="I348" i="11"/>
  <c r="E351" i="11"/>
  <c r="L152" i="11"/>
  <c r="H234" i="11"/>
  <c r="N277" i="11"/>
  <c r="F279" i="11"/>
  <c r="F287" i="11"/>
  <c r="J288" i="11"/>
  <c r="N289" i="11"/>
  <c r="J292" i="11"/>
  <c r="N293" i="11"/>
  <c r="J296" i="11"/>
  <c r="M317" i="11"/>
  <c r="E323" i="11"/>
  <c r="D329" i="11"/>
  <c r="L331" i="11"/>
  <c r="H338" i="11"/>
  <c r="D341" i="11"/>
  <c r="L343" i="11"/>
  <c r="H346" i="11"/>
  <c r="D349" i="11"/>
  <c r="L351" i="11"/>
  <c r="C126" i="11"/>
  <c r="K126" i="11"/>
  <c r="G127" i="11"/>
  <c r="C134" i="11"/>
  <c r="K134" i="11"/>
  <c r="C136" i="11"/>
  <c r="K136" i="11"/>
  <c r="I143" i="11"/>
  <c r="E144" i="11"/>
  <c r="M144" i="11"/>
  <c r="I145" i="11"/>
  <c r="E146" i="11"/>
  <c r="M146" i="11"/>
  <c r="I147" i="11"/>
  <c r="E148" i="11"/>
  <c r="M148" i="11"/>
  <c r="I149" i="11"/>
  <c r="E150" i="11"/>
  <c r="M150" i="11"/>
  <c r="I151" i="11"/>
  <c r="E152" i="11"/>
  <c r="M152" i="11"/>
  <c r="J234" i="11"/>
  <c r="H279" i="11"/>
  <c r="H287" i="11"/>
  <c r="L288" i="11"/>
  <c r="D290" i="11"/>
  <c r="L292" i="11"/>
  <c r="D294" i="11"/>
  <c r="L296" i="11"/>
  <c r="H323" i="11"/>
  <c r="E329" i="11"/>
  <c r="M331" i="11"/>
  <c r="I338" i="11"/>
  <c r="E341" i="11"/>
  <c r="M343" i="11"/>
  <c r="I346" i="11"/>
  <c r="E349" i="11"/>
  <c r="M351" i="11"/>
  <c r="J143" i="11"/>
  <c r="F144" i="11"/>
  <c r="N144" i="11"/>
  <c r="J145" i="11"/>
  <c r="F146" i="11"/>
  <c r="N146" i="11"/>
  <c r="J147" i="11"/>
  <c r="F148" i="11"/>
  <c r="N148" i="11"/>
  <c r="J149" i="11"/>
  <c r="F150" i="11"/>
  <c r="N150" i="11"/>
  <c r="J151" i="11"/>
  <c r="F152" i="11"/>
  <c r="N152" i="11"/>
  <c r="L234" i="11"/>
  <c r="F253" i="11"/>
  <c r="D277" i="11"/>
  <c r="L279" i="11"/>
  <c r="L287" i="11"/>
  <c r="D289" i="11"/>
  <c r="H290" i="11"/>
  <c r="D293" i="11"/>
  <c r="H294" i="11"/>
  <c r="D309" i="11"/>
  <c r="L323" i="11"/>
  <c r="L329" i="11"/>
  <c r="H332" i="11"/>
  <c r="L341" i="11"/>
  <c r="D347" i="11"/>
  <c r="L349" i="11"/>
  <c r="H352" i="11"/>
  <c r="I111" i="11"/>
  <c r="I123" i="11"/>
  <c r="E124" i="11"/>
  <c r="M124" i="11"/>
  <c r="I125" i="11"/>
  <c r="E126" i="11"/>
  <c r="M126" i="11"/>
  <c r="I127" i="11"/>
  <c r="E134" i="11"/>
  <c r="M134" i="11"/>
  <c r="E136" i="11"/>
  <c r="M136" i="11"/>
  <c r="C143" i="11"/>
  <c r="K143" i="11"/>
  <c r="G144" i="11"/>
  <c r="C145" i="11"/>
  <c r="K145" i="11"/>
  <c r="G146" i="11"/>
  <c r="C147" i="11"/>
  <c r="K147" i="11"/>
  <c r="G148" i="11"/>
  <c r="C149" i="11"/>
  <c r="K149" i="11"/>
  <c r="G150" i="11"/>
  <c r="C151" i="11"/>
  <c r="K151" i="11"/>
  <c r="G152" i="11"/>
  <c r="M234" i="11"/>
  <c r="G253" i="11"/>
  <c r="E277" i="11"/>
  <c r="M279" i="11"/>
  <c r="M287" i="11"/>
  <c r="E289" i="11"/>
  <c r="I290" i="11"/>
  <c r="E293" i="11"/>
  <c r="I294" i="11"/>
  <c r="E309" i="11"/>
  <c r="M323" i="11"/>
  <c r="M329" i="11"/>
  <c r="I332" i="11"/>
  <c r="M341" i="11"/>
  <c r="E347" i="11"/>
  <c r="M349" i="11"/>
  <c r="I352" i="11"/>
  <c r="K234" i="11"/>
  <c r="E253" i="11"/>
  <c r="M253" i="11"/>
  <c r="C277" i="11"/>
  <c r="K277" i="11"/>
  <c r="C279" i="11"/>
  <c r="K279" i="11"/>
  <c r="C287" i="11"/>
  <c r="K287" i="11"/>
  <c r="G288" i="11"/>
  <c r="C289" i="11"/>
  <c r="K289" i="11"/>
  <c r="G290" i="11"/>
  <c r="G292" i="11"/>
  <c r="C293" i="11"/>
  <c r="K293" i="11"/>
  <c r="G294" i="11"/>
  <c r="G296" i="11"/>
  <c r="C309" i="11"/>
  <c r="K309" i="11"/>
  <c r="C317" i="11"/>
  <c r="K317" i="11"/>
  <c r="C323" i="11"/>
  <c r="K323" i="11"/>
  <c r="C329" i="11"/>
  <c r="K329" i="11"/>
  <c r="C331" i="11"/>
  <c r="K331" i="11"/>
  <c r="G332" i="11"/>
  <c r="G338" i="11"/>
  <c r="G340" i="11"/>
  <c r="C341" i="11"/>
  <c r="K341" i="11"/>
  <c r="G342" i="11"/>
  <c r="C343" i="11"/>
  <c r="K343" i="11"/>
  <c r="C345" i="11"/>
  <c r="K345" i="11"/>
  <c r="G346" i="11"/>
  <c r="C347" i="11"/>
  <c r="K347" i="11"/>
  <c r="G348" i="11"/>
  <c r="C349" i="11"/>
  <c r="K349" i="11"/>
  <c r="G350" i="11"/>
  <c r="C351" i="11"/>
  <c r="K351" i="11"/>
  <c r="G352" i="11"/>
  <c r="F309" i="11"/>
  <c r="N309" i="11"/>
  <c r="F317" i="11"/>
  <c r="N317" i="11"/>
  <c r="F323" i="11"/>
  <c r="N323" i="11"/>
  <c r="F329" i="11"/>
  <c r="N329" i="11"/>
  <c r="F331" i="11"/>
  <c r="N331" i="11"/>
  <c r="J332" i="11"/>
  <c r="J338" i="11"/>
  <c r="J340" i="11"/>
  <c r="F341" i="11"/>
  <c r="N341" i="11"/>
  <c r="J342" i="11"/>
  <c r="F343" i="11"/>
  <c r="N343" i="11"/>
  <c r="F345" i="11"/>
  <c r="N345" i="11"/>
  <c r="J346" i="11"/>
  <c r="F347" i="11"/>
  <c r="N347" i="11"/>
  <c r="J348" i="11"/>
  <c r="F349" i="11"/>
  <c r="N349" i="11"/>
  <c r="J350" i="11"/>
  <c r="F351" i="11"/>
  <c r="N351" i="11"/>
  <c r="J352" i="11"/>
  <c r="G234" i="11"/>
  <c r="I253" i="11"/>
  <c r="G277" i="11"/>
  <c r="G279" i="11"/>
  <c r="G287" i="11"/>
  <c r="C288" i="11"/>
  <c r="K288" i="11"/>
  <c r="G289" i="11"/>
  <c r="C290" i="11"/>
  <c r="K290" i="11"/>
  <c r="C292" i="11"/>
  <c r="K292" i="11"/>
  <c r="G293" i="11"/>
  <c r="C294" i="11"/>
  <c r="K294" i="11"/>
  <c r="C296" i="11"/>
  <c r="K296" i="11"/>
  <c r="G309" i="11"/>
  <c r="G317" i="11"/>
  <c r="G323" i="11"/>
  <c r="G329" i="11"/>
  <c r="G331" i="11"/>
  <c r="C332" i="11"/>
  <c r="K332" i="11"/>
  <c r="C338" i="11"/>
  <c r="K338" i="11"/>
  <c r="C340" i="11"/>
  <c r="K340" i="11"/>
  <c r="G341" i="11"/>
  <c r="C342" i="11"/>
  <c r="K342" i="11"/>
  <c r="G343" i="11"/>
  <c r="G345" i="11"/>
  <c r="C346" i="11"/>
  <c r="K346" i="11"/>
  <c r="G347" i="11"/>
  <c r="C348" i="11"/>
  <c r="K348" i="11"/>
  <c r="G349" i="11"/>
  <c r="C350" i="11"/>
  <c r="K350" i="11"/>
  <c r="G351" i="11"/>
  <c r="C352" i="11"/>
  <c r="K352" i="11"/>
  <c r="H329" i="11"/>
  <c r="H331" i="11"/>
  <c r="D332" i="11"/>
  <c r="L332" i="11"/>
  <c r="D338" i="11"/>
  <c r="L338" i="11"/>
  <c r="D340" i="11"/>
  <c r="L340" i="11"/>
  <c r="H341" i="11"/>
  <c r="D342" i="11"/>
  <c r="L342" i="11"/>
  <c r="H343" i="11"/>
  <c r="H345" i="11"/>
  <c r="D346" i="11"/>
  <c r="L346" i="11"/>
  <c r="H347" i="11"/>
  <c r="D348" i="11"/>
  <c r="L348" i="11"/>
  <c r="H349" i="11"/>
  <c r="D350" i="11"/>
  <c r="L350" i="11"/>
  <c r="H351" i="11"/>
  <c r="D352" i="11"/>
  <c r="L352" i="11"/>
  <c r="I234" i="11"/>
  <c r="C253" i="11"/>
  <c r="K253" i="11"/>
  <c r="I277" i="11"/>
  <c r="I279" i="11"/>
  <c r="I287" i="11"/>
  <c r="E288" i="11"/>
  <c r="M288" i="11"/>
  <c r="I289" i="11"/>
  <c r="E290" i="11"/>
  <c r="M290" i="11"/>
  <c r="E292" i="11"/>
  <c r="M292" i="11"/>
  <c r="I293" i="11"/>
  <c r="E294" i="11"/>
  <c r="M294" i="11"/>
  <c r="E296" i="11"/>
  <c r="M296" i="11"/>
  <c r="I309" i="11"/>
  <c r="I317" i="11"/>
  <c r="I323" i="11"/>
  <c r="I329" i="11"/>
  <c r="I331" i="11"/>
  <c r="E332" i="11"/>
  <c r="M332" i="11"/>
  <c r="E338" i="11"/>
  <c r="M338" i="11"/>
  <c r="E340" i="11"/>
  <c r="M340" i="11"/>
  <c r="I341" i="11"/>
  <c r="E342" i="11"/>
  <c r="M342" i="11"/>
  <c r="I343" i="11"/>
  <c r="I345" i="11"/>
  <c r="E346" i="11"/>
  <c r="M346" i="11"/>
  <c r="I347" i="11"/>
  <c r="E348" i="11"/>
  <c r="M348" i="11"/>
  <c r="I349" i="11"/>
  <c r="E350" i="11"/>
  <c r="M350" i="11"/>
  <c r="I351" i="11"/>
  <c r="E352" i="11"/>
  <c r="M352" i="11"/>
  <c r="D253" i="11"/>
  <c r="L253" i="11"/>
  <c r="J277" i="11"/>
  <c r="J279" i="11"/>
  <c r="J287" i="11"/>
  <c r="F288" i="11"/>
  <c r="N288" i="11"/>
  <c r="J289" i="11"/>
  <c r="F290" i="11"/>
  <c r="N290" i="11"/>
  <c r="F292" i="11"/>
  <c r="N292" i="11"/>
  <c r="J293" i="11"/>
  <c r="F294" i="11"/>
  <c r="N294" i="11"/>
  <c r="F296" i="11"/>
  <c r="N296" i="11"/>
  <c r="J309" i="11"/>
  <c r="J317" i="11"/>
  <c r="J323" i="11"/>
  <c r="J329" i="11"/>
  <c r="J331" i="11"/>
  <c r="F332" i="11"/>
  <c r="N332" i="11"/>
  <c r="F338" i="11"/>
  <c r="N338" i="11"/>
  <c r="F340" i="11"/>
  <c r="N340" i="11"/>
  <c r="J341" i="11"/>
  <c r="F342" i="11"/>
  <c r="N342" i="11"/>
  <c r="J343" i="11"/>
  <c r="J345" i="11"/>
  <c r="F346" i="11"/>
  <c r="N346" i="11"/>
  <c r="J347" i="11"/>
  <c r="F348" i="11"/>
  <c r="N348" i="11"/>
  <c r="J349" i="11"/>
  <c r="F350" i="11"/>
  <c r="N350" i="11"/>
  <c r="J351" i="11"/>
  <c r="F352" i="11"/>
  <c r="N352" i="11"/>
  <c r="C35" i="11"/>
  <c r="E35" i="11"/>
  <c r="M35" i="11"/>
  <c r="D35" i="11"/>
  <c r="F35" i="11"/>
  <c r="N35" i="11"/>
  <c r="G35" i="11"/>
  <c r="L35" i="11"/>
  <c r="H35" i="11"/>
  <c r="K35" i="11"/>
  <c r="I35" i="11"/>
  <c r="J35" i="11"/>
  <c r="C36" i="11"/>
  <c r="H36" i="11"/>
  <c r="I36" i="11"/>
  <c r="F36" i="11"/>
  <c r="G36" i="11"/>
  <c r="J36" i="11"/>
  <c r="K36" i="11"/>
  <c r="D36" i="11"/>
  <c r="L36" i="11"/>
  <c r="E36" i="11"/>
  <c r="M36" i="11"/>
  <c r="N36" i="11"/>
  <c r="C56" i="11"/>
  <c r="H56" i="11"/>
  <c r="I56" i="11"/>
  <c r="J56" i="11"/>
  <c r="K56" i="11"/>
  <c r="D56" i="11"/>
  <c r="L56" i="11"/>
  <c r="E56" i="11"/>
  <c r="M56" i="11"/>
  <c r="G56" i="11"/>
  <c r="F56" i="11"/>
  <c r="N56" i="11"/>
  <c r="C57" i="11"/>
  <c r="I57" i="11"/>
  <c r="G57" i="11"/>
  <c r="J57" i="11"/>
  <c r="H57" i="11"/>
  <c r="K57" i="11"/>
  <c r="D57" i="11"/>
  <c r="L57" i="11"/>
  <c r="E57" i="11"/>
  <c r="M57" i="11"/>
  <c r="F57" i="11"/>
  <c r="N57" i="11"/>
  <c r="C65" i="11"/>
  <c r="H65" i="11"/>
  <c r="I65" i="11"/>
  <c r="J65" i="11"/>
  <c r="K65" i="11"/>
  <c r="D65" i="11"/>
  <c r="L65" i="11"/>
  <c r="E65" i="11"/>
  <c r="M65" i="11"/>
  <c r="G65" i="11"/>
  <c r="F65" i="11"/>
  <c r="N65" i="11"/>
  <c r="C66" i="11"/>
  <c r="G66" i="11"/>
  <c r="H66" i="11"/>
  <c r="I66" i="11"/>
  <c r="J66" i="11"/>
  <c r="K66" i="11"/>
  <c r="D66" i="11"/>
  <c r="L66" i="11"/>
  <c r="E66" i="11"/>
  <c r="M66" i="11"/>
  <c r="F66" i="11"/>
  <c r="N66" i="11"/>
  <c r="C75" i="11"/>
  <c r="H75" i="11"/>
  <c r="I75" i="11"/>
  <c r="J75" i="11"/>
  <c r="K75" i="11"/>
  <c r="D75" i="11"/>
  <c r="L75" i="11"/>
  <c r="E75" i="11"/>
  <c r="M75" i="11"/>
  <c r="G75" i="11"/>
  <c r="F75" i="11"/>
  <c r="N75" i="11"/>
  <c r="C82" i="11"/>
  <c r="C83" i="11"/>
  <c r="H83" i="11"/>
  <c r="D82" i="11"/>
  <c r="L82" i="11"/>
  <c r="I83" i="11"/>
  <c r="E82" i="11"/>
  <c r="M82" i="11"/>
  <c r="J83" i="11"/>
  <c r="J82" i="11"/>
  <c r="F82" i="11"/>
  <c r="N82" i="11"/>
  <c r="K83" i="11"/>
  <c r="G83" i="11"/>
  <c r="G82" i="11"/>
  <c r="D83" i="11"/>
  <c r="L83" i="11"/>
  <c r="K82" i="11"/>
  <c r="H82" i="11"/>
  <c r="E83" i="11"/>
  <c r="M83" i="11"/>
  <c r="I82" i="11"/>
  <c r="F83" i="11"/>
  <c r="N83" i="11"/>
  <c r="J337" i="11"/>
  <c r="N328" i="11"/>
  <c r="F328" i="11"/>
  <c r="N316" i="11"/>
  <c r="F316" i="11"/>
  <c r="N308" i="11"/>
  <c r="F308" i="11"/>
  <c r="J301" i="11"/>
  <c r="N286" i="11"/>
  <c r="F286" i="11"/>
  <c r="N276" i="11"/>
  <c r="F276" i="11"/>
  <c r="N270" i="11"/>
  <c r="F270" i="11"/>
  <c r="K261" i="11"/>
  <c r="C261" i="11"/>
  <c r="H252" i="11"/>
  <c r="M241" i="11"/>
  <c r="E241" i="11"/>
  <c r="I337" i="11"/>
  <c r="M328" i="11"/>
  <c r="E328" i="11"/>
  <c r="M316" i="11"/>
  <c r="E316" i="11"/>
  <c r="M308" i="11"/>
  <c r="E308" i="11"/>
  <c r="I301" i="11"/>
  <c r="M286" i="11"/>
  <c r="E286" i="11"/>
  <c r="M276" i="11"/>
  <c r="E276" i="11"/>
  <c r="M270" i="11"/>
  <c r="E270" i="11"/>
  <c r="J261" i="11"/>
  <c r="G252" i="11"/>
  <c r="L241" i="11"/>
  <c r="D241" i="11"/>
  <c r="M231" i="11"/>
  <c r="E231" i="11"/>
  <c r="H337" i="11"/>
  <c r="G337" i="11"/>
  <c r="K328" i="11"/>
  <c r="C328" i="11"/>
  <c r="K316" i="11"/>
  <c r="C316" i="11"/>
  <c r="K308" i="11"/>
  <c r="C308" i="11"/>
  <c r="G301" i="11"/>
  <c r="K286" i="11"/>
  <c r="C286" i="11"/>
  <c r="K276" i="11"/>
  <c r="C276" i="11"/>
  <c r="K270" i="11"/>
  <c r="C270" i="11"/>
  <c r="H261" i="11"/>
  <c r="M252" i="11"/>
  <c r="E252" i="11"/>
  <c r="J241" i="11"/>
  <c r="K231" i="11"/>
  <c r="N337" i="11"/>
  <c r="F337" i="11"/>
  <c r="J328" i="11"/>
  <c r="J316" i="11"/>
  <c r="K337" i="11"/>
  <c r="C337" i="11"/>
  <c r="G328" i="11"/>
  <c r="G316" i="11"/>
  <c r="G308" i="11"/>
  <c r="K301" i="11"/>
  <c r="C301" i="11"/>
  <c r="G286" i="11"/>
  <c r="G276" i="11"/>
  <c r="G270" i="11"/>
  <c r="L261" i="11"/>
  <c r="D261" i="11"/>
  <c r="I252" i="11"/>
  <c r="N241" i="11"/>
  <c r="F241" i="11"/>
  <c r="L316" i="11"/>
  <c r="E301" i="11"/>
  <c r="I286" i="11"/>
  <c r="I270" i="11"/>
  <c r="F261" i="11"/>
  <c r="C252" i="11"/>
  <c r="H241" i="11"/>
  <c r="F231" i="11"/>
  <c r="J224" i="11"/>
  <c r="G142" i="11"/>
  <c r="M132" i="11"/>
  <c r="E132" i="11"/>
  <c r="M122" i="11"/>
  <c r="E122" i="11"/>
  <c r="I109" i="11"/>
  <c r="I316" i="11"/>
  <c r="D301" i="11"/>
  <c r="H286" i="11"/>
  <c r="H270" i="11"/>
  <c r="E261" i="11"/>
  <c r="G241" i="11"/>
  <c r="D231" i="11"/>
  <c r="I224" i="11"/>
  <c r="N142" i="11"/>
  <c r="F142" i="11"/>
  <c r="H316" i="11"/>
  <c r="L308" i="11"/>
  <c r="D286" i="11"/>
  <c r="L276" i="11"/>
  <c r="D270" i="11"/>
  <c r="N252" i="11"/>
  <c r="C241" i="11"/>
  <c r="N231" i="11"/>
  <c r="C231" i="11"/>
  <c r="H224" i="11"/>
  <c r="M142" i="11"/>
  <c r="E142" i="11"/>
  <c r="K132" i="11"/>
  <c r="C132" i="11"/>
  <c r="D316" i="11"/>
  <c r="J308" i="11"/>
  <c r="N301" i="11"/>
  <c r="J276" i="11"/>
  <c r="L252" i="11"/>
  <c r="L231" i="11"/>
  <c r="G224" i="11"/>
  <c r="M337" i="11"/>
  <c r="L328" i="11"/>
  <c r="L337" i="11"/>
  <c r="I328" i="11"/>
  <c r="H308" i="11"/>
  <c r="L301" i="11"/>
  <c r="H276" i="11"/>
  <c r="M261" i="11"/>
  <c r="J252" i="11"/>
  <c r="I231" i="11"/>
  <c r="M224" i="11"/>
  <c r="E224" i="11"/>
  <c r="J142" i="11"/>
  <c r="H132" i="11"/>
  <c r="H122" i="11"/>
  <c r="E337" i="11"/>
  <c r="H328" i="11"/>
  <c r="D308" i="11"/>
  <c r="H301" i="11"/>
  <c r="L286" i="11"/>
  <c r="D276" i="11"/>
  <c r="L270" i="11"/>
  <c r="I261" i="11"/>
  <c r="F252" i="11"/>
  <c r="K241" i="11"/>
  <c r="H231" i="11"/>
  <c r="L224" i="11"/>
  <c r="D224" i="11"/>
  <c r="I142" i="11"/>
  <c r="I276" i="11"/>
  <c r="J231" i="11"/>
  <c r="N224" i="11"/>
  <c r="L142" i="11"/>
  <c r="F132" i="11"/>
  <c r="I122" i="11"/>
  <c r="K109" i="11"/>
  <c r="L100" i="11"/>
  <c r="D100" i="11"/>
  <c r="G231" i="11"/>
  <c r="K224" i="11"/>
  <c r="K142" i="11"/>
  <c r="D132" i="11"/>
  <c r="G122" i="11"/>
  <c r="J109" i="11"/>
  <c r="K100" i="11"/>
  <c r="C100" i="11"/>
  <c r="K88" i="11"/>
  <c r="C88" i="11"/>
  <c r="K80" i="11"/>
  <c r="C80" i="11"/>
  <c r="G71" i="11"/>
  <c r="K62" i="11"/>
  <c r="C62" i="11"/>
  <c r="K54" i="11"/>
  <c r="C54" i="11"/>
  <c r="G43" i="11"/>
  <c r="I308" i="11"/>
  <c r="N261" i="11"/>
  <c r="K252" i="11"/>
  <c r="F224" i="11"/>
  <c r="H142" i="11"/>
  <c r="F122" i="11"/>
  <c r="H109" i="11"/>
  <c r="J100" i="11"/>
  <c r="J88" i="11"/>
  <c r="J80" i="11"/>
  <c r="N71" i="11"/>
  <c r="F71" i="11"/>
  <c r="J62" i="11"/>
  <c r="J54" i="11"/>
  <c r="N43" i="11"/>
  <c r="F43" i="11"/>
  <c r="J270" i="11"/>
  <c r="G261" i="11"/>
  <c r="D252" i="11"/>
  <c r="C224" i="11"/>
  <c r="D142" i="11"/>
  <c r="N132" i="11"/>
  <c r="D122" i="11"/>
  <c r="G109" i="11"/>
  <c r="I100" i="11"/>
  <c r="I88" i="11"/>
  <c r="C142" i="11"/>
  <c r="L132" i="11"/>
  <c r="N122" i="11"/>
  <c r="C122" i="11"/>
  <c r="F109" i="11"/>
  <c r="H100" i="11"/>
  <c r="H88" i="11"/>
  <c r="H80" i="11"/>
  <c r="L71" i="11"/>
  <c r="D71" i="11"/>
  <c r="H62" i="11"/>
  <c r="H54" i="11"/>
  <c r="D337" i="11"/>
  <c r="I241" i="11"/>
  <c r="J132" i="11"/>
  <c r="L122" i="11"/>
  <c r="N109" i="11"/>
  <c r="E109" i="11"/>
  <c r="G100" i="11"/>
  <c r="G88" i="11"/>
  <c r="G80" i="11"/>
  <c r="K71" i="11"/>
  <c r="C71" i="11"/>
  <c r="G62" i="11"/>
  <c r="G54" i="11"/>
  <c r="M301" i="11"/>
  <c r="I132" i="11"/>
  <c r="K122" i="11"/>
  <c r="M109" i="11"/>
  <c r="D109" i="11"/>
  <c r="N100" i="11"/>
  <c r="F100" i="11"/>
  <c r="N88" i="11"/>
  <c r="F88" i="11"/>
  <c r="N80" i="11"/>
  <c r="F80" i="11"/>
  <c r="J71" i="11"/>
  <c r="N62" i="11"/>
  <c r="F62" i="11"/>
  <c r="N54" i="11"/>
  <c r="F54" i="11"/>
  <c r="J43" i="11"/>
  <c r="K33" i="11"/>
  <c r="C33" i="11"/>
  <c r="D328" i="11"/>
  <c r="F301" i="11"/>
  <c r="J286" i="11"/>
  <c r="G132" i="11"/>
  <c r="J122" i="11"/>
  <c r="L109" i="11"/>
  <c r="C109" i="11"/>
  <c r="M100" i="11"/>
  <c r="E100" i="11"/>
  <c r="M88" i="11"/>
  <c r="E88" i="11"/>
  <c r="M80" i="11"/>
  <c r="E80" i="11"/>
  <c r="I71" i="11"/>
  <c r="M62" i="11"/>
  <c r="E62" i="11"/>
  <c r="M54" i="11"/>
  <c r="E54" i="11"/>
  <c r="I43" i="11"/>
  <c r="I54" i="11"/>
  <c r="H43" i="11"/>
  <c r="H33" i="11"/>
  <c r="L12" i="11"/>
  <c r="D12" i="11"/>
  <c r="D54" i="11"/>
  <c r="E43" i="11"/>
  <c r="G33" i="11"/>
  <c r="K12" i="11"/>
  <c r="C12" i="11"/>
  <c r="D43" i="11"/>
  <c r="F33" i="11"/>
  <c r="J12" i="11"/>
  <c r="L88" i="11"/>
  <c r="L62" i="11"/>
  <c r="C43" i="11"/>
  <c r="N33" i="11"/>
  <c r="E33" i="11"/>
  <c r="I12" i="11"/>
  <c r="D88" i="11"/>
  <c r="M71" i="11"/>
  <c r="I62" i="11"/>
  <c r="M33" i="11"/>
  <c r="D33" i="11"/>
  <c r="H12" i="11"/>
  <c r="L80" i="11"/>
  <c r="H71" i="11"/>
  <c r="D62" i="11"/>
  <c r="M43" i="11"/>
  <c r="L33" i="11"/>
  <c r="G12" i="11"/>
  <c r="I80" i="11"/>
  <c r="E71" i="11"/>
  <c r="L43" i="11"/>
  <c r="J33" i="11"/>
  <c r="N12" i="11"/>
  <c r="F12" i="11"/>
  <c r="D80" i="11"/>
  <c r="L54" i="11"/>
  <c r="K43" i="11"/>
  <c r="I33" i="11"/>
  <c r="M12" i="11"/>
  <c r="E12" i="11"/>
  <c r="H135" i="11"/>
  <c r="G135" i="11"/>
  <c r="I135" i="11"/>
  <c r="J135" i="11"/>
  <c r="K135" i="11"/>
  <c r="D135" i="11"/>
  <c r="L135" i="11"/>
  <c r="C135" i="11"/>
  <c r="E135" i="11"/>
  <c r="M135" i="11"/>
  <c r="F135" i="11"/>
  <c r="N135" i="11"/>
  <c r="G226" i="11"/>
  <c r="J226" i="11"/>
  <c r="H226" i="11"/>
  <c r="K226" i="11"/>
  <c r="I226" i="11"/>
  <c r="D226" i="11"/>
  <c r="L226" i="11"/>
  <c r="E226" i="11"/>
  <c r="M226" i="11"/>
  <c r="C226" i="11"/>
  <c r="F226" i="11"/>
  <c r="N226" i="11"/>
  <c r="D232" i="11"/>
  <c r="L232" i="11"/>
  <c r="H233" i="11"/>
  <c r="E232" i="11"/>
  <c r="M232" i="11"/>
  <c r="I233" i="11"/>
  <c r="F233" i="11"/>
  <c r="G233" i="11"/>
  <c r="N232" i="11"/>
  <c r="C233" i="11"/>
  <c r="L233" i="11"/>
  <c r="J232" i="11"/>
  <c r="C232" i="11"/>
  <c r="K232" i="11"/>
  <c r="F232" i="11"/>
  <c r="J233" i="11"/>
  <c r="G232" i="11"/>
  <c r="K233" i="11"/>
  <c r="H232" i="11"/>
  <c r="D233" i="11"/>
  <c r="I232" i="11"/>
  <c r="E233" i="11"/>
  <c r="M233" i="11"/>
  <c r="N233" i="11"/>
  <c r="J235" i="11"/>
  <c r="C235" i="11"/>
  <c r="K235" i="11"/>
  <c r="M235" i="11"/>
  <c r="L235" i="11"/>
  <c r="F235" i="11"/>
  <c r="N235" i="11"/>
  <c r="G235" i="11"/>
  <c r="D235" i="11"/>
  <c r="E235" i="11"/>
  <c r="H235" i="11"/>
  <c r="I235" i="11"/>
  <c r="M242" i="11"/>
  <c r="I243" i="11"/>
  <c r="E244" i="11"/>
  <c r="M244" i="11"/>
  <c r="I245" i="11"/>
  <c r="E246" i="11"/>
  <c r="M246" i="11"/>
  <c r="K246" i="11"/>
  <c r="J243" i="11"/>
  <c r="F244" i="11"/>
  <c r="N244" i="11"/>
  <c r="J245" i="11"/>
  <c r="F246" i="11"/>
  <c r="N246" i="11"/>
  <c r="G243" i="11"/>
  <c r="C246" i="11"/>
  <c r="D244" i="11"/>
  <c r="L246" i="11"/>
  <c r="N242" i="11"/>
  <c r="G242" i="11"/>
  <c r="C243" i="11"/>
  <c r="K243" i="11"/>
  <c r="G244" i="11"/>
  <c r="C245" i="11"/>
  <c r="K245" i="11"/>
  <c r="G246" i="11"/>
  <c r="C244" i="11"/>
  <c r="H243" i="11"/>
  <c r="D246" i="11"/>
  <c r="E242" i="11"/>
  <c r="F242" i="11"/>
  <c r="H242" i="11"/>
  <c r="D243" i="11"/>
  <c r="L243" i="11"/>
  <c r="H244" i="11"/>
  <c r="D245" i="11"/>
  <c r="L245" i="11"/>
  <c r="H246" i="11"/>
  <c r="K242" i="11"/>
  <c r="K244" i="11"/>
  <c r="D242" i="11"/>
  <c r="L244" i="11"/>
  <c r="I242" i="11"/>
  <c r="E243" i="11"/>
  <c r="M243" i="11"/>
  <c r="I244" i="11"/>
  <c r="E245" i="11"/>
  <c r="M245" i="11"/>
  <c r="I246" i="11"/>
  <c r="C242" i="11"/>
  <c r="G245" i="11"/>
  <c r="L242" i="11"/>
  <c r="H245" i="11"/>
  <c r="J242" i="11"/>
  <c r="F243" i="11"/>
  <c r="N243" i="11"/>
  <c r="J244" i="11"/>
  <c r="F245" i="11"/>
  <c r="N245" i="11"/>
  <c r="J246" i="11"/>
  <c r="C255" i="11"/>
  <c r="L255" i="11"/>
  <c r="I254" i="11"/>
  <c r="E255" i="11"/>
  <c r="M255" i="11"/>
  <c r="I256" i="11"/>
  <c r="K255" i="11"/>
  <c r="N255" i="11"/>
  <c r="J256" i="11"/>
  <c r="G256" i="11"/>
  <c r="C254" i="11"/>
  <c r="K254" i="11"/>
  <c r="G255" i="11"/>
  <c r="C256" i="11"/>
  <c r="K256" i="11"/>
  <c r="H254" i="11"/>
  <c r="J254" i="11"/>
  <c r="D254" i="11"/>
  <c r="L254" i="11"/>
  <c r="H255" i="11"/>
  <c r="D256" i="11"/>
  <c r="L256" i="11"/>
  <c r="F255" i="11"/>
  <c r="M254" i="11"/>
  <c r="I255" i="11"/>
  <c r="E256" i="11"/>
  <c r="M256" i="11"/>
  <c r="G254" i="11"/>
  <c r="D255" i="11"/>
  <c r="H256" i="11"/>
  <c r="E254" i="11"/>
  <c r="F254" i="11"/>
  <c r="N254" i="11"/>
  <c r="J255" i="11"/>
  <c r="F256" i="11"/>
  <c r="N256" i="11"/>
  <c r="K262" i="11"/>
  <c r="G263" i="11"/>
  <c r="C264" i="11"/>
  <c r="K264" i="11"/>
  <c r="G265" i="11"/>
  <c r="C262" i="11"/>
  <c r="M262" i="11"/>
  <c r="I265" i="11"/>
  <c r="L264" i="11"/>
  <c r="M264" i="11"/>
  <c r="F262" i="11"/>
  <c r="N262" i="11"/>
  <c r="J263" i="11"/>
  <c r="F264" i="11"/>
  <c r="N264" i="11"/>
  <c r="J265" i="11"/>
  <c r="L262" i="11"/>
  <c r="E262" i="11"/>
  <c r="E264" i="11"/>
  <c r="G262" i="11"/>
  <c r="C263" i="11"/>
  <c r="K263" i="11"/>
  <c r="G264" i="11"/>
  <c r="C265" i="11"/>
  <c r="K265" i="11"/>
  <c r="H265" i="11"/>
  <c r="L263" i="11"/>
  <c r="H264" i="11"/>
  <c r="D265" i="11"/>
  <c r="L265" i="11"/>
  <c r="D262" i="11"/>
  <c r="H263" i="11"/>
  <c r="D264" i="11"/>
  <c r="D263" i="11"/>
  <c r="M263" i="11"/>
  <c r="I264" i="11"/>
  <c r="E265" i="11"/>
  <c r="M265" i="11"/>
  <c r="I263" i="11"/>
  <c r="H262" i="11"/>
  <c r="I262" i="11"/>
  <c r="E263" i="11"/>
  <c r="J262" i="11"/>
  <c r="F263" i="11"/>
  <c r="N263" i="11"/>
  <c r="J264" i="11"/>
  <c r="F265" i="11"/>
  <c r="N265" i="11"/>
  <c r="G271" i="11"/>
  <c r="I271" i="11"/>
  <c r="H271" i="11"/>
  <c r="J271" i="11"/>
  <c r="C271" i="11"/>
  <c r="K271" i="11"/>
  <c r="D271" i="11"/>
  <c r="L271" i="11"/>
  <c r="E271" i="11"/>
  <c r="M271" i="11"/>
  <c r="F271" i="11"/>
  <c r="N271" i="11"/>
  <c r="C280" i="11"/>
  <c r="K280" i="11"/>
  <c r="G281" i="11"/>
  <c r="L280" i="11"/>
  <c r="I281" i="11"/>
  <c r="J281" i="11"/>
  <c r="K281" i="11"/>
  <c r="D280" i="11"/>
  <c r="E280" i="11"/>
  <c r="F280" i="11"/>
  <c r="N280" i="11"/>
  <c r="H280" i="11"/>
  <c r="D281" i="11"/>
  <c r="L281" i="11"/>
  <c r="H281" i="11"/>
  <c r="M280" i="11"/>
  <c r="G280" i="11"/>
  <c r="I280" i="11"/>
  <c r="E281" i="11"/>
  <c r="M281" i="11"/>
  <c r="C281" i="11"/>
  <c r="J280" i="11"/>
  <c r="F281" i="11"/>
  <c r="N281" i="11"/>
  <c r="G291" i="11"/>
  <c r="J291" i="11"/>
  <c r="N291" i="11"/>
  <c r="K291" i="11"/>
  <c r="F291" i="11"/>
  <c r="H291" i="11"/>
  <c r="I291" i="11"/>
  <c r="C291" i="11"/>
  <c r="D291" i="11"/>
  <c r="L291" i="11"/>
  <c r="E291" i="11"/>
  <c r="M291" i="11"/>
  <c r="H295" i="11"/>
  <c r="I295" i="11"/>
  <c r="J295" i="11"/>
  <c r="C295" i="11"/>
  <c r="K295" i="11"/>
  <c r="D295" i="11"/>
  <c r="L295" i="11"/>
  <c r="E295" i="11"/>
  <c r="M295" i="11"/>
  <c r="G295" i="11"/>
  <c r="F295" i="11"/>
  <c r="N295" i="11"/>
  <c r="C302" i="11"/>
  <c r="K302" i="11"/>
  <c r="G303" i="11"/>
  <c r="D302" i="11"/>
  <c r="L302" i="11"/>
  <c r="H303" i="11"/>
  <c r="E302" i="11"/>
  <c r="M302" i="11"/>
  <c r="I303" i="11"/>
  <c r="F302" i="11"/>
  <c r="N302" i="11"/>
  <c r="J303" i="11"/>
  <c r="G302" i="11"/>
  <c r="K303" i="11"/>
  <c r="D303" i="11"/>
  <c r="I302" i="11"/>
  <c r="E303" i="11"/>
  <c r="M303" i="11"/>
  <c r="C303" i="11"/>
  <c r="H302" i="11"/>
  <c r="L303" i="11"/>
  <c r="J302" i="11"/>
  <c r="F303" i="11"/>
  <c r="N303" i="11"/>
  <c r="G311" i="11"/>
  <c r="E310" i="11"/>
  <c r="M310" i="11"/>
  <c r="I311" i="11"/>
  <c r="K310" i="11"/>
  <c r="L310" i="11"/>
  <c r="F310" i="11"/>
  <c r="N310" i="11"/>
  <c r="J311" i="11"/>
  <c r="D310" i="11"/>
  <c r="G310" i="11"/>
  <c r="C311" i="11"/>
  <c r="K311" i="11"/>
  <c r="C310" i="11"/>
  <c r="D311" i="11"/>
  <c r="L311" i="11"/>
  <c r="I310" i="11"/>
  <c r="E311" i="11"/>
  <c r="M311" i="11"/>
  <c r="H311" i="11"/>
  <c r="H310" i="11"/>
  <c r="J310" i="11"/>
  <c r="F311" i="11"/>
  <c r="N311" i="11"/>
  <c r="E320" i="11"/>
  <c r="M322" i="11"/>
  <c r="J319" i="11"/>
  <c r="F322" i="11"/>
  <c r="N322" i="11"/>
  <c r="G318" i="11"/>
  <c r="C319" i="11"/>
  <c r="K319" i="11"/>
  <c r="G320" i="11"/>
  <c r="C321" i="11"/>
  <c r="K321" i="11"/>
  <c r="G322" i="11"/>
  <c r="E322" i="11"/>
  <c r="J321" i="11"/>
  <c r="D321" i="11"/>
  <c r="M319" i="11"/>
  <c r="J318" i="11"/>
  <c r="N319" i="11"/>
  <c r="J320" i="11"/>
  <c r="F321" i="11"/>
  <c r="N321" i="11"/>
  <c r="J322" i="11"/>
  <c r="E318" i="11"/>
  <c r="I319" i="11"/>
  <c r="M320" i="11"/>
  <c r="F318" i="11"/>
  <c r="F320" i="11"/>
  <c r="H318" i="11"/>
  <c r="L319" i="11"/>
  <c r="L321" i="11"/>
  <c r="I318" i="11"/>
  <c r="E321" i="11"/>
  <c r="I322" i="11"/>
  <c r="F319" i="11"/>
  <c r="C318" i="11"/>
  <c r="K318" i="11"/>
  <c r="G319" i="11"/>
  <c r="C320" i="11"/>
  <c r="K320" i="11"/>
  <c r="G321" i="11"/>
  <c r="C322" i="11"/>
  <c r="K322" i="11"/>
  <c r="M318" i="11"/>
  <c r="I321" i="11"/>
  <c r="N318" i="11"/>
  <c r="N320" i="11"/>
  <c r="D319" i="11"/>
  <c r="H320" i="11"/>
  <c r="H322" i="11"/>
  <c r="E319" i="11"/>
  <c r="I320" i="11"/>
  <c r="M321" i="11"/>
  <c r="D318" i="11"/>
  <c r="L318" i="11"/>
  <c r="H319" i="11"/>
  <c r="D320" i="11"/>
  <c r="L320" i="11"/>
  <c r="H321" i="11"/>
  <c r="D322" i="11"/>
  <c r="L322" i="11"/>
  <c r="G330" i="11"/>
  <c r="H330" i="11"/>
  <c r="I330" i="11"/>
  <c r="J330" i="11"/>
  <c r="C330" i="11"/>
  <c r="K330" i="11"/>
  <c r="D330" i="11"/>
  <c r="L330" i="11"/>
  <c r="E330" i="11"/>
  <c r="M330" i="11"/>
  <c r="F330" i="11"/>
  <c r="N330" i="11"/>
  <c r="H339" i="11"/>
  <c r="I339" i="11"/>
  <c r="G339" i="11"/>
  <c r="J339" i="11"/>
  <c r="F339" i="11"/>
  <c r="C339" i="11"/>
  <c r="K339" i="11"/>
  <c r="D339" i="11"/>
  <c r="L339" i="11"/>
  <c r="E339" i="11"/>
  <c r="M339" i="11"/>
  <c r="N339" i="11"/>
  <c r="G344" i="11"/>
  <c r="I344" i="11"/>
  <c r="J344" i="11"/>
  <c r="D344" i="11"/>
  <c r="H344" i="11"/>
  <c r="C344" i="11"/>
  <c r="K344" i="11"/>
  <c r="L344" i="11"/>
  <c r="E344" i="11"/>
  <c r="M344" i="11"/>
  <c r="F344" i="11"/>
  <c r="N344" i="11"/>
  <c r="D64" i="11"/>
  <c r="I64" i="11"/>
  <c r="L64" i="11"/>
  <c r="D72" i="11"/>
  <c r="I72" i="11"/>
  <c r="L72" i="11"/>
  <c r="E64" i="11"/>
  <c r="M64" i="11"/>
  <c r="E72" i="11"/>
  <c r="M72" i="11"/>
  <c r="F64" i="11"/>
  <c r="N64" i="11"/>
  <c r="F72" i="11"/>
  <c r="N72" i="11"/>
  <c r="G64" i="11"/>
  <c r="G72" i="11"/>
  <c r="J278" i="11"/>
  <c r="H64" i="11"/>
  <c r="H72" i="11"/>
  <c r="J64" i="11"/>
  <c r="J72" i="11"/>
  <c r="C64" i="11"/>
  <c r="K64" i="11"/>
  <c r="C72" i="11"/>
  <c r="K72" i="11"/>
  <c r="L278" i="11"/>
  <c r="D278" i="11"/>
  <c r="H278" i="11"/>
  <c r="I278" i="11"/>
  <c r="G278" i="11"/>
  <c r="C278" i="11"/>
  <c r="K278" i="11"/>
  <c r="E278" i="11"/>
  <c r="M278" i="11"/>
  <c r="F278" i="11"/>
  <c r="N278" i="11"/>
  <c r="D4" i="10"/>
  <c r="B4" i="10"/>
  <c r="E3" i="10"/>
  <c r="D3" i="10"/>
  <c r="B3" i="10"/>
  <c r="E2" i="10"/>
  <c r="D2" i="10"/>
  <c r="B2" i="10"/>
  <c r="E1" i="10"/>
  <c r="D1" i="10"/>
  <c r="D3" i="4"/>
  <c r="D2" i="4"/>
  <c r="D1" i="4"/>
  <c r="C4" i="4"/>
  <c r="B4" i="4"/>
  <c r="C3" i="4"/>
  <c r="B3" i="4"/>
  <c r="C2" i="4"/>
  <c r="B2" i="4"/>
  <c r="C1" i="4"/>
  <c r="N7" i="4"/>
  <c r="E27" i="4"/>
  <c r="L19" i="4"/>
  <c r="L23" i="4"/>
  <c r="D14" i="4"/>
  <c r="F24" i="4"/>
  <c r="E19" i="4"/>
  <c r="K17" i="4"/>
  <c r="F21" i="4"/>
  <c r="M17" i="4"/>
  <c r="D22" i="4"/>
  <c r="H5" i="4"/>
  <c r="H20" i="4"/>
  <c r="N21" i="4"/>
  <c r="K26" i="4"/>
  <c r="N15" i="4"/>
  <c r="D13" i="4"/>
  <c r="L13" i="4"/>
  <c r="M25" i="4"/>
  <c r="M14" i="4"/>
  <c r="C23" i="4"/>
  <c r="F26" i="4"/>
  <c r="M24" i="4"/>
  <c r="E23" i="4"/>
  <c r="C15" i="4"/>
  <c r="G19" i="4"/>
  <c r="I5" i="4"/>
  <c r="F20" i="4"/>
  <c r="F14" i="4"/>
  <c r="H17" i="4"/>
  <c r="J17" i="4"/>
  <c r="K15" i="4"/>
  <c r="I13" i="4"/>
  <c r="I24" i="4"/>
  <c r="E5" i="4"/>
  <c r="N25" i="4"/>
  <c r="K19" i="4"/>
  <c r="H14" i="4"/>
  <c r="K18" i="4"/>
  <c r="M21" i="4"/>
  <c r="L21" i="4"/>
  <c r="I27" i="4"/>
  <c r="M26" i="4"/>
  <c r="J18" i="4"/>
  <c r="K24" i="4"/>
  <c r="J16" i="4"/>
  <c r="C24" i="4"/>
  <c r="F16" i="4"/>
  <c r="I19" i="4"/>
  <c r="G21" i="4"/>
  <c r="I16" i="4"/>
  <c r="E16" i="4"/>
  <c r="J20" i="4"/>
  <c r="I21" i="4"/>
  <c r="M13" i="4"/>
  <c r="L15" i="4"/>
  <c r="N23" i="4"/>
  <c r="H16" i="4"/>
  <c r="I22" i="4"/>
  <c r="I23" i="4"/>
  <c r="G13" i="4"/>
  <c r="L14" i="4"/>
  <c r="N27" i="4"/>
  <c r="M18" i="4"/>
  <c r="N13" i="4"/>
  <c r="F5" i="4"/>
  <c r="F15" i="4"/>
  <c r="K5" i="4"/>
  <c r="L27" i="4"/>
  <c r="E15" i="4"/>
  <c r="H24" i="4"/>
  <c r="J19" i="4"/>
  <c r="N24" i="4"/>
  <c r="D26" i="4"/>
  <c r="H23" i="4"/>
  <c r="E20" i="4"/>
  <c r="C22" i="4"/>
  <c r="L17" i="4"/>
  <c r="D19" i="4"/>
  <c r="K13" i="4"/>
  <c r="G20" i="4"/>
  <c r="H21" i="4"/>
  <c r="H26" i="4"/>
  <c r="D20" i="4"/>
  <c r="D15" i="4"/>
  <c r="G22" i="4"/>
  <c r="K25" i="4"/>
  <c r="E13" i="4"/>
  <c r="C26" i="4"/>
  <c r="C5" i="4"/>
  <c r="C14" i="4"/>
  <c r="D21" i="4"/>
  <c r="F17" i="4"/>
  <c r="G16" i="4"/>
  <c r="D17" i="4"/>
  <c r="L20" i="4"/>
  <c r="G5" i="4"/>
  <c r="C16" i="4"/>
  <c r="I15" i="4"/>
  <c r="J5" i="4"/>
  <c r="D27" i="4"/>
  <c r="E21" i="4"/>
  <c r="F23" i="4"/>
  <c r="L26" i="4"/>
  <c r="K16" i="4"/>
  <c r="F27" i="4"/>
  <c r="K22" i="4"/>
  <c r="F22" i="4"/>
  <c r="K27" i="4"/>
  <c r="N22" i="4"/>
  <c r="N26" i="4"/>
  <c r="J21" i="4"/>
  <c r="I20" i="4"/>
  <c r="M23" i="4"/>
  <c r="J23" i="4"/>
  <c r="L22" i="4"/>
  <c r="O5" i="10"/>
  <c r="C17" i="4"/>
  <c r="H15" i="4"/>
  <c r="I18" i="4"/>
  <c r="D16" i="4"/>
  <c r="C13" i="4"/>
  <c r="H25" i="4"/>
  <c r="L25" i="4"/>
  <c r="H18" i="4"/>
  <c r="L5" i="4"/>
  <c r="E17" i="4"/>
  <c r="G25" i="4"/>
  <c r="J15" i="4"/>
  <c r="G18" i="4"/>
  <c r="N5" i="4"/>
  <c r="F18" i="4"/>
  <c r="H19" i="4"/>
  <c r="J26" i="4"/>
  <c r="C19" i="4"/>
  <c r="N5" i="10"/>
  <c r="J5" i="10"/>
  <c r="J27" i="4"/>
  <c r="G27" i="4"/>
  <c r="N16" i="4"/>
  <c r="G5" i="10"/>
  <c r="I14" i="4"/>
  <c r="L18" i="4"/>
  <c r="F13" i="4"/>
  <c r="E18" i="4"/>
  <c r="K20" i="4"/>
  <c r="K23" i="4"/>
  <c r="L16" i="4"/>
  <c r="M5" i="4"/>
  <c r="M27" i="4"/>
  <c r="C27" i="4"/>
  <c r="E14" i="4"/>
  <c r="F25" i="4"/>
  <c r="G15" i="4"/>
  <c r="J25" i="4"/>
  <c r="H13" i="4"/>
  <c r="I17" i="4"/>
  <c r="G23" i="4"/>
  <c r="N18" i="4"/>
  <c r="K21" i="4"/>
  <c r="L24" i="4"/>
  <c r="J13" i="4"/>
  <c r="K5" i="10"/>
  <c r="H27" i="4"/>
  <c r="G14" i="4"/>
  <c r="F19" i="4"/>
  <c r="N19" i="4"/>
  <c r="D5" i="4"/>
  <c r="D24" i="4"/>
  <c r="D25" i="4"/>
  <c r="M15" i="4"/>
  <c r="N17" i="4"/>
  <c r="N14" i="4"/>
  <c r="J24" i="4"/>
  <c r="M16" i="4"/>
  <c r="H22" i="4"/>
  <c r="C18" i="4"/>
  <c r="G24" i="4"/>
  <c r="C20" i="4"/>
  <c r="E25" i="4"/>
  <c r="I25" i="4"/>
  <c r="M20" i="4"/>
  <c r="D23" i="4"/>
  <c r="E5" i="10"/>
  <c r="D5" i="10"/>
  <c r="N20" i="4"/>
  <c r="I26" i="4"/>
  <c r="J22" i="4"/>
  <c r="M22" i="4"/>
  <c r="M19" i="4"/>
  <c r="E22" i="4"/>
  <c r="C25" i="4"/>
  <c r="G26" i="4"/>
  <c r="D18" i="4"/>
  <c r="C21" i="4"/>
  <c r="J14" i="4"/>
  <c r="G17" i="4"/>
  <c r="E24" i="4"/>
  <c r="E26" i="4"/>
  <c r="K14" i="4"/>
  <c r="L5" i="10"/>
  <c r="F5" i="10"/>
  <c r="M5" i="10"/>
  <c r="H5" i="10"/>
  <c r="O7" i="10"/>
  <c r="I5" i="10"/>
  <c r="L42" i="4"/>
  <c r="D42" i="4"/>
  <c r="K42" i="4"/>
  <c r="E42" i="4"/>
  <c r="J42" i="4"/>
  <c r="I42" i="4"/>
  <c r="F42" i="4"/>
  <c r="H42" i="4"/>
  <c r="G42" i="4"/>
  <c r="N42" i="4"/>
  <c r="M42" i="4"/>
  <c r="C42" i="4"/>
  <c r="M41" i="4"/>
  <c r="E41" i="4"/>
  <c r="K41" i="4"/>
  <c r="F41" i="4"/>
  <c r="L41" i="4"/>
  <c r="D41" i="4"/>
  <c r="J41" i="4"/>
  <c r="I41" i="4"/>
  <c r="H41" i="4"/>
  <c r="G41" i="4"/>
  <c r="N41" i="4"/>
  <c r="C41" i="4"/>
  <c r="N79" i="4"/>
  <c r="F79" i="4"/>
  <c r="H79" i="4"/>
  <c r="M79" i="4"/>
  <c r="E79" i="4"/>
  <c r="L79" i="4"/>
  <c r="D79" i="4"/>
  <c r="K79" i="4"/>
  <c r="J79" i="4"/>
  <c r="G79" i="4"/>
  <c r="I79" i="4"/>
  <c r="C79" i="4"/>
  <c r="N78" i="4"/>
  <c r="F78" i="4"/>
  <c r="L78" i="4"/>
  <c r="D78" i="4"/>
  <c r="J78" i="4"/>
  <c r="E78" i="4"/>
  <c r="K78" i="4"/>
  <c r="I78" i="4"/>
  <c r="M78" i="4"/>
  <c r="H78" i="4"/>
  <c r="G78" i="4"/>
  <c r="C78" i="4"/>
  <c r="N71" i="4"/>
  <c r="M71" i="4"/>
  <c r="E71" i="4"/>
  <c r="L71" i="4"/>
  <c r="D71" i="4"/>
  <c r="J71" i="4"/>
  <c r="I71" i="4"/>
  <c r="F71" i="4"/>
  <c r="H71" i="4"/>
  <c r="G71" i="4"/>
  <c r="K71" i="4"/>
  <c r="C71" i="4"/>
  <c r="O128" i="10"/>
  <c r="K88" i="10"/>
  <c r="F128" i="10"/>
  <c r="N74" i="10"/>
  <c r="E128" i="10"/>
  <c r="M74" i="10"/>
  <c r="H160" i="10"/>
  <c r="D74" i="10"/>
  <c r="G160" i="10"/>
  <c r="D88" i="10"/>
  <c r="I128" i="10"/>
  <c r="E88" i="10"/>
  <c r="O35" i="10"/>
  <c r="M35" i="10"/>
  <c r="M52" i="10"/>
  <c r="K13" i="10"/>
  <c r="G13" i="10"/>
  <c r="G128" i="10"/>
  <c r="O74" i="10"/>
  <c r="J160" i="10"/>
  <c r="F74" i="10"/>
  <c r="I160" i="10"/>
  <c r="E74" i="10"/>
  <c r="L138" i="10"/>
  <c r="H62" i="10"/>
  <c r="K138" i="10"/>
  <c r="J128" i="10"/>
  <c r="M160" i="10"/>
  <c r="I74" i="10"/>
  <c r="G35" i="10"/>
  <c r="E35" i="10"/>
  <c r="E52" i="10"/>
  <c r="H13" i="10"/>
  <c r="M13" i="10"/>
  <c r="K160" i="10"/>
  <c r="G74" i="10"/>
  <c r="N138" i="10"/>
  <c r="J62" i="10"/>
  <c r="M138" i="10"/>
  <c r="I62" i="10"/>
  <c r="D138" i="10"/>
  <c r="G62" i="10"/>
  <c r="O144" i="10"/>
  <c r="N160" i="10"/>
  <c r="E160" i="10"/>
  <c r="M62" i="10"/>
  <c r="K35" i="10"/>
  <c r="L35" i="10"/>
  <c r="L52" i="10"/>
  <c r="O13" i="10"/>
  <c r="E13" i="10"/>
  <c r="O138" i="10"/>
  <c r="K62" i="10"/>
  <c r="F138" i="10"/>
  <c r="G88" i="10"/>
  <c r="E138" i="10"/>
  <c r="K74" i="10"/>
  <c r="H144" i="10"/>
  <c r="J74" i="10"/>
  <c r="G144" i="10"/>
  <c r="F160" i="10"/>
  <c r="I138" i="10"/>
  <c r="E62" i="10"/>
  <c r="I35" i="10"/>
  <c r="H35" i="10"/>
  <c r="D52" i="10"/>
  <c r="J13" i="10"/>
  <c r="D13" i="10"/>
  <c r="G138" i="10"/>
  <c r="J119" i="10"/>
  <c r="J144" i="10"/>
  <c r="N62" i="10"/>
  <c r="I144" i="10"/>
  <c r="F88" i="10"/>
  <c r="L119" i="10"/>
  <c r="D144" i="10"/>
  <c r="K119" i="10"/>
  <c r="J138" i="10"/>
  <c r="M144" i="10"/>
  <c r="H128" i="10"/>
  <c r="N35" i="10"/>
  <c r="O52" i="10"/>
  <c r="K52" i="10"/>
  <c r="I13" i="10"/>
  <c r="K144" i="10"/>
  <c r="F62" i="10"/>
  <c r="N119" i="10"/>
  <c r="H119" i="10"/>
  <c r="M119" i="10"/>
  <c r="L144" i="10"/>
  <c r="D119" i="10"/>
  <c r="L62" i="10"/>
  <c r="O88" i="10"/>
  <c r="N144" i="10"/>
  <c r="E144" i="10"/>
  <c r="L160" i="10"/>
  <c r="F35" i="10"/>
  <c r="G52" i="10"/>
  <c r="I52" i="10"/>
  <c r="N13" i="10"/>
  <c r="G119" i="10"/>
  <c r="N128" i="10"/>
  <c r="J88" i="10"/>
  <c r="M128" i="10"/>
  <c r="I88" i="10"/>
  <c r="D128" i="10"/>
  <c r="L74" i="10"/>
  <c r="O160" i="10"/>
  <c r="D160" i="10"/>
  <c r="N88" i="10"/>
  <c r="M88" i="10"/>
  <c r="H74" i="10"/>
  <c r="J35" i="10"/>
  <c r="F52" i="10"/>
  <c r="H52" i="10"/>
  <c r="L13" i="10"/>
  <c r="O119" i="10"/>
  <c r="O62" i="10"/>
  <c r="L88" i="10"/>
  <c r="F144" i="10"/>
  <c r="F119" i="10"/>
  <c r="I119" i="10"/>
  <c r="D62" i="10"/>
  <c r="H138" i="10"/>
  <c r="E119" i="10"/>
  <c r="D35" i="10"/>
  <c r="L128" i="10"/>
  <c r="N52" i="10"/>
  <c r="H88" i="10"/>
  <c r="J52" i="10"/>
  <c r="K128" i="10"/>
  <c r="F13" i="10"/>
  <c r="H76" i="4"/>
  <c r="G12" i="4"/>
  <c r="J49" i="4"/>
  <c r="I49" i="4"/>
  <c r="D12" i="4"/>
  <c r="J33" i="4"/>
  <c r="H12" i="4"/>
  <c r="J76" i="4"/>
  <c r="L49" i="4"/>
  <c r="H33" i="4"/>
  <c r="F76" i="4"/>
  <c r="K12" i="4"/>
  <c r="N49" i="4"/>
  <c r="D49" i="4"/>
  <c r="C76" i="4"/>
  <c r="I12" i="4"/>
  <c r="K76" i="4"/>
  <c r="H49" i="4"/>
  <c r="C12" i="4"/>
  <c r="F49" i="4"/>
  <c r="E49" i="4"/>
  <c r="K49" i="4"/>
  <c r="M33" i="4"/>
  <c r="L33" i="4"/>
  <c r="D76" i="4"/>
  <c r="L76" i="4"/>
  <c r="M76" i="4"/>
  <c r="E33" i="4"/>
  <c r="D33" i="4"/>
  <c r="K33" i="4"/>
  <c r="M49" i="4"/>
  <c r="E76" i="4"/>
  <c r="I33" i="4"/>
  <c r="N12" i="4"/>
  <c r="M12" i="4"/>
  <c r="C33" i="4"/>
  <c r="J12" i="4"/>
  <c r="N76" i="4"/>
  <c r="N33" i="4"/>
  <c r="F12" i="4"/>
  <c r="E12" i="4"/>
  <c r="G49" i="4"/>
  <c r="C49" i="4"/>
  <c r="F33" i="4"/>
  <c r="I76" i="4"/>
  <c r="G76" i="4"/>
  <c r="L12" i="4"/>
  <c r="G33" i="4"/>
  <c r="N34" i="4"/>
  <c r="G38" i="4"/>
  <c r="D35" i="4"/>
  <c r="H40" i="4"/>
  <c r="M35" i="4"/>
  <c r="E37" i="4"/>
  <c r="I38" i="4"/>
  <c r="I40" i="4"/>
  <c r="F35" i="4"/>
  <c r="N37" i="4"/>
  <c r="J38" i="4"/>
  <c r="J40" i="4"/>
  <c r="K34" i="4"/>
  <c r="G35" i="4"/>
  <c r="G37" i="4"/>
  <c r="C38" i="4"/>
  <c r="K38" i="4"/>
  <c r="C40" i="4"/>
  <c r="K40" i="4"/>
  <c r="G34" i="4"/>
  <c r="K35" i="4"/>
  <c r="C37" i="4"/>
  <c r="H34" i="4"/>
  <c r="L35" i="4"/>
  <c r="D37" i="4"/>
  <c r="H38" i="4"/>
  <c r="E35" i="4"/>
  <c r="M37" i="4"/>
  <c r="J34" i="4"/>
  <c r="N35" i="4"/>
  <c r="F37" i="4"/>
  <c r="D34" i="4"/>
  <c r="L34" i="4"/>
  <c r="H35" i="4"/>
  <c r="H37" i="4"/>
  <c r="D38" i="4"/>
  <c r="L38" i="4"/>
  <c r="D40" i="4"/>
  <c r="L40" i="4"/>
  <c r="C35" i="4"/>
  <c r="K37" i="4"/>
  <c r="G40" i="4"/>
  <c r="L37" i="4"/>
  <c r="I34" i="4"/>
  <c r="E34" i="4"/>
  <c r="M34" i="4"/>
  <c r="I35" i="4"/>
  <c r="I37" i="4"/>
  <c r="E38" i="4"/>
  <c r="M38" i="4"/>
  <c r="E40" i="4"/>
  <c r="M40" i="4"/>
  <c r="F34" i="4"/>
  <c r="J35" i="4"/>
  <c r="J37" i="4"/>
  <c r="F38" i="4"/>
  <c r="N38" i="4"/>
  <c r="F40" i="4"/>
  <c r="N40" i="4"/>
  <c r="C34" i="4"/>
  <c r="C50" i="4"/>
  <c r="G50" i="4"/>
  <c r="G52" i="4"/>
  <c r="J50" i="4"/>
  <c r="N53" i="4"/>
  <c r="K50" i="4"/>
  <c r="C52" i="4"/>
  <c r="K52" i="4"/>
  <c r="G53" i="4"/>
  <c r="C53" i="4"/>
  <c r="H50" i="4"/>
  <c r="H52" i="4"/>
  <c r="E53" i="4"/>
  <c r="F53" i="4"/>
  <c r="L50" i="4"/>
  <c r="D52" i="4"/>
  <c r="L52" i="4"/>
  <c r="H53" i="4"/>
  <c r="D53" i="4"/>
  <c r="I50" i="4"/>
  <c r="I52" i="4"/>
  <c r="J52" i="4"/>
  <c r="D50" i="4"/>
  <c r="E50" i="4"/>
  <c r="M50" i="4"/>
  <c r="E52" i="4"/>
  <c r="M52" i="4"/>
  <c r="I53" i="4"/>
  <c r="K53" i="4"/>
  <c r="L53" i="4"/>
  <c r="M53" i="4"/>
  <c r="F50" i="4"/>
  <c r="N50" i="4"/>
  <c r="F52" i="4"/>
  <c r="N52" i="4"/>
  <c r="J53" i="4"/>
  <c r="C77" i="4"/>
  <c r="F77" i="4"/>
  <c r="G77" i="4"/>
  <c r="H77" i="4"/>
  <c r="M77" i="4"/>
  <c r="I77" i="4"/>
  <c r="K77" i="4"/>
  <c r="E77" i="4"/>
  <c r="N77" i="4"/>
  <c r="J77" i="4"/>
  <c r="D77" i="4"/>
  <c r="L77" i="4"/>
  <c r="K162" i="10"/>
  <c r="E162" i="10"/>
  <c r="M161" i="10"/>
  <c r="I146" i="10"/>
  <c r="K146" i="10"/>
  <c r="E145" i="10"/>
  <c r="I130" i="10"/>
  <c r="J130" i="10"/>
  <c r="E129" i="10"/>
  <c r="K140" i="10"/>
  <c r="N140" i="10"/>
  <c r="M139" i="10"/>
  <c r="L121" i="10"/>
  <c r="E121" i="10"/>
  <c r="K120" i="10"/>
  <c r="I102" i="10"/>
  <c r="N102" i="10"/>
  <c r="L90" i="10"/>
  <c r="H89" i="10"/>
  <c r="F89" i="10"/>
  <c r="H75" i="10"/>
  <c r="J64" i="10"/>
  <c r="L64" i="10"/>
  <c r="E63" i="10"/>
  <c r="J54" i="10"/>
  <c r="N54" i="10"/>
  <c r="D53" i="10"/>
  <c r="E37" i="10"/>
  <c r="F37" i="10"/>
  <c r="I36" i="10"/>
  <c r="J15" i="10"/>
  <c r="G15" i="10"/>
  <c r="L80" i="10"/>
  <c r="F80" i="10"/>
  <c r="K79" i="10"/>
  <c r="D79" i="10"/>
  <c r="E79" i="10"/>
  <c r="F79" i="10"/>
  <c r="K78" i="10"/>
  <c r="H83" i="10"/>
  <c r="K83" i="10"/>
  <c r="J82" i="10"/>
  <c r="J97" i="10"/>
  <c r="D96" i="10"/>
  <c r="G92" i="10"/>
  <c r="K97" i="10"/>
  <c r="L93" i="10"/>
  <c r="M96" i="10"/>
  <c r="I94" i="10"/>
  <c r="F91" i="10"/>
  <c r="J96" i="10"/>
  <c r="O91" i="10"/>
  <c r="G97" i="10"/>
  <c r="I101" i="10"/>
  <c r="G98" i="10"/>
  <c r="D99" i="10"/>
  <c r="M99" i="10"/>
  <c r="J100" i="10"/>
  <c r="G101" i="10"/>
  <c r="N112" i="10"/>
  <c r="H106" i="10"/>
  <c r="L111" i="10"/>
  <c r="L162" i="10"/>
  <c r="G162" i="10"/>
  <c r="J161" i="10"/>
  <c r="J146" i="10"/>
  <c r="G146" i="10"/>
  <c r="M145" i="10"/>
  <c r="D130" i="10"/>
  <c r="G130" i="10"/>
  <c r="M129" i="10"/>
  <c r="D140" i="10"/>
  <c r="G140" i="10"/>
  <c r="J139" i="10"/>
  <c r="M121" i="10"/>
  <c r="G121" i="10"/>
  <c r="D120" i="10"/>
  <c r="H102" i="10"/>
  <c r="G102" i="10"/>
  <c r="E90" i="10"/>
  <c r="I89" i="10"/>
  <c r="N89" i="10"/>
  <c r="L75" i="10"/>
  <c r="O64" i="10"/>
  <c r="F64" i="10"/>
  <c r="M63" i="10"/>
  <c r="H54" i="10"/>
  <c r="G54" i="10"/>
  <c r="L53" i="10"/>
  <c r="H37" i="10"/>
  <c r="G37" i="10"/>
  <c r="F36" i="10"/>
  <c r="K15" i="10"/>
  <c r="O15" i="10"/>
  <c r="H81" i="10"/>
  <c r="N80" i="10"/>
  <c r="G80" i="10"/>
  <c r="L79" i="10"/>
  <c r="M79" i="10"/>
  <c r="N79" i="10"/>
  <c r="G79" i="10"/>
  <c r="I83" i="10"/>
  <c r="E82" i="10"/>
  <c r="F83" i="10"/>
  <c r="H91" i="10"/>
  <c r="L96" i="10"/>
  <c r="O92" i="10"/>
  <c r="I95" i="10"/>
  <c r="H94" i="10"/>
  <c r="J91" i="10"/>
  <c r="E95" i="10"/>
  <c r="N91" i="10"/>
  <c r="F97" i="10"/>
  <c r="K92" i="10"/>
  <c r="O97" i="10"/>
  <c r="F98" i="10"/>
  <c r="O98" i="10"/>
  <c r="L99" i="10"/>
  <c r="I100" i="10"/>
  <c r="F101" i="10"/>
  <c r="O101" i="10"/>
  <c r="J113" i="10"/>
  <c r="D107" i="10"/>
  <c r="H112" i="10"/>
  <c r="F103" i="10"/>
  <c r="G103" i="10"/>
  <c r="K108" i="10"/>
  <c r="O113" i="10"/>
  <c r="F105" i="10"/>
  <c r="H103" i="10"/>
  <c r="L108" i="10"/>
  <c r="D114" i="10"/>
  <c r="E104" i="10"/>
  <c r="I109" i="10"/>
  <c r="M114" i="10"/>
  <c r="F108" i="10"/>
  <c r="G104" i="10"/>
  <c r="K109" i="10"/>
  <c r="O114" i="10"/>
  <c r="F122" i="10"/>
  <c r="E123" i="10"/>
  <c r="O123" i="10"/>
  <c r="L131" i="10"/>
  <c r="I131" i="10"/>
  <c r="O132" i="10"/>
  <c r="M133" i="10"/>
  <c r="D154" i="10"/>
  <c r="E152" i="10"/>
  <c r="H153" i="10"/>
  <c r="N150" i="10"/>
  <c r="H147" i="10"/>
  <c r="H148" i="10"/>
  <c r="L153" i="10"/>
  <c r="M147" i="10"/>
  <c r="E153" i="10"/>
  <c r="O154" i="10"/>
  <c r="N151" i="10"/>
  <c r="G148" i="10"/>
  <c r="K150" i="10"/>
  <c r="O155" i="10"/>
  <c r="M163" i="10"/>
  <c r="L165" i="10"/>
  <c r="M164" i="10"/>
  <c r="N167" i="10"/>
  <c r="K169" i="10"/>
  <c r="G165" i="10"/>
  <c r="K170" i="10"/>
  <c r="M169" i="10"/>
  <c r="L168" i="10"/>
  <c r="M168" i="10"/>
  <c r="J167" i="10"/>
  <c r="O170" i="10"/>
  <c r="L66" i="10"/>
  <c r="H66" i="10"/>
  <c r="M67" i="10"/>
  <c r="G65" i="10"/>
  <c r="L68" i="10"/>
  <c r="M68" i="10"/>
  <c r="H68" i="10"/>
  <c r="F55" i="10"/>
  <c r="H56" i="10"/>
  <c r="M57" i="10"/>
  <c r="F57" i="10"/>
  <c r="O57" i="10"/>
  <c r="L19" i="10"/>
  <c r="D25" i="10"/>
  <c r="M162" i="10"/>
  <c r="O162" i="10"/>
  <c r="F161" i="10"/>
  <c r="D146" i="10"/>
  <c r="O146" i="10"/>
  <c r="K145" i="10"/>
  <c r="E130" i="10"/>
  <c r="O130" i="10"/>
  <c r="F129" i="10"/>
  <c r="L140" i="10"/>
  <c r="O140" i="10"/>
  <c r="F139" i="10"/>
  <c r="H121" i="10"/>
  <c r="O121" i="10"/>
  <c r="L120" i="10"/>
  <c r="J102" i="10"/>
  <c r="O102" i="10"/>
  <c r="M90" i="10"/>
  <c r="J89" i="10"/>
  <c r="G89" i="10"/>
  <c r="F75" i="10"/>
  <c r="I64" i="10"/>
  <c r="N64" i="10"/>
  <c r="F63" i="10"/>
  <c r="D54" i="10"/>
  <c r="O54" i="10"/>
  <c r="E53" i="10"/>
  <c r="K37" i="10"/>
  <c r="O37" i="10"/>
  <c r="N36" i="10"/>
  <c r="D15" i="10"/>
  <c r="I77" i="10"/>
  <c r="I79" i="10"/>
  <c r="J81" i="10"/>
  <c r="O80" i="10"/>
  <c r="H80" i="10"/>
  <c r="I80" i="10"/>
  <c r="J80" i="10"/>
  <c r="O79" i="10"/>
  <c r="F82" i="10"/>
  <c r="H82" i="10"/>
  <c r="N83" i="10"/>
  <c r="D92" i="10"/>
  <c r="H97" i="10"/>
  <c r="K93" i="10"/>
  <c r="F92" i="10"/>
  <c r="D95" i="10"/>
  <c r="J95" i="10"/>
  <c r="M95" i="10"/>
  <c r="J92" i="10"/>
  <c r="N97" i="10"/>
  <c r="G93" i="10"/>
  <c r="D98" i="10"/>
  <c r="N98" i="10"/>
  <c r="K99" i="10"/>
  <c r="H100" i="10"/>
  <c r="E101" i="10"/>
  <c r="N101" i="10"/>
  <c r="I104" i="10"/>
  <c r="N114" i="10"/>
  <c r="L107" i="10"/>
  <c r="D113" i="10"/>
  <c r="J106" i="10"/>
  <c r="O103" i="10"/>
  <c r="G109" i="10"/>
  <c r="K114" i="10"/>
  <c r="N105" i="10"/>
  <c r="D104" i="10"/>
  <c r="H109" i="10"/>
  <c r="L114" i="10"/>
  <c r="M104" i="10"/>
  <c r="E110" i="10"/>
  <c r="E103" i="10"/>
  <c r="N108" i="10"/>
  <c r="O104" i="10"/>
  <c r="G110" i="10"/>
  <c r="J122" i="10"/>
  <c r="N122" i="10"/>
  <c r="M123" i="10"/>
  <c r="H132" i="10"/>
  <c r="G131" i="10"/>
  <c r="E132" i="10"/>
  <c r="H133" i="10"/>
  <c r="F133" i="10"/>
  <c r="H155" i="10"/>
  <c r="M152" i="10"/>
  <c r="L154" i="10"/>
  <c r="J151" i="10"/>
  <c r="K147" i="10"/>
  <c r="D149" i="10"/>
  <c r="H154" i="10"/>
  <c r="I148" i="10"/>
  <c r="M153" i="10"/>
  <c r="F147" i="10"/>
  <c r="J152" i="10"/>
  <c r="G150" i="10"/>
  <c r="G151" i="10"/>
  <c r="H163" i="10"/>
  <c r="F163" i="10"/>
  <c r="H166" i="10"/>
  <c r="G168" i="10"/>
  <c r="J168" i="10"/>
  <c r="H164" i="10"/>
  <c r="O165" i="10"/>
  <c r="O164" i="10"/>
  <c r="D164" i="10"/>
  <c r="H169" i="10"/>
  <c r="I169" i="10"/>
  <c r="F168" i="10"/>
  <c r="H65" i="10"/>
  <c r="J65" i="10"/>
  <c r="D67" i="10"/>
  <c r="G66" i="10"/>
  <c r="O65" i="10"/>
  <c r="D162" i="10"/>
  <c r="I161" i="10"/>
  <c r="N161" i="10"/>
  <c r="E146" i="10"/>
  <c r="H145" i="10"/>
  <c r="F145" i="10"/>
  <c r="M130" i="10"/>
  <c r="I129" i="10"/>
  <c r="N129" i="10"/>
  <c r="H140" i="10"/>
  <c r="H139" i="10"/>
  <c r="N139" i="10"/>
  <c r="K121" i="10"/>
  <c r="H120" i="10"/>
  <c r="E120" i="10"/>
  <c r="D102" i="10"/>
  <c r="H90" i="10"/>
  <c r="G90" i="10"/>
  <c r="K89" i="10"/>
  <c r="I75" i="10"/>
  <c r="N75" i="10"/>
  <c r="D64" i="10"/>
  <c r="I63" i="10"/>
  <c r="N63" i="10"/>
  <c r="L54" i="10"/>
  <c r="I53" i="10"/>
  <c r="M53" i="10"/>
  <c r="N37" i="10"/>
  <c r="H36" i="10"/>
  <c r="J36" i="10"/>
  <c r="L15" i="10"/>
  <c r="H77" i="10"/>
  <c r="I81" i="10"/>
  <c r="E78" i="10"/>
  <c r="K81" i="10"/>
  <c r="D81" i="10"/>
  <c r="E81" i="10"/>
  <c r="F81" i="10"/>
  <c r="K80" i="10"/>
  <c r="N82" i="10"/>
  <c r="D83" i="10"/>
  <c r="K82" i="10"/>
  <c r="L92" i="10"/>
  <c r="I93" i="10"/>
  <c r="G94" i="10"/>
  <c r="F96" i="10"/>
  <c r="L95" i="10"/>
  <c r="E91" i="10"/>
  <c r="I96" i="10"/>
  <c r="F93" i="10"/>
  <c r="E92" i="10"/>
  <c r="O93" i="10"/>
  <c r="L98" i="10"/>
  <c r="J99" i="10"/>
  <c r="G100" i="10"/>
  <c r="D101" i="10"/>
  <c r="M101" i="10"/>
  <c r="E98" i="10"/>
  <c r="I106" i="10"/>
  <c r="D103" i="10"/>
  <c r="H108" i="10"/>
  <c r="L113" i="10"/>
  <c r="J108" i="10"/>
  <c r="K104" i="10"/>
  <c r="O109" i="10"/>
  <c r="M103" i="10"/>
  <c r="F107" i="10"/>
  <c r="L104" i="10"/>
  <c r="D110" i="10"/>
  <c r="E105" i="10"/>
  <c r="I105" i="10"/>
  <c r="M110" i="10"/>
  <c r="E111" i="10"/>
  <c r="J109" i="10"/>
  <c r="K105" i="10"/>
  <c r="O110" i="10"/>
  <c r="K122" i="10"/>
  <c r="I122" i="10"/>
  <c r="H123" i="10"/>
  <c r="E131" i="10"/>
  <c r="O131" i="10"/>
  <c r="M132" i="10"/>
  <c r="J133" i="10"/>
  <c r="N133" i="10"/>
  <c r="E148" i="10"/>
  <c r="I153" i="10"/>
  <c r="I147" i="10"/>
  <c r="F152" i="10"/>
  <c r="O150" i="10"/>
  <c r="L149" i="10"/>
  <c r="D155" i="10"/>
  <c r="E149" i="10"/>
  <c r="I154" i="10"/>
  <c r="N147" i="10"/>
  <c r="F153" i="10"/>
  <c r="G154" i="10"/>
  <c r="O151" i="10"/>
  <c r="I163" i="10"/>
  <c r="N163" i="10"/>
  <c r="D167" i="10"/>
  <c r="E169" i="10"/>
  <c r="F169" i="10"/>
  <c r="I164" i="10"/>
  <c r="K166" i="10"/>
  <c r="O166" i="10"/>
  <c r="L164" i="10"/>
  <c r="D170" i="10"/>
  <c r="E170" i="10"/>
  <c r="N168" i="10"/>
  <c r="H67" i="10"/>
  <c r="F66" i="10"/>
  <c r="L67" i="10"/>
  <c r="F65" i="10"/>
  <c r="N162" i="10"/>
  <c r="L161" i="10"/>
  <c r="G161" i="10"/>
  <c r="L146" i="10"/>
  <c r="J145" i="10"/>
  <c r="G145" i="10"/>
  <c r="F130" i="10"/>
  <c r="K129" i="10"/>
  <c r="G129" i="10"/>
  <c r="M140" i="10"/>
  <c r="D139" i="10"/>
  <c r="G139" i="10"/>
  <c r="N121" i="10"/>
  <c r="O120" i="10"/>
  <c r="F120" i="10"/>
  <c r="E102" i="10"/>
  <c r="I90" i="10"/>
  <c r="N90" i="10"/>
  <c r="L89" i="10"/>
  <c r="K75" i="10"/>
  <c r="G75" i="10"/>
  <c r="M64" i="10"/>
  <c r="J63" i="10"/>
  <c r="G63" i="10"/>
  <c r="M54" i="10"/>
  <c r="G53" i="10"/>
  <c r="N53" i="10"/>
  <c r="D37" i="10"/>
  <c r="L36" i="10"/>
  <c r="O36" i="10"/>
  <c r="M15" i="10"/>
  <c r="L78" i="10"/>
  <c r="F78" i="10"/>
  <c r="K77" i="10"/>
  <c r="D77" i="10"/>
  <c r="E77" i="10"/>
  <c r="F77" i="10"/>
  <c r="M78" i="10"/>
  <c r="O81" i="10"/>
  <c r="M82" i="10"/>
  <c r="I82" i="10"/>
  <c r="O83" i="10"/>
  <c r="D94" i="10"/>
  <c r="J93" i="10"/>
  <c r="K95" i="10"/>
  <c r="L91" i="10"/>
  <c r="D97" i="10"/>
  <c r="I92" i="10"/>
  <c r="M97" i="10"/>
  <c r="J94" i="10"/>
  <c r="N92" i="10"/>
  <c r="G95" i="10"/>
  <c r="D100" i="10"/>
  <c r="N100" i="10"/>
  <c r="K101" i="10"/>
  <c r="I99" i="10"/>
  <c r="J98" i="10"/>
  <c r="G99" i="10"/>
  <c r="F104" i="10"/>
  <c r="H104" i="10"/>
  <c r="L109" i="10"/>
  <c r="M105" i="10"/>
  <c r="J110" i="10"/>
  <c r="O105" i="10"/>
  <c r="G111" i="10"/>
  <c r="I110" i="10"/>
  <c r="F109" i="10"/>
  <c r="D106" i="10"/>
  <c r="H111" i="10"/>
  <c r="E109" i="10"/>
  <c r="M106" i="10"/>
  <c r="E112" i="10"/>
  <c r="N104" i="10"/>
  <c r="N110" i="10"/>
  <c r="O106" i="10"/>
  <c r="G112" i="10"/>
  <c r="L122" i="10"/>
  <c r="O122" i="10"/>
  <c r="F123" i="10"/>
  <c r="I132" i="10"/>
  <c r="H131" i="10"/>
  <c r="F132" i="10"/>
  <c r="K133" i="10"/>
  <c r="O133" i="10"/>
  <c r="I149" i="10"/>
  <c r="M154" i="10"/>
  <c r="F148" i="10"/>
  <c r="J153" i="10"/>
  <c r="O152" i="10"/>
  <c r="D151" i="10"/>
  <c r="D150" i="10"/>
  <c r="I150" i="10"/>
  <c r="M155" i="10"/>
  <c r="F149" i="10"/>
  <c r="J154" i="10"/>
  <c r="O147" i="10"/>
  <c r="G153" i="10"/>
  <c r="K163" i="10"/>
  <c r="O163" i="10"/>
  <c r="H168" i="10"/>
  <c r="F165" i="10"/>
  <c r="J170" i="10"/>
  <c r="M165" i="10"/>
  <c r="O167" i="10"/>
  <c r="D165" i="10"/>
  <c r="D166" i="10"/>
  <c r="E164" i="10"/>
  <c r="N164" i="10"/>
  <c r="F170" i="10"/>
  <c r="E66" i="10"/>
  <c r="J67" i="10"/>
  <c r="E65" i="10"/>
  <c r="J66" i="10"/>
  <c r="O67" i="10"/>
  <c r="F68" i="10"/>
  <c r="D69" i="10"/>
  <c r="N69" i="10"/>
  <c r="G55" i="10"/>
  <c r="D57" i="10"/>
  <c r="E56" i="10"/>
  <c r="H162" i="10"/>
  <c r="O161" i="10"/>
  <c r="N145" i="10"/>
  <c r="L129" i="10"/>
  <c r="L139" i="10"/>
  <c r="G120" i="10"/>
  <c r="F102" i="10"/>
  <c r="E89" i="10"/>
  <c r="E64" i="10"/>
  <c r="I54" i="10"/>
  <c r="O53" i="10"/>
  <c r="G36" i="10"/>
  <c r="D80" i="10"/>
  <c r="L77" i="10"/>
  <c r="N81" i="10"/>
  <c r="O82" i="10"/>
  <c r="L94" i="10"/>
  <c r="D91" i="10"/>
  <c r="M93" i="10"/>
  <c r="N94" i="10"/>
  <c r="F100" i="10"/>
  <c r="E99" i="10"/>
  <c r="F106" i="10"/>
  <c r="H114" i="10"/>
  <c r="G105" i="10"/>
  <c r="I108" i="10"/>
  <c r="H105" i="10"/>
  <c r="E107" i="10"/>
  <c r="I111" i="10"/>
  <c r="F110" i="10"/>
  <c r="K111" i="10"/>
  <c r="G122" i="10"/>
  <c r="M131" i="10"/>
  <c r="J131" i="10"/>
  <c r="G133" i="10"/>
  <c r="E154" i="10"/>
  <c r="N152" i="10"/>
  <c r="H150" i="10"/>
  <c r="M149" i="10"/>
  <c r="J148" i="10"/>
  <c r="G147" i="10"/>
  <c r="J163" i="10"/>
  <c r="L167" i="10"/>
  <c r="N169" i="10"/>
  <c r="G167" i="10"/>
  <c r="H165" i="10"/>
  <c r="M170" i="10"/>
  <c r="I65" i="10"/>
  <c r="O66" i="10"/>
  <c r="K66" i="10"/>
  <c r="N68" i="10"/>
  <c r="M69" i="10"/>
  <c r="J56" i="10"/>
  <c r="L57" i="10"/>
  <c r="N56" i="10"/>
  <c r="D14" i="10"/>
  <c r="D21" i="10"/>
  <c r="D27" i="10"/>
  <c r="N14" i="10"/>
  <c r="K18" i="10"/>
  <c r="G25" i="10"/>
  <c r="F27" i="10"/>
  <c r="L24" i="10"/>
  <c r="I18" i="10"/>
  <c r="N21" i="10"/>
  <c r="H17" i="10"/>
  <c r="E18" i="10"/>
  <c r="I23" i="10"/>
  <c r="F162" i="10"/>
  <c r="H146" i="10"/>
  <c r="O145" i="10"/>
  <c r="H129" i="10"/>
  <c r="E139" i="10"/>
  <c r="I120" i="10"/>
  <c r="J90" i="10"/>
  <c r="M89" i="10"/>
  <c r="H64" i="10"/>
  <c r="E54" i="10"/>
  <c r="J37" i="10"/>
  <c r="H15" i="10"/>
  <c r="J77" i="10"/>
  <c r="H78" i="10"/>
  <c r="G77" i="10"/>
  <c r="L83" i="10"/>
  <c r="H95" i="10"/>
  <c r="H92" i="10"/>
  <c r="E97" i="10"/>
  <c r="G91" i="10"/>
  <c r="J101" i="10"/>
  <c r="M98" i="10"/>
  <c r="F112" i="10"/>
  <c r="M107" i="10"/>
  <c r="K106" i="10"/>
  <c r="I112" i="10"/>
  <c r="L106" i="10"/>
  <c r="M113" i="10"/>
  <c r="M112" i="10"/>
  <c r="J111" i="10"/>
  <c r="O112" i="10"/>
  <c r="D123" i="10"/>
  <c r="F131" i="10"/>
  <c r="N132" i="10"/>
  <c r="D148" i="10"/>
  <c r="I155" i="10"/>
  <c r="F154" i="10"/>
  <c r="L151" i="10"/>
  <c r="E151" i="10"/>
  <c r="N149" i="10"/>
  <c r="K148" i="10"/>
  <c r="D163" i="10"/>
  <c r="D169" i="10"/>
  <c r="F164" i="10"/>
  <c r="K168" i="10"/>
  <c r="L166" i="10"/>
  <c r="J165" i="10"/>
  <c r="M66" i="10"/>
  <c r="M65" i="10"/>
  <c r="G67" i="10"/>
  <c r="J69" i="10"/>
  <c r="L69" i="10"/>
  <c r="J57" i="10"/>
  <c r="M56" i="10"/>
  <c r="N57" i="10"/>
  <c r="L14" i="10"/>
  <c r="L21" i="10"/>
  <c r="L27" i="10"/>
  <c r="N17" i="10"/>
  <c r="O25" i="10"/>
  <c r="L16" i="10"/>
  <c r="H25" i="10"/>
  <c r="E21" i="10"/>
  <c r="N23" i="10"/>
  <c r="D18" i="10"/>
  <c r="M18" i="10"/>
  <c r="E24" i="10"/>
  <c r="E17" i="10"/>
  <c r="J14" i="10"/>
  <c r="F26" i="10"/>
  <c r="K14" i="10"/>
  <c r="G26" i="10"/>
  <c r="M29" i="10"/>
  <c r="E39" i="10"/>
  <c r="I44" i="10"/>
  <c r="F39" i="10"/>
  <c r="J44" i="10"/>
  <c r="G39" i="10"/>
  <c r="K44" i="10"/>
  <c r="L38" i="10"/>
  <c r="D44" i="10"/>
  <c r="L41" i="10"/>
  <c r="I41" i="10"/>
  <c r="M46" i="10"/>
  <c r="J41" i="10"/>
  <c r="N46" i="10"/>
  <c r="K39" i="10"/>
  <c r="I162" i="10"/>
  <c r="M146" i="10"/>
  <c r="L130" i="10"/>
  <c r="O129" i="10"/>
  <c r="I139" i="10"/>
  <c r="J120" i="10"/>
  <c r="K90" i="10"/>
  <c r="J75" i="10"/>
  <c r="K64" i="10"/>
  <c r="K54" i="10"/>
  <c r="I37" i="10"/>
  <c r="I15" i="10"/>
  <c r="N78" i="10"/>
  <c r="L81" i="10"/>
  <c r="O77" i="10"/>
  <c r="E83" i="10"/>
  <c r="M94" i="10"/>
  <c r="D93" i="10"/>
  <c r="E94" i="10"/>
  <c r="K94" i="10"/>
  <c r="M100" i="10"/>
  <c r="F99" i="10"/>
  <c r="L103" i="10"/>
  <c r="M109" i="10"/>
  <c r="G107" i="10"/>
  <c r="I114" i="10"/>
  <c r="H107" i="10"/>
  <c r="J104" i="10"/>
  <c r="I113" i="10"/>
  <c r="F114" i="10"/>
  <c r="K113" i="10"/>
  <c r="L123" i="10"/>
  <c r="N131" i="10"/>
  <c r="K131" i="10"/>
  <c r="L150" i="10"/>
  <c r="H149" i="10"/>
  <c r="N154" i="10"/>
  <c r="H152" i="10"/>
  <c r="M151" i="10"/>
  <c r="J150" i="10"/>
  <c r="G149" i="10"/>
  <c r="L163" i="10"/>
  <c r="L169" i="10"/>
  <c r="K165" i="10"/>
  <c r="G169" i="10"/>
  <c r="H167" i="10"/>
  <c r="F166" i="10"/>
  <c r="I67" i="10"/>
  <c r="I66" i="10"/>
  <c r="G69" i="10"/>
  <c r="E68" i="10"/>
  <c r="J68" i="10"/>
  <c r="O55" i="10"/>
  <c r="E57" i="10"/>
  <c r="M55" i="10"/>
  <c r="H16" i="10"/>
  <c r="H22" i="10"/>
  <c r="H28" i="10"/>
  <c r="F21" i="10"/>
  <c r="G21" i="10"/>
  <c r="K26" i="10"/>
  <c r="H19" i="10"/>
  <c r="D26" i="10"/>
  <c r="M23" i="10"/>
  <c r="N25" i="10"/>
  <c r="L18" i="10"/>
  <c r="I19" i="10"/>
  <c r="M24" i="10"/>
  <c r="E19" i="10"/>
  <c r="J22" i="10"/>
  <c r="F16" i="10"/>
  <c r="J21" i="10"/>
  <c r="N26" i="10"/>
  <c r="G16" i="10"/>
  <c r="K21" i="10"/>
  <c r="O26" i="10"/>
  <c r="G29" i="10"/>
  <c r="L29" i="10"/>
  <c r="M39" i="10"/>
  <c r="E45" i="10"/>
  <c r="N39" i="10"/>
  <c r="F45" i="10"/>
  <c r="O39" i="10"/>
  <c r="G45" i="10"/>
  <c r="H39" i="10"/>
  <c r="L44" i="10"/>
  <c r="D45" i="10"/>
  <c r="E42" i="10"/>
  <c r="E47" i="10"/>
  <c r="F42" i="10"/>
  <c r="F47" i="10"/>
  <c r="G40" i="10"/>
  <c r="K45" i="10"/>
  <c r="J162" i="10"/>
  <c r="F146" i="10"/>
  <c r="K130" i="10"/>
  <c r="J140" i="10"/>
  <c r="O139" i="10"/>
  <c r="M120" i="10"/>
  <c r="D90" i="10"/>
  <c r="E75" i="10"/>
  <c r="H63" i="10"/>
  <c r="F54" i="10"/>
  <c r="L37" i="10"/>
  <c r="E15" i="10"/>
  <c r="J79" i="10"/>
  <c r="M77" i="10"/>
  <c r="G81" i="10"/>
  <c r="M83" i="10"/>
  <c r="N96" i="10"/>
  <c r="H96" i="10"/>
  <c r="F94" i="10"/>
  <c r="O95" i="10"/>
  <c r="O100" i="10"/>
  <c r="N99" i="10"/>
  <c r="D105" i="10"/>
  <c r="E113" i="10"/>
  <c r="O107" i="10"/>
  <c r="N103" i="10"/>
  <c r="D108" i="10"/>
  <c r="I103" i="10"/>
  <c r="E114" i="10"/>
  <c r="K103" i="10"/>
  <c r="G114" i="10"/>
  <c r="I123" i="10"/>
  <c r="J132" i="10"/>
  <c r="G132" i="10"/>
  <c r="L152" i="10"/>
  <c r="H151" i="10"/>
  <c r="J155" i="10"/>
  <c r="D153" i="10"/>
  <c r="I152" i="10"/>
  <c r="F151" i="10"/>
  <c r="O149" i="10"/>
  <c r="E163" i="10"/>
  <c r="H170" i="10"/>
  <c r="K167" i="10"/>
  <c r="O169" i="10"/>
  <c r="D168" i="10"/>
  <c r="N166" i="10"/>
  <c r="D66" i="10"/>
  <c r="E67" i="10"/>
  <c r="O69" i="10"/>
  <c r="G68" i="10"/>
  <c r="F69" i="10"/>
  <c r="K56" i="10"/>
  <c r="D55" i="10"/>
  <c r="I55" i="10"/>
  <c r="D17" i="10"/>
  <c r="D23" i="10"/>
  <c r="I16" i="10"/>
  <c r="F23" i="10"/>
  <c r="O21" i="10"/>
  <c r="G27" i="10"/>
  <c r="L26" i="10"/>
  <c r="I26" i="10"/>
  <c r="J28" i="10"/>
  <c r="H21" i="10"/>
  <c r="I25" i="10"/>
  <c r="J24" i="10"/>
  <c r="N16" i="10"/>
  <c r="F22" i="10"/>
  <c r="J27" i="10"/>
  <c r="O16" i="10"/>
  <c r="G22" i="10"/>
  <c r="K27" i="10"/>
  <c r="O29" i="10"/>
  <c r="E29" i="10"/>
  <c r="K29" i="10"/>
  <c r="I40" i="10"/>
  <c r="M45" i="10"/>
  <c r="J40" i="10"/>
  <c r="N45" i="10"/>
  <c r="K40" i="10"/>
  <c r="O45" i="10"/>
  <c r="D40" i="10"/>
  <c r="H45" i="10"/>
  <c r="H47" i="10"/>
  <c r="M42" i="10"/>
  <c r="M47" i="10"/>
  <c r="N42" i="10"/>
  <c r="N47" i="10"/>
  <c r="O40" i="10"/>
  <c r="G46" i="10"/>
  <c r="D161" i="10"/>
  <c r="N146" i="10"/>
  <c r="N130" i="10"/>
  <c r="E140" i="10"/>
  <c r="J121" i="10"/>
  <c r="N120" i="10"/>
  <c r="F90" i="10"/>
  <c r="M75" i="10"/>
  <c r="K63" i="10"/>
  <c r="K53" i="10"/>
  <c r="M37" i="10"/>
  <c r="F15" i="10"/>
  <c r="M80" i="10"/>
  <c r="I78" i="10"/>
  <c r="D82" i="10"/>
  <c r="G83" i="10"/>
  <c r="K91" i="10"/>
  <c r="L97" i="10"/>
  <c r="N93" i="10"/>
  <c r="K96" i="10"/>
  <c r="E100" i="10"/>
  <c r="K98" i="10"/>
  <c r="L105" i="10"/>
  <c r="N109" i="10"/>
  <c r="K110" i="10"/>
  <c r="N107" i="10"/>
  <c r="L110" i="10"/>
  <c r="E106" i="10"/>
  <c r="J103" i="10"/>
  <c r="G106" i="10"/>
  <c r="D122" i="10"/>
  <c r="K123" i="10"/>
  <c r="K132" i="10"/>
  <c r="I133" i="10"/>
  <c r="M148" i="10"/>
  <c r="J147" i="10"/>
  <c r="G152" i="10"/>
  <c r="L155" i="10"/>
  <c r="E155" i="10"/>
  <c r="N153" i="10"/>
  <c r="K152" i="10"/>
  <c r="G163" i="10"/>
  <c r="J164" i="10"/>
  <c r="E165" i="10"/>
  <c r="G170" i="10"/>
  <c r="L170" i="10"/>
  <c r="J169" i="10"/>
  <c r="N66" i="10"/>
  <c r="N65" i="10"/>
  <c r="D68" i="10"/>
  <c r="O68" i="10"/>
  <c r="I56" i="10"/>
  <c r="K57" i="10"/>
  <c r="H57" i="10"/>
  <c r="K55" i="10"/>
  <c r="L17" i="10"/>
  <c r="L23" i="10"/>
  <c r="M19" i="10"/>
  <c r="J26" i="10"/>
  <c r="K22" i="10"/>
  <c r="O27" i="10"/>
  <c r="D22" i="10"/>
  <c r="H27" i="10"/>
  <c r="I28" i="10"/>
  <c r="O14" i="10"/>
  <c r="I14" i="10"/>
  <c r="E26" i="10"/>
  <c r="E23" i="10"/>
  <c r="F25" i="10"/>
  <c r="J17" i="10"/>
  <c r="N22" i="10"/>
  <c r="F28" i="10"/>
  <c r="K17" i="10"/>
  <c r="O22" i="10"/>
  <c r="G28" i="10"/>
  <c r="I29" i="10"/>
  <c r="E41" i="10"/>
  <c r="I46" i="10"/>
  <c r="F41" i="10"/>
  <c r="J46" i="10"/>
  <c r="G41" i="10"/>
  <c r="K46" i="10"/>
  <c r="L40" i="10"/>
  <c r="D46" i="10"/>
  <c r="E38" i="10"/>
  <c r="I43" i="10"/>
  <c r="D43" i="10"/>
  <c r="J43" i="10"/>
  <c r="D39" i="10"/>
  <c r="K41" i="10"/>
  <c r="O46" i="10"/>
  <c r="H161" i="10"/>
  <c r="I145" i="10"/>
  <c r="H130" i="10"/>
  <c r="I140" i="10"/>
  <c r="F121" i="10"/>
  <c r="K102" i="10"/>
  <c r="O90" i="10"/>
  <c r="D75" i="10"/>
  <c r="L63" i="10"/>
  <c r="H53" i="10"/>
  <c r="K36" i="10"/>
  <c r="N15" i="10"/>
  <c r="G78" i="10"/>
  <c r="M81" i="10"/>
  <c r="L82" i="10"/>
  <c r="I91" i="10"/>
  <c r="O94" i="10"/>
  <c r="M92" i="10"/>
  <c r="F95" i="10"/>
  <c r="H99" i="10"/>
  <c r="H98" i="10"/>
  <c r="O99" i="10"/>
  <c r="D109" i="10"/>
  <c r="N111" i="10"/>
  <c r="O111" i="10"/>
  <c r="F111" i="10"/>
  <c r="D112" i="10"/>
  <c r="I107" i="10"/>
  <c r="J105" i="10"/>
  <c r="K107" i="10"/>
  <c r="E122" i="10"/>
  <c r="N123" i="10"/>
  <c r="D132" i="10"/>
  <c r="D133" i="10"/>
  <c r="E150" i="10"/>
  <c r="N148" i="10"/>
  <c r="K155" i="10"/>
  <c r="K149" i="10"/>
  <c r="D152" i="10"/>
  <c r="F155" i="10"/>
  <c r="O153" i="10"/>
  <c r="E166" i="10"/>
  <c r="N165" i="10"/>
  <c r="M167" i="10"/>
  <c r="I166" i="10"/>
  <c r="M166" i="10"/>
  <c r="N170" i="10"/>
  <c r="K67" i="10"/>
  <c r="F67" i="10"/>
  <c r="H69" i="10"/>
  <c r="K69" i="10"/>
  <c r="I57" i="10"/>
  <c r="H55" i="10"/>
  <c r="E55" i="10"/>
  <c r="G56" i="10"/>
  <c r="H18" i="10"/>
  <c r="H24" i="10"/>
  <c r="M21" i="10"/>
  <c r="G14" i="10"/>
  <c r="G23" i="10"/>
  <c r="K28" i="10"/>
  <c r="L22" i="10"/>
  <c r="D28" i="10"/>
  <c r="J16" i="10"/>
  <c r="O17" i="10"/>
  <c r="E16" i="10"/>
  <c r="I21" i="10"/>
  <c r="M26" i="10"/>
  <c r="M25" i="10"/>
  <c r="N27" i="10"/>
  <c r="F18" i="10"/>
  <c r="J23" i="10"/>
  <c r="N28" i="10"/>
  <c r="G18" i="10"/>
  <c r="K23" i="10"/>
  <c r="O28" i="10"/>
  <c r="M41" i="10"/>
  <c r="I47" i="10"/>
  <c r="N41" i="10"/>
  <c r="J47" i="10"/>
  <c r="O41" i="10"/>
  <c r="K47" i="10"/>
  <c r="H41" i="10"/>
  <c r="L46" i="10"/>
  <c r="M38" i="10"/>
  <c r="E44" i="10"/>
  <c r="F38" i="10"/>
  <c r="F44" i="10"/>
  <c r="H46" i="10"/>
  <c r="G42" i="10"/>
  <c r="G47" i="10"/>
  <c r="J129" i="10"/>
  <c r="O89" i="10"/>
  <c r="E36" i="10"/>
  <c r="J83" i="10"/>
  <c r="N95" i="10"/>
  <c r="H110" i="10"/>
  <c r="L112" i="10"/>
  <c r="M122" i="10"/>
  <c r="M150" i="10"/>
  <c r="O148" i="10"/>
  <c r="J166" i="10"/>
  <c r="I165" i="10"/>
  <c r="I68" i="10"/>
  <c r="O56" i="10"/>
  <c r="K16" i="10"/>
  <c r="L28" i="10"/>
  <c r="E22" i="10"/>
  <c r="G19" i="10"/>
  <c r="J25" i="10"/>
  <c r="O24" i="10"/>
  <c r="M43" i="10"/>
  <c r="L39" i="10"/>
  <c r="D42" i="10"/>
  <c r="M40" i="10"/>
  <c r="J45" i="10"/>
  <c r="O44" i="10"/>
  <c r="D129" i="10"/>
  <c r="D89" i="10"/>
  <c r="M36" i="10"/>
  <c r="G82" i="10"/>
  <c r="I97" i="10"/>
  <c r="D111" i="10"/>
  <c r="H113" i="10"/>
  <c r="H122" i="10"/>
  <c r="I151" i="10"/>
  <c r="K151" i="10"/>
  <c r="F167" i="10"/>
  <c r="G164" i="10"/>
  <c r="E69" i="10"/>
  <c r="G57" i="10"/>
  <c r="G17" i="10"/>
  <c r="M14" i="10"/>
  <c r="M22" i="10"/>
  <c r="H14" i="10"/>
  <c r="E14" i="10"/>
  <c r="K25" i="10"/>
  <c r="J29" i="10"/>
  <c r="H42" i="10"/>
  <c r="K38" i="10"/>
  <c r="L42" i="10"/>
  <c r="M44" i="10"/>
  <c r="F46" i="10"/>
  <c r="O47" i="10"/>
  <c r="F140" i="10"/>
  <c r="O75" i="10"/>
  <c r="D78" i="10"/>
  <c r="E96" i="10"/>
  <c r="L100" i="10"/>
  <c r="F113" i="10"/>
  <c r="E108" i="10"/>
  <c r="J123" i="10"/>
  <c r="J149" i="10"/>
  <c r="N155" i="10"/>
  <c r="I170" i="10"/>
  <c r="D65" i="10"/>
  <c r="L55" i="10"/>
  <c r="D19" i="10"/>
  <c r="O23" i="10"/>
  <c r="F17" i="10"/>
  <c r="I27" i="10"/>
  <c r="M17" i="10"/>
  <c r="D29" i="10"/>
  <c r="H44" i="10"/>
  <c r="K42" i="10"/>
  <c r="H43" i="10"/>
  <c r="I45" i="10"/>
  <c r="J39" i="10"/>
  <c r="K139" i="10"/>
  <c r="G64" i="10"/>
  <c r="H79" i="10"/>
  <c r="H93" i="10"/>
  <c r="H101" i="10"/>
  <c r="N113" i="10"/>
  <c r="M108" i="10"/>
  <c r="G123" i="10"/>
  <c r="F150" i="10"/>
  <c r="L148" i="10"/>
  <c r="K164" i="10"/>
  <c r="L65" i="10"/>
  <c r="N55" i="10"/>
  <c r="K24" i="10"/>
  <c r="F19" i="10"/>
  <c r="E28" i="10"/>
  <c r="N18" i="10"/>
  <c r="I22" i="10"/>
  <c r="N29" i="10"/>
  <c r="H40" i="10"/>
  <c r="J38" i="10"/>
  <c r="G43" i="10"/>
  <c r="D47" i="10"/>
  <c r="E46" i="10"/>
  <c r="G38" i="10"/>
  <c r="E161" i="10"/>
  <c r="I121" i="10"/>
  <c r="D63" i="10"/>
  <c r="O78" i="10"/>
  <c r="G96" i="10"/>
  <c r="L101" i="10"/>
  <c r="K112" i="10"/>
  <c r="N106" i="10"/>
  <c r="L132" i="10"/>
  <c r="D147" i="10"/>
  <c r="K154" i="10"/>
  <c r="E167" i="10"/>
  <c r="N67" i="10"/>
  <c r="D56" i="10"/>
  <c r="L25" i="10"/>
  <c r="E25" i="10"/>
  <c r="O19" i="10"/>
  <c r="M28" i="10"/>
  <c r="J19" i="10"/>
  <c r="O18" i="10"/>
  <c r="L45" i="10"/>
  <c r="J42" i="10"/>
  <c r="O43" i="10"/>
  <c r="L47" i="10"/>
  <c r="N38" i="10"/>
  <c r="O38" i="10"/>
  <c r="K161" i="10"/>
  <c r="D121" i="10"/>
  <c r="O63" i="10"/>
  <c r="E80" i="10"/>
  <c r="O96" i="10"/>
  <c r="I98" i="10"/>
  <c r="G113" i="10"/>
  <c r="J107" i="10"/>
  <c r="D131" i="10"/>
  <c r="L147" i="10"/>
  <c r="G155" i="10"/>
  <c r="I168" i="10"/>
  <c r="K65" i="10"/>
  <c r="L56" i="10"/>
  <c r="H26" i="10"/>
  <c r="N19" i="10"/>
  <c r="D16" i="10"/>
  <c r="E27" i="10"/>
  <c r="K19" i="10"/>
  <c r="F29" i="10"/>
  <c r="I38" i="10"/>
  <c r="F43" i="10"/>
  <c r="D41" i="10"/>
  <c r="H38" i="10"/>
  <c r="F40" i="10"/>
  <c r="O42" i="10"/>
  <c r="J53" i="10"/>
  <c r="J112" i="10"/>
  <c r="G166" i="10"/>
  <c r="I24" i="10"/>
  <c r="F24" i="10"/>
  <c r="N43" i="10"/>
  <c r="K43" i="10"/>
  <c r="I42" i="10"/>
  <c r="E43" i="10"/>
  <c r="F53" i="10"/>
  <c r="J114" i="10"/>
  <c r="O168" i="10"/>
  <c r="M27" i="10"/>
  <c r="N24" i="10"/>
  <c r="D36" i="10"/>
  <c r="G44" i="10"/>
  <c r="J55" i="10"/>
  <c r="N40" i="10"/>
  <c r="E147" i="10"/>
  <c r="N77" i="10"/>
  <c r="G108" i="10"/>
  <c r="I167" i="10"/>
  <c r="H23" i="10"/>
  <c r="L43" i="10"/>
  <c r="F14" i="10"/>
  <c r="F56" i="10"/>
  <c r="J78" i="10"/>
  <c r="O108" i="10"/>
  <c r="E168" i="10"/>
  <c r="D24" i="10"/>
  <c r="G24" i="10"/>
  <c r="D38" i="10"/>
  <c r="L102" i="10"/>
  <c r="M111" i="10"/>
  <c r="N44" i="10"/>
  <c r="D145" i="10"/>
  <c r="M91" i="10"/>
  <c r="L133" i="10"/>
  <c r="K68" i="10"/>
  <c r="M16" i="10"/>
  <c r="H29" i="10"/>
  <c r="I39" i="10"/>
  <c r="K153" i="10"/>
  <c r="M102" i="10"/>
  <c r="L145" i="10"/>
  <c r="E93" i="10"/>
  <c r="E133" i="10"/>
  <c r="I69" i="10"/>
  <c r="I17" i="10"/>
  <c r="E40" i="10"/>
  <c r="K100" i="10"/>
  <c r="J18" i="10"/>
</calcChain>
</file>

<file path=xl/sharedStrings.xml><?xml version="1.0" encoding="utf-8"?>
<sst xmlns="http://schemas.openxmlformats.org/spreadsheetml/2006/main" count="908" uniqueCount="324">
  <si>
    <t>GLOBAL ASSUMPTIONS</t>
  </si>
  <si>
    <t>Begining FX Rate R$/US$</t>
  </si>
  <si>
    <t>Average FX Rate R$/US$</t>
  </si>
  <si>
    <t>Final FX Rate R$/US$</t>
  </si>
  <si>
    <t>Begining FX Rate  US$/EUR</t>
  </si>
  <si>
    <t>Average FX Rate US$/EUR</t>
  </si>
  <si>
    <t>Final FX Rate US$/EUR</t>
  </si>
  <si>
    <t>Câmbio Inicial UYU$/US$</t>
  </si>
  <si>
    <t>Câmbio Médio UYU$/US$</t>
  </si>
  <si>
    <t>Câmbio Final UYU$/US$</t>
  </si>
  <si>
    <t>Câmbio Inicial ARS$/US$</t>
  </si>
  <si>
    <t>Câmbio Médio ARS$/US$</t>
  </si>
  <si>
    <t>Câmbio Final ARS$/US$</t>
  </si>
  <si>
    <t>Brazilian CPI</t>
  </si>
  <si>
    <t>American CPI</t>
  </si>
  <si>
    <t>Number of Days</t>
  </si>
  <si>
    <t>Local Market Sales Volume [kt]</t>
  </si>
  <si>
    <t>Export Market Sales Volume [kt]</t>
  </si>
  <si>
    <t>Gross Revenue [$MM]</t>
  </si>
  <si>
    <t>Third Part Sales Volume [kt]</t>
  </si>
  <si>
    <t>Final Variable Sales Expenses</t>
  </si>
  <si>
    <t>Other Variable Costs</t>
  </si>
  <si>
    <t>Fixed Costs</t>
  </si>
  <si>
    <t>Operating Expenses</t>
  </si>
  <si>
    <t>Other</t>
  </si>
  <si>
    <t>EBITDA</t>
  </si>
  <si>
    <t>Depreciation / amortization / depletion - Corporate</t>
  </si>
  <si>
    <t>Financial Results</t>
  </si>
  <si>
    <t>Additions/Low IT Income Statement</t>
  </si>
  <si>
    <t>Income Tax</t>
  </si>
  <si>
    <t>CONTRIBUTION MARGIN</t>
  </si>
  <si>
    <r>
      <rPr>
        <b/>
        <sz val="36"/>
        <color theme="1" tint="0.249977111117893"/>
        <rFont val="Arial Black"/>
        <family val="2"/>
      </rPr>
      <t>ADD TEXT</t>
    </r>
    <r>
      <rPr>
        <b/>
        <sz val="36"/>
        <color theme="1"/>
        <rFont val="Arial Black"/>
        <family val="2"/>
      </rPr>
      <t xml:space="preserve"> </t>
    </r>
    <r>
      <rPr>
        <b/>
        <sz val="36"/>
        <color rgb="FF15B39E"/>
        <rFont val="Arial Black"/>
        <family val="2"/>
      </rPr>
      <t>2022-2023</t>
    </r>
  </si>
  <si>
    <t>Add table headers with icon</t>
  </si>
  <si>
    <t>Header 1</t>
  </si>
  <si>
    <t>Data</t>
  </si>
  <si>
    <t>Header 2</t>
  </si>
  <si>
    <t>Header 3</t>
  </si>
  <si>
    <t>Header 4</t>
  </si>
  <si>
    <t>Header 5</t>
  </si>
  <si>
    <t>Header 6</t>
  </si>
  <si>
    <t>Header 7</t>
  </si>
  <si>
    <t>Header 8</t>
  </si>
  <si>
    <t>Header 9</t>
  </si>
  <si>
    <t>Header 10</t>
  </si>
  <si>
    <t>Header 11</t>
  </si>
  <si>
    <t>Add some text here. Add some text here.Add some text here. Add some text here.Add some text here. Add some text here.Add some text here. Add some text here.Add some text here. Add some text here.Add some text here. Add some text here.Add some text here. Add some text here.</t>
  </si>
  <si>
    <t>01</t>
  </si>
  <si>
    <t>02</t>
  </si>
  <si>
    <t>03</t>
  </si>
  <si>
    <t>04</t>
  </si>
  <si>
    <t>05</t>
  </si>
  <si>
    <t>06</t>
  </si>
  <si>
    <t>07</t>
  </si>
  <si>
    <t>08</t>
  </si>
  <si>
    <t>09</t>
  </si>
  <si>
    <t>10</t>
  </si>
  <si>
    <t>11</t>
  </si>
  <si>
    <t>12</t>
  </si>
  <si>
    <t>Reference Price [$/ton]</t>
  </si>
  <si>
    <t>Local Market Price Premium [$/ton]</t>
  </si>
  <si>
    <t>Export Market Price Premium [$/ton]</t>
  </si>
  <si>
    <t>% Operational Tax</t>
  </si>
  <si>
    <t>Equity Pick-Up Results</t>
  </si>
  <si>
    <t>Other Non Operating Results</t>
  </si>
  <si>
    <t>NET REVENUES</t>
  </si>
  <si>
    <t>Products:</t>
  </si>
  <si>
    <t>N/A</t>
  </si>
  <si>
    <t>Year:</t>
  </si>
  <si>
    <t>Currency:</t>
  </si>
  <si>
    <t>Region:</t>
  </si>
  <si>
    <t>Net Revenue [$MM]</t>
  </si>
  <si>
    <t>Total Market</t>
  </si>
  <si>
    <t>Value</t>
  </si>
  <si>
    <t>PROD099</t>
  </si>
  <si>
    <t>Total Products</t>
  </si>
  <si>
    <t>Operating Profit</t>
  </si>
  <si>
    <t>Profit Before Income Tax</t>
  </si>
  <si>
    <t>Net Profit Before Minority Int.</t>
  </si>
  <si>
    <t>% Income Tax</t>
  </si>
  <si>
    <t>% Minoritários</t>
  </si>
  <si>
    <t xml:space="preserve">Net Profit </t>
  </si>
  <si>
    <t>Minority Interests</t>
  </si>
  <si>
    <t>Flag</t>
  </si>
  <si>
    <t>Working Capital - KPIs Assets Accounts</t>
  </si>
  <si>
    <t>Input Inventory- Days o/ VC</t>
  </si>
  <si>
    <t>Working Capital - KPIs Liabilities Accounts</t>
  </si>
  <si>
    <t>Suppliers - Days o/ VC (DPO)</t>
  </si>
  <si>
    <t>Working Capital - Assets Account Balance</t>
  </si>
  <si>
    <t>Accounts Receivable</t>
  </si>
  <si>
    <t>Finished Product Inventory</t>
  </si>
  <si>
    <t>Product in Process Inventory</t>
  </si>
  <si>
    <t>Concentrate Inventory</t>
  </si>
  <si>
    <t>Other Inputs Inventory</t>
  </si>
  <si>
    <t>Opex Adavancement</t>
  </si>
  <si>
    <t>Other Accounts Receivable</t>
  </si>
  <si>
    <t>Working Capital - Liabilities Account Balance</t>
  </si>
  <si>
    <t>Suppliers</t>
  </si>
  <si>
    <t>Operating Taxes Payable</t>
  </si>
  <si>
    <t>Labor Obligations</t>
  </si>
  <si>
    <t>Other Accounts Payable</t>
  </si>
  <si>
    <t>WC - CLOSING BALANCE AND CASH FLOW</t>
  </si>
  <si>
    <t>Initial Working Capital Balance</t>
  </si>
  <si>
    <t>Working Capital</t>
  </si>
  <si>
    <t>WC adjust by buy/sale of company</t>
  </si>
  <si>
    <t>(Invest.)/Divest. Working Capital</t>
  </si>
  <si>
    <t>Operating Taxes Payable - % o/ Rev.</t>
  </si>
  <si>
    <t>Labor Obligations - Days o/ FC</t>
  </si>
  <si>
    <t>Other Accounts Payable - Days o/ CPS</t>
  </si>
  <si>
    <t>GROSS DEBT</t>
  </si>
  <si>
    <t>INITIAL GROSS DEBT (LC)</t>
  </si>
  <si>
    <t>Funding (LC)</t>
  </si>
  <si>
    <t>Accrual of Interest (LC)</t>
  </si>
  <si>
    <t>Monetary Variation (LC)</t>
  </si>
  <si>
    <t>Principal Amortization (LC)</t>
  </si>
  <si>
    <t>Interest Amortization (LC)</t>
  </si>
  <si>
    <t>Other Variation (LC)</t>
  </si>
  <si>
    <t>Variation by buy/sale of company (LC)</t>
  </si>
  <si>
    <t>Closing Balance Debt</t>
  </si>
  <si>
    <t>Foreign Exchange Variation</t>
  </si>
  <si>
    <t>Funding</t>
  </si>
  <si>
    <t>FINANCIAL RESULTS - INTEREST EXPENSES</t>
  </si>
  <si>
    <t>Interest Expenses</t>
  </si>
  <si>
    <t>FINANCIAL RESULTS - EXCHANGE VARIATION</t>
  </si>
  <si>
    <t>Foreign Exchange Cash Flow Impact</t>
  </si>
  <si>
    <t>Foreign Exchange Variation (LC)</t>
  </si>
  <si>
    <t>Hedge Accounting International investments</t>
  </si>
  <si>
    <t>FINANCIAL RESULTS - FINANCIAL EXPENSES</t>
  </si>
  <si>
    <t>IOF - Cash</t>
  </si>
  <si>
    <t>CPMF - Cash</t>
  </si>
  <si>
    <t>Other Taxes (Except Income Tax) - Cash</t>
  </si>
  <si>
    <t>Bank Expenses - Cash</t>
  </si>
  <si>
    <t>Other Financial Expenses- Cash</t>
  </si>
  <si>
    <t>Financial Expenses - Non Cash</t>
  </si>
  <si>
    <t>FINANCIAL RESULTS - FINANCIAL REVENUES</t>
  </si>
  <si>
    <t>Financial Revenue</t>
  </si>
  <si>
    <t>Other Financial Revenues</t>
  </si>
  <si>
    <t>Financial Revenues Adjustments</t>
  </si>
  <si>
    <t>Mutual Net Results</t>
  </si>
  <si>
    <t>FINANCIAL RESULTS - HEDGE RESULTS</t>
  </si>
  <si>
    <t>Balance Variation</t>
  </si>
  <si>
    <t>Liquidation</t>
  </si>
  <si>
    <t>Hedge Accounting - Derivatives</t>
  </si>
  <si>
    <t>Hedge Results</t>
  </si>
  <si>
    <t>FINANCIAL RESULTS - OTHER FINANCIAL REVENUES</t>
  </si>
  <si>
    <t>Other Financial Results - (Non Cash Effect)</t>
  </si>
  <si>
    <t>System Input Status:</t>
  </si>
  <si>
    <t>CASH FLOW</t>
  </si>
  <si>
    <t>INITIAL CASH BALANCE</t>
  </si>
  <si>
    <t>Income Tax Payments - Cash</t>
  </si>
  <si>
    <t>Working capital</t>
  </si>
  <si>
    <t>Non Expansion Capex</t>
  </si>
  <si>
    <t>Dividends Received (Paid) - Cash Flow</t>
  </si>
  <si>
    <t>CASH FLOW - FINANCIAL RESULTS</t>
  </si>
  <si>
    <t>Debt Amortization</t>
  </si>
  <si>
    <t>% Caixa Invested</t>
  </si>
  <si>
    <t>% Cash Investment Return</t>
  </si>
  <si>
    <t>Other Financial income</t>
  </si>
  <si>
    <t>Other Financial Expenses</t>
  </si>
  <si>
    <t>Derivatives settlement</t>
  </si>
  <si>
    <t>Tax on Financial Revenue</t>
  </si>
  <si>
    <t>Additions/Low in Cash Investments</t>
  </si>
  <si>
    <t>% Rate Over Financial Investments</t>
  </si>
  <si>
    <t>CASH FLOW - OTHER</t>
  </si>
  <si>
    <t>Other Change in Assets / Current Liabilities</t>
  </si>
  <si>
    <t>Non Operating - Cash (Before Inc Tax)</t>
  </si>
  <si>
    <t>CASH FLOW - SCF BEFORE DIVIDENDS</t>
  </si>
  <si>
    <t>SCF before dividends</t>
  </si>
  <si>
    <t>Payments of Dividens to Controlling</t>
  </si>
  <si>
    <t>Payments of Dividens to Minority</t>
  </si>
  <si>
    <t>Sustainable Cash Flow</t>
  </si>
  <si>
    <t>CASH FLOW - SUSTAINABLE CASH FLOW</t>
  </si>
  <si>
    <t>Expansion Capex</t>
  </si>
  <si>
    <t>Investments in Associates and Subsidiaries</t>
  </si>
  <si>
    <t>Divestments of subsidiaries and affiliates</t>
  </si>
  <si>
    <t>FX on Cash Position</t>
  </si>
  <si>
    <t>Non Operating (Other - Cash Flow)</t>
  </si>
  <si>
    <t>Other - Cash Flow</t>
  </si>
  <si>
    <t>Cash generation before financing</t>
  </si>
  <si>
    <t>CASH FLOW - CASH GENERATION BEFORE FINANCING</t>
  </si>
  <si>
    <t>Intercompany Dividends</t>
  </si>
  <si>
    <t>Amortization</t>
  </si>
  <si>
    <t>Change in cash</t>
  </si>
  <si>
    <t>Initial Cash Balance</t>
  </si>
  <si>
    <t>Final Cash Position</t>
  </si>
  <si>
    <t>Final Cash Position Aux</t>
  </si>
  <si>
    <t>Final Debt Position</t>
  </si>
  <si>
    <t>Final Net Debt</t>
  </si>
  <si>
    <t>Adj EBITDA LTM</t>
  </si>
  <si>
    <t>Adjusts LTM</t>
  </si>
  <si>
    <t>Leverage</t>
  </si>
  <si>
    <t>FCL Econômico</t>
  </si>
  <si>
    <t>DL Econômica</t>
  </si>
  <si>
    <t>Invested Cash</t>
  </si>
  <si>
    <t>HEDGE/MTM</t>
  </si>
  <si>
    <t>% Participation</t>
  </si>
  <si>
    <t>Other Op. Results - Asset Write-off</t>
  </si>
  <si>
    <t>Slow moving</t>
  </si>
  <si>
    <t>Clinker</t>
  </si>
  <si>
    <t>Contingencies</t>
  </si>
  <si>
    <t>Non-recurring Expenses</t>
  </si>
  <si>
    <t>Other Op. Results - Machadinho</t>
  </si>
  <si>
    <t>MOTZ</t>
  </si>
  <si>
    <t>Non-recurring Revenues</t>
  </si>
  <si>
    <t>Other Op. Results - Others</t>
  </si>
  <si>
    <t>Other adjustments</t>
  </si>
  <si>
    <t>Gain on assets</t>
  </si>
  <si>
    <t>Tax benefits</t>
  </si>
  <si>
    <t>Non Op. Taxes</t>
  </si>
  <si>
    <t>Other products</t>
  </si>
  <si>
    <t>Power results</t>
  </si>
  <si>
    <t>Trading Margin</t>
  </si>
  <si>
    <t>DRE - OTHER NON OP. RESULTS</t>
  </si>
  <si>
    <t>DRE - OTHER OP. RESULTS</t>
  </si>
  <si>
    <t>Other Non Op. Results - ARO</t>
  </si>
  <si>
    <t>Other Non Op. Results - FC x BPC Adjustment</t>
  </si>
  <si>
    <t>Hyperinflation</t>
  </si>
  <si>
    <t>Impairment</t>
  </si>
  <si>
    <t>M&amp;A Gain/Loss</t>
  </si>
  <si>
    <t>MTM Energia</t>
  </si>
  <si>
    <t>Discontinued operations</t>
  </si>
  <si>
    <t>Results from assets sales</t>
  </si>
  <si>
    <t>Trasaction costs</t>
  </si>
  <si>
    <t>Other Non Op. Results - Others</t>
  </si>
  <si>
    <t>CASH FLOW - DIVIDENDS RECEIVED</t>
  </si>
  <si>
    <t>Avellaneda</t>
  </si>
  <si>
    <t>Dividens Received from JVs</t>
  </si>
  <si>
    <t>Dividends received - Others</t>
  </si>
  <si>
    <t>CASH FLOW - NON EXPANSION CAPEX</t>
  </si>
  <si>
    <t>Health Safety &amp; Environment</t>
  </si>
  <si>
    <t>Non expansion capex - IT</t>
  </si>
  <si>
    <t>Modernization</t>
  </si>
  <si>
    <t>P&amp;D</t>
  </si>
  <si>
    <t>Sustaining</t>
  </si>
  <si>
    <t>Other  - ARO</t>
  </si>
  <si>
    <t>Other  - Asset Write-off</t>
  </si>
  <si>
    <t>DIFAL</t>
  </si>
  <si>
    <t>Legal Deposits</t>
  </si>
  <si>
    <t>Proceeds on Sales of Assets not in EBITDA</t>
  </si>
  <si>
    <t>Provision/ payments  and other variation on Long asset &amp; Liabilities Operations</t>
  </si>
  <si>
    <t>Other  - Others</t>
  </si>
  <si>
    <t>CASH FLOW - INV/DIV IN SUBSIDIARIES AND AFFILIATES</t>
  </si>
  <si>
    <t>Pangea</t>
  </si>
  <si>
    <t>Project 1</t>
  </si>
  <si>
    <t>Project 2</t>
  </si>
  <si>
    <t>Project 3</t>
  </si>
  <si>
    <t>Project 4</t>
  </si>
  <si>
    <t>Project 5</t>
  </si>
  <si>
    <t>Project 6</t>
  </si>
  <si>
    <t>Project 7</t>
  </si>
  <si>
    <t>Project 8</t>
  </si>
  <si>
    <t>Project 9</t>
  </si>
  <si>
    <t>Project 10</t>
  </si>
  <si>
    <t>CASH FLOW - PAYMENTS OF DIVIDENS TO CONTROLLING</t>
  </si>
  <si>
    <t>VSA</t>
  </si>
  <si>
    <t>Payments of Dividens to Controlling - Others</t>
  </si>
  <si>
    <t>CDPQ</t>
  </si>
  <si>
    <t>Payments of Dividens to Minority - Machadinho</t>
  </si>
  <si>
    <t>Payments of Dividens to Minority - Others</t>
  </si>
  <si>
    <t>CASH FLOW - EXPANSION CAPEX</t>
  </si>
  <si>
    <t>Expansion</t>
  </si>
  <si>
    <t>CASH FLOW - INTERCOMPANY DIVIDENDS</t>
  </si>
  <si>
    <t>From/To Artigas</t>
  </si>
  <si>
    <t>From/To CEISA</t>
  </si>
  <si>
    <t>From/To Itacamba</t>
  </si>
  <si>
    <t>From/To Trading</t>
  </si>
  <si>
    <t>From/To VCBR</t>
  </si>
  <si>
    <t>From/To VCEA</t>
  </si>
  <si>
    <t>From/To VCI</t>
  </si>
  <si>
    <t>From/To VCNA</t>
  </si>
  <si>
    <t>Intercompany dividends - Others</t>
  </si>
  <si>
    <t>CASH FLOW - FX/OTHERS</t>
  </si>
  <si>
    <t>Bank/Financial fees</t>
  </si>
  <si>
    <t>Cross Guarantee</t>
  </si>
  <si>
    <t>FX/Others - FC x BPC Adjustment</t>
  </si>
  <si>
    <t>Management Fees</t>
  </si>
  <si>
    <t>Securtization</t>
  </si>
  <si>
    <t>Withholding</t>
  </si>
  <si>
    <t>FX Variation</t>
  </si>
  <si>
    <t>Total Accounts Line</t>
  </si>
  <si>
    <t>Dividens Received</t>
  </si>
  <si>
    <t>USD Conv.</t>
  </si>
  <si>
    <t>BRL Conv.</t>
  </si>
  <si>
    <t>EUR Conv.</t>
  </si>
  <si>
    <t>USD</t>
  </si>
  <si>
    <t>BRL</t>
  </si>
  <si>
    <t>EUR</t>
  </si>
  <si>
    <t>UYU</t>
  </si>
  <si>
    <t>ARS</t>
  </si>
  <si>
    <t>BOB</t>
  </si>
  <si>
    <t>CAD</t>
  </si>
  <si>
    <t>TRY</t>
  </si>
  <si>
    <t>MRO Inventory</t>
  </si>
  <si>
    <t>Product in Process Inventory- Days o/ CPS</t>
  </si>
  <si>
    <t>Concentrate Inventory - Days o/ VC</t>
  </si>
  <si>
    <t>MRO Inventory - Days o/ FC</t>
  </si>
  <si>
    <t>Opex Advancement - Days o/ VC</t>
  </si>
  <si>
    <t>Other Accounts Receivables - Days o/ DSO</t>
  </si>
  <si>
    <t>Account Receivable - Days o/ Rev</t>
  </si>
  <si>
    <t>Finished Product Inventory - Days o/ CPS - Other</t>
  </si>
  <si>
    <t>Initial Gross Debt Leasing</t>
  </si>
  <si>
    <t>Funding Leasing</t>
  </si>
  <si>
    <t>Accrual of Interest Leasing</t>
  </si>
  <si>
    <t>Monetary Variation Leasing</t>
  </si>
  <si>
    <t>Principal Amortization Leasing</t>
  </si>
  <si>
    <t>Interest Amortization Leasing</t>
  </si>
  <si>
    <t>Other Variation Leasing</t>
  </si>
  <si>
    <t>Variation by buy/sale of company Leasing</t>
  </si>
  <si>
    <t>Closing Balance Debt Leasing</t>
  </si>
  <si>
    <t>Initial Gross Debt Total</t>
  </si>
  <si>
    <t>Funding Total</t>
  </si>
  <si>
    <t>Accrual of Interest Total</t>
  </si>
  <si>
    <t>Principal Amortization Total</t>
  </si>
  <si>
    <t>Interest Amortization Total</t>
  </si>
  <si>
    <t>Other Variation Total</t>
  </si>
  <si>
    <t>Variation by buy/sale of company Total</t>
  </si>
  <si>
    <t>Foreign Exchange Variation Total</t>
  </si>
  <si>
    <t>Monetary Variation Total</t>
  </si>
  <si>
    <t>Closing Balance Debt Total</t>
  </si>
  <si>
    <t>FINANCIAL RESULTS - INCOME STATEMENT</t>
  </si>
  <si>
    <t>Interest Accrual</t>
  </si>
  <si>
    <t>Financial Expenses</t>
  </si>
  <si>
    <t>Financial Revenues</t>
  </si>
  <si>
    <t>Others</t>
  </si>
  <si>
    <t>[Input_VC_v9.xlsx]Cons_Region!G222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</si>
</sst>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_(* \(#,##0.00\);_(* &quot;-&quot;??_);_(@_)"/>
  </numFmts>
  <fonts count="37" x14ac:knownFonts="1">
    <font>
      <sz val="11"/>
      <color theme="1"/>
      <name val="Aptos Narrow"/>
      <family val="2"/>
      <scheme val="minor"/>
    </font>
    <font>
      <sz val="11"/>
      <color theme="1"/>
      <name val="Aptos Narrow"/>
      <family val="2"/>
      <scheme val="minor"/>
    </font>
    <font>
      <sz val="12"/>
      <color theme="1"/>
      <name val="Aptos Narrow"/>
      <family val="2"/>
      <scheme val="minor"/>
    </font>
    <font>
      <sz val="10"/>
      <name val="Arial"/>
      <family val="2"/>
    </font>
    <font>
      <sz val="16"/>
      <color theme="1"/>
      <name val="Arial"/>
      <family val="2"/>
    </font>
    <font>
      <b/>
      <sz val="36"/>
      <color rgb="FF15B39E"/>
      <name val="Arial Black"/>
      <family val="2"/>
    </font>
    <font>
      <b/>
      <sz val="36"/>
      <color theme="1"/>
      <name val="Arial Black"/>
      <family val="2"/>
    </font>
    <font>
      <b/>
      <sz val="36"/>
      <color theme="1" tint="0.249977111117893"/>
      <name val="Arial Black"/>
      <family val="2"/>
    </font>
    <font>
      <sz val="28"/>
      <color theme="1" tint="0.249977111117893"/>
      <name val="Arial"/>
      <family val="2"/>
    </font>
    <font>
      <b/>
      <sz val="18"/>
      <color theme="1"/>
      <name val="Arial"/>
      <family val="2"/>
    </font>
    <font>
      <b/>
      <sz val="18"/>
      <color theme="0"/>
      <name val="Arial"/>
      <family val="2"/>
    </font>
    <font>
      <sz val="16"/>
      <color theme="0" tint="-0.499984740745262"/>
      <name val="Arial"/>
      <family val="2"/>
    </font>
    <font>
      <sz val="8"/>
      <name val="Aptos Narrow"/>
      <family val="2"/>
      <scheme val="minor"/>
    </font>
    <font>
      <b/>
      <sz val="14"/>
      <color theme="1" tint="0.249977111117893"/>
      <name val="Verdana"/>
      <family val="2"/>
    </font>
    <font>
      <b/>
      <sz val="10.5"/>
      <color rgb="FF165D81"/>
      <name val="Calibri"/>
      <family val="2"/>
    </font>
    <font>
      <b/>
      <sz val="10.5"/>
      <color theme="1" tint="0.24994659260841701"/>
      <name val="Calibri"/>
      <family val="2"/>
    </font>
    <font>
      <b/>
      <sz val="10.5"/>
      <color theme="1" tint="0.34998626667073579"/>
      <name val="Calibri"/>
      <family val="2"/>
    </font>
    <font>
      <b/>
      <sz val="10.5"/>
      <color theme="4"/>
      <name val="Calibri"/>
      <family val="2"/>
    </font>
    <font>
      <b/>
      <sz val="10.5"/>
      <color theme="7"/>
      <name val="Calibri"/>
      <family val="2"/>
    </font>
    <font>
      <b/>
      <sz val="10.5"/>
      <color theme="5" tint="0.39994506668294322"/>
      <name val="Calibri"/>
      <family val="2"/>
    </font>
    <font>
      <b/>
      <sz val="10.5"/>
      <color rgb="FF336577"/>
      <name val="Calibri"/>
      <family val="2"/>
    </font>
    <font>
      <b/>
      <sz val="10.5"/>
      <color theme="6" tint="-0.24994659260841701"/>
      <name val="Calibri"/>
      <family val="2"/>
    </font>
    <font>
      <b/>
      <sz val="10.5"/>
      <color theme="3" tint="0.39994506668294322"/>
      <name val="Calibri"/>
      <family val="2"/>
    </font>
    <font>
      <sz val="10"/>
      <color theme="1" tint="0.249977111117893"/>
      <name val="Arial Black"/>
      <family val="2"/>
    </font>
    <font>
      <b/>
      <sz val="11"/>
      <color rgb="FF808080"/>
      <name val="Arial"/>
      <family val="2"/>
    </font>
    <font>
      <sz val="8"/>
      <color theme="1"/>
      <name val="Arial"/>
      <family val="2"/>
    </font>
    <font>
      <sz val="11"/>
      <color theme="0" tint="-0.499984740745262"/>
      <name val="Verdana"/>
      <family val="2"/>
    </font>
    <font>
      <sz val="11"/>
      <color theme="2" tint="-0.89999084444715716"/>
      <name val="Verdana"/>
      <family val="2"/>
    </font>
    <font>
      <sz val="9"/>
      <color theme="0" tint="-0.499984740745262"/>
      <name val="Verdana"/>
      <family val="2"/>
    </font>
    <font>
      <b/>
      <sz val="10"/>
      <color theme="0"/>
      <name val="Verdana"/>
      <family val="2"/>
    </font>
    <font>
      <b/>
      <sz val="10"/>
      <color theme="1" tint="0.249977111117893"/>
      <name val="Verdana"/>
      <family val="2"/>
    </font>
    <font>
      <b/>
      <sz val="11"/>
      <color rgb="FF808080"/>
      <name val="Verdana"/>
      <family val="2"/>
    </font>
    <font>
      <sz val="9"/>
      <color theme="1"/>
      <name val="Verdana"/>
      <family val="2"/>
    </font>
    <font>
      <b/>
      <sz val="10"/>
      <color indexed="63"/>
      <name val="Verdana"/>
      <family val="2"/>
    </font>
    <font>
      <b/>
      <sz val="11"/>
      <color indexed="23"/>
      <name val="Verdana"/>
      <family val="2"/>
    </font>
    <font>
      <b/>
      <sz val="11"/>
      <color theme="1"/>
      <name val="Verdana"/>
      <family val="2"/>
    </font>
    <font>
      <sz val="9"/>
      <color indexed="23"/>
      <name val="Verdana"/>
      <family val="2"/>
    </font>
  </fonts>
  <fills count="11">
    <fill>
      <patternFill patternType="none"/>
    </fill>
    <fill>
      <patternFill patternType="gray125"/>
    </fill>
    <fill>
      <patternFill patternType="solid">
        <fgColor rgb="FFF7FBFE"/>
        <bgColor indexed="64"/>
      </patternFill>
    </fill>
    <fill>
      <patternFill patternType="solid">
        <fgColor rgb="FF15B39E"/>
        <bgColor indexed="64"/>
      </patternFill>
    </fill>
    <fill>
      <patternFill patternType="solid">
        <fgColor rgb="FF0000BF"/>
        <bgColor indexed="64"/>
      </patternFill>
    </fill>
    <fill>
      <patternFill patternType="solid">
        <fgColor rgb="FFBED7A5"/>
        <bgColor indexed="64"/>
      </patternFill>
    </fill>
    <fill>
      <patternFill patternType="solid">
        <fgColor theme="8" tint="0.79998168889431442"/>
        <bgColor indexed="64"/>
      </patternFill>
    </fill>
    <fill>
      <patternFill patternType="solid">
        <fgColor rgb="FFDEFBE6"/>
        <bgColor indexed="64"/>
      </patternFill>
    </fill>
    <fill>
      <patternFill patternType="solid">
        <fgColor rgb="FFF4F4F4"/>
        <bgColor indexed="64"/>
      </patternFill>
    </fill>
    <fill>
      <patternFill patternType="solid">
        <fgColor theme="2" tint="-9.9978637043366805E-2"/>
        <bgColor indexed="64"/>
      </patternFill>
    </fill>
    <fill>
      <patternFill patternType="solid">
        <fgColor theme="0" tint="-4.9989318521683403E-2"/>
        <bgColor indexed="64"/>
      </patternFill>
    </fill>
  </fills>
  <borders count="30">
    <border>
      <left/>
      <right/>
      <top/>
      <bottom/>
      <diagonal/>
    </border>
    <border>
      <left/>
      <right/>
      <top/>
      <bottom style="thick">
        <color rgb="FF15B39E"/>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dotted">
        <color rgb="FF3BAB5A"/>
      </left>
      <right style="dotted">
        <color rgb="FF3BAB5A"/>
      </right>
      <top style="dotted">
        <color rgb="FF3BAB5A"/>
      </top>
      <bottom style="dotted">
        <color rgb="FF3BAB5A"/>
      </bottom>
      <diagonal/>
    </border>
    <border>
      <left style="dotted">
        <color rgb="FFA8A8A8"/>
      </left>
      <right style="dotted">
        <color rgb="FFA8A8A8"/>
      </right>
      <top style="dotted">
        <color rgb="FFA8A8A8"/>
      </top>
      <bottom style="dotted">
        <color rgb="FFA8A8A8"/>
      </bottom>
      <diagonal/>
    </border>
    <border>
      <left style="thin">
        <color theme="0"/>
      </left>
      <right style="thin">
        <color theme="0"/>
      </right>
      <top style="thin">
        <color theme="0"/>
      </top>
      <bottom style="thin">
        <color theme="0"/>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1"/>
      </bottom>
      <diagonal/>
    </border>
    <border>
      <left/>
      <right style="thin">
        <color theme="0" tint="-0.249977111117893"/>
      </right>
      <top style="thin">
        <color theme="1"/>
      </top>
      <bottom style="thin">
        <color theme="1"/>
      </bottom>
      <diagonal/>
    </border>
    <border>
      <left style="thin">
        <color theme="0" tint="-0.249977111117893"/>
      </left>
      <right style="thin">
        <color theme="0" tint="-0.249977111117893"/>
      </right>
      <top style="thin">
        <color theme="1"/>
      </top>
      <bottom style="thin">
        <color theme="1"/>
      </bottom>
      <diagonal/>
    </border>
    <border>
      <left/>
      <right style="thin">
        <color theme="0" tint="-0.249977111117893"/>
      </right>
      <top style="thin">
        <color theme="0" tint="-0.249977111117893"/>
      </top>
      <bottom style="thin">
        <color theme="1"/>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theme="0" tint="-0.249977111117893"/>
      </left>
      <right style="thin">
        <color theme="0" tint="-0.249977111117893"/>
      </right>
      <top style="thin">
        <color theme="0" tint="-0.249977111117893"/>
      </top>
      <bottom/>
      <diagonal/>
    </border>
    <border>
      <left/>
      <right/>
      <top style="thin">
        <color theme="0" tint="-0.249977111117893"/>
      </top>
      <bottom style="thin">
        <color theme="0" tint="-0.249977111117893"/>
      </bottom>
      <diagonal/>
    </border>
    <border>
      <left/>
      <right/>
      <top style="thin">
        <color theme="0" tint="-0.249977111117893"/>
      </top>
      <bottom style="thin">
        <color theme="1"/>
      </bottom>
      <diagonal/>
    </border>
    <border>
      <left/>
      <right/>
      <top style="thin">
        <color theme="1"/>
      </top>
      <bottom style="thin">
        <color theme="1"/>
      </bottom>
      <diagonal/>
    </border>
    <border>
      <left style="thin">
        <color theme="0" tint="-0.249977111117893"/>
      </left>
      <right style="thin">
        <color theme="0" tint="-0.249977111117893"/>
      </right>
      <top style="thin">
        <color indexed="64"/>
      </top>
      <bottom style="thin">
        <color theme="1"/>
      </bottom>
      <diagonal/>
    </border>
    <border>
      <left/>
      <right style="thin">
        <color theme="0" tint="-0.249977111117893"/>
      </right>
      <top style="thin">
        <color indexed="64"/>
      </top>
      <bottom/>
      <diagonal/>
    </border>
    <border>
      <left style="thin">
        <color theme="0" tint="-0.249977111117893"/>
      </left>
      <right style="thin">
        <color theme="0" tint="-0.249977111117893"/>
      </right>
      <top style="thin">
        <color indexed="64"/>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right/>
      <top style="thin">
        <color theme="0" tint="-0.249977111117893"/>
      </top>
      <bottom/>
      <diagonal/>
    </border>
    <border>
      <left/>
      <right/>
      <top style="thin">
        <color indexed="64"/>
      </top>
      <bottom style="thin">
        <color theme="1"/>
      </bottom>
      <diagonal/>
    </border>
  </borders>
  <cellStyleXfs count="81">
    <xf numFmtId="0" fontId="0"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0" fontId="2" fillId="0" borderId="0"/>
    <xf numFmtId="0" fontId="14" fillId="0" borderId="4" applyNumberFormat="0" applyFill="0" applyProtection="0">
      <alignment horizontal="center" vertical="center"/>
    </xf>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4" fillId="0" borderId="4" applyNumberFormat="0" applyFill="0" applyAlignment="0" applyProtection="0"/>
    <xf numFmtId="0" fontId="14" fillId="0" borderId="4" applyNumberFormat="0" applyFill="0" applyAlignment="0" applyProtection="0"/>
    <xf numFmtId="3"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3" fontId="15" fillId="0" borderId="0" applyNumberFormat="0" applyBorder="0" applyAlignment="0" applyProtection="0"/>
    <xf numFmtId="3" fontId="15" fillId="0" borderId="0" applyNumberFormat="0" applyBorder="0" applyAlignment="0" applyProtection="0"/>
    <xf numFmtId="3" fontId="15" fillId="0" borderId="0" applyNumberFormat="0" applyBorder="0" applyAlignment="0" applyProtection="0"/>
    <xf numFmtId="3" fontId="15" fillId="0" borderId="0" applyNumberFormat="0" applyBorder="0" applyAlignment="0" applyProtection="0"/>
    <xf numFmtId="3" fontId="15" fillId="0" borderId="0" applyNumberFormat="0" applyBorder="0" applyAlignment="0" applyProtection="0"/>
    <xf numFmtId="3" fontId="15" fillId="0" borderId="5" applyNumberFormat="0" applyBorder="0" applyAlignment="0" applyProtection="0"/>
    <xf numFmtId="3" fontId="15" fillId="0" borderId="5" applyNumberFormat="0" applyBorder="0" applyAlignment="0" applyProtection="0"/>
    <xf numFmtId="3" fontId="15" fillId="0" borderId="5" applyNumberFormat="0" applyBorder="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lignment horizontal="right" vertical="center"/>
    </xf>
    <xf numFmtId="3" fontId="15" fillId="5" borderId="5">
      <alignment horizontal="center" vertical="center"/>
    </xf>
    <xf numFmtId="0" fontId="15" fillId="5" borderId="5">
      <alignment horizontal="right" vertical="center"/>
    </xf>
    <xf numFmtId="0" fontId="14" fillId="0" borderId="6">
      <alignment horizontal="left" vertical="center"/>
    </xf>
    <xf numFmtId="0" fontId="14" fillId="0" borderId="7">
      <alignment horizontal="center" vertical="center"/>
    </xf>
    <xf numFmtId="0" fontId="16" fillId="0" borderId="8">
      <alignment horizontal="center" vertical="center"/>
    </xf>
    <xf numFmtId="0" fontId="15" fillId="6" borderId="5"/>
    <xf numFmtId="3" fontId="14" fillId="0" borderId="4" applyFill="0" applyAlignment="0" applyProtection="0"/>
    <xf numFmtId="3" fontId="14" fillId="0" borderId="4" applyFill="0" applyAlignment="0" applyProtection="0"/>
    <xf numFmtId="3" fontId="14" fillId="0" borderId="4" applyFill="0" applyAlignment="0" applyProtection="0"/>
    <xf numFmtId="3" fontId="14" fillId="0" borderId="4" applyFill="0" applyAlignment="0" applyProtection="0"/>
    <xf numFmtId="0" fontId="14" fillId="0" borderId="4" applyFill="0" applyAlignment="0" applyProtection="0"/>
    <xf numFmtId="3" fontId="14" fillId="0" borderId="4" applyFill="0" applyAlignment="0" applyProtection="0"/>
    <xf numFmtId="0" fontId="14" fillId="0" borderId="7">
      <alignment horizontal="center" vertical="center"/>
    </xf>
    <xf numFmtId="0" fontId="14" fillId="0" borderId="7">
      <alignment horizontal="center" vertical="center"/>
    </xf>
    <xf numFmtId="3" fontId="15" fillId="0" borderId="5" applyFill="0" applyAlignment="0" applyProtection="0"/>
    <xf numFmtId="0" fontId="15" fillId="0" borderId="5" applyFill="0" applyAlignment="0" applyProtection="0"/>
    <xf numFmtId="3" fontId="14" fillId="7" borderId="9" applyNumberFormat="0" applyFont="0" applyAlignment="0" applyProtection="0"/>
    <xf numFmtId="0" fontId="1" fillId="8" borderId="10" applyNumberFormat="0" applyFont="0" applyAlignment="0" applyProtection="0"/>
    <xf numFmtId="0" fontId="14" fillId="0" borderId="4" applyFill="0" applyAlignment="0" applyProtection="0"/>
    <xf numFmtId="3" fontId="14" fillId="0" borderId="4" applyFill="0" applyAlignment="0" applyProtection="0"/>
    <xf numFmtId="0" fontId="14" fillId="0" borderId="4" applyFill="0" applyAlignment="0" applyProtection="0"/>
    <xf numFmtId="0" fontId="14" fillId="0" borderId="4" applyFill="0" applyAlignment="0" applyProtection="0"/>
    <xf numFmtId="0" fontId="14" fillId="0" borderId="4" applyFill="0" applyAlignment="0" applyProtection="0"/>
    <xf numFmtId="0" fontId="14" fillId="0" borderId="4" applyFill="0" applyAlignment="0" applyProtection="0"/>
    <xf numFmtId="0" fontId="14" fillId="0" borderId="6">
      <alignment horizontal="left" vertical="center"/>
    </xf>
    <xf numFmtId="3" fontId="14" fillId="0" borderId="4" applyFill="0" applyAlignment="0" applyProtection="0"/>
    <xf numFmtId="3" fontId="17" fillId="0" borderId="5"/>
    <xf numFmtId="3" fontId="18" fillId="0" borderId="5"/>
    <xf numFmtId="0" fontId="14" fillId="0" borderId="7">
      <alignment horizontal="left" vertical="top"/>
    </xf>
    <xf numFmtId="0" fontId="19" fillId="0" borderId="5"/>
    <xf numFmtId="0" fontId="14" fillId="0" borderId="7">
      <alignment horizontal="left" vertical="center"/>
    </xf>
    <xf numFmtId="0" fontId="15" fillId="5" borderId="11"/>
    <xf numFmtId="3" fontId="15" fillId="0" borderId="5">
      <alignment horizontal="right" vertical="center"/>
    </xf>
    <xf numFmtId="0" fontId="14" fillId="0" borderId="7">
      <alignment horizontal="right" vertical="center"/>
    </xf>
    <xf numFmtId="0" fontId="15" fillId="0" borderId="8">
      <alignment horizontal="center" vertical="center"/>
    </xf>
    <xf numFmtId="3" fontId="15" fillId="0" borderId="5"/>
    <xf numFmtId="3" fontId="15" fillId="0" borderId="5"/>
    <xf numFmtId="0" fontId="15" fillId="0" borderId="8">
      <alignment horizontal="center" vertical="center" wrapText="1"/>
    </xf>
    <xf numFmtId="0" fontId="20" fillId="0" borderId="8">
      <alignment horizontal="left" vertical="center" indent="1"/>
    </xf>
    <xf numFmtId="0" fontId="21" fillId="0" borderId="5"/>
    <xf numFmtId="0" fontId="14" fillId="0" borderId="6">
      <alignment horizontal="left" vertical="center"/>
    </xf>
    <xf numFmtId="3" fontId="15" fillId="0" borderId="5">
      <alignment horizontal="center" vertical="center"/>
    </xf>
    <xf numFmtId="0" fontId="14" fillId="0" borderId="7">
      <alignment horizontal="center" vertical="center"/>
    </xf>
    <xf numFmtId="0" fontId="14" fillId="0" borderId="7">
      <alignment horizontal="center" vertical="center"/>
    </xf>
    <xf numFmtId="0" fontId="14" fillId="0" borderId="6">
      <alignment horizontal="left" vertical="center"/>
    </xf>
    <xf numFmtId="0" fontId="14" fillId="0" borderId="6">
      <alignment horizontal="left" vertical="center"/>
    </xf>
    <xf numFmtId="0" fontId="22" fillId="0" borderId="5"/>
  </cellStyleXfs>
  <cellXfs count="58">
    <xf numFmtId="0" fontId="0" fillId="0" borderId="0" xfId="0"/>
    <xf numFmtId="0" fontId="4" fillId="2" borderId="0" xfId="5" applyFont="1" applyFill="1" applyAlignment="1">
      <alignment horizontal="center" vertical="center"/>
    </xf>
    <xf numFmtId="0" fontId="6" fillId="2" borderId="0" xfId="5" applyFont="1" applyFill="1" applyAlignment="1">
      <alignment horizontal="left" vertical="center"/>
    </xf>
    <xf numFmtId="0" fontId="8" fillId="2" borderId="0" xfId="5" applyFont="1" applyFill="1" applyAlignment="1">
      <alignment horizontal="left" vertical="center"/>
    </xf>
    <xf numFmtId="0" fontId="9" fillId="2" borderId="0" xfId="5" applyFont="1" applyFill="1" applyAlignment="1">
      <alignment horizontal="center" vertical="center"/>
    </xf>
    <xf numFmtId="0" fontId="9" fillId="2" borderId="0" xfId="5" applyFont="1" applyFill="1" applyAlignment="1">
      <alignment horizontal="center" vertical="center" wrapText="1"/>
    </xf>
    <xf numFmtId="0" fontId="10" fillId="3" borderId="0" xfId="5" applyFont="1" applyFill="1" applyAlignment="1">
      <alignment horizontal="center" vertical="center" wrapText="1"/>
    </xf>
    <xf numFmtId="0" fontId="11" fillId="2" borderId="2" xfId="5" applyFont="1" applyFill="1" applyBorder="1" applyAlignment="1">
      <alignment horizontal="center" vertical="center" wrapText="1"/>
    </xf>
    <xf numFmtId="0" fontId="11" fillId="2" borderId="3" xfId="5" applyFont="1" applyFill="1" applyBorder="1" applyAlignment="1">
      <alignment horizontal="center" vertical="center" wrapText="1"/>
    </xf>
    <xf numFmtId="0" fontId="13" fillId="2" borderId="0" xfId="5" applyFont="1" applyFill="1" applyAlignment="1">
      <alignment horizontal="left" vertical="center"/>
    </xf>
    <xf numFmtId="0" fontId="5" fillId="2" borderId="1" xfId="0" applyFont="1" applyFill="1" applyBorder="1" applyAlignment="1">
      <alignment horizontal="left" vertical="center"/>
    </xf>
    <xf numFmtId="3" fontId="15" fillId="0" borderId="5" xfId="70"/>
    <xf numFmtId="0" fontId="15" fillId="0" borderId="5" xfId="31" applyAlignment="1">
      <alignment horizontal="left"/>
    </xf>
    <xf numFmtId="0" fontId="23" fillId="2" borderId="0" xfId="0" applyFont="1" applyFill="1" applyAlignment="1">
      <alignment horizontal="left" vertical="center"/>
    </xf>
    <xf numFmtId="0" fontId="24" fillId="2" borderId="0" xfId="0" applyFont="1" applyFill="1" applyAlignment="1">
      <alignment horizontal="center" vertical="center"/>
    </xf>
    <xf numFmtId="0" fontId="25" fillId="2" borderId="0" xfId="5" applyFont="1" applyFill="1" applyAlignment="1">
      <alignment horizontal="center" vertical="center"/>
    </xf>
    <xf numFmtId="164" fontId="26" fillId="2" borderId="3" xfId="1" applyFont="1" applyFill="1" applyBorder="1" applyAlignment="1">
      <alignment horizontal="center" vertical="center" wrapText="1"/>
    </xf>
    <xf numFmtId="0" fontId="28" fillId="2" borderId="2" xfId="5" applyFont="1" applyFill="1" applyBorder="1" applyAlignment="1">
      <alignment horizontal="center" vertical="center" wrapText="1"/>
    </xf>
    <xf numFmtId="0" fontId="29" fillId="4" borderId="0" xfId="5" applyFont="1" applyFill="1" applyAlignment="1">
      <alignment horizontal="center" vertical="center" wrapText="1"/>
    </xf>
    <xf numFmtId="0" fontId="30" fillId="2" borderId="0" xfId="0" applyFont="1" applyFill="1" applyAlignment="1">
      <alignment horizontal="left" vertical="center"/>
    </xf>
    <xf numFmtId="0" fontId="32" fillId="9" borderId="12" xfId="5" applyFont="1" applyFill="1" applyBorder="1" applyAlignment="1">
      <alignment horizontal="center" vertical="center" wrapText="1"/>
    </xf>
    <xf numFmtId="164" fontId="27" fillId="9" borderId="13" xfId="1" applyFont="1" applyFill="1" applyBorder="1" applyAlignment="1">
      <alignment horizontal="center" vertical="center" wrapText="1"/>
    </xf>
    <xf numFmtId="0" fontId="32" fillId="9" borderId="14" xfId="5" applyFont="1" applyFill="1" applyBorder="1" applyAlignment="1">
      <alignment horizontal="center" vertical="center" wrapText="1"/>
    </xf>
    <xf numFmtId="164" fontId="27" fillId="9" borderId="15" xfId="1" applyFont="1" applyFill="1" applyBorder="1" applyAlignment="1">
      <alignment horizontal="center" vertical="center" wrapText="1"/>
    </xf>
    <xf numFmtId="0" fontId="32" fillId="9" borderId="16" xfId="5" applyFont="1" applyFill="1" applyBorder="1" applyAlignment="1">
      <alignment horizontal="center" vertical="center" wrapText="1"/>
    </xf>
    <xf numFmtId="0" fontId="28" fillId="2" borderId="12" xfId="5" applyFont="1" applyFill="1" applyBorder="1" applyAlignment="1">
      <alignment horizontal="center" vertical="center" wrapText="1"/>
    </xf>
    <xf numFmtId="9" fontId="26" fillId="2" borderId="3" xfId="2" applyFont="1" applyFill="1" applyBorder="1" applyAlignment="1">
      <alignment horizontal="center" vertical="center" wrapText="1"/>
    </xf>
    <xf numFmtId="2" fontId="26" fillId="2" borderId="3" xfId="5" applyNumberFormat="1" applyFont="1" applyFill="1" applyBorder="1" applyAlignment="1">
      <alignment horizontal="center" vertical="center" wrapText="1"/>
    </xf>
    <xf numFmtId="0" fontId="33" fillId="2" borderId="0" xfId="0" applyFont="1" applyFill="1" applyAlignment="1">
      <alignment horizontal="left" vertical="center"/>
    </xf>
    <xf numFmtId="0" fontId="35" fillId="2" borderId="17" xfId="0" applyFont="1" applyFill="1" applyBorder="1" applyAlignment="1">
      <alignment horizontal="center" vertical="center"/>
    </xf>
    <xf numFmtId="9" fontId="27" fillId="9" borderId="13" xfId="2" applyFont="1" applyFill="1" applyBorder="1" applyAlignment="1">
      <alignment horizontal="center" vertical="center" wrapText="1"/>
    </xf>
    <xf numFmtId="0" fontId="0" fillId="0" borderId="0" xfId="0" quotePrefix="1"/>
    <xf numFmtId="0" fontId="5" fillId="2" borderId="0" xfId="0" applyFont="1" applyFill="1" applyAlignment="1">
      <alignment horizontal="left" vertical="center"/>
    </xf>
    <xf numFmtId="0" fontId="36" fillId="2" borderId="18" xfId="0" applyFont="1" applyFill="1" applyBorder="1" applyAlignment="1">
      <alignment horizontal="center" vertical="center" wrapText="1"/>
    </xf>
    <xf numFmtId="43" fontId="26" fillId="2" borderId="3" xfId="1" applyNumberFormat="1" applyFont="1" applyFill="1" applyBorder="1" applyAlignment="1">
      <alignment horizontal="center" vertical="center" wrapText="1"/>
    </xf>
    <xf numFmtId="0" fontId="31" fillId="2" borderId="1" xfId="0" applyFont="1" applyFill="1" applyBorder="1" applyAlignment="1">
      <alignment horizontal="center" vertical="center"/>
    </xf>
    <xf numFmtId="43" fontId="27" fillId="9" borderId="13" xfId="1" applyNumberFormat="1" applyFont="1" applyFill="1" applyBorder="1" applyAlignment="1">
      <alignment horizontal="center" vertical="center" wrapText="1"/>
    </xf>
    <xf numFmtId="164" fontId="26" fillId="2" borderId="19" xfId="1" applyFont="1" applyFill="1" applyBorder="1" applyAlignment="1">
      <alignment horizontal="center" vertical="center" wrapText="1"/>
    </xf>
    <xf numFmtId="0" fontId="32" fillId="9" borderId="21" xfId="5" applyFont="1" applyFill="1" applyBorder="1" applyAlignment="1">
      <alignment horizontal="center" vertical="center" wrapText="1"/>
    </xf>
    <xf numFmtId="0" fontId="32" fillId="9" borderId="22" xfId="5" applyFont="1" applyFill="1" applyBorder="1" applyAlignment="1">
      <alignment horizontal="center" vertical="center" wrapText="1"/>
    </xf>
    <xf numFmtId="0" fontId="28" fillId="10" borderId="2" xfId="5" applyFont="1" applyFill="1" applyBorder="1" applyAlignment="1">
      <alignment horizontal="center" vertical="center" wrapText="1"/>
    </xf>
    <xf numFmtId="164" fontId="27" fillId="9" borderId="23" xfId="1" applyFont="1" applyFill="1" applyBorder="1" applyAlignment="1">
      <alignment horizontal="center" vertical="center" wrapText="1"/>
    </xf>
    <xf numFmtId="0" fontId="32" fillId="9" borderId="24" xfId="5" applyFont="1" applyFill="1" applyBorder="1" applyAlignment="1">
      <alignment horizontal="center" vertical="center" wrapText="1"/>
    </xf>
    <xf numFmtId="164" fontId="27" fillId="9" borderId="25" xfId="1" applyFont="1" applyFill="1" applyBorder="1" applyAlignment="1">
      <alignment horizontal="center" vertical="center" wrapText="1"/>
    </xf>
    <xf numFmtId="0" fontId="32" fillId="9" borderId="26" xfId="5" applyFont="1" applyFill="1" applyBorder="1" applyAlignment="1">
      <alignment horizontal="center" vertical="center" wrapText="1"/>
    </xf>
    <xf numFmtId="0" fontId="32" fillId="9" borderId="27" xfId="5" applyFont="1" applyFill="1" applyBorder="1" applyAlignment="1">
      <alignment horizontal="center" vertical="center" wrapText="1"/>
    </xf>
    <xf numFmtId="164" fontId="27" fillId="9" borderId="27" xfId="1" applyFont="1" applyFill="1" applyBorder="1" applyAlignment="1">
      <alignment horizontal="center" vertical="center" wrapText="1"/>
    </xf>
    <xf numFmtId="9" fontId="26" fillId="2" borderId="19" xfId="2" applyFont="1" applyFill="1" applyBorder="1" applyAlignment="1">
      <alignment horizontal="center" vertical="center" wrapText="1"/>
    </xf>
    <xf numFmtId="0" fontId="34" fillId="2" borderId="1" xfId="0" applyFont="1" applyFill="1" applyBorder="1" applyAlignment="1">
      <alignment horizontal="center" vertical="center"/>
    </xf>
    <xf numFmtId="0" fontId="30" fillId="2" borderId="0" xfId="0" applyFont="1" applyFill="1" applyAlignment="1">
      <alignment horizontal="center" vertical="center"/>
    </xf>
    <xf numFmtId="0" fontId="31" fillId="2" borderId="1" xfId="0" applyFont="1" applyFill="1" applyBorder="1" applyAlignment="1">
      <alignment horizontal="center" vertical="center"/>
    </xf>
    <xf numFmtId="0" fontId="11" fillId="2" borderId="0" xfId="5" applyFont="1" applyFill="1" applyAlignment="1">
      <alignment horizontal="center" vertical="center" wrapText="1"/>
    </xf>
    <xf numFmtId="0" fontId="28" fillId="10" borderId="16" xfId="5" applyFont="1" applyFill="1" applyBorder="1" applyAlignment="1">
      <alignment horizontal="center" vertical="center" wrapText="1"/>
    </xf>
    <xf numFmtId="0" fontId="28" fillId="2" borderId="20" xfId="5" applyFont="1" applyFill="1" applyBorder="1" applyAlignment="1">
      <alignment vertical="center" wrapText="1"/>
    </xf>
    <xf numFmtId="0" fontId="28" fillId="2" borderId="28" xfId="5" applyFont="1" applyFill="1" applyBorder="1" applyAlignment="1">
      <alignment vertical="center" wrapText="1"/>
    </xf>
    <xf numFmtId="0" fontId="32" fillId="9" borderId="29" xfId="5" applyFont="1" applyFill="1" applyBorder="1" applyAlignment="1">
      <alignment vertical="center" wrapText="1"/>
    </xf>
    <xf numFmtId="0" fontId="32" fillId="9" borderId="22" xfId="5" applyFont="1" applyFill="1" applyBorder="1" applyAlignment="1">
      <alignment vertical="center" wrapText="1"/>
    </xf>
    <xf numFmtId="0" fontId="31" fillId="2" borderId="1" xfId="0" applyNumberFormat="1" applyFont="1" applyFill="1" applyBorder="1" applyAlignment="1">
      <alignment horizontal="center" vertical="center"/>
    </xf>
  </cellXfs>
  <cellStyles count="81">
    <cellStyle name="AF Column - IBM Cognos" xfId="6" xr:uid="{61788A6B-4773-42AD-AACD-FC236E080BE9}"/>
    <cellStyle name="AF Data - IBM Cognos" xfId="7" xr:uid="{3BBCA869-5B54-4D42-A4C7-CF4A86966DC4}"/>
    <cellStyle name="AF Data 0 - IBM Cognos" xfId="8" xr:uid="{C2B3D651-9E04-4FF3-AD29-5AF0EEF98952}"/>
    <cellStyle name="AF Data 1 - IBM Cognos" xfId="9" xr:uid="{941FAB52-A93F-4EDB-897C-AA550BC1085C}"/>
    <cellStyle name="AF Data 2 - IBM Cognos" xfId="10" xr:uid="{DBE4B2D5-478E-4DDB-BF3D-156E542142A3}"/>
    <cellStyle name="AF Data 3 - IBM Cognos" xfId="11" xr:uid="{824B938F-AA37-4DF3-B09C-9AAAF582495C}"/>
    <cellStyle name="AF Data 4 - IBM Cognos" xfId="12" xr:uid="{9F832220-9864-4575-BB4D-83A6F749BD6E}"/>
    <cellStyle name="AF Data 5 - IBM Cognos" xfId="13" xr:uid="{5D8C794F-293D-4134-9B3A-97A9ED745573}"/>
    <cellStyle name="AF Data Leaf - IBM Cognos" xfId="14" xr:uid="{35B3AD0F-797E-488D-B5DE-5A3BAA52B5D2}"/>
    <cellStyle name="AF Header - IBM Cognos" xfId="15" xr:uid="{D248EE70-7A2D-4E35-866E-584116938E64}"/>
    <cellStyle name="AF Header 0 - IBM Cognos" xfId="16" xr:uid="{31B7E2B7-6880-4E0E-9261-9270BAAA4400}"/>
    <cellStyle name="AF Header 1 - IBM Cognos" xfId="17" xr:uid="{2B367604-0D2D-4E46-8DBA-E50CF3AB052B}"/>
    <cellStyle name="AF Header 2 - IBM Cognos" xfId="18" xr:uid="{57FA7C40-1E61-4367-9076-D490125C78AA}"/>
    <cellStyle name="AF Header 3 - IBM Cognos" xfId="19" xr:uid="{BE214559-DB70-44AB-AC9C-CB8E526827B2}"/>
    <cellStyle name="AF Header 4 - IBM Cognos" xfId="20" xr:uid="{A979E9FB-D5C9-422B-90E8-69AF16E64AA2}"/>
    <cellStyle name="AF Header 5 - IBM Cognos" xfId="21" xr:uid="{60ED58DB-6518-44F1-9BE6-601D5F88A5CE}"/>
    <cellStyle name="AF Header Leaf - IBM Cognos" xfId="22" xr:uid="{F7EC28B8-2868-40B7-A1ED-D49BF4AE1919}"/>
    <cellStyle name="AF Row - IBM Cognos" xfId="23" xr:uid="{847348C2-E73C-4B4E-9D64-2C47659D619B}"/>
    <cellStyle name="AF Row 0 - IBM Cognos" xfId="24" xr:uid="{7C3E3824-ED36-40E5-A7C7-483A4B8817D2}"/>
    <cellStyle name="AF Row 1 - IBM Cognos" xfId="25" xr:uid="{A23BD204-0ABE-4904-8037-D9730A3E40EB}"/>
    <cellStyle name="AF Row 2 - IBM Cognos" xfId="26" xr:uid="{3CE2EEB1-D509-4B1C-8A17-3BE265D38405}"/>
    <cellStyle name="AF Row 3 - IBM Cognos" xfId="27" xr:uid="{37184F3A-2044-4D48-9B77-DDF4B2F9C8EE}"/>
    <cellStyle name="AF Row 4 - IBM Cognos" xfId="28" xr:uid="{BCC9340C-0311-4ED4-BAF5-4AEDC51F9507}"/>
    <cellStyle name="AF Row 5 - IBM Cognos" xfId="29" xr:uid="{97665592-DC8F-4E48-9296-C8CC5AFB3BDF}"/>
    <cellStyle name="AF Row Leaf - IBM Cognos" xfId="30" xr:uid="{57F37B60-7FB7-4D11-90F5-E393718DBAF7}"/>
    <cellStyle name="AF Subnm - IBM Cognos" xfId="31" xr:uid="{C557098B-5B1A-4A8D-8A92-2AD193FCEC28}"/>
    <cellStyle name="AF Title - IBM Cognos" xfId="32" xr:uid="{C710C097-9325-49D7-82CD-46ABDDCD1C69}"/>
    <cellStyle name="Calculated Column - IBM Cognos" xfId="33" xr:uid="{9DEB7824-AD21-489F-B3F1-BB8FD3B3F77A}"/>
    <cellStyle name="Calculated Column Name - IBM Cognos" xfId="34" xr:uid="{E6138D52-3ED7-428A-9440-FE35211C6CE1}"/>
    <cellStyle name="Calculated Row - IBM Cognos" xfId="35" xr:uid="{6331C913-5433-49D8-84D8-06E6C831F122}"/>
    <cellStyle name="Calculated Row Name - IBM Cognos" xfId="36" xr:uid="{FAE4B5B6-541B-47FB-BA6E-21662E1C9B89}"/>
    <cellStyle name="Column Name - IBM Cognos" xfId="37" xr:uid="{788C6D62-F378-4F3E-BFFE-B081A03927A0}"/>
    <cellStyle name="Column Template - IBM Cognos" xfId="38" xr:uid="{0E792CE5-439B-45B3-BE6E-27B717E05718}"/>
    <cellStyle name="Comma 3" xfId="4" xr:uid="{419D39F4-A9B4-4AB5-ABA7-E8FC4A7CE148}"/>
    <cellStyle name="Differs From Base - IBM Cognos" xfId="39" xr:uid="{67082EA1-480D-4030-9789-A5EEDACBF7DB}"/>
    <cellStyle name="DQR Column 0 - IBM Cognos" xfId="40" xr:uid="{B382D333-B43A-4ACA-8440-F0C7AB63CCF4}"/>
    <cellStyle name="DQR Column 1 - IBM Cognos" xfId="41" xr:uid="{14FEF05F-068C-454A-AF04-7F34511E05AC}"/>
    <cellStyle name="DQR Column 2 - IBM Cognos" xfId="42" xr:uid="{BD1F3C55-D9E0-4922-B86C-8B626327F43D}"/>
    <cellStyle name="DQR Column 3 - IBM Cognos" xfId="43" xr:uid="{89B54394-1C16-4255-8CE9-474FF035524C}"/>
    <cellStyle name="DQR Column 4 - IBM Cognos" xfId="44" xr:uid="{E2F76B63-C4E0-431A-8F42-C72DE56DEF8E}"/>
    <cellStyle name="DQR Column 5 - IBM Cognos" xfId="45" xr:uid="{0C2121B3-05F2-4961-8A66-2DDD49FAE876}"/>
    <cellStyle name="DQR Column Default - IBM Cognos" xfId="46" xr:uid="{36F0AC49-00A2-4467-A6F2-C4B6BDD4F2F5}"/>
    <cellStyle name="DQR Column Leaf - IBM Cognos" xfId="47" xr:uid="{7338F30F-276C-403B-B5FE-4EA5C76726A8}"/>
    <cellStyle name="DQR Data Default - IBM Cognos" xfId="48" xr:uid="{BEC935F2-16D4-4388-8EE3-FAEB9C939B9E}"/>
    <cellStyle name="DQR Default - IBM Cognos" xfId="49" xr:uid="{8C5582FF-A41C-4051-BF06-C113D8371B20}"/>
    <cellStyle name="DQR Gutter Default - IBM Cognos" xfId="50" xr:uid="{7DE8DD12-6C28-4113-BB7F-E7FD26C79A36}"/>
    <cellStyle name="DQR Gutter Default (OFF) - IBM Cognos" xfId="51" xr:uid="{D04CB1C3-B635-4A8B-8B1E-E549E9EEBABC}"/>
    <cellStyle name="DQR Row 0 - IBM Cognos" xfId="52" xr:uid="{007748CD-A644-48E6-A682-7DB8CBCA8992}"/>
    <cellStyle name="DQR Row 1 - IBM Cognos" xfId="53" xr:uid="{508486BA-E6E4-435B-A00F-5D3236C4AD89}"/>
    <cellStyle name="DQR Row 2 - IBM Cognos" xfId="54" xr:uid="{D01341C1-FE73-43D4-92C9-4AF8E216B6D4}"/>
    <cellStyle name="DQR Row 3 - IBM Cognos" xfId="55" xr:uid="{D6C9376A-D43E-4177-B185-D36CE579A911}"/>
    <cellStyle name="DQR Row 4 - IBM Cognos" xfId="56" xr:uid="{0A58495D-862E-4C9F-A8AC-990E646E2BF0}"/>
    <cellStyle name="DQR Row 5 - IBM Cognos" xfId="57" xr:uid="{59124146-0E20-40A5-A143-30DE1B91B09E}"/>
    <cellStyle name="DQR Row Default - IBM Cognos" xfId="58" xr:uid="{951C6215-59AF-486E-83F4-297F66AF6FDF}"/>
    <cellStyle name="DQR Row Leaf - IBM Cognos" xfId="59" xr:uid="{D419B56A-0370-4FA5-A080-A386D5423C5D}"/>
    <cellStyle name="Edit - IBM Cognos" xfId="60" xr:uid="{90730E3D-6B7F-448F-8DDD-DD590D831ED0}"/>
    <cellStyle name="Formula - IBM Cognos" xfId="61" xr:uid="{EB270823-1C28-44BE-84D1-712D27D18783}"/>
    <cellStyle name="Group Name - IBM Cognos" xfId="62" xr:uid="{926E8A28-B2CE-45B9-B8E0-18CB2A129C48}"/>
    <cellStyle name="Hold Values - IBM Cognos" xfId="63" xr:uid="{1A47DEFA-57EE-42F1-83C0-1087FFEBA798}"/>
    <cellStyle name="List Name - IBM Cognos" xfId="64" xr:uid="{0AB82591-D160-4503-9CEA-985070FA90DF}"/>
    <cellStyle name="Locked - IBM Cognos" xfId="65" xr:uid="{969B41C7-5F09-4437-AAB6-35F81230F8F4}"/>
    <cellStyle name="Measure - IBM Cognos" xfId="66" xr:uid="{9B6D0068-9B49-4B80-B415-D2861C0A1DF2}"/>
    <cellStyle name="Measure Header - IBM Cognos" xfId="67" xr:uid="{BD460DA7-C2CD-4310-B2C6-086324371C42}"/>
    <cellStyle name="Measure Name - IBM Cognos" xfId="68" xr:uid="{C1EA5462-6E81-4351-BE25-2BDBF80ED0A7}"/>
    <cellStyle name="Measure Summary - IBM Cognos" xfId="69" xr:uid="{D506D9C8-F72F-41F2-95E2-2D4C91B8C5EC}"/>
    <cellStyle name="Measure Summary TM1 - IBM Cognos" xfId="70" xr:uid="{A9B70544-D63D-4D77-BFDB-B599D2F7C808}"/>
    <cellStyle name="Measure Template - IBM Cognos" xfId="71" xr:uid="{35F3C7E5-B31B-4AB0-ADB3-43EFEB4BFD3D}"/>
    <cellStyle name="More - IBM Cognos" xfId="72" xr:uid="{9FABA09C-BD27-45C8-B8E8-3977CFB1D204}"/>
    <cellStyle name="Normal" xfId="0" builtinId="0" customBuiltin="1"/>
    <cellStyle name="Normal 2" xfId="5" xr:uid="{129EE009-5CEA-4E2A-9A28-DE85DC3E967E}"/>
    <cellStyle name="Pending Change - IBM Cognos" xfId="73" xr:uid="{3A38BC01-237D-487C-AD1E-88AD7EAADCB9}"/>
    <cellStyle name="Porcentagem" xfId="2" builtinId="5"/>
    <cellStyle name="Row Name - IBM Cognos" xfId="74" xr:uid="{3A1C11D5-4582-49B0-9440-F9F76908B2C1}"/>
    <cellStyle name="Row Template - IBM Cognos" xfId="75" xr:uid="{D0D0D85A-633D-4B49-8871-9FFDD57766F6}"/>
    <cellStyle name="Summary Column Name - IBM Cognos" xfId="76" xr:uid="{4B4D0DB7-E844-4BE1-ADF0-AB25488320C9}"/>
    <cellStyle name="Summary Column Name TM1 - IBM Cognos" xfId="77" xr:uid="{9317CCC7-0755-4809-91AF-D42ED20DC171}"/>
    <cellStyle name="Summary Row Name - IBM Cognos" xfId="78" xr:uid="{BBEDEA66-E355-4823-8E6A-76C536272B5E}"/>
    <cellStyle name="Summary Row Name TM1 - IBM Cognos" xfId="79" xr:uid="{159C62EA-CA88-495A-9386-31366BB3DC9C}"/>
    <cellStyle name="Unsaved Change - IBM Cognos" xfId="80" xr:uid="{969930DA-3D39-4241-B4FB-598E17825872}"/>
    <cellStyle name="Vírgula" xfId="1" builtinId="3"/>
    <cellStyle name="Vírgula 2" xfId="3" xr:uid="{328FC23C-6352-4D5A-9886-14551A36D347}"/>
  </cellStyles>
  <dxfs count="88">
    <dxf>
      <fill>
        <patternFill>
          <bgColor rgb="FFEE6F6C"/>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EE6F6C"/>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1" tint="0.499984740745262"/>
      </font>
      <fill>
        <patternFill>
          <bgColor theme="0" tint="-0.14996795556505021"/>
        </patternFill>
      </fill>
    </dxf>
    <dxf>
      <fill>
        <patternFill>
          <bgColor rgb="FFEE6F6C"/>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1" tint="0.499984740745262"/>
      </font>
      <fill>
        <patternFill>
          <bgColor theme="0" tint="-0.14996795556505021"/>
        </patternFill>
      </fill>
    </dxf>
    <dxf>
      <fill>
        <patternFill>
          <bgColor rgb="FFEE6F6C"/>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1" tint="0.499984740745262"/>
      </font>
      <fill>
        <patternFill>
          <bgColor theme="0" tint="-0.14996795556505021"/>
        </patternFill>
      </fill>
    </dxf>
    <dxf>
      <fill>
        <patternFill>
          <bgColor rgb="FFEE6F6C"/>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EE6F6C"/>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BF"/>
      <color rgb="FFEE6F6C"/>
      <color rgb="FFFFFFCD"/>
      <color rgb="FF808080"/>
      <color rgb="FF00B23D"/>
      <color rgb="FF96E637"/>
      <color rgb="FFD0D0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lzserv\Planejamento%20Financeiro\A-Eletrobr&#225;s\Auxiliares\A-Banco%20de%20Dados\Ban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Índice"/>
      <sheetName val="Consumidores"/>
      <sheetName val="Forfait"/>
      <sheetName val="Venda-MWh"/>
      <sheetName val="Outros"/>
      <sheetName val="Compra-Mwh"/>
      <sheetName val="Compra-R$"/>
      <sheetName val="Fatur. Bruto-Comercial"/>
      <sheetName val="T I P"/>
      <sheetName val="ICMS Fat."/>
      <sheetName val="Importe-Comercial"/>
      <sheetName val="Importe-Contábil"/>
      <sheetName val="ICMS Contábil"/>
      <sheetName val="Importe+ICMS"/>
      <sheetName val="Tarifa Comercial"/>
      <sheetName val="Tarifa Contabilidade"/>
      <sheetName val="Arrec. Bruta"/>
      <sheetName val="ICMS  Arrec."/>
      <sheetName val="Arrec.Líquida"/>
      <sheetName val="Pessoal"/>
      <sheetName val="Mercado"/>
      <sheetName val="OTR.CRED."/>
      <sheetName val="Balanço"/>
      <sheetName val="GASTOS LE2000"/>
      <sheetName val="SELIC"/>
      <sheetName val="Balancete"/>
      <sheetName val="Dados"/>
      <sheetName val="Referência Macro"/>
      <sheetName val=" PIB Brasil ( R$ de 1996 )"/>
      <sheetName val="FORMULÁRIO"/>
      <sheetName val="tarifas abertas internet"/>
      <sheetName val="BM&amp;F"/>
      <sheetName val="Plan1"/>
      <sheetName val="PAGAMENTO"/>
      <sheetName val="Suporte"/>
      <sheetName val="2000"/>
      <sheetName val="Banco"/>
      <sheetName val="INDIECO1"/>
      <sheetName val="ASSUM"/>
      <sheetName val="Sist.Transm.Dist.Glob. "/>
      <sheetName val="Spot"/>
      <sheetName val="Taxes"/>
      <sheetName val="RESUMO"/>
      <sheetName val="Dados2"/>
      <sheetName val="LISTAS"/>
      <sheetName val="Fatur__Bruto-Comercial"/>
      <sheetName val="T_I_P"/>
      <sheetName val="ICMS_Fat_"/>
      <sheetName val="ICMS_Contábil"/>
      <sheetName val="Tarifa_Comercial"/>
      <sheetName val="Tarifa_Contabilidade"/>
      <sheetName val="Arrec__Bruta"/>
      <sheetName val="ICMS__Arrec_"/>
      <sheetName val="Arrec_Líquida"/>
      <sheetName val="_PIB_Brasil_(_R$_de_1996_)"/>
      <sheetName val="Base FIN-NNG-PRE"/>
      <sheetName val="Base O&amp;M"/>
      <sheetName val="Classes"/>
      <sheetName val="SETTINGS"/>
      <sheetName val="Metalúrgica"/>
      <sheetName val="TermoPE"/>
      <sheetName val="DRE e FLUXO CAIXA"/>
      <sheetName val="Índices"/>
      <sheetName val="Tabela aux."/>
      <sheetName val="DRE"/>
      <sheetName val="Lead"/>
      <sheetName val="Comparativos - Abr-02"/>
      <sheetName val="Comparativos _ Abr_02"/>
      <sheetName val="Comparativos - Fev-02"/>
      <sheetName val="Comparativos _ Fev_02"/>
      <sheetName val="Comparativos - Jan-02"/>
      <sheetName val="Comparativos _ Jan_02"/>
      <sheetName val="Comparativos - Mar-02"/>
      <sheetName val="Comparativos _ Mar_02"/>
      <sheetName val="Comentários Jan-02 "/>
      <sheetName val="Comentários Jan_02 "/>
      <sheetName val="DEBE"/>
      <sheetName val="EOFI"/>
      <sheetName val="ce"/>
      <sheetName val="CECO"/>
      <sheetName val="TESTE"/>
      <sheetName val="Consol. Energia Ger"/>
      <sheetName val="Validacao_Dados"/>
      <sheetName val="Aquisição"/>
      <sheetName val="ABRIL 2000"/>
      <sheetName val="FF3"/>
      <sheetName val="DRE_Cemar_Orçam"/>
      <sheetName val="  "/>
      <sheetName val="AA-10(Op.63)"/>
      <sheetName val="Inventário PA"/>
      <sheetName val="Apoio"/>
      <sheetName val="Cursos"/>
      <sheetName val="Classificação"/>
      <sheetName val="Fatur__Bruto-Comercial1"/>
      <sheetName val="T_I_P1"/>
      <sheetName val="ICMS_Fat_1"/>
      <sheetName val="ICMS_Contábil1"/>
      <sheetName val="Tarifa_Comercial1"/>
      <sheetName val="Tarifa_Contabilidade1"/>
      <sheetName val="Arrec__Bruta1"/>
      <sheetName val="ICMS__Arrec_1"/>
      <sheetName val="Arrec_Líquida1"/>
      <sheetName val="_PIB_Brasil_(_R$_de_1996_)1"/>
      <sheetName val="tarifas_abertas_internet"/>
      <sheetName val="Sist_Transm_Dist_Glob__"/>
      <sheetName val="Base_FIN-NNG-PRE"/>
      <sheetName val="Base_O&amp;M"/>
      <sheetName val="DRE_e_FLUXO_CAIXA"/>
      <sheetName val="Tabela_aux_"/>
      <sheetName val="Comparativos_-_Abr-02"/>
      <sheetName val="Comparativos___Abr_02"/>
      <sheetName val="Comparativos_-_Fev-02"/>
      <sheetName val="Comparativos___Fev_02"/>
      <sheetName val="Comparativos_-_Jan-02"/>
      <sheetName val="Comparativos___Jan_02"/>
      <sheetName val="Comparativos_-_Mar-02"/>
      <sheetName val="Comparativos___Mar_02"/>
      <sheetName val="Comentários_Jan-02_"/>
      <sheetName val="Comentários_Jan_02_"/>
      <sheetName val="Consol__Energia_Ger"/>
      <sheetName val="ABRIL_2000"/>
      <sheetName val="__"/>
      <sheetName val="AA-10(Op_63)"/>
      <sheetName val="Inventário_PA"/>
      <sheetName val="BASE RATEIO DIRETORIA"/>
      <sheetName val="Validação de Dados"/>
      <sheetName val="Plan1 (2)"/>
      <sheetName val="Base_Calc"/>
      <sheetName val="Base_Dados"/>
      <sheetName val="Taxas"/>
      <sheetName val="tarifas_abertas_internet1"/>
      <sheetName val="Sist_Transm_Dist_Glob__1"/>
      <sheetName val="AUXILIAR"/>
      <sheetName val="AVC Garabi II Set18"/>
      <sheetName val="Listas e Tabelas"/>
      <sheetName val="Siglas e Legendas"/>
      <sheetName val="IREM"/>
      <sheetName val="Plan2"/>
      <sheetName val="Plan3"/>
      <sheetName val="CVA_Projetada12meses"/>
      <sheetName val="CUSTOS"/>
      <sheetName val="Tabela_valores_módulos"/>
      <sheetName val="Fatur__Bruto-Comercial2"/>
      <sheetName val="T_I_P2"/>
      <sheetName val="ICMS_Fat_2"/>
      <sheetName val="ICMS_Contábil2"/>
      <sheetName val="Tarifa_Comercial2"/>
      <sheetName val="Tarifa_Contabilidade2"/>
      <sheetName val="Arrec__Bruta2"/>
      <sheetName val="ICMS__Arrec_2"/>
      <sheetName val="Arrec_Líquida2"/>
      <sheetName val="_PIB_Brasil_(_R$_de_1996_)2"/>
      <sheetName val="tarifas_abertas_internet2"/>
      <sheetName val="Sist_Transm_Dist_Glob__2"/>
      <sheetName val="Base_FIN-NNG-PRE1"/>
      <sheetName val="Base_O&amp;M1"/>
      <sheetName val="DRE_e_FLUXO_CAIXA1"/>
      <sheetName val="Tabela_aux_1"/>
      <sheetName val="Comparativos_-_Abr-021"/>
      <sheetName val="Comparativos___Abr_021"/>
      <sheetName val="Comparativos_-_Fev-021"/>
      <sheetName val="Comparativos___Fev_021"/>
      <sheetName val="Comparativos_-_Jan-021"/>
      <sheetName val="Comparativos___Jan_021"/>
      <sheetName val="Comparativos_-_Mar-021"/>
      <sheetName val="Comparativos___Mar_021"/>
      <sheetName val="Comentários_Jan-02_1"/>
      <sheetName val="Comentários_Jan_02_1"/>
      <sheetName val="Consol__Energia_Ger1"/>
      <sheetName val="ABRIL_20001"/>
      <sheetName val="__1"/>
      <sheetName val="AA-10(Op_63)1"/>
      <sheetName val="Inventário_PA1"/>
      <sheetName val="OTR_CRED_"/>
      <sheetName val="BASE_RATEIO_DIRETORIA"/>
      <sheetName val="Validação_de_Dados"/>
      <sheetName val="Plan1_(2)"/>
      <sheetName val="AVC_Garabi_II_Set18"/>
      <sheetName val="Listas_e_Tabelas"/>
      <sheetName val="Siglas_e_Legendas"/>
      <sheetName val="Receivables"/>
      <sheetName val="Cash"/>
      <sheetName val="Avaliação"/>
      <sheetName val="#REF"/>
      <sheetName val="OCRE"/>
      <sheetName val="CSCCincSKR"/>
      <sheetName val="Tarifas_de_Fornecimento"/>
      <sheetName val="Tarifas_de_Suprimento"/>
      <sheetName val="DadosImportar"/>
      <sheetName val="DadosImportadosSamp"/>
      <sheetName val="Críticas"/>
      <sheetName val="DePara"/>
      <sheetName val="RTOS_APOIO"/>
      <sheetName val="apoio_data"/>
      <sheetName val="APOIO_LISTA"/>
      <sheetName val="RECEITAS_DE_TARIFAS"/>
      <sheetName val="SUBSIDIOS_CDE_TARIFAS"/>
      <sheetName val="Fatur__Bruto-Comercial3"/>
      <sheetName val="T_I_P3"/>
      <sheetName val="ICMS_Fat_3"/>
      <sheetName val="ICMS_Contábil3"/>
      <sheetName val="Tarifa_Comercial3"/>
      <sheetName val="Tarifa_Contabilidade3"/>
      <sheetName val="Arrec__Bruta3"/>
      <sheetName val="ICMS__Arrec_3"/>
      <sheetName val="Arrec_Líquida3"/>
      <sheetName val="_PIB_Brasil_(_R$_de_1996_)3"/>
      <sheetName val="tarifas_abertas_internet3"/>
      <sheetName val="Sist_Transm_Dist_Glob__3"/>
      <sheetName val="Comparativos_-_Abr-022"/>
      <sheetName val="Comparativos___Abr_022"/>
      <sheetName val="Comparativos_-_Fev-022"/>
      <sheetName val="Comparativos___Fev_022"/>
      <sheetName val="Comparativos_-_Jan-022"/>
      <sheetName val="Comparativos___Jan_022"/>
      <sheetName val="Comparativos_-_Mar-022"/>
      <sheetName val="Comparativos___Mar_022"/>
      <sheetName val="Comentários_Jan-02_2"/>
      <sheetName val="Comentários_Jan_02_2"/>
      <sheetName val="DRE_e_FLUXO_CAIXA2"/>
      <sheetName val="Tabela_aux_2"/>
      <sheetName val="Base_FIN-NNG-PRE2"/>
      <sheetName val="Base_O&amp;M2"/>
      <sheetName val="Consol__Energia_Ger2"/>
      <sheetName val="Plan1_(2)1"/>
      <sheetName val="__2"/>
      <sheetName val="AA-10(Op_63)2"/>
      <sheetName val="Inventário_PA2"/>
      <sheetName val="ABRIL_20002"/>
      <sheetName val="OTR_CRED_1"/>
      <sheetName val="BASE_RATEIO_DIRETORIA1"/>
      <sheetName val="Validação_de_Dados1"/>
      <sheetName val="AVC_Garabi_II_Set181"/>
      <sheetName val="Listas_e_Tabelas1"/>
      <sheetName val="Siglas_e_Legendas1"/>
      <sheetName val="FATORES"/>
      <sheetName val="Form09"/>
      <sheetName val="0_&lt;_VCM_&lt;_1_350"/>
      <sheetName val="BancoSegment"/>
      <sheetName val="CÁLCULO_GRÁFICO"/>
      <sheetName val="Dados_mensais"/>
      <sheetName val="DRA"/>
      <sheetName val="DRP"/>
      <sheetName val="FEV99"/>
      <sheetName val="Critérios"/>
      <sheetName val="Base Geral"/>
      <sheetName val="Planilha1"/>
      <sheetName val="Planilha2"/>
      <sheetName val="DIN_19"/>
      <sheetName val="DIN_18"/>
      <sheetName val="DIN_OBZ"/>
      <sheetName val="Centro de Custo"/>
      <sheetName val="Gráficos"/>
      <sheetName val="Painel"/>
      <sheetName val="DRE (Projetado)"/>
      <sheetName val="DRE_19"/>
      <sheetName val="DRE_18"/>
      <sheetName val="DRE_OBZ"/>
      <sheetName val="OP_COMP"/>
      <sheetName val="OP_19"/>
      <sheetName val="OP_18"/>
      <sheetName val="OP_OBZ"/>
      <sheetName val="Balanco"/>
      <sheetName val="Cash-flow"/>
      <sheetName val="BD_Tkt_18"/>
      <sheetName val="BD_Tkt_19"/>
      <sheetName val="BD_Saldo_18"/>
      <sheetName val="BD_Saldo_19"/>
      <sheetName val="MENSAL"/>
      <sheetName val="FX_RES"/>
      <sheetName val="TENSÃO"/>
      <sheetName val="VALIDADOR"/>
      <sheetName val="1996"/>
      <sheetName val="Projeção Receita"/>
      <sheetName val="Simulação Mensal"/>
      <sheetName val="Cotação Areva SE's 2008"/>
      <sheetName val="Drivers IAR 1 a 4 (3)"/>
      <sheetName val="Drivers IAR 1 a 4 (2)"/>
      <sheetName val="Drivers IAR 1 a 4"/>
      <sheetName val="Drivers IAR Global"/>
      <sheetName val="IAR Cepisa"/>
      <sheetName val="IAR Historico"/>
      <sheetName val="Simulação Anual"/>
      <sheetName val="PDD CNR"/>
      <sheetName val="Projeção CNR"/>
      <sheetName val="Dívida Serviço Publico (2)"/>
      <sheetName val="Dívida Serviço Publico"/>
      <sheetName val="CR CEPISA"/>
      <sheetName val="Planilha3"/>
      <sheetName val="Drivers 2"/>
      <sheetName val="Distribuidoras (2)"/>
      <sheetName val="Distribuidoras"/>
      <sheetName val="Plan7"/>
      <sheetName val="Evolução 2014 2015 2016"/>
      <sheetName val="IAR Longo Prazo Desafio"/>
      <sheetName val="IAR Longo Prazo Meta"/>
      <sheetName val="Drivers Novo"/>
      <sheetName val="Drivers Antigo"/>
      <sheetName val="Drivers"/>
      <sheetName val="Simuladores Desafio 45"/>
      <sheetName val="Simuladores Atual Plus"/>
      <sheetName val="Tarifas"/>
      <sheetName val="Arrecadação CNR Desafio"/>
      <sheetName val="Arrecadação CNR"/>
      <sheetName val="Evolução desde 2012 Desafio"/>
      <sheetName val="Evolução 2014 2015 2016 Des"/>
      <sheetName val="Evolução 2014 2015 2016 Haiama"/>
      <sheetName val="Evolução 2014 2015 2016 Beto"/>
      <sheetName val="Evolução Anual"/>
      <sheetName val="Contas Aberto Com CNR"/>
      <sheetName val="Demais distribuidoras (2)"/>
      <sheetName val="Cemar x Celpa (2)"/>
      <sheetName val="Cemar x Celpa"/>
      <sheetName val="Cemar Liquido de PDD"/>
      <sheetName val="Demais distribuidoras"/>
      <sheetName val="Contas Comercial Com CNR Perdas"/>
      <sheetName val="Contas Comercial Com CNR"/>
      <sheetName val="Build Up_Celpa_Set"/>
      <sheetName val="Build Up_frentes_Comaprativo"/>
      <sheetName val="Mercado_Receita"/>
      <sheetName val="Cotação_Areva_SE's_2008"/>
      <sheetName val="Fatur__Bruto-Comercial4"/>
      <sheetName val="T_I_P4"/>
      <sheetName val="ICMS_Fat_4"/>
      <sheetName val="ICMS_Contábil4"/>
      <sheetName val="Tarifa_Comercial4"/>
      <sheetName val="Tarifa_Contabilidade4"/>
      <sheetName val="Arrec__Bruta4"/>
      <sheetName val="ICMS__Arrec_4"/>
      <sheetName val="Arrec_Líquida4"/>
      <sheetName val="_PIB_Brasil_(_R$_de_1996_)4"/>
      <sheetName val="tarifas_abertas_internet4"/>
      <sheetName val="Sist_Transm_Dist_Glob__4"/>
      <sheetName val="Base_FIN-NNG-PRE3"/>
      <sheetName val="Base_O&amp;M3"/>
      <sheetName val="DRE_e_FLUXO_CAIXA3"/>
      <sheetName val="Tabela_aux_3"/>
      <sheetName val="Comparativos_-_Abr-023"/>
      <sheetName val="Comparativos___Abr_023"/>
      <sheetName val="Comparativos_-_Fev-023"/>
      <sheetName val="Comparativos___Fev_023"/>
      <sheetName val="Comparativos_-_Jan-023"/>
      <sheetName val="Comparativos___Jan_023"/>
      <sheetName val="Comparativos_-_Mar-023"/>
      <sheetName val="Comparativos___Mar_023"/>
      <sheetName val="Comentários_Jan-02_3"/>
      <sheetName val="Comentários_Jan_02_3"/>
      <sheetName val="Consol__Energia_Ger3"/>
      <sheetName val="__3"/>
      <sheetName val="AA-10(Op_63)3"/>
      <sheetName val="Inventário_PA3"/>
      <sheetName val="ABRIL_20003"/>
      <sheetName val="OTR_CRED_2"/>
      <sheetName val="Plan1_(2)2"/>
      <sheetName val="BASE_RATEIO_DIRETORIA2"/>
      <sheetName val="Validação_de_Dados2"/>
      <sheetName val="AVC_Garabi_II_Set182"/>
      <sheetName val="Listas_e_Tabelas2"/>
      <sheetName val="Siglas_e_Legendas2"/>
      <sheetName val="RDEG fev 07"/>
      <sheetName val="Definições_Consolidada"/>
      <sheetName val="PROCV"/>
      <sheetName val="Base - Não apagar"/>
      <sheetName val="Column Test-S2"/>
      <sheetName val="P&amp;L_EBITDA"/>
      <sheetName val="Resumen"/>
      <sheetName val="GASTOS_LE2000"/>
      <sheetName val="Referência_Macro"/>
      <sheetName val="Base_-_Não_apagar"/>
      <sheetName val="Column_Test-S2"/>
      <sheetName val="Razão"/>
      <sheetName val="Natureza"/>
      <sheetName val="Conta"/>
      <sheetName val="TD"/>
      <sheetName val="Base"/>
      <sheetName val="Planilha4"/>
      <sheetName val="Razão Contábil"/>
      <sheetName val="GASTOS_LE20001"/>
      <sheetName val="Referência_Macro1"/>
      <sheetName val="Base_-_Não_apagar1"/>
      <sheetName val="Column_Test-S21"/>
      <sheetName val="Bancos"/>
      <sheetName val="Margem Carteiras"/>
      <sheetName val="Result Ind Carteiras"/>
      <sheetName val="Result Ind Resumido"/>
      <sheetName val="Módulo1"/>
      <sheetName val="Módulo2"/>
      <sheetName val="Módulo3"/>
      <sheetName val="Inputs_Unidades_Geradoras"/>
      <sheetName val="Real Mensal"/>
      <sheetName val="Sispec99"/>
      <sheetName val="Tabelas"/>
      <sheetName val="Gráfico"/>
      <sheetName val="D.DRE_Acomp"/>
      <sheetName val="Cover"/>
      <sheetName val="Mapa Completo"/>
      <sheetName val="Folha"/>
      <sheetName val="Listas Auxiliares"/>
      <sheetName val="Base de dados"/>
      <sheetName val="Plan5"/>
      <sheetName val="HIDRAULI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sheetData sheetId="371" refreshError="1"/>
      <sheetData sheetId="372"/>
      <sheetData sheetId="373"/>
      <sheetData sheetId="374"/>
      <sheetData sheetId="375"/>
      <sheetData sheetId="376"/>
      <sheetData sheetId="377"/>
      <sheetData sheetId="378"/>
      <sheetData sheetId="379"/>
      <sheetData sheetId="380"/>
      <sheetData sheetId="381"/>
      <sheetData sheetId="382" refreshError="1"/>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8AF484-EF55-466C-91B7-525914096985}">
  <we:reference id="wa200005502" version="1.0.0.12" store="pt-BR" storeType="OMEX"/>
  <we:alternateReferences>
    <we:reference id="WA200005502" version="1.0.0.12" store="" storeType="OMEX"/>
  </we:alternateReferences>
  <we:properties>
    <we:property name="docId" value="&quot;6O1t3FdpdjunFvvvvw5F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8.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02AF3-93A0-4BF9-88D3-BF34E5B86391}">
  <dimension ref="A1:X352"/>
  <sheetViews>
    <sheetView showGridLines="0" tabSelected="1" topLeftCell="A325" zoomScaleNormal="100" workbookViewId="0">
      <selection activeCell="C66" sqref="C66"/>
    </sheetView>
  </sheetViews>
  <sheetFormatPr defaultColWidth="12.42578125" defaultRowHeight="15.75" customHeight="1" x14ac:dyDescent="0.25"/>
  <cols>
    <col min="1" max="1" width="3.28515625" style="1" customWidth="1"/>
    <col min="2" max="2" width="43.42578125" style="1" customWidth="1"/>
    <col min="3" max="3" width="14.140625" style="1" customWidth="1"/>
    <col min="4" max="10" width="17.5703125" style="1" bestFit="1" customWidth="1"/>
    <col min="11" max="11" width="18.5703125" style="1" bestFit="1" customWidth="1"/>
    <col min="12" max="13" width="17.5703125" style="1" bestFit="1" customWidth="1"/>
    <col min="14" max="14" width="16.5703125" style="1" customWidth="1"/>
    <col min="15" max="24" width="12.42578125" style="1"/>
  </cols>
  <sheetData>
    <row r="1" spans="2:14" s="1" customFormat="1" ht="19.5" hidden="1" customHeight="1" x14ac:dyDescent="0.25">
      <c r="B1" s="1" t="str">
        <f>_xll.VIEW("CONS_VC:STG.100.DataBase_Uploads",D9)</f>
        <v>CONS_VC:STG.100.DataBase_Uploads:-7526985491597873023</v>
      </c>
      <c r="C1" s="1" t="str">
        <f>_xll.VIEW("CONS_VC:ALL.015.Region_Assumptions")</f>
        <v>CONS_VC:ALL.015.Region_Assumptions:-752698549-412528343</v>
      </c>
      <c r="D1" s="1" t="str">
        <f>_xll.VIEW("CONS_VC:DFS.120.Financial_Results")</f>
        <v>CONS_VC:DFS.120.Financial_Results:-752698549-1678799984</v>
      </c>
      <c r="K1" s="1" t="s">
        <v>72</v>
      </c>
      <c r="L1" s="1" t="s">
        <v>66</v>
      </c>
      <c r="M1" s="12" t="str">
        <f>_xll.SUBNM("CONS_VC:ALL.D.Version","","T4")</f>
        <v>T4</v>
      </c>
      <c r="N1" s="1" t="s">
        <v>73</v>
      </c>
    </row>
    <row r="2" spans="2:14" s="1" customFormat="1" ht="33" hidden="1" customHeight="1" x14ac:dyDescent="0.25">
      <c r="B2" s="1" t="str">
        <f>_xll.VIEW("CONS_VC:REV.100.Revenue_Consolidated")</f>
        <v>CONS_VC:REV.100.Revenue_Consolidated:-752698549-1045742215</v>
      </c>
      <c r="C2" s="1" t="str">
        <f>_xll.VIEW("CONS_VC:ALL.010.Economic_Assumptions")</f>
        <v>CONS_VC:ALL.010.Economic_Assumptions:-752698549-2110203674</v>
      </c>
      <c r="D2" s="1" t="str">
        <f>_xll.VIEW("CONS_VC:DFS.140.Indirect_Cash_Flow")</f>
        <v>CONS_VC:DFS.140.Indirect_Cash_Flow:-7526985491192101094</v>
      </c>
      <c r="K2" s="1" t="s">
        <v>71</v>
      </c>
      <c r="N2" s="1" t="s">
        <v>74</v>
      </c>
    </row>
    <row r="3" spans="2:14" s="1" customFormat="1" ht="29.25" hidden="1" customHeight="1" x14ac:dyDescent="0.25">
      <c r="B3" s="1" t="str">
        <f>_xll.VIEW("CONS_VC:DFS.100.Profit_and_Loss")</f>
        <v>CONS_VC:DFS.100.Profit_and_Loss:-7526985491293352199</v>
      </c>
      <c r="C3" s="1" t="str">
        <f>_xll.VIEW("CONS_VC:DFS.160.Working_Capital")</f>
        <v>CONS_VC:DFS.160.Working_Capital:-752698549-593608013</v>
      </c>
      <c r="D3" s="1" t="str">
        <f>_xll.VIEW("CONS_VC:ALL.004.Uploads_Status_Planning")</f>
        <v>CONS_VC:ALL.004.Uploads_Status_Planning:-7526985492074531375</v>
      </c>
      <c r="G3" s="1" t="s">
        <v>82</v>
      </c>
    </row>
    <row r="4" spans="2:14" s="1" customFormat="1" ht="33" hidden="1" customHeight="1" x14ac:dyDescent="0.25">
      <c r="B4" s="1" t="str">
        <f>_xll.VIEW("CONS_VC:ALL.001.Actual_Control")</f>
        <v>CONS_VC:ALL.001.Actual_Control:-7526985491690317456</v>
      </c>
      <c r="C4" s="1" t="str">
        <f>_xll.VIEW("CONS_VC:DFS.180.Gross_Debt")</f>
        <v>CONS_VC:DFS.180.Gross_Debt:-7526985491758842948</v>
      </c>
    </row>
    <row r="5" spans="2:14" s="1" customFormat="1" ht="30" hidden="1" customHeight="1" x14ac:dyDescent="0.25">
      <c r="C5" s="11" t="str">
        <f>_xll.DBRW(Cons_Region!$B$4,Cons_Region!$D$9,Cons_Region!C11,$M$1,$G$3)</f>
        <v>PLAN</v>
      </c>
      <c r="D5" s="11" t="str">
        <f>_xll.DBRW(Cons_Region!$B$4,Cons_Region!$D$9,Cons_Region!D11,$M$1,$G$3)</f>
        <v>PLAN</v>
      </c>
      <c r="E5" s="11" t="str">
        <f>_xll.DBRW(Cons_Region!$B$4,Cons_Region!$D$9,Cons_Region!E11,$M$1,$G$3)</f>
        <v>PLAN</v>
      </c>
      <c r="F5" s="11" t="str">
        <f>_xll.DBRW(Cons_Region!$B$4,Cons_Region!$D$9,Cons_Region!F11,$M$1,$G$3)</f>
        <v>PLAN</v>
      </c>
      <c r="G5" s="11" t="str">
        <f>_xll.DBRW(Cons_Region!$B$4,Cons_Region!$D$9,Cons_Region!G11,$M$1,$G$3)</f>
        <v>PLAN</v>
      </c>
      <c r="H5" s="11" t="str">
        <f>_xll.DBRW(Cons_Region!$B$4,Cons_Region!$D$9,Cons_Region!H11,$M$1,$G$3)</f>
        <v>PLAN</v>
      </c>
      <c r="I5" s="11" t="str">
        <f>_xll.DBRW(Cons_Region!$B$4,Cons_Region!$D$9,Cons_Region!I11,$M$1,$G$3)</f>
        <v>PLAN</v>
      </c>
      <c r="J5" s="11" t="str">
        <f>_xll.DBRW(Cons_Region!$B$4,Cons_Region!$D$9,Cons_Region!J11,$M$1,$G$3)</f>
        <v>PLAN</v>
      </c>
      <c r="K5" s="11" t="str">
        <f>_xll.DBRW(Cons_Region!$B$4,Cons_Region!$D$9,Cons_Region!K11,$M$1,$G$3)</f>
        <v>PLAN</v>
      </c>
      <c r="L5" s="11" t="str">
        <f>_xll.DBRW(Cons_Region!$B$4,Cons_Region!$D$9,Cons_Region!L11,$M$1,$G$3)</f>
        <v>PLAN</v>
      </c>
      <c r="M5" s="11" t="str">
        <f>_xll.DBRW(Cons_Region!$B$4,Cons_Region!$D$9,Cons_Region!M11,$M$1,$G$3)</f>
        <v>PLAN</v>
      </c>
      <c r="N5" s="11" t="str">
        <f>_xll.DBRW(Cons_Region!$B$4,Cons_Region!$D$9,Cons_Region!N11,$M$1,$G$3)</f>
        <v>PLAN</v>
      </c>
    </row>
    <row r="6" spans="2:14" s="1" customFormat="1" ht="19.5" hidden="1" customHeight="1" x14ac:dyDescent="0.25"/>
    <row r="7" spans="2:14" s="1" customFormat="1" ht="24" customHeight="1" thickBot="1" x14ac:dyDescent="0.3">
      <c r="B7" s="10"/>
      <c r="L7" s="49" t="s">
        <v>145</v>
      </c>
      <c r="M7" s="49"/>
      <c r="N7" s="29" t="str">
        <f>_xll.DBRW($D$3,$M$1,$J$9,"Status")</f>
        <v>Closed</v>
      </c>
    </row>
    <row r="8" spans="2:14" s="1" customFormat="1" ht="15.75" customHeight="1" thickTop="1" x14ac:dyDescent="0.25">
      <c r="B8" s="9" t="s">
        <v>0</v>
      </c>
    </row>
    <row r="9" spans="2:14" s="1" customFormat="1" ht="15.75" customHeight="1" thickBot="1" x14ac:dyDescent="0.3">
      <c r="C9" s="19" t="s">
        <v>67</v>
      </c>
      <c r="D9" s="35" t="str">
        <f>_xll.SUBNM("CONS_VC:ALL.D.Year","SYS_Picklist","2026","MEMBER_NAME")</f>
        <v>2026</v>
      </c>
      <c r="F9" s="19" t="s">
        <v>68</v>
      </c>
      <c r="G9" s="35" t="str">
        <f>_xll.SUBNM("CONS_VC:ALL.D.Currency","PAX","USD","Nome alternativo")</f>
        <v>USD</v>
      </c>
      <c r="I9" s="19" t="s">
        <v>69</v>
      </c>
      <c r="J9" s="35" t="str">
        <f>_xll.SUBNM("CONS_VC:ALL.D.Region","Nível 0","VCNA","MEMBER_NAME")</f>
        <v>VCNA</v>
      </c>
    </row>
    <row r="10" spans="2:14" s="1" customFormat="1" ht="15.75" customHeight="1" thickTop="1" x14ac:dyDescent="0.25">
      <c r="B10" s="9"/>
      <c r="C10" s="13"/>
      <c r="D10" s="14"/>
    </row>
    <row r="11" spans="2:14" s="1" customFormat="1" ht="45" hidden="1" customHeight="1" x14ac:dyDescent="0.25">
      <c r="C11" s="15" t="s">
        <v>46</v>
      </c>
      <c r="D11" s="15" t="s">
        <v>47</v>
      </c>
      <c r="E11" s="15" t="s">
        <v>48</v>
      </c>
      <c r="F11" s="15" t="s">
        <v>49</v>
      </c>
      <c r="G11" s="15" t="s">
        <v>50</v>
      </c>
      <c r="H11" s="15" t="s">
        <v>51</v>
      </c>
      <c r="I11" s="15" t="s">
        <v>52</v>
      </c>
      <c r="J11" s="15" t="s">
        <v>53</v>
      </c>
      <c r="K11" s="15" t="s">
        <v>54</v>
      </c>
      <c r="L11" s="15" t="s">
        <v>55</v>
      </c>
      <c r="M11" s="15" t="s">
        <v>56</v>
      </c>
      <c r="N11" s="15" t="s">
        <v>57</v>
      </c>
    </row>
    <row r="12" spans="2:14" s="4" customFormat="1" ht="15.75" customHeight="1" x14ac:dyDescent="0.25">
      <c r="B12" s="5"/>
      <c r="C12" s="18" t="str">
        <f>$D$9&amp;"."&amp;C11</f>
        <v>2026.01</v>
      </c>
      <c r="D12" s="18" t="str">
        <f t="shared" ref="D12:N12" si="0">$D$9&amp;"."&amp;D11</f>
        <v>2026.02</v>
      </c>
      <c r="E12" s="18" t="str">
        <f t="shared" si="0"/>
        <v>2026.03</v>
      </c>
      <c r="F12" s="18" t="str">
        <f t="shared" si="0"/>
        <v>2026.04</v>
      </c>
      <c r="G12" s="18" t="str">
        <f t="shared" si="0"/>
        <v>2026.05</v>
      </c>
      <c r="H12" s="18" t="str">
        <f t="shared" si="0"/>
        <v>2026.06</v>
      </c>
      <c r="I12" s="18" t="str">
        <f t="shared" si="0"/>
        <v>2026.07</v>
      </c>
      <c r="J12" s="18" t="str">
        <f t="shared" si="0"/>
        <v>2026.08</v>
      </c>
      <c r="K12" s="18" t="str">
        <f t="shared" si="0"/>
        <v>2026.09</v>
      </c>
      <c r="L12" s="18" t="str">
        <f t="shared" si="0"/>
        <v>2026.10</v>
      </c>
      <c r="M12" s="18" t="str">
        <f t="shared" si="0"/>
        <v>2026.11</v>
      </c>
      <c r="N12" s="18" t="str">
        <f t="shared" si="0"/>
        <v>2026.12</v>
      </c>
    </row>
    <row r="13" spans="2:14" s="1" customFormat="1" ht="15.75" customHeight="1" x14ac:dyDescent="0.25">
      <c r="B13" s="22" t="s">
        <v>1</v>
      </c>
      <c r="C13" s="21">
        <f>_xll.DBRW($C$2,Cons_Region!$D$9,Cons_Region!$C$11,$M$1,$B13,$K$1)</f>
        <v>0</v>
      </c>
      <c r="D13" s="21">
        <f>_xll.DBRW($C$2,Cons_Region!$D$9,Cons_Region!$C$11,$M$1,$B13,$K$1)</f>
        <v>0</v>
      </c>
      <c r="E13" s="21">
        <f>_xll.DBRW($C$2,Cons_Region!$D$9,Cons_Region!$C$11,$M$1,$B13,$K$1)</f>
        <v>0</v>
      </c>
      <c r="F13" s="21">
        <f>_xll.DBRW($C$2,Cons_Region!$D$9,Cons_Region!$C$11,$M$1,$B13,$K$1)</f>
        <v>0</v>
      </c>
      <c r="G13" s="21">
        <f>_xll.DBRW($C$2,Cons_Region!$D$9,Cons_Region!$C$11,$M$1,$B13,$K$1)</f>
        <v>0</v>
      </c>
      <c r="H13" s="21">
        <f>_xll.DBRW($C$2,Cons_Region!$D$9,Cons_Region!$C$11,$M$1,$B13,$K$1)</f>
        <v>0</v>
      </c>
      <c r="I13" s="21">
        <f>_xll.DBRW($C$2,Cons_Region!$D$9,Cons_Region!$C$11,$M$1,$B13,$K$1)</f>
        <v>0</v>
      </c>
      <c r="J13" s="21">
        <f>_xll.DBRW($C$2,Cons_Region!$D$9,Cons_Region!$C$11,$M$1,$B13,$K$1)</f>
        <v>0</v>
      </c>
      <c r="K13" s="21">
        <f>_xll.DBRW($C$2,Cons_Region!$D$9,Cons_Region!$C$11,$M$1,$B13,$K$1)</f>
        <v>0</v>
      </c>
      <c r="L13" s="21">
        <f>_xll.DBRW($C$2,Cons_Region!$D$9,Cons_Region!$C$11,$M$1,$B13,$K$1)</f>
        <v>0</v>
      </c>
      <c r="M13" s="21">
        <f>_xll.DBRW($C$2,Cons_Region!$D$9,Cons_Region!$C$11,$M$1,$B13,$K$1)</f>
        <v>0</v>
      </c>
      <c r="N13" s="21">
        <f>_xll.DBRW($C$2,Cons_Region!$D$9,Cons_Region!$C$11,$M$1,$B13,$K$1)</f>
        <v>0</v>
      </c>
    </row>
    <row r="14" spans="2:14" s="1" customFormat="1" ht="15.75" customHeight="1" x14ac:dyDescent="0.25">
      <c r="B14" s="22" t="s">
        <v>2</v>
      </c>
      <c r="C14" s="21">
        <f>_xll.DBRW($C$2,Cons_Region!$D$9,Cons_Region!$C$11,$M$1,$B14,$K$1)</f>
        <v>0</v>
      </c>
      <c r="D14" s="21">
        <f>_xll.DBRW($C$2,Cons_Region!$D$9,Cons_Region!$C$11,$M$1,$B14,$K$1)</f>
        <v>0</v>
      </c>
      <c r="E14" s="21">
        <f>_xll.DBRW($C$2,Cons_Region!$D$9,Cons_Region!$C$11,$M$1,$B14,$K$1)</f>
        <v>0</v>
      </c>
      <c r="F14" s="21">
        <f>_xll.DBRW($C$2,Cons_Region!$D$9,Cons_Region!$C$11,$M$1,$B14,$K$1)</f>
        <v>0</v>
      </c>
      <c r="G14" s="21">
        <f>_xll.DBRW($C$2,Cons_Region!$D$9,Cons_Region!$C$11,$M$1,$B14,$K$1)</f>
        <v>0</v>
      </c>
      <c r="H14" s="21">
        <f>_xll.DBRW($C$2,Cons_Region!$D$9,Cons_Region!$C$11,$M$1,$B14,$K$1)</f>
        <v>0</v>
      </c>
      <c r="I14" s="21">
        <f>_xll.DBRW($C$2,Cons_Region!$D$9,Cons_Region!$C$11,$M$1,$B14,$K$1)</f>
        <v>0</v>
      </c>
      <c r="J14" s="21">
        <f>_xll.DBRW($C$2,Cons_Region!$D$9,Cons_Region!$C$11,$M$1,$B14,$K$1)</f>
        <v>0</v>
      </c>
      <c r="K14" s="21">
        <f>_xll.DBRW($C$2,Cons_Region!$D$9,Cons_Region!$C$11,$M$1,$B14,$K$1)</f>
        <v>0</v>
      </c>
      <c r="L14" s="21">
        <f>_xll.DBRW($C$2,Cons_Region!$D$9,Cons_Region!$C$11,$M$1,$B14,$K$1)</f>
        <v>0</v>
      </c>
      <c r="M14" s="21">
        <f>_xll.DBRW($C$2,Cons_Region!$D$9,Cons_Region!$C$11,$M$1,$B14,$K$1)</f>
        <v>0</v>
      </c>
      <c r="N14" s="21">
        <f>_xll.DBRW($C$2,Cons_Region!$D$9,Cons_Region!$C$11,$M$1,$B14,$K$1)</f>
        <v>0</v>
      </c>
    </row>
    <row r="15" spans="2:14" s="1" customFormat="1" ht="15.75" customHeight="1" x14ac:dyDescent="0.25">
      <c r="B15" s="22" t="s">
        <v>3</v>
      </c>
      <c r="C15" s="21">
        <f>_xll.DBRW($C$2,Cons_Region!$D$9,Cons_Region!$C$11,$M$1,$B15,$K$1)</f>
        <v>0</v>
      </c>
      <c r="D15" s="21">
        <f>_xll.DBRW($C$2,Cons_Region!$D$9,Cons_Region!$C$11,$M$1,$B15,$K$1)</f>
        <v>0</v>
      </c>
      <c r="E15" s="21">
        <f>_xll.DBRW($C$2,Cons_Region!$D$9,Cons_Region!$C$11,$M$1,$B15,$K$1)</f>
        <v>0</v>
      </c>
      <c r="F15" s="21">
        <f>_xll.DBRW($C$2,Cons_Region!$D$9,Cons_Region!$C$11,$M$1,$B15,$K$1)</f>
        <v>0</v>
      </c>
      <c r="G15" s="21">
        <f>_xll.DBRW($C$2,Cons_Region!$D$9,Cons_Region!$C$11,$M$1,$B15,$K$1)</f>
        <v>0</v>
      </c>
      <c r="H15" s="21">
        <f>_xll.DBRW($C$2,Cons_Region!$D$9,Cons_Region!$C$11,$M$1,$B15,$K$1)</f>
        <v>0</v>
      </c>
      <c r="I15" s="21">
        <f>_xll.DBRW($C$2,Cons_Region!$D$9,Cons_Region!$C$11,$M$1,$B15,$K$1)</f>
        <v>0</v>
      </c>
      <c r="J15" s="21">
        <f>_xll.DBRW($C$2,Cons_Region!$D$9,Cons_Region!$C$11,$M$1,$B15,$K$1)</f>
        <v>0</v>
      </c>
      <c r="K15" s="21">
        <f>_xll.DBRW($C$2,Cons_Region!$D$9,Cons_Region!$C$11,$M$1,$B15,$K$1)</f>
        <v>0</v>
      </c>
      <c r="L15" s="21">
        <f>_xll.DBRW($C$2,Cons_Region!$D$9,Cons_Region!$C$11,$M$1,$B15,$K$1)</f>
        <v>0</v>
      </c>
      <c r="M15" s="21">
        <f>_xll.DBRW($C$2,Cons_Region!$D$9,Cons_Region!$C$11,$M$1,$B15,$K$1)</f>
        <v>0</v>
      </c>
      <c r="N15" s="21">
        <f>_xll.DBRW($C$2,Cons_Region!$D$9,Cons_Region!$C$11,$M$1,$B15,$K$1)</f>
        <v>0</v>
      </c>
    </row>
    <row r="16" spans="2:14" s="1" customFormat="1" ht="15.75" customHeight="1" x14ac:dyDescent="0.25">
      <c r="B16" s="22" t="s">
        <v>4</v>
      </c>
      <c r="C16" s="21">
        <f>_xll.DBRW($C$2,Cons_Region!$D$9,Cons_Region!$C$11,$M$1,$B16,$K$1)</f>
        <v>0</v>
      </c>
      <c r="D16" s="21">
        <f>_xll.DBRW($C$2,Cons_Region!$D$9,Cons_Region!$C$11,$M$1,$B16,$K$1)</f>
        <v>0</v>
      </c>
      <c r="E16" s="21">
        <f>_xll.DBRW($C$2,Cons_Region!$D$9,Cons_Region!$C$11,$M$1,$B16,$K$1)</f>
        <v>0</v>
      </c>
      <c r="F16" s="21">
        <f>_xll.DBRW($C$2,Cons_Region!$D$9,Cons_Region!$C$11,$M$1,$B16,$K$1)</f>
        <v>0</v>
      </c>
      <c r="G16" s="21">
        <f>_xll.DBRW($C$2,Cons_Region!$D$9,Cons_Region!$C$11,$M$1,$B16,$K$1)</f>
        <v>0</v>
      </c>
      <c r="H16" s="21">
        <f>_xll.DBRW($C$2,Cons_Region!$D$9,Cons_Region!$C$11,$M$1,$B16,$K$1)</f>
        <v>0</v>
      </c>
      <c r="I16" s="21">
        <f>_xll.DBRW($C$2,Cons_Region!$D$9,Cons_Region!$C$11,$M$1,$B16,$K$1)</f>
        <v>0</v>
      </c>
      <c r="J16" s="21">
        <f>_xll.DBRW($C$2,Cons_Region!$D$9,Cons_Region!$C$11,$M$1,$B16,$K$1)</f>
        <v>0</v>
      </c>
      <c r="K16" s="21">
        <f>_xll.DBRW($C$2,Cons_Region!$D$9,Cons_Region!$C$11,$M$1,$B16,$K$1)</f>
        <v>0</v>
      </c>
      <c r="L16" s="21">
        <f>_xll.DBRW($C$2,Cons_Region!$D$9,Cons_Region!$C$11,$M$1,$B16,$K$1)</f>
        <v>0</v>
      </c>
      <c r="M16" s="21">
        <f>_xll.DBRW($C$2,Cons_Region!$D$9,Cons_Region!$C$11,$M$1,$B16,$K$1)</f>
        <v>0</v>
      </c>
      <c r="N16" s="21">
        <f>_xll.DBRW($C$2,Cons_Region!$D$9,Cons_Region!$C$11,$M$1,$B16,$K$1)</f>
        <v>0</v>
      </c>
    </row>
    <row r="17" spans="2:14" s="1" customFormat="1" ht="15.75" customHeight="1" x14ac:dyDescent="0.25">
      <c r="B17" s="22" t="s">
        <v>5</v>
      </c>
      <c r="C17" s="21">
        <f>_xll.DBRW($C$2,Cons_Region!$D$9,Cons_Region!$C$11,$M$1,$B17,$K$1)</f>
        <v>5</v>
      </c>
      <c r="D17" s="21">
        <f>_xll.DBRW($C$2,Cons_Region!$D$9,Cons_Region!$C$11,$M$1,$B17,$K$1)</f>
        <v>5</v>
      </c>
      <c r="E17" s="21">
        <f>_xll.DBRW($C$2,Cons_Region!$D$9,Cons_Region!$C$11,$M$1,$B17,$K$1)</f>
        <v>5</v>
      </c>
      <c r="F17" s="21">
        <f>_xll.DBRW($C$2,Cons_Region!$D$9,Cons_Region!$C$11,$M$1,$B17,$K$1)</f>
        <v>5</v>
      </c>
      <c r="G17" s="21">
        <f>_xll.DBRW($C$2,Cons_Region!$D$9,Cons_Region!$C$11,$M$1,$B17,$K$1)</f>
        <v>5</v>
      </c>
      <c r="H17" s="21">
        <f>_xll.DBRW($C$2,Cons_Region!$D$9,Cons_Region!$C$11,$M$1,$B17,$K$1)</f>
        <v>5</v>
      </c>
      <c r="I17" s="21">
        <f>_xll.DBRW($C$2,Cons_Region!$D$9,Cons_Region!$C$11,$M$1,$B17,$K$1)</f>
        <v>5</v>
      </c>
      <c r="J17" s="21">
        <f>_xll.DBRW($C$2,Cons_Region!$D$9,Cons_Region!$C$11,$M$1,$B17,$K$1)</f>
        <v>5</v>
      </c>
      <c r="K17" s="21">
        <f>_xll.DBRW($C$2,Cons_Region!$D$9,Cons_Region!$C$11,$M$1,$B17,$K$1)</f>
        <v>5</v>
      </c>
      <c r="L17" s="21">
        <f>_xll.DBRW($C$2,Cons_Region!$D$9,Cons_Region!$C$11,$M$1,$B17,$K$1)</f>
        <v>5</v>
      </c>
      <c r="M17" s="21">
        <f>_xll.DBRW($C$2,Cons_Region!$D$9,Cons_Region!$C$11,$M$1,$B17,$K$1)</f>
        <v>5</v>
      </c>
      <c r="N17" s="21">
        <f>_xll.DBRW($C$2,Cons_Region!$D$9,Cons_Region!$C$11,$M$1,$B17,$K$1)</f>
        <v>5</v>
      </c>
    </row>
    <row r="18" spans="2:14" s="1" customFormat="1" ht="15.75" customHeight="1" x14ac:dyDescent="0.25">
      <c r="B18" s="22" t="s">
        <v>6</v>
      </c>
      <c r="C18" s="21">
        <f>_xll.DBRW($C$2,Cons_Region!$D$9,Cons_Region!$C$11,$M$1,$B18,$K$1)</f>
        <v>0</v>
      </c>
      <c r="D18" s="21">
        <f>_xll.DBRW($C$2,Cons_Region!$D$9,Cons_Region!$C$11,$M$1,$B18,$K$1)</f>
        <v>0</v>
      </c>
      <c r="E18" s="21">
        <f>_xll.DBRW($C$2,Cons_Region!$D$9,Cons_Region!$C$11,$M$1,$B18,$K$1)</f>
        <v>0</v>
      </c>
      <c r="F18" s="21">
        <f>_xll.DBRW($C$2,Cons_Region!$D$9,Cons_Region!$C$11,$M$1,$B18,$K$1)</f>
        <v>0</v>
      </c>
      <c r="G18" s="21">
        <f>_xll.DBRW($C$2,Cons_Region!$D$9,Cons_Region!$C$11,$M$1,$B18,$K$1)</f>
        <v>0</v>
      </c>
      <c r="H18" s="21">
        <f>_xll.DBRW($C$2,Cons_Region!$D$9,Cons_Region!$C$11,$M$1,$B18,$K$1)</f>
        <v>0</v>
      </c>
      <c r="I18" s="21">
        <f>_xll.DBRW($C$2,Cons_Region!$D$9,Cons_Region!$C$11,$M$1,$B18,$K$1)</f>
        <v>0</v>
      </c>
      <c r="J18" s="21">
        <f>_xll.DBRW($C$2,Cons_Region!$D$9,Cons_Region!$C$11,$M$1,$B18,$K$1)</f>
        <v>0</v>
      </c>
      <c r="K18" s="21">
        <f>_xll.DBRW($C$2,Cons_Region!$D$9,Cons_Region!$C$11,$M$1,$B18,$K$1)</f>
        <v>0</v>
      </c>
      <c r="L18" s="21">
        <f>_xll.DBRW($C$2,Cons_Region!$D$9,Cons_Region!$C$11,$M$1,$B18,$K$1)</f>
        <v>0</v>
      </c>
      <c r="M18" s="21">
        <f>_xll.DBRW($C$2,Cons_Region!$D$9,Cons_Region!$C$11,$M$1,$B18,$K$1)</f>
        <v>0</v>
      </c>
      <c r="N18" s="21">
        <f>_xll.DBRW($C$2,Cons_Region!$D$9,Cons_Region!$C$11,$M$1,$B18,$K$1)</f>
        <v>0</v>
      </c>
    </row>
    <row r="19" spans="2:14" s="1" customFormat="1" ht="15.75" customHeight="1" x14ac:dyDescent="0.25">
      <c r="B19" s="22" t="s">
        <v>7</v>
      </c>
      <c r="C19" s="21">
        <f>_xll.DBRW($C$2,Cons_Region!$D$9,Cons_Region!$C$11,$M$1,$B19,$K$1)</f>
        <v>0</v>
      </c>
      <c r="D19" s="21">
        <f>_xll.DBRW($C$2,Cons_Region!$D$9,Cons_Region!$C$11,$M$1,$B19,$K$1)</f>
        <v>0</v>
      </c>
      <c r="E19" s="21">
        <f>_xll.DBRW($C$2,Cons_Region!$D$9,Cons_Region!$C$11,$M$1,$B19,$K$1)</f>
        <v>0</v>
      </c>
      <c r="F19" s="21">
        <f>_xll.DBRW($C$2,Cons_Region!$D$9,Cons_Region!$C$11,$M$1,$B19,$K$1)</f>
        <v>0</v>
      </c>
      <c r="G19" s="21">
        <f>_xll.DBRW($C$2,Cons_Region!$D$9,Cons_Region!$C$11,$M$1,$B19,$K$1)</f>
        <v>0</v>
      </c>
      <c r="H19" s="21">
        <f>_xll.DBRW($C$2,Cons_Region!$D$9,Cons_Region!$C$11,$M$1,$B19,$K$1)</f>
        <v>0</v>
      </c>
      <c r="I19" s="21">
        <f>_xll.DBRW($C$2,Cons_Region!$D$9,Cons_Region!$C$11,$M$1,$B19,$K$1)</f>
        <v>0</v>
      </c>
      <c r="J19" s="21">
        <f>_xll.DBRW($C$2,Cons_Region!$D$9,Cons_Region!$C$11,$M$1,$B19,$K$1)</f>
        <v>0</v>
      </c>
      <c r="K19" s="21">
        <f>_xll.DBRW($C$2,Cons_Region!$D$9,Cons_Region!$C$11,$M$1,$B19,$K$1)</f>
        <v>0</v>
      </c>
      <c r="L19" s="21">
        <f>_xll.DBRW($C$2,Cons_Region!$D$9,Cons_Region!$C$11,$M$1,$B19,$K$1)</f>
        <v>0</v>
      </c>
      <c r="M19" s="21">
        <f>_xll.DBRW($C$2,Cons_Region!$D$9,Cons_Region!$C$11,$M$1,$B19,$K$1)</f>
        <v>0</v>
      </c>
      <c r="N19" s="21">
        <f>_xll.DBRW($C$2,Cons_Region!$D$9,Cons_Region!$C$11,$M$1,$B19,$K$1)</f>
        <v>0</v>
      </c>
    </row>
    <row r="20" spans="2:14" s="1" customFormat="1" ht="15.75" customHeight="1" x14ac:dyDescent="0.25">
      <c r="B20" s="22" t="s">
        <v>8</v>
      </c>
      <c r="C20" s="21">
        <f>_xll.DBRW($C$2,Cons_Region!$D$9,Cons_Region!$C$11,$M$1,$B20,$K$1)</f>
        <v>0</v>
      </c>
      <c r="D20" s="21">
        <f>_xll.DBRW($C$2,Cons_Region!$D$9,Cons_Region!$C$11,$M$1,$B20,$K$1)</f>
        <v>0</v>
      </c>
      <c r="E20" s="21">
        <f>_xll.DBRW($C$2,Cons_Region!$D$9,Cons_Region!$C$11,$M$1,$B20,$K$1)</f>
        <v>0</v>
      </c>
      <c r="F20" s="21">
        <f>_xll.DBRW($C$2,Cons_Region!$D$9,Cons_Region!$C$11,$M$1,$B20,$K$1)</f>
        <v>0</v>
      </c>
      <c r="G20" s="21">
        <f>_xll.DBRW($C$2,Cons_Region!$D$9,Cons_Region!$C$11,$M$1,$B20,$K$1)</f>
        <v>0</v>
      </c>
      <c r="H20" s="21">
        <f>_xll.DBRW($C$2,Cons_Region!$D$9,Cons_Region!$C$11,$M$1,$B20,$K$1)</f>
        <v>0</v>
      </c>
      <c r="I20" s="21">
        <f>_xll.DBRW($C$2,Cons_Region!$D$9,Cons_Region!$C$11,$M$1,$B20,$K$1)</f>
        <v>0</v>
      </c>
      <c r="J20" s="21">
        <f>_xll.DBRW($C$2,Cons_Region!$D$9,Cons_Region!$C$11,$M$1,$B20,$K$1)</f>
        <v>0</v>
      </c>
      <c r="K20" s="21">
        <f>_xll.DBRW($C$2,Cons_Region!$D$9,Cons_Region!$C$11,$M$1,$B20,$K$1)</f>
        <v>0</v>
      </c>
      <c r="L20" s="21">
        <f>_xll.DBRW($C$2,Cons_Region!$D$9,Cons_Region!$C$11,$M$1,$B20,$K$1)</f>
        <v>0</v>
      </c>
      <c r="M20" s="21">
        <f>_xll.DBRW($C$2,Cons_Region!$D$9,Cons_Region!$C$11,$M$1,$B20,$K$1)</f>
        <v>0</v>
      </c>
      <c r="N20" s="21">
        <f>_xll.DBRW($C$2,Cons_Region!$D$9,Cons_Region!$C$11,$M$1,$B20,$K$1)</f>
        <v>0</v>
      </c>
    </row>
    <row r="21" spans="2:14" s="1" customFormat="1" ht="15.75" customHeight="1" x14ac:dyDescent="0.25">
      <c r="B21" s="22" t="s">
        <v>9</v>
      </c>
      <c r="C21" s="21">
        <f>_xll.DBRW($C$2,Cons_Region!$D$9,Cons_Region!$C$11,$M$1,$B21,$K$1)</f>
        <v>0</v>
      </c>
      <c r="D21" s="21">
        <f>_xll.DBRW($C$2,Cons_Region!$D$9,Cons_Region!$C$11,$M$1,$B21,$K$1)</f>
        <v>0</v>
      </c>
      <c r="E21" s="21">
        <f>_xll.DBRW($C$2,Cons_Region!$D$9,Cons_Region!$C$11,$M$1,$B21,$K$1)</f>
        <v>0</v>
      </c>
      <c r="F21" s="21">
        <f>_xll.DBRW($C$2,Cons_Region!$D$9,Cons_Region!$C$11,$M$1,$B21,$K$1)</f>
        <v>0</v>
      </c>
      <c r="G21" s="21">
        <f>_xll.DBRW($C$2,Cons_Region!$D$9,Cons_Region!$C$11,$M$1,$B21,$K$1)</f>
        <v>0</v>
      </c>
      <c r="H21" s="21">
        <f>_xll.DBRW($C$2,Cons_Region!$D$9,Cons_Region!$C$11,$M$1,$B21,$K$1)</f>
        <v>0</v>
      </c>
      <c r="I21" s="21">
        <f>_xll.DBRW($C$2,Cons_Region!$D$9,Cons_Region!$C$11,$M$1,$B21,$K$1)</f>
        <v>0</v>
      </c>
      <c r="J21" s="21">
        <f>_xll.DBRW($C$2,Cons_Region!$D$9,Cons_Region!$C$11,$M$1,$B21,$K$1)</f>
        <v>0</v>
      </c>
      <c r="K21" s="21">
        <f>_xll.DBRW($C$2,Cons_Region!$D$9,Cons_Region!$C$11,$M$1,$B21,$K$1)</f>
        <v>0</v>
      </c>
      <c r="L21" s="21">
        <f>_xll.DBRW($C$2,Cons_Region!$D$9,Cons_Region!$C$11,$M$1,$B21,$K$1)</f>
        <v>0</v>
      </c>
      <c r="M21" s="21">
        <f>_xll.DBRW($C$2,Cons_Region!$D$9,Cons_Region!$C$11,$M$1,$B21,$K$1)</f>
        <v>0</v>
      </c>
      <c r="N21" s="21">
        <f>_xll.DBRW($C$2,Cons_Region!$D$9,Cons_Region!$C$11,$M$1,$B21,$K$1)</f>
        <v>0</v>
      </c>
    </row>
    <row r="22" spans="2:14" s="1" customFormat="1" ht="15.75" customHeight="1" x14ac:dyDescent="0.25">
      <c r="B22" s="22" t="s">
        <v>10</v>
      </c>
      <c r="C22" s="21">
        <f>_xll.DBRW($C$2,Cons_Region!$D$9,Cons_Region!$C$11,$M$1,$B22,$K$1)</f>
        <v>0</v>
      </c>
      <c r="D22" s="21">
        <f>_xll.DBRW($C$2,Cons_Region!$D$9,Cons_Region!$C$11,$M$1,$B22,$K$1)</f>
        <v>0</v>
      </c>
      <c r="E22" s="21">
        <f>_xll.DBRW($C$2,Cons_Region!$D$9,Cons_Region!$C$11,$M$1,$B22,$K$1)</f>
        <v>0</v>
      </c>
      <c r="F22" s="21">
        <f>_xll.DBRW($C$2,Cons_Region!$D$9,Cons_Region!$C$11,$M$1,$B22,$K$1)</f>
        <v>0</v>
      </c>
      <c r="G22" s="21">
        <f>_xll.DBRW($C$2,Cons_Region!$D$9,Cons_Region!$C$11,$M$1,$B22,$K$1)</f>
        <v>0</v>
      </c>
      <c r="H22" s="21">
        <f>_xll.DBRW($C$2,Cons_Region!$D$9,Cons_Region!$C$11,$M$1,$B22,$K$1)</f>
        <v>0</v>
      </c>
      <c r="I22" s="21">
        <f>_xll.DBRW($C$2,Cons_Region!$D$9,Cons_Region!$C$11,$M$1,$B22,$K$1)</f>
        <v>0</v>
      </c>
      <c r="J22" s="21">
        <f>_xll.DBRW($C$2,Cons_Region!$D$9,Cons_Region!$C$11,$M$1,$B22,$K$1)</f>
        <v>0</v>
      </c>
      <c r="K22" s="21">
        <f>_xll.DBRW($C$2,Cons_Region!$D$9,Cons_Region!$C$11,$M$1,$B22,$K$1)</f>
        <v>0</v>
      </c>
      <c r="L22" s="21">
        <f>_xll.DBRW($C$2,Cons_Region!$D$9,Cons_Region!$C$11,$M$1,$B22,$K$1)</f>
        <v>0</v>
      </c>
      <c r="M22" s="21">
        <f>_xll.DBRW($C$2,Cons_Region!$D$9,Cons_Region!$C$11,$M$1,$B22,$K$1)</f>
        <v>0</v>
      </c>
      <c r="N22" s="21">
        <f>_xll.DBRW($C$2,Cons_Region!$D$9,Cons_Region!$C$11,$M$1,$B22,$K$1)</f>
        <v>0</v>
      </c>
    </row>
    <row r="23" spans="2:14" s="1" customFormat="1" ht="15.75" customHeight="1" x14ac:dyDescent="0.25">
      <c r="B23" s="22" t="s">
        <v>11</v>
      </c>
      <c r="C23" s="21">
        <f>_xll.DBRW($C$2,Cons_Region!$D$9,Cons_Region!$C$11,$M$1,$B23,$K$1)</f>
        <v>0</v>
      </c>
      <c r="D23" s="21">
        <f>_xll.DBRW($C$2,Cons_Region!$D$9,Cons_Region!$C$11,$M$1,$B23,$K$1)</f>
        <v>0</v>
      </c>
      <c r="E23" s="21">
        <f>_xll.DBRW($C$2,Cons_Region!$D$9,Cons_Region!$C$11,$M$1,$B23,$K$1)</f>
        <v>0</v>
      </c>
      <c r="F23" s="21">
        <f>_xll.DBRW($C$2,Cons_Region!$D$9,Cons_Region!$C$11,$M$1,$B23,$K$1)</f>
        <v>0</v>
      </c>
      <c r="G23" s="21">
        <f>_xll.DBRW($C$2,Cons_Region!$D$9,Cons_Region!$C$11,$M$1,$B23,$K$1)</f>
        <v>0</v>
      </c>
      <c r="H23" s="21">
        <f>_xll.DBRW($C$2,Cons_Region!$D$9,Cons_Region!$C$11,$M$1,$B23,$K$1)</f>
        <v>0</v>
      </c>
      <c r="I23" s="21">
        <f>_xll.DBRW($C$2,Cons_Region!$D$9,Cons_Region!$C$11,$M$1,$B23,$K$1)</f>
        <v>0</v>
      </c>
      <c r="J23" s="21">
        <f>_xll.DBRW($C$2,Cons_Region!$D$9,Cons_Region!$C$11,$M$1,$B23,$K$1)</f>
        <v>0</v>
      </c>
      <c r="K23" s="21">
        <f>_xll.DBRW($C$2,Cons_Region!$D$9,Cons_Region!$C$11,$M$1,$B23,$K$1)</f>
        <v>0</v>
      </c>
      <c r="L23" s="21">
        <f>_xll.DBRW($C$2,Cons_Region!$D$9,Cons_Region!$C$11,$M$1,$B23,$K$1)</f>
        <v>0</v>
      </c>
      <c r="M23" s="21">
        <f>_xll.DBRW($C$2,Cons_Region!$D$9,Cons_Region!$C$11,$M$1,$B23,$K$1)</f>
        <v>0</v>
      </c>
      <c r="N23" s="21">
        <f>_xll.DBRW($C$2,Cons_Region!$D$9,Cons_Region!$C$11,$M$1,$B23,$K$1)</f>
        <v>0</v>
      </c>
    </row>
    <row r="24" spans="2:14" s="1" customFormat="1" ht="15.75" customHeight="1" x14ac:dyDescent="0.25">
      <c r="B24" s="22" t="s">
        <v>12</v>
      </c>
      <c r="C24" s="21">
        <f>_xll.DBRW($C$2,Cons_Region!$D$9,Cons_Region!$C$11,$M$1,$B24,$K$1)</f>
        <v>0</v>
      </c>
      <c r="D24" s="21">
        <f>_xll.DBRW($C$2,Cons_Region!$D$9,Cons_Region!$C$11,$M$1,$B24,$K$1)</f>
        <v>0</v>
      </c>
      <c r="E24" s="21">
        <f>_xll.DBRW($C$2,Cons_Region!$D$9,Cons_Region!$C$11,$M$1,$B24,$K$1)</f>
        <v>0</v>
      </c>
      <c r="F24" s="21">
        <f>_xll.DBRW($C$2,Cons_Region!$D$9,Cons_Region!$C$11,$M$1,$B24,$K$1)</f>
        <v>0</v>
      </c>
      <c r="G24" s="21">
        <f>_xll.DBRW($C$2,Cons_Region!$D$9,Cons_Region!$C$11,$M$1,$B24,$K$1)</f>
        <v>0</v>
      </c>
      <c r="H24" s="21">
        <f>_xll.DBRW($C$2,Cons_Region!$D$9,Cons_Region!$C$11,$M$1,$B24,$K$1)</f>
        <v>0</v>
      </c>
      <c r="I24" s="21">
        <f>_xll.DBRW($C$2,Cons_Region!$D$9,Cons_Region!$C$11,$M$1,$B24,$K$1)</f>
        <v>0</v>
      </c>
      <c r="J24" s="21">
        <f>_xll.DBRW($C$2,Cons_Region!$D$9,Cons_Region!$C$11,$M$1,$B24,$K$1)</f>
        <v>0</v>
      </c>
      <c r="K24" s="21">
        <f>_xll.DBRW($C$2,Cons_Region!$D$9,Cons_Region!$C$11,$M$1,$B24,$K$1)</f>
        <v>0</v>
      </c>
      <c r="L24" s="21">
        <f>_xll.DBRW($C$2,Cons_Region!$D$9,Cons_Region!$C$11,$M$1,$B24,$K$1)</f>
        <v>0</v>
      </c>
      <c r="M24" s="21">
        <f>_xll.DBRW($C$2,Cons_Region!$D$9,Cons_Region!$C$11,$M$1,$B24,$K$1)</f>
        <v>0</v>
      </c>
      <c r="N24" s="21">
        <f>_xll.DBRW($C$2,Cons_Region!$D$9,Cons_Region!$C$11,$M$1,$B24,$K$1)</f>
        <v>0</v>
      </c>
    </row>
    <row r="25" spans="2:14" s="1" customFormat="1" ht="15.75" customHeight="1" x14ac:dyDescent="0.25">
      <c r="B25" s="22" t="s">
        <v>13</v>
      </c>
      <c r="C25" s="21">
        <f>_xll.DBRW($C$2,Cons_Region!$D$9,Cons_Region!$C$11,$M$1,$B25,$K$1)</f>
        <v>0</v>
      </c>
      <c r="D25" s="21">
        <f>_xll.DBRW($C$2,Cons_Region!$D$9,Cons_Region!$C$11,$M$1,$B25,$K$1)</f>
        <v>0</v>
      </c>
      <c r="E25" s="21">
        <f>_xll.DBRW($C$2,Cons_Region!$D$9,Cons_Region!$C$11,$M$1,$B25,$K$1)</f>
        <v>0</v>
      </c>
      <c r="F25" s="21">
        <f>_xll.DBRW($C$2,Cons_Region!$D$9,Cons_Region!$C$11,$M$1,$B25,$K$1)</f>
        <v>0</v>
      </c>
      <c r="G25" s="21">
        <f>_xll.DBRW($C$2,Cons_Region!$D$9,Cons_Region!$C$11,$M$1,$B25,$K$1)</f>
        <v>0</v>
      </c>
      <c r="H25" s="21">
        <f>_xll.DBRW($C$2,Cons_Region!$D$9,Cons_Region!$C$11,$M$1,$B25,$K$1)</f>
        <v>0</v>
      </c>
      <c r="I25" s="21">
        <f>_xll.DBRW($C$2,Cons_Region!$D$9,Cons_Region!$C$11,$M$1,$B25,$K$1)</f>
        <v>0</v>
      </c>
      <c r="J25" s="21">
        <f>_xll.DBRW($C$2,Cons_Region!$D$9,Cons_Region!$C$11,$M$1,$B25,$K$1)</f>
        <v>0</v>
      </c>
      <c r="K25" s="21">
        <f>_xll.DBRW($C$2,Cons_Region!$D$9,Cons_Region!$C$11,$M$1,$B25,$K$1)</f>
        <v>0</v>
      </c>
      <c r="L25" s="21">
        <f>_xll.DBRW($C$2,Cons_Region!$D$9,Cons_Region!$C$11,$M$1,$B25,$K$1)</f>
        <v>0</v>
      </c>
      <c r="M25" s="21">
        <f>_xll.DBRW($C$2,Cons_Region!$D$9,Cons_Region!$C$11,$M$1,$B25,$K$1)</f>
        <v>0</v>
      </c>
      <c r="N25" s="21">
        <f>_xll.DBRW($C$2,Cons_Region!$D$9,Cons_Region!$C$11,$M$1,$B25,$K$1)</f>
        <v>0</v>
      </c>
    </row>
    <row r="26" spans="2:14" s="1" customFormat="1" ht="15.75" customHeight="1" x14ac:dyDescent="0.25">
      <c r="B26" s="22" t="s">
        <v>14</v>
      </c>
      <c r="C26" s="21">
        <f>_xll.DBRW($C$2,Cons_Region!$D$9,Cons_Region!$C$11,$M$1,$B26,$K$1)</f>
        <v>0</v>
      </c>
      <c r="D26" s="21">
        <f>_xll.DBRW($C$2,Cons_Region!$D$9,Cons_Region!$C$11,$M$1,$B26,$K$1)</f>
        <v>0</v>
      </c>
      <c r="E26" s="21">
        <f>_xll.DBRW($C$2,Cons_Region!$D$9,Cons_Region!$C$11,$M$1,$B26,$K$1)</f>
        <v>0</v>
      </c>
      <c r="F26" s="21">
        <f>_xll.DBRW($C$2,Cons_Region!$D$9,Cons_Region!$C$11,$M$1,$B26,$K$1)</f>
        <v>0</v>
      </c>
      <c r="G26" s="21">
        <f>_xll.DBRW($C$2,Cons_Region!$D$9,Cons_Region!$C$11,$M$1,$B26,$K$1)</f>
        <v>0</v>
      </c>
      <c r="H26" s="21">
        <f>_xll.DBRW($C$2,Cons_Region!$D$9,Cons_Region!$C$11,$M$1,$B26,$K$1)</f>
        <v>0</v>
      </c>
      <c r="I26" s="21">
        <f>_xll.DBRW($C$2,Cons_Region!$D$9,Cons_Region!$C$11,$M$1,$B26,$K$1)</f>
        <v>0</v>
      </c>
      <c r="J26" s="21">
        <f>_xll.DBRW($C$2,Cons_Region!$D$9,Cons_Region!$C$11,$M$1,$B26,$K$1)</f>
        <v>0</v>
      </c>
      <c r="K26" s="21">
        <f>_xll.DBRW($C$2,Cons_Region!$D$9,Cons_Region!$C$11,$M$1,$B26,$K$1)</f>
        <v>0</v>
      </c>
      <c r="L26" s="21">
        <f>_xll.DBRW($C$2,Cons_Region!$D$9,Cons_Region!$C$11,$M$1,$B26,$K$1)</f>
        <v>0</v>
      </c>
      <c r="M26" s="21">
        <f>_xll.DBRW($C$2,Cons_Region!$D$9,Cons_Region!$C$11,$M$1,$B26,$K$1)</f>
        <v>0</v>
      </c>
      <c r="N26" s="21">
        <f>_xll.DBRW($C$2,Cons_Region!$D$9,Cons_Region!$C$11,$M$1,$B26,$K$1)</f>
        <v>0</v>
      </c>
    </row>
    <row r="27" spans="2:14" s="1" customFormat="1" ht="15.75" customHeight="1" x14ac:dyDescent="0.25">
      <c r="B27" s="22" t="s">
        <v>15</v>
      </c>
      <c r="C27" s="21">
        <f>_xll.DBRW($C$2,Cons_Region!$D$9,C$11,$M$1,$B27,$K$1)</f>
        <v>31</v>
      </c>
      <c r="D27" s="21">
        <f>_xll.DBRW($C$2,Cons_Region!$D$9,D$11,$M$1,$B27,$K$1)</f>
        <v>30</v>
      </c>
      <c r="E27" s="21">
        <f>_xll.DBRW($C$2,Cons_Region!$D$9,E$11,$M$1,$B27,$K$1)</f>
        <v>31</v>
      </c>
      <c r="F27" s="21">
        <f>_xll.DBRW($C$2,Cons_Region!$D$9,F$11,$M$1,$B27,$K$1)</f>
        <v>30</v>
      </c>
      <c r="G27" s="21">
        <f>_xll.DBRW($C$2,Cons_Region!$D$9,G$11,$M$1,$B27,$K$1)</f>
        <v>31</v>
      </c>
      <c r="H27" s="21">
        <f>_xll.DBRW($C$2,Cons_Region!$D$9,H$11,$M$1,$B27,$K$1)</f>
        <v>31</v>
      </c>
      <c r="I27" s="21">
        <f>_xll.DBRW($C$2,Cons_Region!$D$9,I$11,$M$1,$B27,$K$1)</f>
        <v>30</v>
      </c>
      <c r="J27" s="21">
        <f>_xll.DBRW($C$2,Cons_Region!$D$9,J$11,$M$1,$B27,$K$1)</f>
        <v>31</v>
      </c>
      <c r="K27" s="21">
        <f>_xll.DBRW($C$2,Cons_Region!$D$9,K$11,$M$1,$B27,$K$1)</f>
        <v>30</v>
      </c>
      <c r="L27" s="21">
        <f>_xll.DBRW($C$2,Cons_Region!$D$9,L$11,$M$1,$B27,$K$1)</f>
        <v>31</v>
      </c>
      <c r="M27" s="21">
        <f>_xll.DBRW($C$2,Cons_Region!$D$9,M$11,$M$1,$B27,$K$1)</f>
        <v>0</v>
      </c>
      <c r="N27" s="21">
        <f>_xll.DBRW($C$2,Cons_Region!$D$9,N$11,$M$1,$B27,$K$1)</f>
        <v>0</v>
      </c>
    </row>
    <row r="29" spans="2:14" s="1" customFormat="1" ht="15.75" customHeight="1" thickBot="1" x14ac:dyDescent="0.3">
      <c r="B29" s="10"/>
    </row>
    <row r="30" spans="2:14" s="1" customFormat="1" ht="15.75" customHeight="1" thickTop="1" x14ac:dyDescent="0.25">
      <c r="B30" s="9" t="s">
        <v>64</v>
      </c>
    </row>
    <row r="31" spans="2:14" s="1" customFormat="1" ht="15.75" customHeight="1" x14ac:dyDescent="0.25">
      <c r="B31" s="9"/>
    </row>
    <row r="33" spans="2:14" s="1" customFormat="1" ht="15.75" customHeight="1" x14ac:dyDescent="0.25">
      <c r="B33" s="5"/>
      <c r="C33" s="18" t="str">
        <f>$D$9&amp;"."&amp;C11</f>
        <v>2026.01</v>
      </c>
      <c r="D33" s="18" t="str">
        <f t="shared" ref="D33:N33" si="1">$D$9&amp;"."&amp;D11</f>
        <v>2026.02</v>
      </c>
      <c r="E33" s="18" t="str">
        <f t="shared" si="1"/>
        <v>2026.03</v>
      </c>
      <c r="F33" s="18" t="str">
        <f t="shared" si="1"/>
        <v>2026.04</v>
      </c>
      <c r="G33" s="18" t="str">
        <f t="shared" si="1"/>
        <v>2026.05</v>
      </c>
      <c r="H33" s="18" t="str">
        <f t="shared" si="1"/>
        <v>2026.06</v>
      </c>
      <c r="I33" s="18" t="str">
        <f t="shared" si="1"/>
        <v>2026.07</v>
      </c>
      <c r="J33" s="18" t="str">
        <f t="shared" si="1"/>
        <v>2026.08</v>
      </c>
      <c r="K33" s="18" t="str">
        <f t="shared" si="1"/>
        <v>2026.09</v>
      </c>
      <c r="L33" s="18" t="str">
        <f t="shared" si="1"/>
        <v>2026.10</v>
      </c>
      <c r="M33" s="18" t="str">
        <f t="shared" si="1"/>
        <v>2026.11</v>
      </c>
      <c r="N33" s="18" t="str">
        <f t="shared" si="1"/>
        <v>2026.12</v>
      </c>
    </row>
    <row r="34" spans="2:14" s="1" customFormat="1" ht="15.75" customHeight="1" x14ac:dyDescent="0.25">
      <c r="B34" s="22" t="s">
        <v>61</v>
      </c>
      <c r="C34" s="30">
        <f>_xll.DBRW($B$2,Cons_Region!$D$9,Cons_Region!C$11,$M$1,Cons_Region!$G$9,Cons_Region!$J$9,$N$2,$K$2,$B$34)</f>
        <v>0</v>
      </c>
      <c r="D34" s="30">
        <f>_xll.DBRW($B$2,Cons_Region!$D$9,Cons_Region!D$11,$M$1,Cons_Region!$G$9,Cons_Region!$J$9,$N$2,$K$2,$B$34)</f>
        <v>0</v>
      </c>
      <c r="E34" s="30">
        <f>_xll.DBRW($B$2,Cons_Region!$D$9,Cons_Region!E$11,$M$1,Cons_Region!$G$9,Cons_Region!$J$9,$N$2,$K$2,$B$34)</f>
        <v>0</v>
      </c>
      <c r="F34" s="30">
        <f>_xll.DBRW($B$2,Cons_Region!$D$9,Cons_Region!F$11,$M$1,Cons_Region!$G$9,Cons_Region!$J$9,$N$2,$K$2,$B$34)</f>
        <v>0</v>
      </c>
      <c r="G34" s="30">
        <f>_xll.DBRW($B$2,Cons_Region!$D$9,Cons_Region!G$11,$M$1,Cons_Region!$G$9,Cons_Region!$J$9,$N$2,$K$2,$B$34)</f>
        <v>0</v>
      </c>
      <c r="H34" s="30">
        <f>_xll.DBRW($B$2,Cons_Region!$D$9,Cons_Region!H$11,$M$1,Cons_Region!$G$9,Cons_Region!$J$9,$N$2,$K$2,$B$34)</f>
        <v>0</v>
      </c>
      <c r="I34" s="30">
        <f>_xll.DBRW($B$2,Cons_Region!$D$9,Cons_Region!I$11,$M$1,Cons_Region!$G$9,Cons_Region!$J$9,$N$2,$K$2,$B$34)</f>
        <v>0</v>
      </c>
      <c r="J34" s="30">
        <f>_xll.DBRW($B$2,Cons_Region!$D$9,Cons_Region!J$11,$M$1,Cons_Region!$G$9,Cons_Region!$J$9,$N$2,$K$2,$B$34)</f>
        <v>0</v>
      </c>
      <c r="K34" s="30">
        <f>_xll.DBRW($B$2,Cons_Region!$D$9,Cons_Region!K$11,$M$1,Cons_Region!$G$9,Cons_Region!$J$9,$N$2,$K$2,$B$34)</f>
        <v>0</v>
      </c>
      <c r="L34" s="30">
        <f>_xll.DBRW($B$2,Cons_Region!$D$9,Cons_Region!L$11,$M$1,Cons_Region!$G$9,Cons_Region!$J$9,$N$2,$K$2,$B$34)</f>
        <v>0</v>
      </c>
      <c r="M34" s="30">
        <f>_xll.DBRW($B$2,Cons_Region!$D$9,Cons_Region!M$11,$M$1,Cons_Region!$G$9,Cons_Region!$J$9,$N$2,$K$2,$B$34)</f>
        <v>0</v>
      </c>
      <c r="N34" s="30">
        <f>_xll.DBRW($B$2,Cons_Region!$D$9,Cons_Region!N$11,$M$1,Cons_Region!$G$9,Cons_Region!$J$9,$N$2,$K$2,$B$34)</f>
        <v>0</v>
      </c>
    </row>
    <row r="35" spans="2:14" s="1" customFormat="1" ht="15.75" customHeight="1" x14ac:dyDescent="0.25">
      <c r="B35" s="20" t="s">
        <v>18</v>
      </c>
      <c r="C35" s="21">
        <f>_xll.DBRW($B$2,Cons_Region!$D$9,Cons_Region!C$11,$M$1,Cons_Region!$G$9,Cons_Region!$J$9,$N$2,$K$2,$B$35)</f>
        <v>53.485062913702521</v>
      </c>
      <c r="D35" s="21">
        <f>_xll.DBRW($B$2,Cons_Region!$D$9,Cons_Region!D$11,$M$1,Cons_Region!$G$9,Cons_Region!$J$9,$N$2,$K$2,$B$35)</f>
        <v>65.839564210294029</v>
      </c>
      <c r="E35" s="21">
        <f>_xll.DBRW($B$2,Cons_Region!$D$9,Cons_Region!E$11,$M$1,Cons_Region!$G$9,Cons_Region!$J$9,$N$2,$K$2,$B$35)</f>
        <v>90.971338848275309</v>
      </c>
      <c r="F35" s="21">
        <f>_xll.DBRW($B$2,Cons_Region!$D$9,Cons_Region!F$11,$M$1,Cons_Region!$G$9,Cons_Region!$J$9,$N$2,$K$2,$B$35)</f>
        <v>130.4288683291864</v>
      </c>
      <c r="G35" s="21">
        <f>_xll.DBRW($B$2,Cons_Region!$D$9,Cons_Region!G$11,$M$1,Cons_Region!$G$9,Cons_Region!$J$9,$N$2,$K$2,$B$35)</f>
        <v>157.25990487035028</v>
      </c>
      <c r="H35" s="21">
        <f>_xll.DBRW($B$2,Cons_Region!$D$9,Cons_Region!H$11,$M$1,Cons_Region!$G$9,Cons_Region!$J$9,$N$2,$K$2,$B$35)</f>
        <v>174.7150079567499</v>
      </c>
      <c r="I35" s="21">
        <f>_xll.DBRW($B$2,Cons_Region!$D$9,Cons_Region!I$11,$M$1,Cons_Region!$G$9,Cons_Region!$J$9,$N$2,$K$2,$B$35)</f>
        <v>176.77008635227327</v>
      </c>
      <c r="J35" s="21">
        <f>_xll.DBRW($B$2,Cons_Region!$D$9,Cons_Region!J$11,$M$1,Cons_Region!$G$9,Cons_Region!$J$9,$N$2,$K$2,$B$35)</f>
        <v>177.59375024929494</v>
      </c>
      <c r="K35" s="21">
        <f>_xll.DBRW($B$2,Cons_Region!$D$9,Cons_Region!K$11,$M$1,Cons_Region!$G$9,Cons_Region!$J$9,$N$2,$K$2,$B$35)</f>
        <v>181.70110993742679</v>
      </c>
      <c r="L35" s="21">
        <f>_xll.DBRW($B$2,Cons_Region!$D$9,Cons_Region!L$11,$M$1,Cons_Region!$G$9,Cons_Region!$J$9,$N$2,$K$2,$B$35)</f>
        <v>178.02294093983551</v>
      </c>
      <c r="M35" s="21">
        <f>_xll.DBRW($B$2,Cons_Region!$D$9,Cons_Region!M$11,$M$1,Cons_Region!$G$9,Cons_Region!$J$9,$N$2,$K$2,$B$35)</f>
        <v>137.25362682495111</v>
      </c>
      <c r="N35" s="21">
        <f>_xll.DBRW($B$2,Cons_Region!$D$9,Cons_Region!N$11,$M$1,Cons_Region!$G$9,Cons_Region!$J$9,$N$2,$K$2,$B$35)</f>
        <v>83.919777439141512</v>
      </c>
    </row>
    <row r="36" spans="2:14" s="1" customFormat="1" ht="15.75" customHeight="1" x14ac:dyDescent="0.25">
      <c r="B36" s="22" t="s">
        <v>70</v>
      </c>
      <c r="C36" s="21">
        <f>_xll.DBRW($B$2,Cons_Region!$D$9,Cons_Region!C$11,$M$1,Cons_Region!$G$9,Cons_Region!$J$9,$N$2,$K$2,$B$36)</f>
        <v>53.485062913702521</v>
      </c>
      <c r="D36" s="21">
        <f>_xll.DBRW($B$2,Cons_Region!$D$9,Cons_Region!D$11,$M$1,Cons_Region!$G$9,Cons_Region!$J$9,$N$2,$K$2,$B$36)</f>
        <v>65.839564210294029</v>
      </c>
      <c r="E36" s="21">
        <f>_xll.DBRW($B$2,Cons_Region!$D$9,Cons_Region!E$11,$M$1,Cons_Region!$G$9,Cons_Region!$J$9,$N$2,$K$2,$B$36)</f>
        <v>90.971338848275309</v>
      </c>
      <c r="F36" s="21">
        <f>_xll.DBRW($B$2,Cons_Region!$D$9,Cons_Region!F$11,$M$1,Cons_Region!$G$9,Cons_Region!$J$9,$N$2,$K$2,$B$36)</f>
        <v>130.4288683291864</v>
      </c>
      <c r="G36" s="21">
        <f>_xll.DBRW($B$2,Cons_Region!$D$9,Cons_Region!G$11,$M$1,Cons_Region!$G$9,Cons_Region!$J$9,$N$2,$K$2,$B$36)</f>
        <v>157.25990487035028</v>
      </c>
      <c r="H36" s="21">
        <f>_xll.DBRW($B$2,Cons_Region!$D$9,Cons_Region!H$11,$M$1,Cons_Region!$G$9,Cons_Region!$J$9,$N$2,$K$2,$B$36)</f>
        <v>174.7150079567499</v>
      </c>
      <c r="I36" s="21">
        <f>_xll.DBRW($B$2,Cons_Region!$D$9,Cons_Region!I$11,$M$1,Cons_Region!$G$9,Cons_Region!$J$9,$N$2,$K$2,$B$36)</f>
        <v>176.77008635227327</v>
      </c>
      <c r="J36" s="21">
        <f>_xll.DBRW($B$2,Cons_Region!$D$9,Cons_Region!J$11,$M$1,Cons_Region!$G$9,Cons_Region!$J$9,$N$2,$K$2,$B$36)</f>
        <v>177.59375024929494</v>
      </c>
      <c r="K36" s="21">
        <f>_xll.DBRW($B$2,Cons_Region!$D$9,Cons_Region!K$11,$M$1,Cons_Region!$G$9,Cons_Region!$J$9,$N$2,$K$2,$B$36)</f>
        <v>181.70110993742679</v>
      </c>
      <c r="L36" s="21">
        <f>_xll.DBRW($B$2,Cons_Region!$D$9,Cons_Region!L$11,$M$1,Cons_Region!$G$9,Cons_Region!$J$9,$N$2,$K$2,$B$36)</f>
        <v>178.02294093983551</v>
      </c>
      <c r="M36" s="21">
        <f>_xll.DBRW($B$2,Cons_Region!$D$9,Cons_Region!M$11,$M$1,Cons_Region!$G$9,Cons_Region!$J$9,$N$2,$K$2,$B$36)</f>
        <v>137.25362682495111</v>
      </c>
      <c r="N36" s="21">
        <f>_xll.DBRW($B$2,Cons_Region!$D$9,Cons_Region!N$11,$M$1,Cons_Region!$G$9,Cons_Region!$J$9,$N$2,$K$2,$B$36)</f>
        <v>83.919777439141512</v>
      </c>
    </row>
    <row r="39" spans="2:14" s="1" customFormat="1" ht="15.75" customHeight="1" thickBot="1" x14ac:dyDescent="0.3">
      <c r="B39" s="10"/>
    </row>
    <row r="40" spans="2:14" s="1" customFormat="1" ht="15.75" customHeight="1" thickTop="1" x14ac:dyDescent="0.25">
      <c r="B40" s="9" t="s">
        <v>30</v>
      </c>
    </row>
    <row r="41" spans="2:14" s="1" customFormat="1" ht="15.75" customHeight="1" x14ac:dyDescent="0.25"/>
    <row r="42" spans="2:14" s="1" customFormat="1" ht="15.75" customHeight="1" x14ac:dyDescent="0.25"/>
    <row r="43" spans="2:14" s="1" customFormat="1" ht="15.75" customHeight="1" x14ac:dyDescent="0.25">
      <c r="B43" s="5"/>
      <c r="C43" s="18" t="str">
        <f>$D$9&amp;"."&amp;C$11</f>
        <v>2026.01</v>
      </c>
      <c r="D43" s="18" t="str">
        <f t="shared" ref="D43:N43" si="2">$D$9&amp;"."&amp;D$11</f>
        <v>2026.02</v>
      </c>
      <c r="E43" s="18" t="str">
        <f t="shared" si="2"/>
        <v>2026.03</v>
      </c>
      <c r="F43" s="18" t="str">
        <f t="shared" si="2"/>
        <v>2026.04</v>
      </c>
      <c r="G43" s="18" t="str">
        <f t="shared" si="2"/>
        <v>2026.05</v>
      </c>
      <c r="H43" s="18" t="str">
        <f t="shared" si="2"/>
        <v>2026.06</v>
      </c>
      <c r="I43" s="18" t="str">
        <f t="shared" si="2"/>
        <v>2026.07</v>
      </c>
      <c r="J43" s="18" t="str">
        <f t="shared" si="2"/>
        <v>2026.08</v>
      </c>
      <c r="K43" s="18" t="str">
        <f t="shared" si="2"/>
        <v>2026.09</v>
      </c>
      <c r="L43" s="18" t="str">
        <f t="shared" si="2"/>
        <v>2026.10</v>
      </c>
      <c r="M43" s="18" t="str">
        <f t="shared" si="2"/>
        <v>2026.11</v>
      </c>
      <c r="N43" s="18" t="str">
        <f t="shared" si="2"/>
        <v>2026.12</v>
      </c>
    </row>
    <row r="44" spans="2:14" s="1" customFormat="1" ht="15.75" customHeight="1" x14ac:dyDescent="0.25">
      <c r="B44" s="24" t="s">
        <v>20</v>
      </c>
      <c r="C44" s="21">
        <f>_xll.DBRW($B$1,Cons_Region!$D$9,Cons_Region!C$11,$M$1,Cons_Region!$G$9,Cons_Region!$J$9,$N$2,Cons_Region!$B44,$L$1,$K$1)</f>
        <v>10.7554146155436</v>
      </c>
      <c r="D44" s="21">
        <f>_xll.DBRW($B$1,Cons_Region!$D$9,Cons_Region!D$11,$M$1,Cons_Region!$G$9,Cons_Region!$J$9,$N$1,Cons_Region!$B44,$L$1,$K$1)</f>
        <v>11.1943537043938</v>
      </c>
      <c r="E44" s="21">
        <f>_xll.DBRW($B$1,Cons_Region!$D$9,Cons_Region!E$11,$M$1,Cons_Region!$G$9,Cons_Region!$J$9,$N$1,Cons_Region!$B44,$L$1,$K$1)</f>
        <v>17.865267420461102</v>
      </c>
      <c r="F44" s="21">
        <f>_xll.DBRW($B$1,Cons_Region!$D$9,Cons_Region!F$11,$M$1,Cons_Region!$G$9,Cons_Region!$J$9,$N$1,Cons_Region!$B44,$L$1,$K$1)</f>
        <v>25.541580688974101</v>
      </c>
      <c r="G44" s="21">
        <f>_xll.DBRW($B$1,Cons_Region!$D$9,Cons_Region!G$11,$M$1,Cons_Region!$G$9,Cons_Region!$J$9,$N$1,Cons_Region!$B44,$L$1,$K$1)</f>
        <v>32.0650366515885</v>
      </c>
      <c r="H44" s="21">
        <f>_xll.DBRW($B$1,Cons_Region!$D$9,Cons_Region!H$11,$M$1,Cons_Region!$G$9,Cons_Region!$J$9,$N$1,Cons_Region!$B44,$L$1,$K$1)</f>
        <v>32.164269677287301</v>
      </c>
      <c r="I44" s="21">
        <f>_xll.DBRW($B$1,Cons_Region!$D$9,Cons_Region!I$11,$M$1,Cons_Region!$G$9,Cons_Region!$J$9,$N$1,Cons_Region!$B44,$L$1,$K$1)</f>
        <v>33.559232837786702</v>
      </c>
      <c r="J44" s="21">
        <f>_xll.DBRW($B$1,Cons_Region!$D$9,Cons_Region!J$11,$M$1,Cons_Region!$G$9,Cons_Region!$J$9,$N$1,Cons_Region!$B44,$L$1,$K$1)</f>
        <v>33.758893535134703</v>
      </c>
      <c r="K44" s="21">
        <f>_xll.DBRW($B$1,Cons_Region!$D$9,Cons_Region!K$11,$M$1,Cons_Region!$G$9,Cons_Region!$J$9,$N$1,Cons_Region!$B44,$L$1,$K$1)</f>
        <v>34.329246492568899</v>
      </c>
      <c r="L44" s="21">
        <f>_xll.DBRW($B$1,Cons_Region!$D$9,Cons_Region!L$11,$M$1,Cons_Region!$G$9,Cons_Region!$J$9,$N$1,Cons_Region!$B44,$L$1,$K$1)</f>
        <v>34.576147396086299</v>
      </c>
      <c r="M44" s="21">
        <f>_xll.DBRW($B$1,Cons_Region!$D$9,Cons_Region!M$11,$M$1,Cons_Region!$G$9,Cons_Region!$J$9,$N$1,Cons_Region!$B44,$L$1,$K$1)</f>
        <v>28.685322874173998</v>
      </c>
      <c r="N44" s="21">
        <f>_xll.DBRW($B$1,Cons_Region!$D$9,Cons_Region!N$11,$M$1,Cons_Region!$G$9,Cons_Region!$J$9,$N$1,Cons_Region!$B44,$L$1,$K$1)</f>
        <v>17.751297086993599</v>
      </c>
    </row>
    <row r="45" spans="2:14" s="1" customFormat="1" ht="15.75" customHeight="1" x14ac:dyDescent="0.25">
      <c r="B45" s="24" t="s">
        <v>21</v>
      </c>
      <c r="C45" s="21">
        <f>_xll.DBRW($B$1,Cons_Region!$D$9,Cons_Region!C$11,$M$1,Cons_Region!$G$9,Cons_Region!$J$9,$N$2,Cons_Region!$B45,$L$1,$K$1)</f>
        <v>20.773322945956835</v>
      </c>
      <c r="D45" s="21">
        <f>_xll.DBRW($B$1,Cons_Region!$D$9,Cons_Region!D$11,$M$1,Cons_Region!$G$9,Cons_Region!$J$9,$N$2,Cons_Region!$B45,$L$1,$K$1)</f>
        <v>29.510056621353733</v>
      </c>
      <c r="E45" s="21">
        <f>_xll.DBRW($B$1,Cons_Region!$D$9,Cons_Region!E$11,$M$1,Cons_Region!$G$9,Cons_Region!$J$9,$N$2,Cons_Region!$B45,$L$1,$K$1)</f>
        <v>29.698686166626512</v>
      </c>
      <c r="F45" s="21">
        <f>_xll.DBRW($B$1,Cons_Region!$D$9,Cons_Region!F$11,$M$1,Cons_Region!$G$9,Cons_Region!$J$9,$N$2,Cons_Region!$B45,$L$1,$K$1)</f>
        <v>38.311030459585794</v>
      </c>
      <c r="G45" s="21">
        <f>_xll.DBRW($B$1,Cons_Region!$D$9,Cons_Region!G$11,$M$1,Cons_Region!$G$9,Cons_Region!$J$9,$N$2,Cons_Region!$B45,$L$1,$K$1)</f>
        <v>41.167295334704903</v>
      </c>
      <c r="H45" s="21">
        <f>_xll.DBRW($B$1,Cons_Region!$D$9,Cons_Region!H$11,$M$1,Cons_Region!$G$9,Cons_Region!$J$9,$N$2,Cons_Region!$B45,$L$1,$K$1)</f>
        <v>44.456398408790101</v>
      </c>
      <c r="I45" s="21">
        <f>_xll.DBRW($B$1,Cons_Region!$D$9,Cons_Region!I$11,$M$1,Cons_Region!$G$9,Cons_Region!$J$9,$N$2,Cons_Region!$B45,$L$1,$K$1)</f>
        <v>46.820856533158697</v>
      </c>
      <c r="J45" s="21">
        <f>_xll.DBRW($B$1,Cons_Region!$D$9,Cons_Region!J$11,$M$1,Cons_Region!$G$9,Cons_Region!$J$9,$N$2,Cons_Region!$B45,$L$1,$K$1)</f>
        <v>50.2258453669631</v>
      </c>
      <c r="K45" s="21">
        <f>_xll.DBRW($B$1,Cons_Region!$D$9,Cons_Region!K$11,$M$1,Cons_Region!$G$9,Cons_Region!$J$9,$N$2,Cons_Region!$B45,$L$1,$K$1)</f>
        <v>53.094661594912701</v>
      </c>
      <c r="L45" s="21">
        <f>_xll.DBRW($B$1,Cons_Region!$D$9,Cons_Region!L$11,$M$1,Cons_Region!$G$9,Cons_Region!$J$9,$N$2,Cons_Region!$B45,$L$1,$K$1)</f>
        <v>52.798667648634094</v>
      </c>
      <c r="M45" s="21">
        <f>_xll.DBRW($B$1,Cons_Region!$D$9,Cons_Region!M$11,$M$1,Cons_Region!$G$9,Cons_Region!$J$9,$N$2,Cons_Region!$B45,$L$1,$K$1)</f>
        <v>37.670759113059596</v>
      </c>
      <c r="N45" s="21">
        <f>_xll.DBRW($B$1,Cons_Region!$D$9,Cons_Region!N$11,$M$1,Cons_Region!$G$9,Cons_Region!$J$9,$N$2,Cons_Region!$B45,$L$1,$K$1)</f>
        <v>20.967949588859064</v>
      </c>
    </row>
    <row r="46" spans="2:14" s="1" customFormat="1" ht="15.75" customHeight="1" x14ac:dyDescent="0.25">
      <c r="B46" s="24" t="s">
        <v>22</v>
      </c>
      <c r="C46" s="21">
        <f>_xll.DBRW($B$1,Cons_Region!$D$9,Cons_Region!C$11,$M$1,Cons_Region!$G$9,Cons_Region!$J$9,$N$1,Cons_Region!$B46,$L$1,$K$1)</f>
        <v>34.839500003718697</v>
      </c>
      <c r="D46" s="21">
        <f>_xll.DBRW($B$1,Cons_Region!$D$9,Cons_Region!D$11,$M$1,Cons_Region!$G$9,Cons_Region!$J$9,$N$1,Cons_Region!$B46,$L$1,$K$1)</f>
        <v>37.1945584673255</v>
      </c>
      <c r="E46" s="21">
        <f>_xll.DBRW($B$1,Cons_Region!$D$9,Cons_Region!E$11,$M$1,Cons_Region!$G$9,Cons_Region!$J$9,$N$1,Cons_Region!$B46,$L$1,$K$1)</f>
        <v>31.431682360163901</v>
      </c>
      <c r="F46" s="21">
        <f>_xll.DBRW($B$1,Cons_Region!$D$9,Cons_Region!F$11,$M$1,Cons_Region!$G$9,Cons_Region!$J$9,$N$1,Cons_Region!$B46,$L$1,$K$1)</f>
        <v>30.091597006529401</v>
      </c>
      <c r="G46" s="21">
        <f>_xll.DBRW($B$1,Cons_Region!$D$9,Cons_Region!G$11,$M$1,Cons_Region!$G$9,Cons_Region!$J$9,$N$1,Cons_Region!$B46,$L$1,$K$1)</f>
        <v>20.521550940515699</v>
      </c>
      <c r="H46" s="21">
        <f>_xll.DBRW($B$1,Cons_Region!$D$9,Cons_Region!H$11,$M$1,Cons_Region!$G$9,Cons_Region!$J$9,$N$1,Cons_Region!$B46,$L$1,$K$1)</f>
        <v>23.325895086466598</v>
      </c>
      <c r="I46" s="21">
        <f>_xll.DBRW($B$1,Cons_Region!$D$9,Cons_Region!I$11,$M$1,Cons_Region!$G$9,Cons_Region!$J$9,$N$1,Cons_Region!$B46,$L$1,$K$1)</f>
        <v>21.784901746058299</v>
      </c>
      <c r="J46" s="21">
        <f>_xll.DBRW($B$1,Cons_Region!$D$9,Cons_Region!J$11,$M$1,Cons_Region!$G$9,Cons_Region!$J$9,$N$1,Cons_Region!$B46,$L$1,$K$1)</f>
        <v>20.351640670984299</v>
      </c>
      <c r="K46" s="21">
        <f>_xll.DBRW($B$1,Cons_Region!$D$9,Cons_Region!K$11,$M$1,Cons_Region!$G$9,Cons_Region!$J$9,$N$1,Cons_Region!$B46,$L$1,$K$1)</f>
        <v>24.672143867149099</v>
      </c>
      <c r="L46" s="21">
        <f>_xll.DBRW($B$1,Cons_Region!$D$9,Cons_Region!L$11,$M$1,Cons_Region!$G$9,Cons_Region!$J$9,$N$1,Cons_Region!$B46,$L$1,$K$1)</f>
        <v>23.267132627917299</v>
      </c>
      <c r="M46" s="21">
        <f>_xll.DBRW($B$1,Cons_Region!$D$9,Cons_Region!M$11,$M$1,Cons_Region!$G$9,Cons_Region!$J$9,$N$1,Cons_Region!$B46,$L$1,$K$1)</f>
        <v>17.442709072067402</v>
      </c>
      <c r="N46" s="21">
        <f>_xll.DBRW($B$1,Cons_Region!$D$9,Cons_Region!N$11,$M$1,Cons_Region!$G$9,Cons_Region!$J$9,$N$1,Cons_Region!$B46,$L$1,$K$1)</f>
        <v>16.299831988151901</v>
      </c>
    </row>
    <row r="47" spans="2:14" s="1" customFormat="1" ht="15.75" customHeight="1" x14ac:dyDescent="0.25">
      <c r="B47" s="24" t="s">
        <v>23</v>
      </c>
      <c r="C47" s="21">
        <f>_xll.DBRW($B$1,Cons_Region!$D$9,Cons_Region!C$11,$M$1,Cons_Region!$G$9,Cons_Region!$J$9,$N$1,Cons_Region!$B47,$L$1,$K$1)</f>
        <v>7.6474136504325703</v>
      </c>
      <c r="D47" s="21">
        <f>_xll.DBRW($B$1,Cons_Region!$D$9,Cons_Region!D$11,$M$1,Cons_Region!$G$9,Cons_Region!$J$9,$N$1,Cons_Region!$B47,$L$1,$K$1)</f>
        <v>8.1854402531327395</v>
      </c>
      <c r="E47" s="21">
        <f>_xll.DBRW($B$1,Cons_Region!$D$9,Cons_Region!E$11,$M$1,Cons_Region!$G$9,Cons_Region!$J$9,$N$1,Cons_Region!$B47,$L$1,$K$1)</f>
        <v>9.5925389128211798</v>
      </c>
      <c r="F47" s="21">
        <f>_xll.DBRW($B$1,Cons_Region!$D$9,Cons_Region!F$11,$M$1,Cons_Region!$G$9,Cons_Region!$J$9,$N$1,Cons_Region!$B47,$L$1,$K$1)</f>
        <v>8.5181995962472996</v>
      </c>
      <c r="G47" s="21">
        <f>_xll.DBRW($B$1,Cons_Region!$D$9,Cons_Region!G$11,$M$1,Cons_Region!$G$9,Cons_Region!$J$9,$N$1,Cons_Region!$B47,$L$1,$K$1)</f>
        <v>8.4528475459821308</v>
      </c>
      <c r="H47" s="21">
        <f>_xll.DBRW($B$1,Cons_Region!$D$9,Cons_Region!H$11,$M$1,Cons_Region!$G$9,Cons_Region!$J$9,$N$1,Cons_Region!$B47,$L$1,$K$1)</f>
        <v>9.69979177992108</v>
      </c>
      <c r="I47" s="21">
        <f>_xll.DBRW($B$1,Cons_Region!$D$9,Cons_Region!I$11,$M$1,Cons_Region!$G$9,Cons_Region!$J$9,$N$1,Cons_Region!$B47,$L$1,$K$1)</f>
        <v>9.0077323998827197</v>
      </c>
      <c r="J47" s="21">
        <f>_xll.DBRW($B$1,Cons_Region!$D$9,Cons_Region!J$11,$M$1,Cons_Region!$G$9,Cons_Region!$J$9,$N$1,Cons_Region!$B47,$L$1,$K$1)</f>
        <v>8.7638409009594191</v>
      </c>
      <c r="K47" s="21">
        <f>_xll.DBRW($B$1,Cons_Region!$D$9,Cons_Region!K$11,$M$1,Cons_Region!$G$9,Cons_Region!$J$9,$N$1,Cons_Region!$B47,$L$1,$K$1)</f>
        <v>9.62618667320789</v>
      </c>
      <c r="L47" s="21">
        <f>_xll.DBRW($B$1,Cons_Region!$D$9,Cons_Region!L$11,$M$1,Cons_Region!$G$9,Cons_Region!$J$9,$N$1,Cons_Region!$B47,$L$1,$K$1)</f>
        <v>9.4764856951811094</v>
      </c>
      <c r="M47" s="21">
        <f>_xll.DBRW($B$1,Cons_Region!$D$9,Cons_Region!M$11,$M$1,Cons_Region!$G$9,Cons_Region!$J$9,$N$1,Cons_Region!$B47,$L$1,$K$1)</f>
        <v>9.2016373767288009</v>
      </c>
      <c r="N47" s="21">
        <f>_xll.DBRW($B$1,Cons_Region!$D$9,Cons_Region!N$11,$M$1,Cons_Region!$G$9,Cons_Region!$J$9,$N$1,Cons_Region!$B47,$L$1,$K$1)</f>
        <v>9.7192234149976997</v>
      </c>
    </row>
    <row r="48" spans="2:14" s="1" customFormat="1" ht="15.75" customHeight="1" x14ac:dyDescent="0.25">
      <c r="B48" s="24" t="s">
        <v>24</v>
      </c>
      <c r="C48" s="21">
        <f>_xll.DBRW($B$1,Cons_Region!$D$9,Cons_Region!C$11,$M$1,Cons_Region!$G$9,Cons_Region!$J$9,$N$2,Cons_Region!$B48,"Total Accounts Line",$K$1)</f>
        <v>1.3321036288281499E-2</v>
      </c>
      <c r="D48" s="21">
        <f>_xll.DBRW($B$1,Cons_Region!$D$9,Cons_Region!D$11,$M$1,Cons_Region!$G$9,Cons_Region!$J$9,$N$2,Cons_Region!$B48,"Total Accounts Line",$K$1)</f>
        <v>0.67014606410811306</v>
      </c>
      <c r="E48" s="21">
        <f>_xll.DBRW($B$1,Cons_Region!$D$9,Cons_Region!E$11,$M$1,Cons_Region!$G$9,Cons_Region!$J$9,$N$2,Cons_Region!$B48,"Total Accounts Line",$K$1)</f>
        <v>-4.2525422531516002E-3</v>
      </c>
      <c r="F48" s="21">
        <f>_xll.DBRW($B$1,Cons_Region!$D$9,Cons_Region!F$11,$M$1,Cons_Region!$G$9,Cons_Region!$J$9,$N$2,Cons_Region!$B48,"Total Accounts Line",$K$1)</f>
        <v>-0.26754938614770202</v>
      </c>
      <c r="G48" s="21">
        <f>_xll.DBRW($B$1,Cons_Region!$D$9,Cons_Region!G$11,$M$1,Cons_Region!$G$9,Cons_Region!$J$9,$N$2,Cons_Region!$B48,"Total Accounts Line",$K$1)</f>
        <v>-0.38664296640207502</v>
      </c>
      <c r="H48" s="21">
        <f>_xll.DBRW($B$1,Cons_Region!$D$9,Cons_Region!H$11,$M$1,Cons_Region!$G$9,Cons_Region!$J$9,$N$2,Cons_Region!$B48,"Total Accounts Line",$K$1)</f>
        <v>-0.78180852292995695</v>
      </c>
      <c r="I48" s="21">
        <f>_xll.DBRW($B$1,Cons_Region!$D$9,Cons_Region!I$11,$M$1,Cons_Region!$G$9,Cons_Region!$J$9,$N$2,Cons_Region!$B48,"Total Accounts Line",$K$1)</f>
        <v>-0.231417091843304</v>
      </c>
      <c r="J48" s="21">
        <f>_xll.DBRW($B$1,Cons_Region!$D$9,Cons_Region!J$11,$M$1,Cons_Region!$G$9,Cons_Region!$J$9,$N$2,Cons_Region!$B48,"Total Accounts Line",$K$1)</f>
        <v>-0.39261890244862502</v>
      </c>
      <c r="K48" s="21">
        <f>_xll.DBRW($B$1,Cons_Region!$D$9,Cons_Region!K$11,$M$1,Cons_Region!$G$9,Cons_Region!$J$9,$N$2,Cons_Region!$B48,"Total Accounts Line",$K$1)</f>
        <v>-0.15120375580776099</v>
      </c>
      <c r="L48" s="21">
        <f>_xll.DBRW($B$1,Cons_Region!$D$9,Cons_Region!L$11,$M$1,Cons_Region!$G$9,Cons_Region!$J$9,$N$2,Cons_Region!$B48,"Total Accounts Line",$K$1)</f>
        <v>2.2845720961780902</v>
      </c>
      <c r="M48" s="21">
        <f>_xll.DBRW($B$1,Cons_Region!$D$9,Cons_Region!M$11,$M$1,Cons_Region!$G$9,Cons_Region!$J$9,$N$2,Cons_Region!$B48,"Total Accounts Line",$K$1)</f>
        <v>3.28792529190769</v>
      </c>
      <c r="N48" s="21">
        <f>_xll.DBRW($B$1,Cons_Region!$D$9,Cons_Region!N$11,$M$1,Cons_Region!$G$9,Cons_Region!$J$9,$N$2,Cons_Region!$B48,"Total Accounts Line",$K$1)</f>
        <v>1.03996773785176</v>
      </c>
    </row>
    <row r="49" spans="2:14" s="1" customFormat="1" ht="15.75" customHeight="1" x14ac:dyDescent="0.25">
      <c r="B49" s="24" t="s">
        <v>25</v>
      </c>
      <c r="C49" s="21">
        <f>_xll.DBRW($B$3,Cons_Region!$D$9,Cons_Region!C$11,$M$1,Cons_Region!$G$9,Cons_Region!$J$9,$N$2,Cons_Region!$B49,$K$1)</f>
        <v>-20.517267265660891</v>
      </c>
      <c r="D49" s="21">
        <f>_xll.DBRW($B$3,Cons_Region!$D$9,Cons_Region!D$11,$M$1,Cons_Region!$G$9,Cons_Region!$J$9,$N$2,Cons_Region!$B49,$K$1)</f>
        <v>-19.574698771803629</v>
      </c>
      <c r="E49" s="21">
        <f>_xll.DBRW($B$3,Cons_Region!$D$9,Cons_Region!E$11,$M$1,Cons_Region!$G$9,Cons_Region!$J$9,$N$2,Cons_Region!$B49,$K$1)</f>
        <v>2.3789114459494698</v>
      </c>
      <c r="F49" s="21">
        <f>_xll.DBRW($B$3,Cons_Region!$D$9,Cons_Region!F$11,$M$1,Cons_Region!$G$9,Cons_Region!$J$9,$N$2,Cons_Region!$B49,$K$1)</f>
        <v>27.698911191702106</v>
      </c>
      <c r="G49" s="21">
        <f>_xll.DBRW($B$3,Cons_Region!$D$9,Cons_Region!G$11,$M$1,Cons_Region!$G$9,Cons_Region!$J$9,$N$2,Cons_Region!$B49,$K$1)</f>
        <v>54.66653143115699</v>
      </c>
      <c r="H49" s="21">
        <f>_xll.DBRW($B$3,Cons_Region!$D$9,Cons_Region!H$11,$M$1,Cons_Region!$G$9,Cons_Region!$J$9,$N$2,Cons_Region!$B49,$K$1)</f>
        <v>64.286844481354848</v>
      </c>
      <c r="I49" s="21">
        <f>_xll.DBRW($B$3,Cons_Region!$D$9,Cons_Region!I$11,$M$1,Cons_Region!$G$9,Cons_Region!$J$9,$N$2,Cons_Region!$B49,$K$1)</f>
        <v>65.365945743543534</v>
      </c>
      <c r="J49" s="21">
        <f>_xll.DBRW($B$3,Cons_Region!$D$9,Cons_Region!J$11,$M$1,Cons_Region!$G$9,Cons_Region!$J$9,$N$2,Cons_Region!$B49,$K$1)</f>
        <v>64.100910872804803</v>
      </c>
      <c r="K49" s="21">
        <f>_xll.DBRW($B$3,Cons_Region!$D$9,Cons_Region!K$11,$M$1,Cons_Region!$G$9,Cons_Region!$J$9,$N$2,Cons_Region!$B49,$K$1)</f>
        <v>59.827667553780429</v>
      </c>
      <c r="L49" s="21">
        <f>_xll.DBRW($B$3,Cons_Region!$D$9,Cons_Region!L$11,$M$1,Cons_Region!$G$9,Cons_Region!$J$9,$N$2,Cons_Region!$B49,$K$1)</f>
        <v>60.189079668194793</v>
      </c>
      <c r="M49" s="21">
        <f>_xll.DBRW($B$3,Cons_Region!$D$9,Cons_Region!M$11,$M$1,Cons_Region!$G$9,Cons_Region!$J$9,$N$2,Cons_Region!$B49,$K$1)</f>
        <v>47.541123680829003</v>
      </c>
      <c r="N49" s="21">
        <f>_xll.DBRW($B$3,Cons_Region!$D$9,Cons_Region!N$11,$M$1,Cons_Region!$G$9,Cons_Region!$J$9,$N$2,Cons_Region!$B49,$K$1)</f>
        <v>20.221443097990999</v>
      </c>
    </row>
    <row r="51" spans="2:14" s="1" customFormat="1" ht="15.75" customHeight="1" thickBot="1" x14ac:dyDescent="0.3">
      <c r="B51" s="10"/>
    </row>
    <row r="52" spans="2:14" s="1" customFormat="1" ht="21" thickTop="1" x14ac:dyDescent="0.25">
      <c r="B52" s="9" t="s">
        <v>75</v>
      </c>
    </row>
    <row r="54" spans="2:14" s="1" customFormat="1" ht="15.75" customHeight="1" x14ac:dyDescent="0.25">
      <c r="B54" s="5"/>
      <c r="C54" s="18" t="str">
        <f>$D$9&amp;"."&amp;C$11</f>
        <v>2026.01</v>
      </c>
      <c r="D54" s="18" t="str">
        <f t="shared" ref="D54:N54" si="3">$D$9&amp;"."&amp;D$11</f>
        <v>2026.02</v>
      </c>
      <c r="E54" s="18" t="str">
        <f t="shared" si="3"/>
        <v>2026.03</v>
      </c>
      <c r="F54" s="18" t="str">
        <f t="shared" si="3"/>
        <v>2026.04</v>
      </c>
      <c r="G54" s="18" t="str">
        <f t="shared" si="3"/>
        <v>2026.05</v>
      </c>
      <c r="H54" s="18" t="str">
        <f t="shared" si="3"/>
        <v>2026.06</v>
      </c>
      <c r="I54" s="18" t="str">
        <f t="shared" si="3"/>
        <v>2026.07</v>
      </c>
      <c r="J54" s="18" t="str">
        <f t="shared" si="3"/>
        <v>2026.08</v>
      </c>
      <c r="K54" s="18" t="str">
        <f t="shared" si="3"/>
        <v>2026.09</v>
      </c>
      <c r="L54" s="18" t="str">
        <f t="shared" si="3"/>
        <v>2026.10</v>
      </c>
      <c r="M54" s="18" t="str">
        <f t="shared" si="3"/>
        <v>2026.11</v>
      </c>
      <c r="N54" s="18" t="str">
        <f t="shared" si="3"/>
        <v>2026.12</v>
      </c>
    </row>
    <row r="55" spans="2:14" s="1" customFormat="1" ht="29.25" customHeight="1" x14ac:dyDescent="0.25">
      <c r="B55" s="24" t="s">
        <v>26</v>
      </c>
      <c r="C55" s="21">
        <f>_xll.DBRW($B$1,Cons_Region!$D$9,Cons_Region!C$11,$M$1,Cons_Region!$G$9,Cons_Region!$J$9,$N$1,Cons_Region!$B55,$L$1,$K$1)</f>
        <v>15.3526691154304</v>
      </c>
      <c r="D55" s="21">
        <f>_xll.DBRW($B$1,Cons_Region!$D$9,Cons_Region!D$11,$M$1,Cons_Region!$G$9,Cons_Region!$J$9,$N$1,Cons_Region!$B55,$L$1,$K$1)</f>
        <v>15.5366943863453</v>
      </c>
      <c r="E55" s="21">
        <f>_xll.DBRW($B$1,Cons_Region!$D$9,Cons_Region!E$11,$M$1,Cons_Region!$G$9,Cons_Region!$J$9,$N$1,Cons_Region!$B55,$L$1,$K$1)</f>
        <v>16.603117612869202</v>
      </c>
      <c r="F55" s="21">
        <f>_xll.DBRW($B$1,Cons_Region!$D$9,Cons_Region!F$11,$M$1,Cons_Region!$G$9,Cons_Region!$J$9,$N$1,Cons_Region!$B55,$L$1,$K$1)</f>
        <v>16.662677661043499</v>
      </c>
      <c r="G55" s="21">
        <f>_xll.DBRW($B$1,Cons_Region!$D$9,Cons_Region!G$11,$M$1,Cons_Region!$G$9,Cons_Region!$J$9,$N$1,Cons_Region!$B55,$L$1,$K$1)</f>
        <v>16.728463966828102</v>
      </c>
      <c r="H55" s="21">
        <f>_xll.DBRW($B$1,Cons_Region!$D$9,Cons_Region!H$11,$M$1,Cons_Region!$G$9,Cons_Region!$J$9,$N$1,Cons_Region!$B55,$L$1,$K$1)</f>
        <v>17.065598661956599</v>
      </c>
      <c r="I55" s="21">
        <f>_xll.DBRW($B$1,Cons_Region!$D$9,Cons_Region!I$11,$M$1,Cons_Region!$G$9,Cons_Region!$J$9,$N$1,Cons_Region!$B55,$L$1,$K$1)</f>
        <v>16.709347997983699</v>
      </c>
      <c r="J55" s="21">
        <f>_xll.DBRW($B$1,Cons_Region!$D$9,Cons_Region!J$11,$M$1,Cons_Region!$G$9,Cons_Region!$J$9,$N$1,Cons_Region!$B55,$L$1,$K$1)</f>
        <v>16.725033621744199</v>
      </c>
      <c r="K55" s="21">
        <f>_xll.DBRW($B$1,Cons_Region!$D$9,Cons_Region!K$11,$M$1,Cons_Region!$G$9,Cons_Region!$J$9,$N$1,Cons_Region!$B55,$L$1,$K$1)</f>
        <v>16.797667270118499</v>
      </c>
      <c r="L55" s="21">
        <f>_xll.DBRW($B$1,Cons_Region!$D$9,Cons_Region!L$11,$M$1,Cons_Region!$G$9,Cons_Region!$J$9,$N$1,Cons_Region!$B55,$L$1,$K$1)</f>
        <v>16.7141026736324</v>
      </c>
      <c r="M55" s="21">
        <f>_xll.DBRW($B$1,Cons_Region!$D$9,Cons_Region!M$11,$M$1,Cons_Region!$G$9,Cons_Region!$J$9,$N$1,Cons_Region!$B55,$L$1,$K$1)</f>
        <v>16.6129234633237</v>
      </c>
      <c r="N55" s="21">
        <f>_xll.DBRW($B$1,Cons_Region!$D$9,Cons_Region!N$11,$M$1,Cons_Region!$G$9,Cons_Region!$J$9,$N$1,Cons_Region!$B55,$L$1,$K$1)</f>
        <v>16.325930754117199</v>
      </c>
    </row>
    <row r="56" spans="2:14" s="1" customFormat="1" ht="15.75" customHeight="1" x14ac:dyDescent="0.25">
      <c r="B56" s="24" t="s">
        <v>25</v>
      </c>
      <c r="C56" s="21">
        <f>_xll.DBRW($B$3,Cons_Region!$D$9,Cons_Region!C$11,$M$1,Cons_Region!$G$9,Cons_Region!$J$9,$N$2,Cons_Region!$B56,$K$1)</f>
        <v>-20.517267265660891</v>
      </c>
      <c r="D56" s="21">
        <f>_xll.DBRW($B$3,Cons_Region!$D$9,Cons_Region!D$11,$M$1,Cons_Region!$G$9,Cons_Region!$J$9,$N$2,Cons_Region!$B56,$K$1)</f>
        <v>-19.574698771803629</v>
      </c>
      <c r="E56" s="21">
        <f>_xll.DBRW($B$3,Cons_Region!$D$9,Cons_Region!E$11,$M$1,Cons_Region!$G$9,Cons_Region!$J$9,$N$2,Cons_Region!$B56,$K$1)</f>
        <v>2.3789114459494698</v>
      </c>
      <c r="F56" s="21">
        <f>_xll.DBRW($B$3,Cons_Region!$D$9,Cons_Region!F$11,$M$1,Cons_Region!$G$9,Cons_Region!$J$9,$N$2,Cons_Region!$B56,$K$1)</f>
        <v>27.698911191702106</v>
      </c>
      <c r="G56" s="21">
        <f>_xll.DBRW($B$3,Cons_Region!$D$9,Cons_Region!G$11,$M$1,Cons_Region!$G$9,Cons_Region!$J$9,$N$2,Cons_Region!$B56,$K$1)</f>
        <v>54.66653143115699</v>
      </c>
      <c r="H56" s="21">
        <f>_xll.DBRW($B$3,Cons_Region!$D$9,Cons_Region!H$11,$M$1,Cons_Region!$G$9,Cons_Region!$J$9,$N$2,Cons_Region!$B56,$K$1)</f>
        <v>64.286844481354848</v>
      </c>
      <c r="I56" s="21">
        <f>_xll.DBRW($B$3,Cons_Region!$D$9,Cons_Region!I$11,$M$1,Cons_Region!$G$9,Cons_Region!$J$9,$N$2,Cons_Region!$B56,$K$1)</f>
        <v>65.365945743543534</v>
      </c>
      <c r="J56" s="21">
        <f>_xll.DBRW($B$3,Cons_Region!$D$9,Cons_Region!J$11,$M$1,Cons_Region!$G$9,Cons_Region!$J$9,$N$2,Cons_Region!$B56,$K$1)</f>
        <v>64.100910872804803</v>
      </c>
      <c r="K56" s="21">
        <f>_xll.DBRW($B$3,Cons_Region!$D$9,Cons_Region!K$11,$M$1,Cons_Region!$G$9,Cons_Region!$J$9,$N$2,Cons_Region!$B56,$K$1)</f>
        <v>59.827667553780429</v>
      </c>
      <c r="L56" s="21">
        <f>_xll.DBRW($B$3,Cons_Region!$D$9,Cons_Region!L$11,$M$1,Cons_Region!$G$9,Cons_Region!$J$9,$N$2,Cons_Region!$B56,$K$1)</f>
        <v>60.189079668194793</v>
      </c>
      <c r="M56" s="21">
        <f>_xll.DBRW($B$3,Cons_Region!$D$9,Cons_Region!M$11,$M$1,Cons_Region!$G$9,Cons_Region!$J$9,$N$2,Cons_Region!$B56,$K$1)</f>
        <v>47.541123680829003</v>
      </c>
      <c r="N56" s="21">
        <f>_xll.DBRW($B$3,Cons_Region!$D$9,Cons_Region!N$11,$M$1,Cons_Region!$G$9,Cons_Region!$J$9,$N$2,Cons_Region!$B56,$K$1)</f>
        <v>20.221443097990999</v>
      </c>
    </row>
    <row r="57" spans="2:14" s="1" customFormat="1" ht="15.75" customHeight="1" x14ac:dyDescent="0.25">
      <c r="B57" s="22" t="s">
        <v>75</v>
      </c>
      <c r="C57" s="21">
        <f>_xll.DBRW($B$3,Cons_Region!$D$9,Cons_Region!C$11,$M$1,Cons_Region!$G$9,Cons_Region!$J$9,$N$2,Cons_Region!$B57,$K$1)</f>
        <v>-35.869936381091293</v>
      </c>
      <c r="D57" s="21">
        <f>_xll.DBRW($B$3,Cons_Region!$D$9,Cons_Region!D$11,$M$1,Cons_Region!$G$9,Cons_Region!$J$9,$N$2,Cons_Region!$B57,$K$1)</f>
        <v>-35.111393158148928</v>
      </c>
      <c r="E57" s="21">
        <f>_xll.DBRW($B$3,Cons_Region!$D$9,Cons_Region!E$11,$M$1,Cons_Region!$G$9,Cons_Region!$J$9,$N$2,Cons_Region!$B57,$K$1)</f>
        <v>-14.224206166919735</v>
      </c>
      <c r="F57" s="21">
        <f>_xll.DBRW($B$3,Cons_Region!$D$9,Cons_Region!F$11,$M$1,Cons_Region!$G$9,Cons_Region!$J$9,$N$2,Cons_Region!$B57,$K$1)</f>
        <v>11.036233530658603</v>
      </c>
      <c r="G57" s="21">
        <f>_xll.DBRW($B$3,Cons_Region!$D$9,Cons_Region!G$11,$M$1,Cons_Region!$G$9,Cons_Region!$J$9,$N$2,Cons_Region!$B57,$K$1)</f>
        <v>37.938067464328888</v>
      </c>
      <c r="H57" s="21">
        <f>_xll.DBRW($B$3,Cons_Region!$D$9,Cons_Region!H$11,$M$1,Cons_Region!$G$9,Cons_Region!$J$9,$N$2,Cons_Region!$B57,$K$1)</f>
        <v>47.221245819398256</v>
      </c>
      <c r="I57" s="21">
        <f>_xll.DBRW($B$3,Cons_Region!$D$9,Cons_Region!I$11,$M$1,Cons_Region!$G$9,Cons_Region!$J$9,$N$2,Cons_Region!$B57,$K$1)</f>
        <v>48.656597745559836</v>
      </c>
      <c r="J57" s="21">
        <f>_xll.DBRW($B$3,Cons_Region!$D$9,Cons_Region!J$11,$M$1,Cons_Region!$G$9,Cons_Region!$J$9,$N$2,Cons_Region!$B57,$K$1)</f>
        <v>47.375877251060615</v>
      </c>
      <c r="K57" s="21">
        <f>_xll.DBRW($B$3,Cons_Region!$D$9,Cons_Region!K$11,$M$1,Cons_Region!$G$9,Cons_Region!$J$9,$N$2,Cons_Region!$B57,$K$1)</f>
        <v>43.030000283661934</v>
      </c>
      <c r="L57" s="21">
        <f>_xll.DBRW($B$3,Cons_Region!$D$9,Cons_Region!L$11,$M$1,Cons_Region!$G$9,Cons_Region!$J$9,$N$2,Cons_Region!$B57,$K$1)</f>
        <v>43.47497699456239</v>
      </c>
      <c r="M57" s="21">
        <f>_xll.DBRW($B$3,Cons_Region!$D$9,Cons_Region!M$11,$M$1,Cons_Region!$G$9,Cons_Region!$J$9,$N$2,Cons_Region!$B57,$K$1)</f>
        <v>30.928200217505299</v>
      </c>
      <c r="N57" s="21">
        <f>_xll.DBRW($B$3,Cons_Region!$D$9,Cons_Region!N$11,$M$1,Cons_Region!$G$9,Cons_Region!$J$9,$N$2,Cons_Region!$B57,$K$1)</f>
        <v>3.8955123438738042</v>
      </c>
    </row>
    <row r="58" spans="2:14" s="1" customFormat="1" ht="15.75" customHeight="1" x14ac:dyDescent="0.25">
      <c r="B58"/>
      <c r="C58"/>
      <c r="D58"/>
      <c r="E58"/>
      <c r="F58"/>
      <c r="G58"/>
      <c r="H58"/>
      <c r="I58"/>
      <c r="J58"/>
      <c r="K58"/>
      <c r="L58"/>
      <c r="M58"/>
      <c r="N58"/>
    </row>
    <row r="59" spans="2:14" s="1" customFormat="1" ht="15.75" customHeight="1" thickBot="1" x14ac:dyDescent="0.3">
      <c r="B59" s="10"/>
      <c r="C59"/>
      <c r="D59"/>
      <c r="E59"/>
      <c r="F59"/>
      <c r="G59"/>
      <c r="H59"/>
      <c r="I59"/>
      <c r="J59"/>
      <c r="K59"/>
      <c r="L59"/>
      <c r="M59"/>
      <c r="N59"/>
    </row>
    <row r="60" spans="2:14" s="1" customFormat="1" ht="15.75" customHeight="1" thickTop="1" x14ac:dyDescent="0.25">
      <c r="B60" s="9" t="s">
        <v>76</v>
      </c>
    </row>
    <row r="62" spans="2:14" s="1" customFormat="1" ht="15.75" customHeight="1" x14ac:dyDescent="0.25">
      <c r="B62" s="5"/>
      <c r="C62" s="18" t="str">
        <f t="shared" ref="C62:N62" si="4">$D$9&amp;"."&amp;C$11</f>
        <v>2026.01</v>
      </c>
      <c r="D62" s="18" t="str">
        <f t="shared" si="4"/>
        <v>2026.02</v>
      </c>
      <c r="E62" s="18" t="str">
        <f t="shared" si="4"/>
        <v>2026.03</v>
      </c>
      <c r="F62" s="18" t="str">
        <f t="shared" si="4"/>
        <v>2026.04</v>
      </c>
      <c r="G62" s="18" t="str">
        <f t="shared" si="4"/>
        <v>2026.05</v>
      </c>
      <c r="H62" s="18" t="str">
        <f t="shared" si="4"/>
        <v>2026.06</v>
      </c>
      <c r="I62" s="18" t="str">
        <f t="shared" si="4"/>
        <v>2026.07</v>
      </c>
      <c r="J62" s="18" t="str">
        <f t="shared" si="4"/>
        <v>2026.08</v>
      </c>
      <c r="K62" s="18" t="str">
        <f t="shared" si="4"/>
        <v>2026.09</v>
      </c>
      <c r="L62" s="18" t="str">
        <f t="shared" si="4"/>
        <v>2026.10</v>
      </c>
      <c r="M62" s="18" t="str">
        <f t="shared" si="4"/>
        <v>2026.11</v>
      </c>
      <c r="N62" s="18" t="str">
        <f t="shared" si="4"/>
        <v>2026.12</v>
      </c>
    </row>
    <row r="63" spans="2:14" s="1" customFormat="1" ht="15.75" customHeight="1" x14ac:dyDescent="0.25">
      <c r="B63" s="17" t="s">
        <v>62</v>
      </c>
      <c r="C63" s="34">
        <f>_xll.DBRW($B$1,Cons_Region!$D$9,Cons_Region!C$11,$M$1,Cons_Region!$G$9,Cons_Region!$J$9,$N$1,Cons_Region!$B63,$L$1,$K$1)</f>
        <v>-0.32575547715125602</v>
      </c>
      <c r="D63" s="34">
        <f>_xll.DBRW($B$1,Cons_Region!$D$9,Cons_Region!D$11,$M$1,Cons_Region!$G$9,Cons_Region!$J$9,$N$1,Cons_Region!$B63,$L$1,$K$1)</f>
        <v>-0.58191421770163299</v>
      </c>
      <c r="E63" s="34">
        <f>_xll.DBRW($B$1,Cons_Region!$D$9,Cons_Region!E$11,$M$1,Cons_Region!$G$9,Cons_Region!$J$9,$N$1,Cons_Region!$B63,$L$1,$K$1)</f>
        <v>-2.8114876612691599E-2</v>
      </c>
      <c r="F63" s="34">
        <f>_xll.DBRW($B$1,Cons_Region!$D$9,Cons_Region!F$11,$M$1,Cons_Region!$G$9,Cons_Region!$J$9,$N$1,Cons_Region!$B63,$L$1,$K$1)</f>
        <v>3.44947734005812E-3</v>
      </c>
      <c r="G63" s="34">
        <f>_xll.DBRW($B$1,Cons_Region!$D$9,Cons_Region!G$11,$M$1,Cons_Region!$G$9,Cons_Region!$J$9,$N$1,Cons_Region!$B63,$L$1,$K$1)</f>
        <v>0.33324573813276498</v>
      </c>
      <c r="H63" s="34">
        <f>_xll.DBRW($B$1,Cons_Region!$D$9,Cons_Region!H$11,$M$1,Cons_Region!$G$9,Cons_Region!$J$9,$N$1,Cons_Region!$B63,$L$1,$K$1)</f>
        <v>0.35928552752723703</v>
      </c>
      <c r="I63" s="34">
        <f>_xll.DBRW($B$1,Cons_Region!$D$9,Cons_Region!I$11,$M$1,Cons_Region!$G$9,Cons_Region!$J$9,$N$1,Cons_Region!$B63,$L$1,$K$1)</f>
        <v>0.33968065157723198</v>
      </c>
      <c r="J63" s="34">
        <f>_xll.DBRW($B$1,Cons_Region!$D$9,Cons_Region!J$11,$M$1,Cons_Region!$G$9,Cons_Region!$J$9,$N$1,Cons_Region!$B63,$L$1,$K$1)</f>
        <v>0.52090552510323895</v>
      </c>
      <c r="K63" s="34">
        <f>_xll.DBRW($B$1,Cons_Region!$D$9,Cons_Region!K$11,$M$1,Cons_Region!$G$9,Cons_Region!$J$9,$N$1,Cons_Region!$B63,$L$1,$K$1)</f>
        <v>0.497814818125348</v>
      </c>
      <c r="L63" s="34">
        <f>_xll.DBRW($B$1,Cons_Region!$D$9,Cons_Region!L$11,$M$1,Cons_Region!$G$9,Cons_Region!$J$9,$N$1,Cons_Region!$B63,$L$1,$K$1)</f>
        <v>0.57018008824644695</v>
      </c>
      <c r="M63" s="34">
        <f>_xll.DBRW($B$1,Cons_Region!$D$9,Cons_Region!M$11,$M$1,Cons_Region!$G$9,Cons_Region!$J$9,$N$1,Cons_Region!$B63,$L$1,$K$1)</f>
        <v>0.46684338523470797</v>
      </c>
      <c r="N63" s="34">
        <f>_xll.DBRW($B$1,Cons_Region!$D$9,Cons_Region!N$11,$M$1,Cons_Region!$G$9,Cons_Region!$J$9,$N$1,Cons_Region!$B63,$L$1,$K$1)</f>
        <v>0.237631787645492</v>
      </c>
    </row>
    <row r="64" spans="2:14" s="1" customFormat="1" ht="15.75" customHeight="1" x14ac:dyDescent="0.25">
      <c r="B64" s="24" t="s">
        <v>63</v>
      </c>
      <c r="C64" s="21">
        <f>_xll.DBRW($B$1,Cons_Region!$D$9,Cons_Region!C$11,$M$1,Cons_Region!$G$9,Cons_Region!$J$9,$N$1,Cons_Region!$B64,$L$1,$K$1)</f>
        <v>0</v>
      </c>
      <c r="D64" s="21">
        <f>_xll.DBRW($B$1,Cons_Region!$D$9,Cons_Region!D$11,$M$1,Cons_Region!$G$9,Cons_Region!$J$9,$N$1,Cons_Region!$B64,$L$1,$K$1)</f>
        <v>0</v>
      </c>
      <c r="E64" s="21">
        <f>_xll.DBRW($B$1,Cons_Region!$D$9,Cons_Region!E$11,$M$1,Cons_Region!$G$9,Cons_Region!$J$9,$N$1,Cons_Region!$B64,$L$1,$K$1)</f>
        <v>0</v>
      </c>
      <c r="F64" s="21">
        <f>_xll.DBRW($B$1,Cons_Region!$D$9,Cons_Region!F$11,$M$1,Cons_Region!$G$9,Cons_Region!$J$9,$N$1,Cons_Region!$B64,$L$1,$K$1)</f>
        <v>0</v>
      </c>
      <c r="G64" s="21">
        <f>_xll.DBRW($B$1,Cons_Region!$D$9,Cons_Region!G$11,$M$1,Cons_Region!$G$9,Cons_Region!$J$9,$N$1,Cons_Region!$B64,$L$1,$K$1)</f>
        <v>0</v>
      </c>
      <c r="H64" s="21">
        <f>_xll.DBRW($B$1,Cons_Region!$D$9,Cons_Region!H$11,$M$1,Cons_Region!$G$9,Cons_Region!$J$9,$N$1,Cons_Region!$B64,$L$1,$K$1)</f>
        <v>0</v>
      </c>
      <c r="I64" s="21">
        <f>_xll.DBRW($B$1,Cons_Region!$D$9,Cons_Region!I$11,$M$1,Cons_Region!$G$9,Cons_Region!$J$9,$N$1,Cons_Region!$B64,$L$1,$K$1)</f>
        <v>0</v>
      </c>
      <c r="J64" s="21">
        <f>_xll.DBRW($B$1,Cons_Region!$D$9,Cons_Region!J$11,$M$1,Cons_Region!$G$9,Cons_Region!$J$9,$N$1,Cons_Region!$B64,$L$1,$K$1)</f>
        <v>0</v>
      </c>
      <c r="K64" s="21">
        <f>_xll.DBRW($B$1,Cons_Region!$D$9,Cons_Region!K$11,$M$1,Cons_Region!$G$9,Cons_Region!$J$9,$N$1,Cons_Region!$B64,$L$1,$K$1)</f>
        <v>0</v>
      </c>
      <c r="L64" s="21">
        <f>_xll.DBRW($B$1,Cons_Region!$D$9,Cons_Region!L$11,$M$1,Cons_Region!$G$9,Cons_Region!$J$9,$N$1,Cons_Region!$B64,$L$1,$K$1)</f>
        <v>0</v>
      </c>
      <c r="M64" s="21">
        <f>_xll.DBRW($B$1,Cons_Region!$D$9,Cons_Region!M$11,$M$1,Cons_Region!$G$9,Cons_Region!$J$9,$N$1,Cons_Region!$B64,$L$1,$K$1)</f>
        <v>0</v>
      </c>
      <c r="N64" s="21">
        <f>_xll.DBRW($B$1,Cons_Region!$D$9,Cons_Region!N$11,$M$1,Cons_Region!$G$9,Cons_Region!$J$9,$N$1,Cons_Region!$B64,$L$1,$K$1)</f>
        <v>0</v>
      </c>
    </row>
    <row r="65" spans="2:14" s="1" customFormat="1" ht="15.75" customHeight="1" x14ac:dyDescent="0.25">
      <c r="B65" s="24" t="s">
        <v>27</v>
      </c>
      <c r="C65" s="21">
        <f>_xll.DBRW($B$3,Cons_Region!$D$9,Cons_Region!C$11,$M$1,Cons_Region!$G$9,Cons_Region!$J$9,$N$2,Cons_Region!$B65,$K$1)</f>
        <v>1.7295281990036104</v>
      </c>
      <c r="D65" s="21">
        <f>_xll.DBRW($B$3,Cons_Region!$D$9,Cons_Region!D$11,$M$1,Cons_Region!$G$9,Cons_Region!$J$9,$N$2,Cons_Region!$B65,$K$1)</f>
        <v>-5.4000290820190386</v>
      </c>
      <c r="E65" s="21">
        <f>_xll.DBRW($B$3,Cons_Region!$D$9,Cons_Region!E$11,$M$1,Cons_Region!$G$9,Cons_Region!$J$9,$N$2,Cons_Region!$B65,$K$1)</f>
        <v>-6.8554214023186795</v>
      </c>
      <c r="F65" s="21">
        <f>_xll.DBRW($B$3,Cons_Region!$D$9,Cons_Region!F$11,$M$1,Cons_Region!$G$9,Cons_Region!$J$9,$N$2,Cons_Region!$B65,$K$1)</f>
        <v>-6.9932326587626497</v>
      </c>
      <c r="G65" s="21">
        <f>_xll.DBRW($B$3,Cons_Region!$D$9,Cons_Region!G$11,$M$1,Cons_Region!$G$9,Cons_Region!$J$9,$N$2,Cons_Region!$B65,$K$1)</f>
        <v>-6.2571222829202497</v>
      </c>
      <c r="H65" s="21">
        <f>_xll.DBRW($B$3,Cons_Region!$D$9,Cons_Region!H$11,$M$1,Cons_Region!$G$9,Cons_Region!$J$9,$N$2,Cons_Region!$B65,$K$1)</f>
        <v>-8.4361242333059998</v>
      </c>
      <c r="I65" s="21">
        <f>_xll.DBRW($B$3,Cons_Region!$D$9,Cons_Region!I$11,$M$1,Cons_Region!$G$9,Cons_Region!$J$9,$N$2,Cons_Region!$B65,$K$1)</f>
        <v>-4.9359175848213344</v>
      </c>
      <c r="J65" s="21">
        <f>_xll.DBRW($B$3,Cons_Region!$D$9,Cons_Region!J$11,$M$1,Cons_Region!$G$9,Cons_Region!$J$9,$N$2,Cons_Region!$B65,$K$1)</f>
        <v>-7.0739169178564403</v>
      </c>
      <c r="K65" s="21">
        <f>_xll.DBRW($B$3,Cons_Region!$D$9,Cons_Region!K$11,$M$1,Cons_Region!$G$9,Cons_Region!$J$9,$N$2,Cons_Region!$B65,$K$1)</f>
        <v>-8.07665852987083</v>
      </c>
      <c r="L65" s="21">
        <f>_xll.DBRW($B$3,Cons_Region!$D$9,Cons_Region!L$11,$M$1,Cons_Region!$G$9,Cons_Region!$J$9,$N$2,Cons_Region!$B65,$K$1)</f>
        <v>-7.3251159693399899</v>
      </c>
      <c r="M65" s="21">
        <f>_xll.DBRW($B$3,Cons_Region!$D$9,Cons_Region!M$11,$M$1,Cons_Region!$G$9,Cons_Region!$J$9,$N$2,Cons_Region!$B65,$K$1)</f>
        <v>-6.5676838294969899</v>
      </c>
      <c r="N65" s="21">
        <f>_xll.DBRW($B$3,Cons_Region!$D$9,Cons_Region!N$11,$M$1,Cons_Region!$G$9,Cons_Region!$J$9,$N$2,Cons_Region!$B65,$K$1)</f>
        <v>-7.2190236468359004</v>
      </c>
    </row>
    <row r="66" spans="2:14" s="1" customFormat="1" ht="15.75" customHeight="1" x14ac:dyDescent="0.25">
      <c r="B66" s="22" t="s">
        <v>76</v>
      </c>
      <c r="C66" s="21">
        <f>_xll.DBRW($B$3,Cons_Region!$D$9,Cons_Region!C$11,$M$1,Cons_Region!$G$9,Cons_Region!$J$9,$N$2,Cons_Region!$B66,$K$1)</f>
        <v>-34.466163659238944</v>
      </c>
      <c r="D66" s="21">
        <f>_xll.DBRW($B$3,Cons_Region!$D$9,Cons_Region!D$11,$M$1,Cons_Region!$G$9,Cons_Region!$J$9,$N$2,Cons_Region!$B66,$K$1)</f>
        <v>-41.093336457869597</v>
      </c>
      <c r="E66" s="21">
        <f>_xll.DBRW($B$3,Cons_Region!$D$9,Cons_Region!E$11,$M$1,Cons_Region!$G$9,Cons_Region!$J$9,$N$2,Cons_Region!$B66,$K$1)</f>
        <v>-21.107742445851109</v>
      </c>
      <c r="F66" s="21">
        <f>_xll.DBRW($B$3,Cons_Region!$D$9,Cons_Region!F$11,$M$1,Cons_Region!$G$9,Cons_Region!$J$9,$N$2,Cons_Region!$B66,$K$1)</f>
        <v>4.0464503492360073</v>
      </c>
      <c r="G66" s="21">
        <f>_xll.DBRW($B$3,Cons_Region!$D$9,Cons_Region!G$11,$M$1,Cons_Region!$G$9,Cons_Region!$J$9,$N$2,Cons_Region!$B66,$K$1)</f>
        <v>32.014190919541399</v>
      </c>
      <c r="H66" s="21">
        <f>_xll.DBRW($B$3,Cons_Region!$D$9,Cons_Region!H$11,$M$1,Cons_Region!$G$9,Cons_Region!$J$9,$N$2,Cons_Region!$B66,$K$1)</f>
        <v>39.144407113619486</v>
      </c>
      <c r="I66" s="21">
        <f>_xll.DBRW($B$3,Cons_Region!$D$9,Cons_Region!I$11,$M$1,Cons_Region!$G$9,Cons_Region!$J$9,$N$2,Cons_Region!$B66,$K$1)</f>
        <v>44.060360812315722</v>
      </c>
      <c r="J66" s="21">
        <f>_xll.DBRW($B$3,Cons_Region!$D$9,Cons_Region!J$11,$M$1,Cons_Region!$G$9,Cons_Region!$J$9,$N$2,Cons_Region!$B66,$K$1)</f>
        <v>40.822865858307424</v>
      </c>
      <c r="K66" s="21">
        <f>_xll.DBRW($B$3,Cons_Region!$D$9,Cons_Region!K$11,$M$1,Cons_Region!$G$9,Cons_Region!$J$9,$N$2,Cons_Region!$B66,$K$1)</f>
        <v>35.451156571916457</v>
      </c>
      <c r="L66" s="21">
        <f>_xll.DBRW($B$3,Cons_Region!$D$9,Cons_Region!L$11,$M$1,Cons_Region!$G$9,Cons_Region!$J$9,$N$2,Cons_Region!$B66,$K$1)</f>
        <v>36.720041113468845</v>
      </c>
      <c r="M66" s="21">
        <f>_xll.DBRW($B$3,Cons_Region!$D$9,Cons_Region!M$11,$M$1,Cons_Region!$G$9,Cons_Region!$J$9,$N$2,Cons_Region!$B66,$K$1)</f>
        <v>24.827359773243025</v>
      </c>
      <c r="N66" s="21">
        <f>_xll.DBRW($B$3,Cons_Region!$D$9,Cons_Region!N$11,$M$1,Cons_Region!$G$9,Cons_Region!$J$9,$N$2,Cons_Region!$B66,$K$1)</f>
        <v>-3.0858795153166056</v>
      </c>
    </row>
    <row r="68" spans="2:14" s="1" customFormat="1" ht="15.75" customHeight="1" thickBot="1" x14ac:dyDescent="0.3">
      <c r="B68" s="10"/>
    </row>
    <row r="69" spans="2:14" s="1" customFormat="1" ht="15.75" customHeight="1" thickTop="1" x14ac:dyDescent="0.25">
      <c r="B69" s="9" t="s">
        <v>77</v>
      </c>
    </row>
    <row r="71" spans="2:14" s="1" customFormat="1" ht="15.75" customHeight="1" x14ac:dyDescent="0.25">
      <c r="B71" s="5"/>
      <c r="C71" s="18" t="str">
        <f t="shared" ref="C71:N71" si="5">$D$9&amp;"."&amp;C$11</f>
        <v>2026.01</v>
      </c>
      <c r="D71" s="18" t="str">
        <f t="shared" si="5"/>
        <v>2026.02</v>
      </c>
      <c r="E71" s="18" t="str">
        <f t="shared" si="5"/>
        <v>2026.03</v>
      </c>
      <c r="F71" s="18" t="str">
        <f t="shared" si="5"/>
        <v>2026.04</v>
      </c>
      <c r="G71" s="18" t="str">
        <f t="shared" si="5"/>
        <v>2026.05</v>
      </c>
      <c r="H71" s="18" t="str">
        <f t="shared" si="5"/>
        <v>2026.06</v>
      </c>
      <c r="I71" s="18" t="str">
        <f t="shared" si="5"/>
        <v>2026.07</v>
      </c>
      <c r="J71" s="18" t="str">
        <f t="shared" si="5"/>
        <v>2026.08</v>
      </c>
      <c r="K71" s="18" t="str">
        <f t="shared" si="5"/>
        <v>2026.09</v>
      </c>
      <c r="L71" s="18" t="str">
        <f t="shared" si="5"/>
        <v>2026.10</v>
      </c>
      <c r="M71" s="18" t="str">
        <f t="shared" si="5"/>
        <v>2026.11</v>
      </c>
      <c r="N71" s="18" t="str">
        <f t="shared" si="5"/>
        <v>2026.12</v>
      </c>
    </row>
    <row r="72" spans="2:14" s="1" customFormat="1" ht="15.75" customHeight="1" x14ac:dyDescent="0.25">
      <c r="B72" s="17" t="s">
        <v>28</v>
      </c>
      <c r="C72" s="16">
        <f>_xll.DBRW($B$1,Cons_Region!$D$9,Cons_Region!C$11,$M$1,Cons_Region!$G$9,Cons_Region!$J$9,$N$1,Cons_Region!$B72,$L$1,$K$1)</f>
        <v>0</v>
      </c>
      <c r="D72" s="16">
        <f>_xll.DBRW($B$1,Cons_Region!$D$9,Cons_Region!D$11,$M$1,Cons_Region!$G$9,Cons_Region!$J$9,$N$1,Cons_Region!$B72,$L$1,$K$1)</f>
        <v>0</v>
      </c>
      <c r="E72" s="16">
        <f>_xll.DBRW($B$1,Cons_Region!$D$9,Cons_Region!E$11,$M$1,Cons_Region!$G$9,Cons_Region!$J$9,$N$1,Cons_Region!$B72,$L$1,$K$1)</f>
        <v>0</v>
      </c>
      <c r="F72" s="16">
        <f>_xll.DBRW($B$1,Cons_Region!$D$9,Cons_Region!F$11,$M$1,Cons_Region!$G$9,Cons_Region!$J$9,$N$1,Cons_Region!$B72,$L$1,$K$1)</f>
        <v>0</v>
      </c>
      <c r="G72" s="16">
        <f>_xll.DBRW($B$1,Cons_Region!$D$9,Cons_Region!G$11,$M$1,Cons_Region!$G$9,Cons_Region!$J$9,$N$1,Cons_Region!$B72,$L$1,$K$1)</f>
        <v>0</v>
      </c>
      <c r="H72" s="16">
        <f>_xll.DBRW($B$1,Cons_Region!$D$9,Cons_Region!H$11,$M$1,Cons_Region!$G$9,Cons_Region!$J$9,$N$1,Cons_Region!$B72,$L$1,$K$1)</f>
        <v>0</v>
      </c>
      <c r="I72" s="16">
        <f>_xll.DBRW($B$1,Cons_Region!$D$9,Cons_Region!I$11,$M$1,Cons_Region!$G$9,Cons_Region!$J$9,$N$1,Cons_Region!$B72,$L$1,$K$1)</f>
        <v>0</v>
      </c>
      <c r="J72" s="16">
        <f>_xll.DBRW($B$1,Cons_Region!$D$9,Cons_Region!J$11,$M$1,Cons_Region!$G$9,Cons_Region!$J$9,$N$1,Cons_Region!$B72,$L$1,$K$1)</f>
        <v>0</v>
      </c>
      <c r="K72" s="16">
        <f>_xll.DBRW($B$1,Cons_Region!$D$9,Cons_Region!K$11,$M$1,Cons_Region!$G$9,Cons_Region!$J$9,$N$1,Cons_Region!$B72,$L$1,$K$1)</f>
        <v>0</v>
      </c>
      <c r="L72" s="16">
        <f>_xll.DBRW($B$1,Cons_Region!$D$9,Cons_Region!L$11,$M$1,Cons_Region!$G$9,Cons_Region!$J$9,$N$1,Cons_Region!$B72,$L$1,$K$1)</f>
        <v>0</v>
      </c>
      <c r="M72" s="16">
        <f>_xll.DBRW($B$1,Cons_Region!$D$9,Cons_Region!M$11,$M$1,Cons_Region!$G$9,Cons_Region!$J$9,$N$1,Cons_Region!$B72,$L$1,$K$1)</f>
        <v>0</v>
      </c>
      <c r="N72" s="16">
        <f>_xll.DBRW($B$1,Cons_Region!$D$9,Cons_Region!N$11,$M$1,Cons_Region!$G$9,Cons_Region!$J$9,$N$1,Cons_Region!$B72,$L$1,$K$1)</f>
        <v>0</v>
      </c>
    </row>
    <row r="73" spans="2:14" s="1" customFormat="1" ht="15.75" customHeight="1" x14ac:dyDescent="0.25">
      <c r="B73" s="24" t="s">
        <v>78</v>
      </c>
      <c r="C73" s="30">
        <f>_xll.DBRW($C$1,Cons_Region!$D$9,Cons_Region!C$11,$M$1,Cons_Region!$J$9,Cons_Region!$B73,$K$1)</f>
        <v>0</v>
      </c>
      <c r="D73" s="30">
        <f>_xll.DBRW($C$1,Cons_Region!$D$9,Cons_Region!D$11,$M$1,Cons_Region!$J$9,Cons_Region!$B73,$K$1)</f>
        <v>0</v>
      </c>
      <c r="E73" s="30">
        <f>_xll.DBRW($C$1,Cons_Region!$D$9,Cons_Region!E$11,$M$1,Cons_Region!$J$9,Cons_Region!$B73,$K$1)</f>
        <v>0</v>
      </c>
      <c r="F73" s="30">
        <f>_xll.DBRW($C$1,Cons_Region!$D$9,Cons_Region!F$11,$M$1,Cons_Region!$J$9,Cons_Region!$B73,$K$1)</f>
        <v>0</v>
      </c>
      <c r="G73" s="30">
        <f>_xll.DBRW($C$1,Cons_Region!$D$9,Cons_Region!G$11,$M$1,Cons_Region!$J$9,Cons_Region!$B73,$K$1)</f>
        <v>0</v>
      </c>
      <c r="H73" s="30">
        <f>_xll.DBRW($C$1,Cons_Region!$D$9,Cons_Region!H$11,$M$1,Cons_Region!$J$9,Cons_Region!$B73,$K$1)</f>
        <v>0</v>
      </c>
      <c r="I73" s="30">
        <f>_xll.DBRW($C$1,Cons_Region!$D$9,Cons_Region!I$11,$M$1,Cons_Region!$J$9,Cons_Region!$B73,$K$1)</f>
        <v>0</v>
      </c>
      <c r="J73" s="30">
        <f>_xll.DBRW($C$1,Cons_Region!$D$9,Cons_Region!J$11,$M$1,Cons_Region!$J$9,Cons_Region!$B73,$K$1)</f>
        <v>0</v>
      </c>
      <c r="K73" s="30">
        <f>_xll.DBRW($C$1,Cons_Region!$D$9,Cons_Region!K$11,$M$1,Cons_Region!$J$9,Cons_Region!$B73,$K$1)</f>
        <v>0</v>
      </c>
      <c r="L73" s="30">
        <f>_xll.DBRW($C$1,Cons_Region!$D$9,Cons_Region!L$11,$M$1,Cons_Region!$J$9,Cons_Region!$B73,$K$1)</f>
        <v>0</v>
      </c>
      <c r="M73" s="30">
        <f>_xll.DBRW($C$1,Cons_Region!$D$9,Cons_Region!M$11,$M$1,Cons_Region!$J$9,Cons_Region!$B73,$K$1)</f>
        <v>0</v>
      </c>
      <c r="N73" s="30">
        <f>_xll.DBRW($C$1,Cons_Region!$D$9,Cons_Region!N$11,$M$1,Cons_Region!$J$9,Cons_Region!$B73,$K$1)</f>
        <v>0</v>
      </c>
    </row>
    <row r="74" spans="2:14" s="1" customFormat="1" ht="15.75" customHeight="1" x14ac:dyDescent="0.25">
      <c r="B74" s="25" t="s">
        <v>29</v>
      </c>
      <c r="C74" s="34">
        <f>_xll.DBRW($B$1,Cons_Region!$D$9,Cons_Region!C$11,$M$1,Cons_Region!$G$9,Cons_Region!$J$9,$N$1,Cons_Region!$B74,$L$1,$K$1)</f>
        <v>-10.003639776183601</v>
      </c>
      <c r="D74" s="34">
        <f>_xll.DBRW($B$1,Cons_Region!$D$9,Cons_Region!D$11,$M$1,Cons_Region!$G$9,Cons_Region!$J$9,$N$1,Cons_Region!$B74,$L$1,$K$1)</f>
        <v>-11.6073752913127</v>
      </c>
      <c r="E74" s="34">
        <f>_xll.DBRW($B$1,Cons_Region!$D$9,Cons_Region!E$11,$M$1,Cons_Region!$G$9,Cons_Region!$J$9,$N$1,Cons_Region!$B74,$L$1,$K$1)</f>
        <v>-5.2767612970507898</v>
      </c>
      <c r="F74" s="34">
        <f>_xll.DBRW($B$1,Cons_Region!$D$9,Cons_Region!F$11,$M$1,Cons_Region!$G$9,Cons_Region!$J$9,$N$1,Cons_Region!$B74,$L$1,$K$1)</f>
        <v>1.0117658902203399</v>
      </c>
      <c r="G74" s="34">
        <f>_xll.DBRW($B$1,Cons_Region!$D$9,Cons_Region!G$11,$M$1,Cons_Region!$G$9,Cons_Region!$J$9,$N$1,Cons_Region!$B74,$L$1,$K$1)</f>
        <v>8.0034337148478905</v>
      </c>
      <c r="H74" s="34">
        <f>_xll.DBRW($B$1,Cons_Region!$D$9,Cons_Region!H$11,$M$1,Cons_Region!$G$9,Cons_Region!$J$9,$N$1,Cons_Region!$B74,$L$1,$K$1)</f>
        <v>9.7859701908686905</v>
      </c>
      <c r="I74" s="34">
        <f>_xll.DBRW($B$1,Cons_Region!$D$9,Cons_Region!I$11,$M$1,Cons_Region!$G$9,Cons_Region!$J$9,$N$1,Cons_Region!$B74,$L$1,$K$1)</f>
        <v>11.015265789307</v>
      </c>
      <c r="J74" s="34">
        <f>_xll.DBRW($B$1,Cons_Region!$D$9,Cons_Region!J$11,$M$1,Cons_Region!$G$9,Cons_Region!$J$9,$N$1,Cons_Region!$B74,$L$1,$K$1)</f>
        <v>10.2058655041123</v>
      </c>
      <c r="K74" s="34">
        <f>_xll.DBRW($B$1,Cons_Region!$D$9,Cons_Region!K$11,$M$1,Cons_Region!$G$9,Cons_Region!$J$9,$N$1,Cons_Region!$B74,$L$1,$K$1)</f>
        <v>8.5085016091267995</v>
      </c>
      <c r="L74" s="34">
        <f>_xll.DBRW($B$1,Cons_Region!$D$9,Cons_Region!L$11,$M$1,Cons_Region!$G$9,Cons_Region!$J$9,$N$1,Cons_Region!$B74,$L$1,$K$1)</f>
        <v>7.3439118494500297</v>
      </c>
      <c r="M74" s="34">
        <f>_xll.DBRW($B$1,Cons_Region!$D$9,Cons_Region!M$11,$M$1,Cons_Region!$G$9,Cons_Region!$J$9,$N$1,Cons_Region!$B74,$L$1,$K$1)</f>
        <v>4.9656596929652004</v>
      </c>
      <c r="N74" s="34">
        <f>_xll.DBRW($B$1,Cons_Region!$D$9,Cons_Region!N$11,$M$1,Cons_Region!$G$9,Cons_Region!$J$9,$N$1,Cons_Region!$B74,$L$1,$K$1)</f>
        <v>4.3826529415587503</v>
      </c>
    </row>
    <row r="75" spans="2:14" s="1" customFormat="1" ht="15.75" customHeight="1" x14ac:dyDescent="0.25">
      <c r="B75" s="24" t="s">
        <v>77</v>
      </c>
      <c r="C75" s="21">
        <f>_xll.DBRW($B$3,Cons_Region!$D$9,Cons_Region!C$11,$M$1,Cons_Region!$G$9,Cons_Region!$J$9,$N$2,Cons_Region!$B75,$K$1)</f>
        <v>-24.462523883055333</v>
      </c>
      <c r="D75" s="21">
        <f>_xll.DBRW($B$3,Cons_Region!$D$9,Cons_Region!D$11,$M$1,Cons_Region!$G$9,Cons_Region!$J$9,$N$2,Cons_Region!$B75,$K$1)</f>
        <v>-29.485961166556894</v>
      </c>
      <c r="E75" s="21">
        <f>_xll.DBRW($B$3,Cons_Region!$D$9,Cons_Region!E$11,$M$1,Cons_Region!$G$9,Cons_Region!$J$9,$N$2,Cons_Region!$B75,$K$1)</f>
        <v>-15.830981148800326</v>
      </c>
      <c r="F75" s="21">
        <f>_xll.DBRW($B$3,Cons_Region!$D$9,Cons_Region!F$11,$M$1,Cons_Region!$G$9,Cons_Region!$J$9,$N$2,Cons_Region!$B75,$K$1)</f>
        <v>3.0346844590156614</v>
      </c>
      <c r="G75" s="21">
        <f>_xll.DBRW($B$3,Cons_Region!$D$9,Cons_Region!G$11,$M$1,Cons_Region!$G$9,Cons_Region!$J$9,$N$2,Cons_Region!$B75,$K$1)</f>
        <v>24.010757204693512</v>
      </c>
      <c r="H75" s="21">
        <f>_xll.DBRW($B$3,Cons_Region!$D$9,Cons_Region!H$11,$M$1,Cons_Region!$G$9,Cons_Region!$J$9,$N$2,Cons_Region!$B75,$K$1)</f>
        <v>29.358436922750791</v>
      </c>
      <c r="I75" s="21">
        <f>_xll.DBRW($B$3,Cons_Region!$D$9,Cons_Region!I$11,$M$1,Cons_Region!$G$9,Cons_Region!$J$9,$N$2,Cons_Region!$B75,$K$1)</f>
        <v>33.045095023008727</v>
      </c>
      <c r="J75" s="21">
        <f>_xll.DBRW($B$3,Cons_Region!$D$9,Cons_Region!J$11,$M$1,Cons_Region!$G$9,Cons_Region!$J$9,$N$2,Cons_Region!$B75,$K$1)</f>
        <v>30.617000354195127</v>
      </c>
      <c r="K75" s="21">
        <f>_xll.DBRW($B$3,Cons_Region!$D$9,Cons_Region!K$11,$M$1,Cons_Region!$G$9,Cons_Region!$J$9,$N$2,Cons_Region!$B75,$K$1)</f>
        <v>26.942654962789661</v>
      </c>
      <c r="L75" s="21">
        <f>_xll.DBRW($B$3,Cons_Region!$D$9,Cons_Region!L$11,$M$1,Cons_Region!$G$9,Cons_Region!$J$9,$N$2,Cons_Region!$B75,$K$1)</f>
        <v>29.376129264018822</v>
      </c>
      <c r="M75" s="21">
        <f>_xll.DBRW($B$3,Cons_Region!$D$9,Cons_Region!M$11,$M$1,Cons_Region!$G$9,Cons_Region!$J$9,$N$2,Cons_Region!$B75,$K$1)</f>
        <v>19.861700080277821</v>
      </c>
      <c r="N75" s="21">
        <f>_xll.DBRW($B$3,Cons_Region!$D$9,Cons_Region!N$11,$M$1,Cons_Region!$G$9,Cons_Region!$J$9,$N$2,Cons_Region!$B75,$K$1)</f>
        <v>-7.4685324568753515</v>
      </c>
    </row>
    <row r="78" spans="2:14" s="1" customFormat="1" ht="15.75" customHeight="1" x14ac:dyDescent="0.25">
      <c r="B78" s="9" t="s">
        <v>80</v>
      </c>
    </row>
    <row r="80" spans="2:14" s="1" customFormat="1" ht="15.75" customHeight="1" x14ac:dyDescent="0.25">
      <c r="B80" s="5"/>
      <c r="C80" s="18" t="str">
        <f t="shared" ref="C80:N80" si="6">$D$9&amp;"."&amp;C$11</f>
        <v>2026.01</v>
      </c>
      <c r="D80" s="18" t="str">
        <f t="shared" si="6"/>
        <v>2026.02</v>
      </c>
      <c r="E80" s="18" t="str">
        <f t="shared" si="6"/>
        <v>2026.03</v>
      </c>
      <c r="F80" s="18" t="str">
        <f t="shared" si="6"/>
        <v>2026.04</v>
      </c>
      <c r="G80" s="18" t="str">
        <f t="shared" si="6"/>
        <v>2026.05</v>
      </c>
      <c r="H80" s="18" t="str">
        <f t="shared" si="6"/>
        <v>2026.06</v>
      </c>
      <c r="I80" s="18" t="str">
        <f t="shared" si="6"/>
        <v>2026.07</v>
      </c>
      <c r="J80" s="18" t="str">
        <f t="shared" si="6"/>
        <v>2026.08</v>
      </c>
      <c r="K80" s="18" t="str">
        <f t="shared" si="6"/>
        <v>2026.09</v>
      </c>
      <c r="L80" s="18" t="str">
        <f t="shared" si="6"/>
        <v>2026.10</v>
      </c>
      <c r="M80" s="18" t="str">
        <f t="shared" si="6"/>
        <v>2026.11</v>
      </c>
      <c r="N80" s="18" t="str">
        <f t="shared" si="6"/>
        <v>2026.12</v>
      </c>
    </row>
    <row r="81" spans="2:14" s="1" customFormat="1" ht="15.75" customHeight="1" x14ac:dyDescent="0.25">
      <c r="B81" s="25" t="s">
        <v>79</v>
      </c>
      <c r="C81" s="26">
        <f>_xll.DBRW($C$1,Cons_Region!$D$9,Cons_Region!C$11,$M$1,Cons_Region!$J$9,Cons_Region!$B81,$K$1)</f>
        <v>0.17</v>
      </c>
      <c r="D81" s="26">
        <f>_xll.DBRW($C$1,Cons_Region!$D$9,Cons_Region!D$11,$M$1,Cons_Region!$J$9,Cons_Region!$B81,$K$1)</f>
        <v>0.17</v>
      </c>
      <c r="E81" s="26">
        <f>_xll.DBRW($C$1,Cons_Region!$D$9,Cons_Region!E$11,$M$1,Cons_Region!$J$9,Cons_Region!$B81,$K$1)</f>
        <v>0.17</v>
      </c>
      <c r="F81" s="26">
        <f>_xll.DBRW($C$1,Cons_Region!$D$9,Cons_Region!F$11,$M$1,Cons_Region!$J$9,Cons_Region!$B81,$K$1)</f>
        <v>0.17</v>
      </c>
      <c r="G81" s="26">
        <f>_xll.DBRW($C$1,Cons_Region!$D$9,Cons_Region!G$11,$M$1,Cons_Region!$J$9,Cons_Region!$B81,$K$1)</f>
        <v>0.17</v>
      </c>
      <c r="H81" s="26">
        <f>_xll.DBRW($C$1,Cons_Region!$D$9,Cons_Region!H$11,$M$1,Cons_Region!$J$9,Cons_Region!$B81,$K$1)</f>
        <v>0.17</v>
      </c>
      <c r="I81" s="26">
        <f>_xll.DBRW($C$1,Cons_Region!$D$9,Cons_Region!I$11,$M$1,Cons_Region!$J$9,Cons_Region!$B81,$K$1)</f>
        <v>0.17</v>
      </c>
      <c r="J81" s="26">
        <f>_xll.DBRW($C$1,Cons_Region!$D$9,Cons_Region!J$11,$M$1,Cons_Region!$J$9,Cons_Region!$B81,$K$1)</f>
        <v>0.17</v>
      </c>
      <c r="K81" s="26">
        <f>_xll.DBRW($C$1,Cons_Region!$D$9,Cons_Region!K$11,$M$1,Cons_Region!$J$9,Cons_Region!$B81,$K$1)</f>
        <v>0.17</v>
      </c>
      <c r="L81" s="26">
        <f>_xll.DBRW($C$1,Cons_Region!$D$9,Cons_Region!L$11,$M$1,Cons_Region!$J$9,Cons_Region!$B81,$K$1)</f>
        <v>0.17</v>
      </c>
      <c r="M81" s="26">
        <f>_xll.DBRW($C$1,Cons_Region!$D$9,Cons_Region!M$11,$M$1,Cons_Region!$J$9,Cons_Region!$B81,$K$1)</f>
        <v>0.17</v>
      </c>
      <c r="N81" s="26">
        <f>_xll.DBRW($C$1,Cons_Region!$D$9,Cons_Region!N$11,$M$1,Cons_Region!$J$9,Cons_Region!$B81,$K$1)</f>
        <v>0.17</v>
      </c>
    </row>
    <row r="82" spans="2:14" s="1" customFormat="1" ht="15.75" customHeight="1" x14ac:dyDescent="0.25">
      <c r="B82" s="24" t="s">
        <v>81</v>
      </c>
      <c r="C82" s="21">
        <f>_xll.DBRW($B$3,Cons_Region!$D$9,Cons_Region!C$11,$M$1,Cons_Region!$G$9,Cons_Region!$J$9,$N$2,Cons_Region!$B82,$K$1)</f>
        <v>-4.1586290601194076</v>
      </c>
      <c r="D82" s="21">
        <f>_xll.DBRW($B$3,Cons_Region!$D$9,Cons_Region!D$11,$M$1,Cons_Region!$G$9,Cons_Region!$J$9,$N$2,Cons_Region!$B82,$K$1)</f>
        <v>-5.0126133983146719</v>
      </c>
      <c r="E82" s="21">
        <f>_xll.DBRW($B$3,Cons_Region!$D$9,Cons_Region!E$11,$M$1,Cons_Region!$G$9,Cons_Region!$J$9,$N$2,Cons_Region!$B82,$K$1)</f>
        <v>-2.6912667952960549</v>
      </c>
      <c r="F82" s="21">
        <f>_xll.DBRW($B$3,Cons_Region!$D$9,Cons_Region!F$11,$M$1,Cons_Region!$G$9,Cons_Region!$J$9,$N$2,Cons_Region!$B82,$K$1)</f>
        <v>0.5158963580326601</v>
      </c>
      <c r="G82" s="21">
        <f>_xll.DBRW($B$3,Cons_Region!$D$9,Cons_Region!G$11,$M$1,Cons_Region!$G$9,Cons_Region!$J$9,$N$2,Cons_Region!$B82,$K$1)</f>
        <v>4.0818287247978953</v>
      </c>
      <c r="H82" s="21">
        <f>_xll.DBRW($B$3,Cons_Region!$D$9,Cons_Region!H$11,$M$1,Cons_Region!$G$9,Cons_Region!$J$9,$N$2,Cons_Region!$B82,$K$1)</f>
        <v>4.9909342768676392</v>
      </c>
      <c r="I82" s="21">
        <f>_xll.DBRW($B$3,Cons_Region!$D$9,Cons_Region!I$11,$M$1,Cons_Region!$G$9,Cons_Region!$J$9,$N$2,Cons_Region!$B82,$K$1)</f>
        <v>5.6176661539114843</v>
      </c>
      <c r="J82" s="21">
        <f>_xll.DBRW($B$3,Cons_Region!$D$9,Cons_Region!J$11,$M$1,Cons_Region!$G$9,Cons_Region!$J$9,$N$2,Cons_Region!$B82,$K$1)</f>
        <v>5.2048900602131702</v>
      </c>
      <c r="K82" s="21">
        <f>_xll.DBRW($B$3,Cons_Region!$D$9,Cons_Region!K$11,$M$1,Cons_Region!$G$9,Cons_Region!$J$9,$N$2,Cons_Region!$B82,$K$1)</f>
        <v>4.5802513436742442</v>
      </c>
      <c r="L82" s="21">
        <f>_xll.DBRW($B$3,Cons_Region!$D$9,Cons_Region!L$11,$M$1,Cons_Region!$G$9,Cons_Region!$J$9,$N$2,Cons_Region!$B82,$K$1)</f>
        <v>4.9939419748831995</v>
      </c>
      <c r="M82" s="21">
        <f>_xll.DBRW($B$3,Cons_Region!$D$9,Cons_Region!M$11,$M$1,Cons_Region!$G$9,Cons_Region!$J$9,$N$2,Cons_Region!$B82,$K$1)</f>
        <v>3.3764890136472276</v>
      </c>
      <c r="N82" s="21">
        <f>_xll.DBRW($B$3,Cons_Region!$D$9,Cons_Region!N$11,$M$1,Cons_Region!$G$9,Cons_Region!$J$9,$N$2,Cons_Region!$B82,$K$1)</f>
        <v>-1.2696505176688091</v>
      </c>
    </row>
    <row r="83" spans="2:14" s="1" customFormat="1" ht="15.75" customHeight="1" x14ac:dyDescent="0.25">
      <c r="B83" s="24" t="s">
        <v>80</v>
      </c>
      <c r="C83" s="21">
        <f>_xll.DBRW($B$3,Cons_Region!$D$9,Cons_Region!C$11,$M$1,Cons_Region!$G$9,Cons_Region!$J$9,$N$2,Cons_Region!$B83,$K$1)</f>
        <v>-20.303894822935931</v>
      </c>
      <c r="D83" s="21">
        <f>_xll.DBRW($B$3,Cons_Region!$D$9,Cons_Region!D$11,$M$1,Cons_Region!$G$9,Cons_Region!$J$9,$N$2,Cons_Region!$B83,$K$1)</f>
        <v>-24.473347768242224</v>
      </c>
      <c r="E83" s="21">
        <f>_xll.DBRW($B$3,Cons_Region!$D$9,Cons_Region!E$11,$M$1,Cons_Region!$G$9,Cons_Region!$J$9,$N$2,Cons_Region!$B83,$K$1)</f>
        <v>-13.139714353504271</v>
      </c>
      <c r="F83" s="21">
        <f>_xll.DBRW($B$3,Cons_Region!$D$9,Cons_Region!F$11,$M$1,Cons_Region!$G$9,Cons_Region!$J$9,$N$2,Cons_Region!$B83,$K$1)</f>
        <v>2.5187881009830022</v>
      </c>
      <c r="G83" s="21">
        <f>_xll.DBRW($B$3,Cons_Region!$D$9,Cons_Region!G$11,$M$1,Cons_Region!$G$9,Cons_Region!$J$9,$N$2,Cons_Region!$B83,$K$1)</f>
        <v>19.928928479895603</v>
      </c>
      <c r="H83" s="21">
        <f>_xll.DBRW($B$3,Cons_Region!$D$9,Cons_Region!H$11,$M$1,Cons_Region!$G$9,Cons_Region!$J$9,$N$2,Cons_Region!$B83,$K$1)</f>
        <v>24.367502645883164</v>
      </c>
      <c r="I83" s="21">
        <f>_xll.DBRW($B$3,Cons_Region!$D$9,Cons_Region!I$11,$M$1,Cons_Region!$G$9,Cons_Region!$J$9,$N$2,Cons_Region!$B83,$K$1)</f>
        <v>27.427428869097234</v>
      </c>
      <c r="J83" s="21">
        <f>_xll.DBRW($B$3,Cons_Region!$D$9,Cons_Region!J$11,$M$1,Cons_Region!$G$9,Cons_Region!$J$9,$N$2,Cons_Region!$B83,$K$1)</f>
        <v>25.412110293981954</v>
      </c>
      <c r="K83" s="21">
        <f>_xll.DBRW($B$3,Cons_Region!$D$9,Cons_Region!K$11,$M$1,Cons_Region!$G$9,Cons_Region!$J$9,$N$2,Cons_Region!$B83,$K$1)</f>
        <v>22.36240361911543</v>
      </c>
      <c r="L83" s="21">
        <f>_xll.DBRW($B$3,Cons_Region!$D$9,Cons_Region!L$11,$M$1,Cons_Region!$G$9,Cons_Region!$J$9,$N$2,Cons_Region!$B83,$K$1)</f>
        <v>24.382187289135615</v>
      </c>
      <c r="M83" s="21">
        <f>_xll.DBRW($B$3,Cons_Region!$D$9,Cons_Region!M$11,$M$1,Cons_Region!$G$9,Cons_Region!$J$9,$N$2,Cons_Region!$B83,$K$1)</f>
        <v>16.485211066630594</v>
      </c>
      <c r="N83" s="21">
        <f>_xll.DBRW($B$3,Cons_Region!$D$9,Cons_Region!N$11,$M$1,Cons_Region!$G$9,Cons_Region!$J$9,$N$2,Cons_Region!$B83,$K$1)</f>
        <v>-6.1988819392065402</v>
      </c>
    </row>
    <row r="85" spans="2:14" s="1" customFormat="1" ht="15.75" customHeight="1" thickBot="1" x14ac:dyDescent="0.3">
      <c r="B85" s="10"/>
    </row>
    <row r="86" spans="2:14" s="1" customFormat="1" ht="15.75" customHeight="1" thickTop="1" x14ac:dyDescent="0.25">
      <c r="B86" s="9" t="s">
        <v>83</v>
      </c>
    </row>
    <row r="88" spans="2:14" s="1" customFormat="1" ht="15.75" customHeight="1" x14ac:dyDescent="0.25">
      <c r="B88" s="5"/>
      <c r="C88" s="18" t="str">
        <f t="shared" ref="C88:N88" si="7">$D$9&amp;"."&amp;C$11</f>
        <v>2026.01</v>
      </c>
      <c r="D88" s="18" t="str">
        <f t="shared" si="7"/>
        <v>2026.02</v>
      </c>
      <c r="E88" s="18" t="str">
        <f t="shared" si="7"/>
        <v>2026.03</v>
      </c>
      <c r="F88" s="18" t="str">
        <f t="shared" si="7"/>
        <v>2026.04</v>
      </c>
      <c r="G88" s="18" t="str">
        <f t="shared" si="7"/>
        <v>2026.05</v>
      </c>
      <c r="H88" s="18" t="str">
        <f t="shared" si="7"/>
        <v>2026.06</v>
      </c>
      <c r="I88" s="18" t="str">
        <f t="shared" si="7"/>
        <v>2026.07</v>
      </c>
      <c r="J88" s="18" t="str">
        <f t="shared" si="7"/>
        <v>2026.08</v>
      </c>
      <c r="K88" s="18" t="str">
        <f t="shared" si="7"/>
        <v>2026.09</v>
      </c>
      <c r="L88" s="18" t="str">
        <f t="shared" si="7"/>
        <v>2026.10</v>
      </c>
      <c r="M88" s="18" t="str">
        <f t="shared" si="7"/>
        <v>2026.11</v>
      </c>
      <c r="N88" s="18" t="str">
        <f t="shared" si="7"/>
        <v>2026.12</v>
      </c>
    </row>
    <row r="89" spans="2:14" s="1" customFormat="1" ht="15.75" customHeight="1" x14ac:dyDescent="0.25">
      <c r="B89" s="17" t="s">
        <v>297</v>
      </c>
      <c r="C89" s="34" t="e">
        <f>_xll.DBRW($B$1,Cons_Region!$D$9,Cons_Region!C$11,$M$1,Cons_Region!$G$9,Cons_Region!$J$9,$N$1,Cons_Region!$B89,$L$1,$K$1)</f>
        <v>#NUM!</v>
      </c>
      <c r="D89" s="34" t="e">
        <f>_xll.DBRW($B$1,Cons_Region!$D$9,Cons_Region!D$11,$M$1,Cons_Region!$G$9,Cons_Region!$J$9,$N$1,Cons_Region!$B89,$L$1,$K$1)</f>
        <v>#NUM!</v>
      </c>
      <c r="E89" s="34" t="e">
        <f>_xll.DBRW($B$1,Cons_Region!$D$9,Cons_Region!E$11,$M$1,Cons_Region!$G$9,Cons_Region!$J$9,$N$1,Cons_Region!$B89,$L$1,$K$1)</f>
        <v>#NUM!</v>
      </c>
      <c r="F89" s="34" t="e">
        <f>_xll.DBRW($B$1,Cons_Region!$D$9,Cons_Region!F$11,$M$1,Cons_Region!$G$9,Cons_Region!$J$9,$N$1,Cons_Region!$B89,$L$1,$K$1)</f>
        <v>#NUM!</v>
      </c>
      <c r="G89" s="34" t="e">
        <f>_xll.DBRW($B$1,Cons_Region!$D$9,Cons_Region!G$11,$M$1,Cons_Region!$G$9,Cons_Region!$J$9,$N$1,Cons_Region!$B89,$L$1,$K$1)</f>
        <v>#NUM!</v>
      </c>
      <c r="H89" s="34" t="e">
        <f>_xll.DBRW($B$1,Cons_Region!$D$9,Cons_Region!H$11,$M$1,Cons_Region!$G$9,Cons_Region!$J$9,$N$1,Cons_Region!$B89,$L$1,$K$1)</f>
        <v>#NUM!</v>
      </c>
      <c r="I89" s="34" t="e">
        <f>_xll.DBRW($B$1,Cons_Region!$D$9,Cons_Region!I$11,$M$1,Cons_Region!$G$9,Cons_Region!$J$9,$N$1,Cons_Region!$B89,$L$1,$K$1)</f>
        <v>#NUM!</v>
      </c>
      <c r="J89" s="34" t="e">
        <f>_xll.DBRW($B$1,Cons_Region!$D$9,Cons_Region!J$11,$M$1,Cons_Region!$G$9,Cons_Region!$J$9,$N$1,Cons_Region!$B89,$L$1,$K$1)</f>
        <v>#NUM!</v>
      </c>
      <c r="K89" s="34" t="e">
        <f>_xll.DBRW($B$1,Cons_Region!$D$9,Cons_Region!K$11,$M$1,Cons_Region!$G$9,Cons_Region!$J$9,$N$1,Cons_Region!$B89,$L$1,$K$1)</f>
        <v>#NUM!</v>
      </c>
      <c r="L89" s="34" t="e">
        <f>_xll.DBRW($B$1,Cons_Region!$D$9,Cons_Region!L$11,$M$1,Cons_Region!$G$9,Cons_Region!$J$9,$N$1,Cons_Region!$B89,$L$1,$K$1)</f>
        <v>#NUM!</v>
      </c>
      <c r="M89" s="34" t="e">
        <f>_xll.DBRW($B$1,Cons_Region!$D$9,Cons_Region!M$11,$M$1,Cons_Region!$G$9,Cons_Region!$J$9,$N$1,Cons_Region!$B89,$L$1,$K$1)</f>
        <v>#NUM!</v>
      </c>
      <c r="N89" s="34" t="e">
        <f>_xll.DBRW($B$1,Cons_Region!$D$9,Cons_Region!N$11,$M$1,Cons_Region!$G$9,Cons_Region!$J$9,$N$1,Cons_Region!$B89,$L$1,$K$1)</f>
        <v>#NUM!</v>
      </c>
    </row>
    <row r="90" spans="2:14" s="1" customFormat="1" ht="22.5" x14ac:dyDescent="0.25">
      <c r="B90" s="25" t="s">
        <v>298</v>
      </c>
      <c r="C90" s="34" t="e">
        <f>_xll.DBRW($B$1,Cons_Region!$D$9,Cons_Region!C$11,$M$1,Cons_Region!$G$9,Cons_Region!$J$9,$N$1,Cons_Region!$B90,$L$1,$K$1)</f>
        <v>#NUM!</v>
      </c>
      <c r="D90" s="34" t="e">
        <f>_xll.DBRW($B$1,Cons_Region!$D$9,Cons_Region!D$11,$M$1,Cons_Region!$G$9,Cons_Region!$J$9,$N$1,Cons_Region!$B90,$L$1,$K$1)</f>
        <v>#NUM!</v>
      </c>
      <c r="E90" s="34" t="e">
        <f>_xll.DBRW($B$1,Cons_Region!$D$9,Cons_Region!E$11,$M$1,Cons_Region!$G$9,Cons_Region!$J$9,$N$1,Cons_Region!$B90,$L$1,$K$1)</f>
        <v>#NUM!</v>
      </c>
      <c r="F90" s="34" t="e">
        <f>_xll.DBRW($B$1,Cons_Region!$D$9,Cons_Region!F$11,$M$1,Cons_Region!$G$9,Cons_Region!$J$9,$N$1,Cons_Region!$B90,$L$1,$K$1)</f>
        <v>#NUM!</v>
      </c>
      <c r="G90" s="34" t="e">
        <f>_xll.DBRW($B$1,Cons_Region!$D$9,Cons_Region!G$11,$M$1,Cons_Region!$G$9,Cons_Region!$J$9,$N$1,Cons_Region!$B90,$L$1,$K$1)</f>
        <v>#NUM!</v>
      </c>
      <c r="H90" s="34" t="e">
        <f>_xll.DBRW($B$1,Cons_Region!$D$9,Cons_Region!H$11,$M$1,Cons_Region!$G$9,Cons_Region!$J$9,$N$1,Cons_Region!$B90,$L$1,$K$1)</f>
        <v>#NUM!</v>
      </c>
      <c r="I90" s="34" t="e">
        <f>_xll.DBRW($B$1,Cons_Region!$D$9,Cons_Region!I$11,$M$1,Cons_Region!$G$9,Cons_Region!$J$9,$N$1,Cons_Region!$B90,$L$1,$K$1)</f>
        <v>#NUM!</v>
      </c>
      <c r="J90" s="34" t="e">
        <f>_xll.DBRW($B$1,Cons_Region!$D$9,Cons_Region!J$11,$M$1,Cons_Region!$G$9,Cons_Region!$J$9,$N$1,Cons_Region!$B90,$L$1,$K$1)</f>
        <v>#NUM!</v>
      </c>
      <c r="K90" s="34" t="e">
        <f>_xll.DBRW($B$1,Cons_Region!$D$9,Cons_Region!K$11,$M$1,Cons_Region!$G$9,Cons_Region!$J$9,$N$1,Cons_Region!$B90,$L$1,$K$1)</f>
        <v>#NUM!</v>
      </c>
      <c r="L90" s="34" t="e">
        <f>_xll.DBRW($B$1,Cons_Region!$D$9,Cons_Region!L$11,$M$1,Cons_Region!$G$9,Cons_Region!$J$9,$N$1,Cons_Region!$B90,$L$1,$K$1)</f>
        <v>#NUM!</v>
      </c>
      <c r="M90" s="34" t="e">
        <f>_xll.DBRW($B$1,Cons_Region!$D$9,Cons_Region!M$11,$M$1,Cons_Region!$G$9,Cons_Region!$J$9,$N$1,Cons_Region!$B90,$L$1,$K$1)</f>
        <v>#NUM!</v>
      </c>
      <c r="N90" s="34" t="e">
        <f>_xll.DBRW($B$1,Cons_Region!$D$9,Cons_Region!N$11,$M$1,Cons_Region!$G$9,Cons_Region!$J$9,$N$1,Cons_Region!$B90,$L$1,$K$1)</f>
        <v>#NUM!</v>
      </c>
    </row>
    <row r="91" spans="2:14" s="1" customFormat="1" ht="15.75" customHeight="1" x14ac:dyDescent="0.25">
      <c r="B91" s="17" t="s">
        <v>292</v>
      </c>
      <c r="C91" s="34" t="e">
        <f>_xll.DBRW($B$1,Cons_Region!$D$9,Cons_Region!C$11,$M$1,Cons_Region!$G$9,Cons_Region!$J$9,$N$1,Cons_Region!$B91,$L$1,$K$1)</f>
        <v>#NUM!</v>
      </c>
      <c r="D91" s="34" t="e">
        <f>_xll.DBRW($B$1,Cons_Region!$D$9,Cons_Region!D$11,$M$1,Cons_Region!$G$9,Cons_Region!$J$9,$N$1,Cons_Region!$B91,$L$1,$K$1)</f>
        <v>#NUM!</v>
      </c>
      <c r="E91" s="34" t="e">
        <f>_xll.DBRW($B$1,Cons_Region!$D$9,Cons_Region!E$11,$M$1,Cons_Region!$G$9,Cons_Region!$J$9,$N$1,Cons_Region!$B91,$L$1,$K$1)</f>
        <v>#NUM!</v>
      </c>
      <c r="F91" s="34" t="e">
        <f>_xll.DBRW($B$1,Cons_Region!$D$9,Cons_Region!F$11,$M$1,Cons_Region!$G$9,Cons_Region!$J$9,$N$1,Cons_Region!$B91,$L$1,$K$1)</f>
        <v>#NUM!</v>
      </c>
      <c r="G91" s="34" t="e">
        <f>_xll.DBRW($B$1,Cons_Region!$D$9,Cons_Region!G$11,$M$1,Cons_Region!$G$9,Cons_Region!$J$9,$N$1,Cons_Region!$B91,$L$1,$K$1)</f>
        <v>#NUM!</v>
      </c>
      <c r="H91" s="34" t="e">
        <f>_xll.DBRW($B$1,Cons_Region!$D$9,Cons_Region!H$11,$M$1,Cons_Region!$G$9,Cons_Region!$J$9,$N$1,Cons_Region!$B91,$L$1,$K$1)</f>
        <v>#NUM!</v>
      </c>
      <c r="I91" s="34" t="e">
        <f>_xll.DBRW($B$1,Cons_Region!$D$9,Cons_Region!I$11,$M$1,Cons_Region!$G$9,Cons_Region!$J$9,$N$1,Cons_Region!$B91,$L$1,$K$1)</f>
        <v>#NUM!</v>
      </c>
      <c r="J91" s="34" t="e">
        <f>_xll.DBRW($B$1,Cons_Region!$D$9,Cons_Region!J$11,$M$1,Cons_Region!$G$9,Cons_Region!$J$9,$N$1,Cons_Region!$B91,$L$1,$K$1)</f>
        <v>#NUM!</v>
      </c>
      <c r="K91" s="34" t="e">
        <f>_xll.DBRW($B$1,Cons_Region!$D$9,Cons_Region!K$11,$M$1,Cons_Region!$G$9,Cons_Region!$J$9,$N$1,Cons_Region!$B91,$L$1,$K$1)</f>
        <v>#NUM!</v>
      </c>
      <c r="L91" s="34" t="e">
        <f>_xll.DBRW($B$1,Cons_Region!$D$9,Cons_Region!L$11,$M$1,Cons_Region!$G$9,Cons_Region!$J$9,$N$1,Cons_Region!$B91,$L$1,$K$1)</f>
        <v>#NUM!</v>
      </c>
      <c r="M91" s="34" t="e">
        <f>_xll.DBRW($B$1,Cons_Region!$D$9,Cons_Region!M$11,$M$1,Cons_Region!$G$9,Cons_Region!$J$9,$N$1,Cons_Region!$B91,$L$1,$K$1)</f>
        <v>#NUM!</v>
      </c>
      <c r="N91" s="34" t="e">
        <f>_xll.DBRW($B$1,Cons_Region!$D$9,Cons_Region!N$11,$M$1,Cons_Region!$G$9,Cons_Region!$J$9,$N$1,Cons_Region!$B91,$L$1,$K$1)</f>
        <v>#NUM!</v>
      </c>
    </row>
    <row r="92" spans="2:14" s="1" customFormat="1" ht="15.75" customHeight="1" x14ac:dyDescent="0.25">
      <c r="B92" s="25" t="s">
        <v>293</v>
      </c>
      <c r="C92" s="34" t="e">
        <f>_xll.DBRW($B$1,Cons_Region!$D$9,Cons_Region!C$11,$M$1,Cons_Region!$G$9,Cons_Region!$J$9,$N$1,Cons_Region!$B92,$L$1,$K$1)</f>
        <v>#NUM!</v>
      </c>
      <c r="D92" s="34" t="e">
        <f>_xll.DBRW($B$1,Cons_Region!$D$9,Cons_Region!D$11,$M$1,Cons_Region!$G$9,Cons_Region!$J$9,$N$1,Cons_Region!$B92,$L$1,$K$1)</f>
        <v>#NUM!</v>
      </c>
      <c r="E92" s="34" t="e">
        <f>_xll.DBRW($B$1,Cons_Region!$D$9,Cons_Region!E$11,$M$1,Cons_Region!$G$9,Cons_Region!$J$9,$N$1,Cons_Region!$B92,$L$1,$K$1)</f>
        <v>#NUM!</v>
      </c>
      <c r="F92" s="34" t="e">
        <f>_xll.DBRW($B$1,Cons_Region!$D$9,Cons_Region!F$11,$M$1,Cons_Region!$G$9,Cons_Region!$J$9,$N$1,Cons_Region!$B92,$L$1,$K$1)</f>
        <v>#NUM!</v>
      </c>
      <c r="G92" s="34" t="e">
        <f>_xll.DBRW($B$1,Cons_Region!$D$9,Cons_Region!G$11,$M$1,Cons_Region!$G$9,Cons_Region!$J$9,$N$1,Cons_Region!$B92,$L$1,$K$1)</f>
        <v>#NUM!</v>
      </c>
      <c r="H92" s="34" t="e">
        <f>_xll.DBRW($B$1,Cons_Region!$D$9,Cons_Region!H$11,$M$1,Cons_Region!$G$9,Cons_Region!$J$9,$N$1,Cons_Region!$B92,$L$1,$K$1)</f>
        <v>#NUM!</v>
      </c>
      <c r="I92" s="34" t="e">
        <f>_xll.DBRW($B$1,Cons_Region!$D$9,Cons_Region!I$11,$M$1,Cons_Region!$G$9,Cons_Region!$J$9,$N$1,Cons_Region!$B92,$L$1,$K$1)</f>
        <v>#NUM!</v>
      </c>
      <c r="J92" s="34" t="e">
        <f>_xll.DBRW($B$1,Cons_Region!$D$9,Cons_Region!J$11,$M$1,Cons_Region!$G$9,Cons_Region!$J$9,$N$1,Cons_Region!$B92,$L$1,$K$1)</f>
        <v>#NUM!</v>
      </c>
      <c r="K92" s="34" t="e">
        <f>_xll.DBRW($B$1,Cons_Region!$D$9,Cons_Region!K$11,$M$1,Cons_Region!$G$9,Cons_Region!$J$9,$N$1,Cons_Region!$B92,$L$1,$K$1)</f>
        <v>#NUM!</v>
      </c>
      <c r="L92" s="34" t="e">
        <f>_xll.DBRW($B$1,Cons_Region!$D$9,Cons_Region!L$11,$M$1,Cons_Region!$G$9,Cons_Region!$J$9,$N$1,Cons_Region!$B92,$L$1,$K$1)</f>
        <v>#NUM!</v>
      </c>
      <c r="M92" s="34" t="e">
        <f>_xll.DBRW($B$1,Cons_Region!$D$9,Cons_Region!M$11,$M$1,Cons_Region!$G$9,Cons_Region!$J$9,$N$1,Cons_Region!$B92,$L$1,$K$1)</f>
        <v>#NUM!</v>
      </c>
      <c r="N92" s="34" t="e">
        <f>_xll.DBRW($B$1,Cons_Region!$D$9,Cons_Region!N$11,$M$1,Cons_Region!$G$9,Cons_Region!$J$9,$N$1,Cons_Region!$B92,$L$1,$K$1)</f>
        <v>#NUM!</v>
      </c>
    </row>
    <row r="93" spans="2:14" s="1" customFormat="1" ht="15.75" customHeight="1" x14ac:dyDescent="0.25">
      <c r="B93" s="25" t="s">
        <v>294</v>
      </c>
      <c r="C93" s="34" t="e">
        <f>_xll.DBRW($B$1,Cons_Region!$D$9,Cons_Region!C$11,$M$1,Cons_Region!$G$9,Cons_Region!$J$9,$N$1,Cons_Region!$B93,$L$1,$K$1)</f>
        <v>#NUM!</v>
      </c>
      <c r="D93" s="34" t="e">
        <f>_xll.DBRW($B$1,Cons_Region!$D$9,Cons_Region!D$11,$M$1,Cons_Region!$G$9,Cons_Region!$J$9,$N$1,Cons_Region!$B93,$L$1,$K$1)</f>
        <v>#NUM!</v>
      </c>
      <c r="E93" s="34" t="e">
        <f>_xll.DBRW($B$1,Cons_Region!$D$9,Cons_Region!E$11,$M$1,Cons_Region!$G$9,Cons_Region!$J$9,$N$1,Cons_Region!$B93,$L$1,$K$1)</f>
        <v>#NUM!</v>
      </c>
      <c r="F93" s="34" t="e">
        <f>_xll.DBRW($B$1,Cons_Region!$D$9,Cons_Region!F$11,$M$1,Cons_Region!$G$9,Cons_Region!$J$9,$N$1,Cons_Region!$B93,$L$1,$K$1)</f>
        <v>#NUM!</v>
      </c>
      <c r="G93" s="34" t="e">
        <f>_xll.DBRW($B$1,Cons_Region!$D$9,Cons_Region!G$11,$M$1,Cons_Region!$G$9,Cons_Region!$J$9,$N$1,Cons_Region!$B93,$L$1,$K$1)</f>
        <v>#NUM!</v>
      </c>
      <c r="H93" s="34" t="e">
        <f>_xll.DBRW($B$1,Cons_Region!$D$9,Cons_Region!H$11,$M$1,Cons_Region!$G$9,Cons_Region!$J$9,$N$1,Cons_Region!$B93,$L$1,$K$1)</f>
        <v>#NUM!</v>
      </c>
      <c r="I93" s="34" t="e">
        <f>_xll.DBRW($B$1,Cons_Region!$D$9,Cons_Region!I$11,$M$1,Cons_Region!$G$9,Cons_Region!$J$9,$N$1,Cons_Region!$B93,$L$1,$K$1)</f>
        <v>#NUM!</v>
      </c>
      <c r="J93" s="34" t="e">
        <f>_xll.DBRW($B$1,Cons_Region!$D$9,Cons_Region!J$11,$M$1,Cons_Region!$G$9,Cons_Region!$J$9,$N$1,Cons_Region!$B93,$L$1,$K$1)</f>
        <v>#NUM!</v>
      </c>
      <c r="K93" s="34" t="e">
        <f>_xll.DBRW($B$1,Cons_Region!$D$9,Cons_Region!K$11,$M$1,Cons_Region!$G$9,Cons_Region!$J$9,$N$1,Cons_Region!$B93,$L$1,$K$1)</f>
        <v>#NUM!</v>
      </c>
      <c r="L93" s="34" t="e">
        <f>_xll.DBRW($B$1,Cons_Region!$D$9,Cons_Region!L$11,$M$1,Cons_Region!$G$9,Cons_Region!$J$9,$N$1,Cons_Region!$B93,$L$1,$K$1)</f>
        <v>#NUM!</v>
      </c>
      <c r="M93" s="34" t="e">
        <f>_xll.DBRW($B$1,Cons_Region!$D$9,Cons_Region!M$11,$M$1,Cons_Region!$G$9,Cons_Region!$J$9,$N$1,Cons_Region!$B93,$L$1,$K$1)</f>
        <v>#NUM!</v>
      </c>
      <c r="N93" s="34" t="e">
        <f>_xll.DBRW($B$1,Cons_Region!$D$9,Cons_Region!N$11,$M$1,Cons_Region!$G$9,Cons_Region!$J$9,$N$1,Cons_Region!$B93,$L$1,$K$1)</f>
        <v>#NUM!</v>
      </c>
    </row>
    <row r="94" spans="2:14" s="1" customFormat="1" ht="15.75" customHeight="1" x14ac:dyDescent="0.25">
      <c r="B94" s="25" t="s">
        <v>84</v>
      </c>
      <c r="C94" s="34">
        <f>_xll.DBRW($B$1,Cons_Region!$D$9,Cons_Region!C$11,$M$1,Cons_Region!$G$9,Cons_Region!$J$9,$N$1,Cons_Region!$B94,$L$1,$K$1)</f>
        <v>51.319578177237901</v>
      </c>
      <c r="D94" s="34">
        <f>_xll.DBRW($B$1,Cons_Region!$D$9,Cons_Region!D$11,$M$1,Cons_Region!$G$9,Cons_Region!$J$9,$N$1,Cons_Region!$B94,$L$1,$K$1)</f>
        <v>31.636361288671601</v>
      </c>
      <c r="E94" s="34">
        <f>_xll.DBRW($B$1,Cons_Region!$D$9,Cons_Region!E$11,$M$1,Cons_Region!$G$9,Cons_Region!$J$9,$N$1,Cons_Region!$B94,$L$1,$K$1)</f>
        <v>28.514488021643</v>
      </c>
      <c r="F94" s="34">
        <f>_xll.DBRW($B$1,Cons_Region!$D$9,Cons_Region!F$11,$M$1,Cons_Region!$G$9,Cons_Region!$J$9,$N$1,Cons_Region!$B94,$L$1,$K$1)</f>
        <v>21.397704312003601</v>
      </c>
      <c r="G94" s="34">
        <f>_xll.DBRW($B$1,Cons_Region!$D$9,Cons_Region!G$11,$M$1,Cons_Region!$G$9,Cons_Region!$J$9,$N$1,Cons_Region!$B94,$L$1,$K$1)</f>
        <v>18.740042041491598</v>
      </c>
      <c r="H94" s="34">
        <f>_xll.DBRW($B$1,Cons_Region!$D$9,Cons_Region!H$11,$M$1,Cons_Region!$G$9,Cons_Region!$J$9,$N$1,Cons_Region!$B94,$L$1,$K$1)</f>
        <v>17.3519026057281</v>
      </c>
      <c r="I94" s="34">
        <f>_xll.DBRW($B$1,Cons_Region!$D$9,Cons_Region!I$11,$M$1,Cons_Region!$G$9,Cons_Region!$J$9,$N$1,Cons_Region!$B94,$L$1,$K$1)</f>
        <v>15.497962533424801</v>
      </c>
      <c r="J94" s="34">
        <f>_xll.DBRW($B$1,Cons_Region!$D$9,Cons_Region!J$11,$M$1,Cons_Region!$G$9,Cons_Region!$J$9,$N$1,Cons_Region!$B94,$L$1,$K$1)</f>
        <v>14.882160161266899</v>
      </c>
      <c r="K94" s="34">
        <f>_xll.DBRW($B$1,Cons_Region!$D$9,Cons_Region!K$11,$M$1,Cons_Region!$G$9,Cons_Region!$J$9,$N$1,Cons_Region!$B94,$L$1,$K$1)</f>
        <v>11.714845448233399</v>
      </c>
      <c r="L94" s="34">
        <f>_xll.DBRW($B$1,Cons_Region!$D$9,Cons_Region!L$11,$M$1,Cons_Region!$G$9,Cons_Region!$J$9,$N$1,Cons_Region!$B94,$L$1,$K$1)</f>
        <v>12.5425276315845</v>
      </c>
      <c r="M94" s="34">
        <f>_xll.DBRW($B$1,Cons_Region!$D$9,Cons_Region!M$11,$M$1,Cons_Region!$G$9,Cons_Region!$J$9,$N$1,Cons_Region!$B94,$L$1,$K$1)</f>
        <v>14.592361854475801</v>
      </c>
      <c r="N94" s="34">
        <f>_xll.DBRW($B$1,Cons_Region!$D$9,Cons_Region!N$11,$M$1,Cons_Region!$G$9,Cons_Region!$J$9,$N$1,Cons_Region!$B94,$L$1,$K$1)</f>
        <v>20.476446576371</v>
      </c>
    </row>
    <row r="95" spans="2:14" s="1" customFormat="1" ht="15.75" customHeight="1" x14ac:dyDescent="0.25">
      <c r="B95" s="17" t="s">
        <v>295</v>
      </c>
      <c r="C95" s="34" t="e">
        <f>_xll.DBRW($B$1,Cons_Region!$D$9,Cons_Region!C$11,$M$1,Cons_Region!$G$9,Cons_Region!$J$9,$N$1,Cons_Region!$B95,$L$1,$K$1)</f>
        <v>#NUM!</v>
      </c>
      <c r="D95" s="34" t="e">
        <f>_xll.DBRW($B$1,Cons_Region!$D$9,Cons_Region!D$11,$M$1,Cons_Region!$G$9,Cons_Region!$J$9,$N$1,Cons_Region!$B95,$L$1,$K$1)</f>
        <v>#NUM!</v>
      </c>
      <c r="E95" s="34" t="e">
        <f>_xll.DBRW($B$1,Cons_Region!$D$9,Cons_Region!E$11,$M$1,Cons_Region!$G$9,Cons_Region!$J$9,$N$1,Cons_Region!$B95,$L$1,$K$1)</f>
        <v>#NUM!</v>
      </c>
      <c r="F95" s="34" t="e">
        <f>_xll.DBRW($B$1,Cons_Region!$D$9,Cons_Region!F$11,$M$1,Cons_Region!$G$9,Cons_Region!$J$9,$N$1,Cons_Region!$B95,$L$1,$K$1)</f>
        <v>#NUM!</v>
      </c>
      <c r="G95" s="34" t="e">
        <f>_xll.DBRW($B$1,Cons_Region!$D$9,Cons_Region!G$11,$M$1,Cons_Region!$G$9,Cons_Region!$J$9,$N$1,Cons_Region!$B95,$L$1,$K$1)</f>
        <v>#NUM!</v>
      </c>
      <c r="H95" s="34" t="e">
        <f>_xll.DBRW($B$1,Cons_Region!$D$9,Cons_Region!H$11,$M$1,Cons_Region!$G$9,Cons_Region!$J$9,$N$1,Cons_Region!$B95,$L$1,$K$1)</f>
        <v>#NUM!</v>
      </c>
      <c r="I95" s="34" t="e">
        <f>_xll.DBRW($B$1,Cons_Region!$D$9,Cons_Region!I$11,$M$1,Cons_Region!$G$9,Cons_Region!$J$9,$N$1,Cons_Region!$B95,$L$1,$K$1)</f>
        <v>#NUM!</v>
      </c>
      <c r="J95" s="34" t="e">
        <f>_xll.DBRW($B$1,Cons_Region!$D$9,Cons_Region!J$11,$M$1,Cons_Region!$G$9,Cons_Region!$J$9,$N$1,Cons_Region!$B95,$L$1,$K$1)</f>
        <v>#NUM!</v>
      </c>
      <c r="K95" s="34" t="e">
        <f>_xll.DBRW($B$1,Cons_Region!$D$9,Cons_Region!K$11,$M$1,Cons_Region!$G$9,Cons_Region!$J$9,$N$1,Cons_Region!$B95,$L$1,$K$1)</f>
        <v>#NUM!</v>
      </c>
      <c r="L95" s="34" t="e">
        <f>_xll.DBRW($B$1,Cons_Region!$D$9,Cons_Region!L$11,$M$1,Cons_Region!$G$9,Cons_Region!$J$9,$N$1,Cons_Region!$B95,$L$1,$K$1)</f>
        <v>#NUM!</v>
      </c>
      <c r="M95" s="34" t="e">
        <f>_xll.DBRW($B$1,Cons_Region!$D$9,Cons_Region!M$11,$M$1,Cons_Region!$G$9,Cons_Region!$J$9,$N$1,Cons_Region!$B95,$L$1,$K$1)</f>
        <v>#NUM!</v>
      </c>
      <c r="N95" s="34" t="e">
        <f>_xll.DBRW($B$1,Cons_Region!$D$9,Cons_Region!N$11,$M$1,Cons_Region!$G$9,Cons_Region!$J$9,$N$1,Cons_Region!$B95,$L$1,$K$1)</f>
        <v>#NUM!</v>
      </c>
    </row>
    <row r="96" spans="2:14" s="1" customFormat="1" ht="15.75" customHeight="1" x14ac:dyDescent="0.25">
      <c r="B96" s="17" t="s">
        <v>296</v>
      </c>
      <c r="C96" s="34" t="e">
        <f>_xll.DBRW($B$1,Cons_Region!$D$9,Cons_Region!C$11,$M$1,Cons_Region!$G$9,Cons_Region!$J$9,$N$1,Cons_Region!$B96,$L$1,$K$1)</f>
        <v>#NUM!</v>
      </c>
      <c r="D96" s="34" t="e">
        <f>_xll.DBRW($B$1,Cons_Region!$D$9,Cons_Region!D$11,$M$1,Cons_Region!$G$9,Cons_Region!$J$9,$N$1,Cons_Region!$B96,$L$1,$K$1)</f>
        <v>#NUM!</v>
      </c>
      <c r="E96" s="34" t="e">
        <f>_xll.DBRW($B$1,Cons_Region!$D$9,Cons_Region!E$11,$M$1,Cons_Region!$G$9,Cons_Region!$J$9,$N$1,Cons_Region!$B96,$L$1,$K$1)</f>
        <v>#NUM!</v>
      </c>
      <c r="F96" s="34" t="e">
        <f>_xll.DBRW($B$1,Cons_Region!$D$9,Cons_Region!F$11,$M$1,Cons_Region!$G$9,Cons_Region!$J$9,$N$1,Cons_Region!$B96,$L$1,$K$1)</f>
        <v>#NUM!</v>
      </c>
      <c r="G96" s="34" t="e">
        <f>_xll.DBRW($B$1,Cons_Region!$D$9,Cons_Region!G$11,$M$1,Cons_Region!$G$9,Cons_Region!$J$9,$N$1,Cons_Region!$B96,$L$1,$K$1)</f>
        <v>#NUM!</v>
      </c>
      <c r="H96" s="34" t="e">
        <f>_xll.DBRW($B$1,Cons_Region!$D$9,Cons_Region!H$11,$M$1,Cons_Region!$G$9,Cons_Region!$J$9,$N$1,Cons_Region!$B96,$L$1,$K$1)</f>
        <v>#NUM!</v>
      </c>
      <c r="I96" s="34" t="e">
        <f>_xll.DBRW($B$1,Cons_Region!$D$9,Cons_Region!I$11,$M$1,Cons_Region!$G$9,Cons_Region!$J$9,$N$1,Cons_Region!$B96,$L$1,$K$1)</f>
        <v>#NUM!</v>
      </c>
      <c r="J96" s="34" t="e">
        <f>_xll.DBRW($B$1,Cons_Region!$D$9,Cons_Region!J$11,$M$1,Cons_Region!$G$9,Cons_Region!$J$9,$N$1,Cons_Region!$B96,$L$1,$K$1)</f>
        <v>#NUM!</v>
      </c>
      <c r="K96" s="34" t="e">
        <f>_xll.DBRW($B$1,Cons_Region!$D$9,Cons_Region!K$11,$M$1,Cons_Region!$G$9,Cons_Region!$J$9,$N$1,Cons_Region!$B96,$L$1,$K$1)</f>
        <v>#NUM!</v>
      </c>
      <c r="L96" s="34" t="e">
        <f>_xll.DBRW($B$1,Cons_Region!$D$9,Cons_Region!L$11,$M$1,Cons_Region!$G$9,Cons_Region!$J$9,$N$1,Cons_Region!$B96,$L$1,$K$1)</f>
        <v>#NUM!</v>
      </c>
      <c r="M96" s="34" t="e">
        <f>_xll.DBRW($B$1,Cons_Region!$D$9,Cons_Region!M$11,$M$1,Cons_Region!$G$9,Cons_Region!$J$9,$N$1,Cons_Region!$B96,$L$1,$K$1)</f>
        <v>#NUM!</v>
      </c>
      <c r="N96" s="34" t="e">
        <f>_xll.DBRW($B$1,Cons_Region!$D$9,Cons_Region!N$11,$M$1,Cons_Region!$G$9,Cons_Region!$J$9,$N$1,Cons_Region!$B96,$L$1,$K$1)</f>
        <v>#NUM!</v>
      </c>
    </row>
    <row r="98" spans="2:14" s="1" customFormat="1" ht="15.75" customHeight="1" x14ac:dyDescent="0.25">
      <c r="B98" s="9" t="s">
        <v>85</v>
      </c>
    </row>
    <row r="100" spans="2:14" s="1" customFormat="1" ht="15.75" customHeight="1" x14ac:dyDescent="0.25">
      <c r="B100" s="5"/>
      <c r="C100" s="18" t="str">
        <f t="shared" ref="C100:N100" si="8">$D$9&amp;"."&amp;C$11</f>
        <v>2026.01</v>
      </c>
      <c r="D100" s="18" t="str">
        <f t="shared" si="8"/>
        <v>2026.02</v>
      </c>
      <c r="E100" s="18" t="str">
        <f t="shared" si="8"/>
        <v>2026.03</v>
      </c>
      <c r="F100" s="18" t="str">
        <f t="shared" si="8"/>
        <v>2026.04</v>
      </c>
      <c r="G100" s="18" t="str">
        <f t="shared" si="8"/>
        <v>2026.05</v>
      </c>
      <c r="H100" s="18" t="str">
        <f t="shared" si="8"/>
        <v>2026.06</v>
      </c>
      <c r="I100" s="18" t="str">
        <f t="shared" si="8"/>
        <v>2026.07</v>
      </c>
      <c r="J100" s="18" t="str">
        <f t="shared" si="8"/>
        <v>2026.08</v>
      </c>
      <c r="K100" s="18" t="str">
        <f t="shared" si="8"/>
        <v>2026.09</v>
      </c>
      <c r="L100" s="18" t="str">
        <f t="shared" si="8"/>
        <v>2026.10</v>
      </c>
      <c r="M100" s="18" t="str">
        <f t="shared" si="8"/>
        <v>2026.11</v>
      </c>
      <c r="N100" s="18" t="str">
        <f t="shared" si="8"/>
        <v>2026.12</v>
      </c>
    </row>
    <row r="101" spans="2:14" s="1" customFormat="1" ht="15.75" customHeight="1" x14ac:dyDescent="0.25">
      <c r="B101" s="17" t="s">
        <v>86</v>
      </c>
      <c r="C101" s="34">
        <f>_xll.DBRW($B$1,Cons_Region!$D$9,Cons_Region!C$11,$M$1,Cons_Region!$G$9,Cons_Region!$J$9,$N$1,Cons_Region!$B101,$L$1,$K$1)</f>
        <v>224.396181182188</v>
      </c>
      <c r="D101" s="34">
        <f>_xll.DBRW($B$1,Cons_Region!$D$9,Cons_Region!D$11,$M$1,Cons_Region!$G$9,Cons_Region!$J$9,$N$1,Cons_Region!$B101,$L$1,$K$1)</f>
        <v>126.69767195789299</v>
      </c>
      <c r="E101" s="34">
        <f>_xll.DBRW($B$1,Cons_Region!$D$9,Cons_Region!E$11,$M$1,Cons_Region!$G$9,Cons_Region!$J$9,$N$1,Cons_Region!$B101,$L$1,$K$1)</f>
        <v>136.551513634553</v>
      </c>
      <c r="F101" s="34">
        <f>_xll.DBRW($B$1,Cons_Region!$D$9,Cons_Region!F$11,$M$1,Cons_Region!$G$9,Cons_Region!$J$9,$N$1,Cons_Region!$B101,$L$1,$K$1)</f>
        <v>108.758871779397</v>
      </c>
      <c r="G101" s="34">
        <f>_xll.DBRW($B$1,Cons_Region!$D$9,Cons_Region!G$11,$M$1,Cons_Region!$G$9,Cons_Region!$J$9,$N$1,Cons_Region!$B101,$L$1,$K$1)</f>
        <v>102.367386524262</v>
      </c>
      <c r="H101" s="34">
        <f>_xll.DBRW($B$1,Cons_Region!$D$9,Cons_Region!H$11,$M$1,Cons_Region!$G$9,Cons_Region!$J$9,$N$1,Cons_Region!$B101,$L$1,$K$1)</f>
        <v>90.052614617759801</v>
      </c>
      <c r="I101" s="34">
        <f>_xll.DBRW($B$1,Cons_Region!$D$9,Cons_Region!I$11,$M$1,Cons_Region!$G$9,Cons_Region!$J$9,$N$1,Cons_Region!$B101,$L$1,$K$1)</f>
        <v>82.780047792037394</v>
      </c>
      <c r="J101" s="34">
        <f>_xll.DBRW($B$1,Cons_Region!$D$9,Cons_Region!J$11,$M$1,Cons_Region!$G$9,Cons_Region!$J$9,$N$1,Cons_Region!$B101,$L$1,$K$1)</f>
        <v>78.121780721393193</v>
      </c>
      <c r="K101" s="34">
        <f>_xll.DBRW($B$1,Cons_Region!$D$9,Cons_Region!K$11,$M$1,Cons_Region!$G$9,Cons_Region!$J$9,$N$1,Cons_Region!$B101,$L$1,$K$1)</f>
        <v>77.681763181407803</v>
      </c>
      <c r="L101" s="34">
        <f>_xll.DBRW($B$1,Cons_Region!$D$9,Cons_Region!L$11,$M$1,Cons_Region!$G$9,Cons_Region!$J$9,$N$1,Cons_Region!$B101,$L$1,$K$1)</f>
        <v>85.314798023125306</v>
      </c>
      <c r="M101" s="34">
        <f>_xll.DBRW($B$1,Cons_Region!$D$9,Cons_Region!M$11,$M$1,Cons_Region!$G$9,Cons_Region!$J$9,$N$1,Cons_Region!$B101,$L$1,$K$1)</f>
        <v>143.79445027755301</v>
      </c>
      <c r="N101" s="34">
        <f>_xll.DBRW($B$1,Cons_Region!$D$9,Cons_Region!N$11,$M$1,Cons_Region!$G$9,Cons_Region!$J$9,$N$1,Cons_Region!$B101,$L$1,$K$1)</f>
        <v>307.21588648901798</v>
      </c>
    </row>
    <row r="102" spans="2:14" s="1" customFormat="1" ht="15.75" customHeight="1" x14ac:dyDescent="0.25">
      <c r="B102" s="17" t="s">
        <v>105</v>
      </c>
      <c r="C102" s="26">
        <f>_xll.DBRW($B$1,Cons_Region!$D$9,Cons_Region!C$11,$M$1,Cons_Region!$G$9,Cons_Region!$J$9,$N$1,Cons_Region!$B102,$L$1,$K$1)</f>
        <v>7.6771809732390506E-2</v>
      </c>
      <c r="D102" s="26">
        <f>_xll.DBRW($B$1,Cons_Region!$D$9,Cons_Region!D$11,$M$1,Cons_Region!$G$9,Cons_Region!$J$9,$N$1,Cons_Region!$B102,$L$1,$K$1)</f>
        <v>8.5306503646204401E-2</v>
      </c>
      <c r="E102" s="26">
        <f>_xll.DBRW($B$1,Cons_Region!$D$9,Cons_Region!E$11,$M$1,Cons_Region!$G$9,Cons_Region!$J$9,$N$1,Cons_Region!$B102,$L$1,$K$1)</f>
        <v>6.04581389559763E-2</v>
      </c>
      <c r="F102" s="26">
        <f>_xll.DBRW($B$1,Cons_Region!$D$9,Cons_Region!F$11,$M$1,Cons_Region!$G$9,Cons_Region!$J$9,$N$1,Cons_Region!$B102,$L$1,$K$1)</f>
        <v>4.6001869585916101E-2</v>
      </c>
      <c r="G102" s="26">
        <f>_xll.DBRW($B$1,Cons_Region!$D$9,Cons_Region!G$11,$M$1,Cons_Region!$G$9,Cons_Region!$J$9,$N$1,Cons_Region!$B102,$L$1,$K$1)</f>
        <v>3.8153510300303298E-2</v>
      </c>
      <c r="H102" s="26">
        <f>_xll.DBRW($B$1,Cons_Region!$D$9,Cons_Region!H$11,$M$1,Cons_Region!$G$9,Cons_Region!$J$9,$N$1,Cons_Region!$B102,$L$1,$K$1)</f>
        <v>3.4341743997557503E-2</v>
      </c>
      <c r="I102" s="26">
        <f>_xll.DBRW($B$1,Cons_Region!$D$9,Cons_Region!I$11,$M$1,Cons_Region!$G$9,Cons_Region!$J$9,$N$1,Cons_Region!$B102,$L$1,$K$1)</f>
        <v>3.3942259601942602E-2</v>
      </c>
      <c r="J102" s="26">
        <f>_xll.DBRW($B$1,Cons_Region!$D$9,Cons_Region!J$11,$M$1,Cons_Region!$G$9,Cons_Region!$J$9,$N$1,Cons_Region!$B102,$L$1,$K$1)</f>
        <v>3.3784859267055802E-2</v>
      </c>
      <c r="K102" s="26">
        <f>_xll.DBRW($B$1,Cons_Region!$D$9,Cons_Region!K$11,$M$1,Cons_Region!$G$9,Cons_Region!$J$9,$N$1,Cons_Region!$B102,$L$1,$K$1)</f>
        <v>3.3021092595391002E-2</v>
      </c>
      <c r="L102" s="26">
        <f>_xll.DBRW($B$1,Cons_Region!$D$9,Cons_Region!L$11,$M$1,Cons_Region!$G$9,Cons_Region!$J$9,$N$1,Cons_Region!$B102,$L$1,$K$1)</f>
        <v>3.3703612629678602E-2</v>
      </c>
      <c r="M102" s="26">
        <f>_xll.DBRW($B$1,Cons_Region!$D$9,Cons_Region!M$11,$M$1,Cons_Region!$G$9,Cons_Region!$J$9,$N$1,Cons_Region!$B102,$L$1,$K$1)</f>
        <v>4.3714392868609002E-2</v>
      </c>
      <c r="N102" s="26">
        <f>_xll.DBRW($B$1,Cons_Region!$D$9,Cons_Region!N$11,$M$1,Cons_Region!$G$9,Cons_Region!$J$9,$N$1,Cons_Region!$B102,$L$1,$K$1)</f>
        <v>7.3880834943913107E-2</v>
      </c>
    </row>
    <row r="103" spans="2:14" s="1" customFormat="1" ht="15.75" customHeight="1" x14ac:dyDescent="0.25">
      <c r="B103" s="17" t="s">
        <v>106</v>
      </c>
      <c r="C103" s="34">
        <f>_xll.DBRW($B$1,Cons_Region!$D$9,Cons_Region!C$11,$M$1,Cons_Region!$G$9,Cons_Region!$J$9,$N$1,Cons_Region!$B103,$L$1,$K$1)</f>
        <v>58.077143849101297</v>
      </c>
      <c r="D103" s="34">
        <f>_xll.DBRW($B$1,Cons_Region!$D$9,Cons_Region!D$11,$M$1,Cons_Region!$G$9,Cons_Region!$J$9,$N$1,Cons_Region!$B103,$L$1,$K$1)</f>
        <v>37.100978117792302</v>
      </c>
      <c r="E103" s="34">
        <f>_xll.DBRW($B$1,Cons_Region!$D$9,Cons_Region!E$11,$M$1,Cons_Region!$G$9,Cons_Region!$J$9,$N$1,Cons_Region!$B103,$L$1,$K$1)</f>
        <v>50.209904438101901</v>
      </c>
      <c r="F103" s="34">
        <f>_xll.DBRW($B$1,Cons_Region!$D$9,Cons_Region!F$11,$M$1,Cons_Region!$G$9,Cons_Region!$J$9,$N$1,Cons_Region!$B103,$L$1,$K$1)</f>
        <v>52.3741786789234</v>
      </c>
      <c r="G103" s="34">
        <f>_xll.DBRW($B$1,Cons_Region!$D$9,Cons_Region!G$11,$M$1,Cons_Region!$G$9,Cons_Region!$J$9,$N$1,Cons_Region!$B103,$L$1,$K$1)</f>
        <v>81.813103332159997</v>
      </c>
      <c r="H103" s="34">
        <f>_xll.DBRW($B$1,Cons_Region!$D$9,Cons_Region!H$11,$M$1,Cons_Region!$G$9,Cons_Region!$J$9,$N$1,Cons_Region!$B103,$L$1,$K$1)</f>
        <v>71.7452716026784</v>
      </c>
      <c r="I103" s="34">
        <f>_xll.DBRW($B$1,Cons_Region!$D$9,Cons_Region!I$11,$M$1,Cons_Region!$G$9,Cons_Region!$J$9,$N$1,Cons_Region!$B103,$L$1,$K$1)</f>
        <v>81.693357554601306</v>
      </c>
      <c r="J103" s="34">
        <f>_xll.DBRW($B$1,Cons_Region!$D$9,Cons_Region!J$11,$M$1,Cons_Region!$G$9,Cons_Region!$J$9,$N$1,Cons_Region!$B103,$L$1,$K$1)</f>
        <v>89.9218297540869</v>
      </c>
      <c r="K103" s="34">
        <f>_xll.DBRW($B$1,Cons_Region!$D$9,Cons_Region!K$11,$M$1,Cons_Region!$G$9,Cons_Region!$J$9,$N$1,Cons_Region!$B103,$L$1,$K$1)</f>
        <v>73.758190133495006</v>
      </c>
      <c r="L103" s="34">
        <f>_xll.DBRW($B$1,Cons_Region!$D$9,Cons_Region!L$11,$M$1,Cons_Region!$G$9,Cons_Region!$J$9,$N$1,Cons_Region!$B103,$L$1,$K$1)</f>
        <v>82.984302299283002</v>
      </c>
      <c r="M103" s="34">
        <f>_xll.DBRW($B$1,Cons_Region!$D$9,Cons_Region!M$11,$M$1,Cons_Region!$G$9,Cons_Region!$J$9,$N$1,Cons_Region!$B103,$L$1,$K$1)</f>
        <v>109.91828565348401</v>
      </c>
      <c r="N103" s="34">
        <f>_xll.DBRW($B$1,Cons_Region!$D$9,Cons_Region!N$11,$M$1,Cons_Region!$G$9,Cons_Region!$J$9,$N$1,Cons_Region!$B103,$L$1,$K$1)</f>
        <v>124.63666920673199</v>
      </c>
    </row>
    <row r="104" spans="2:14" s="1" customFormat="1" ht="15.75" customHeight="1" x14ac:dyDescent="0.25">
      <c r="B104" s="17" t="s">
        <v>107</v>
      </c>
      <c r="C104" s="34">
        <f>_xll.DBRW($B$1,Cons_Region!$D$9,Cons_Region!C$11,$M$1,Cons_Region!$G$9,Cons_Region!$J$9,$N$1,Cons_Region!$B104,$L$1,$K$1)</f>
        <v>31.4904868470386</v>
      </c>
      <c r="D104" s="34">
        <f>_xll.DBRW($B$1,Cons_Region!$D$9,Cons_Region!D$11,$M$1,Cons_Region!$G$9,Cons_Region!$J$9,$N$1,Cons_Region!$B104,$L$1,$K$1)</f>
        <v>21.720341106733599</v>
      </c>
      <c r="E104" s="34">
        <f>_xll.DBRW($B$1,Cons_Region!$D$9,Cons_Region!E$11,$M$1,Cons_Region!$G$9,Cons_Region!$J$9,$N$1,Cons_Region!$B104,$L$1,$K$1)</f>
        <v>25.355646258221299</v>
      </c>
      <c r="F104" s="34">
        <f>_xll.DBRW($B$1,Cons_Region!$D$9,Cons_Region!F$11,$M$1,Cons_Region!$G$9,Cons_Region!$J$9,$N$1,Cons_Region!$B104,$L$1,$K$1)</f>
        <v>19.736083978188599</v>
      </c>
      <c r="G104" s="34">
        <f>_xll.DBRW($B$1,Cons_Region!$D$9,Cons_Region!G$11,$M$1,Cons_Region!$G$9,Cons_Region!$J$9,$N$1,Cons_Region!$B104,$L$1,$K$1)</f>
        <v>22.6134882435035</v>
      </c>
      <c r="H104" s="34">
        <f>_xll.DBRW($B$1,Cons_Region!$D$9,Cons_Region!H$11,$M$1,Cons_Region!$G$9,Cons_Region!$J$9,$N$1,Cons_Region!$B104,$L$1,$K$1)</f>
        <v>22.129673143989599</v>
      </c>
      <c r="I104" s="34">
        <f>_xll.DBRW($B$1,Cons_Region!$D$9,Cons_Region!I$11,$M$1,Cons_Region!$G$9,Cons_Region!$J$9,$N$1,Cons_Region!$B104,$L$1,$K$1)</f>
        <v>22.592855743853001</v>
      </c>
      <c r="J104" s="34">
        <f>_xll.DBRW($B$1,Cons_Region!$D$9,Cons_Region!J$11,$M$1,Cons_Region!$G$9,Cons_Region!$J$9,$N$1,Cons_Region!$B104,$L$1,$K$1)</f>
        <v>24.157845450648001</v>
      </c>
      <c r="K104" s="34">
        <f>_xll.DBRW($B$1,Cons_Region!$D$9,Cons_Region!K$11,$M$1,Cons_Region!$G$9,Cons_Region!$J$9,$N$1,Cons_Region!$B104,$L$1,$K$1)</f>
        <v>23.1461224272369</v>
      </c>
      <c r="L104" s="34">
        <f>_xll.DBRW($B$1,Cons_Region!$D$9,Cons_Region!L$11,$M$1,Cons_Region!$G$9,Cons_Region!$J$9,$N$1,Cons_Region!$B104,$L$1,$K$1)</f>
        <v>22.414803943443101</v>
      </c>
      <c r="M104" s="34">
        <f>_xll.DBRW($B$1,Cons_Region!$D$9,Cons_Region!M$11,$M$1,Cons_Region!$G$9,Cons_Region!$J$9,$N$1,Cons_Region!$B104,$L$1,$K$1)</f>
        <v>27.216577896376901</v>
      </c>
      <c r="N104" s="34">
        <f>_xll.DBRW($B$1,Cons_Region!$D$9,Cons_Region!N$11,$M$1,Cons_Region!$G$9,Cons_Region!$J$9,$N$1,Cons_Region!$B104,$L$1,$K$1)</f>
        <v>44.086337594441197</v>
      </c>
    </row>
    <row r="106" spans="2:14" s="1" customFormat="1" ht="15.75" customHeight="1" thickBot="1" x14ac:dyDescent="0.3">
      <c r="B106" s="10"/>
    </row>
    <row r="107" spans="2:14" s="1" customFormat="1" ht="15.75" customHeight="1" thickTop="1" x14ac:dyDescent="0.25">
      <c r="B107" s="9" t="s">
        <v>87</v>
      </c>
    </row>
    <row r="109" spans="2:14" s="1" customFormat="1" ht="15.75" customHeight="1" x14ac:dyDescent="0.25">
      <c r="B109" s="5"/>
      <c r="C109" s="18" t="str">
        <f t="shared" ref="C109:N109" si="9">$D$9&amp;"."&amp;C$11</f>
        <v>2026.01</v>
      </c>
      <c r="D109" s="18" t="str">
        <f t="shared" si="9"/>
        <v>2026.02</v>
      </c>
      <c r="E109" s="18" t="str">
        <f t="shared" si="9"/>
        <v>2026.03</v>
      </c>
      <c r="F109" s="18" t="str">
        <f t="shared" si="9"/>
        <v>2026.04</v>
      </c>
      <c r="G109" s="18" t="str">
        <f t="shared" si="9"/>
        <v>2026.05</v>
      </c>
      <c r="H109" s="18" t="str">
        <f t="shared" si="9"/>
        <v>2026.06</v>
      </c>
      <c r="I109" s="18" t="str">
        <f t="shared" si="9"/>
        <v>2026.07</v>
      </c>
      <c r="J109" s="18" t="str">
        <f t="shared" si="9"/>
        <v>2026.08</v>
      </c>
      <c r="K109" s="18" t="str">
        <f t="shared" si="9"/>
        <v>2026.09</v>
      </c>
      <c r="L109" s="18" t="str">
        <f t="shared" si="9"/>
        <v>2026.10</v>
      </c>
      <c r="M109" s="18" t="str">
        <f t="shared" si="9"/>
        <v>2026.11</v>
      </c>
      <c r="N109" s="18" t="str">
        <f t="shared" si="9"/>
        <v>2026.12</v>
      </c>
    </row>
    <row r="110" spans="2:14" s="1" customFormat="1" ht="15.75" customHeight="1" x14ac:dyDescent="0.25">
      <c r="B110" s="24" t="s">
        <v>88</v>
      </c>
      <c r="C110" s="21">
        <f>_xll.DBRW($C$3,Cons_Region!$D$9,Cons_Region!C$11,$M$1,Cons_Region!$G$9,Cons_Region!$J$9,$B110,$K$1)</f>
        <v>49.721166792731267</v>
      </c>
      <c r="D110" s="21">
        <f>_xll.DBRW($C$3,Cons_Region!$D$9,Cons_Region!D$11,$M$1,Cons_Region!$G$9,Cons_Region!$J$9,$B110,$K$1)</f>
        <v>50.423219386286284</v>
      </c>
      <c r="E110" s="21">
        <f>_xll.DBRW($C$3,Cons_Region!$D$9,Cons_Region!E$11,$M$1,Cons_Region!$G$9,Cons_Region!$J$9,$B110,$K$1)</f>
        <v>65.874173848254358</v>
      </c>
      <c r="F110" s="21">
        <f>_xll.DBRW($C$3,Cons_Region!$D$9,Cons_Region!F$11,$M$1,Cons_Region!$G$9,Cons_Region!$J$9,$B110,$K$1)</f>
        <v>73.427308619819357</v>
      </c>
      <c r="G110" s="21">
        <f>_xll.DBRW($C$3,Cons_Region!$D$9,Cons_Region!G$11,$M$1,Cons_Region!$G$9,Cons_Region!$J$9,$B110,$K$1)</f>
        <v>86.30415854115661</v>
      </c>
      <c r="H110" s="21">
        <f>_xll.DBRW($C$3,Cons_Region!$D$9,Cons_Region!H$11,$M$1,Cons_Region!$G$9,Cons_Region!$J$9,$B110,$K$1)</f>
        <v>91.533617702029545</v>
      </c>
      <c r="I110" s="21">
        <f>_xll.DBRW($C$3,Cons_Region!$D$9,Cons_Region!I$11,$M$1,Cons_Region!$G$9,Cons_Region!$J$9,$B110,$K$1)</f>
        <v>111.43625714548851</v>
      </c>
      <c r="J110" s="21">
        <f>_xll.DBRW($C$3,Cons_Region!$D$9,Cons_Region!J$11,$M$1,Cons_Region!$G$9,Cons_Region!$J$9,$B110,$K$1)</f>
        <v>92.628002720828519</v>
      </c>
      <c r="K110" s="21">
        <f>_xll.DBRW($C$3,Cons_Region!$D$9,Cons_Region!K$11,$M$1,Cons_Region!$G$9,Cons_Region!$J$9,$B110,$K$1)</f>
        <v>120.87974784806693</v>
      </c>
      <c r="L110" s="21">
        <f>_xll.DBRW($C$3,Cons_Region!$D$9,Cons_Region!L$11,$M$1,Cons_Region!$G$9,Cons_Region!$J$9,$B110,$K$1)</f>
        <v>109.35016681858905</v>
      </c>
      <c r="M110" s="21">
        <f>_xll.DBRW($C$3,Cons_Region!$D$9,Cons_Region!M$11,$M$1,Cons_Region!$G$9,Cons_Region!$J$9,$B110,$K$1)</f>
        <v>0</v>
      </c>
      <c r="N110" s="21">
        <f>_xll.DBRW($C$3,Cons_Region!$D$9,Cons_Region!N$11,$M$1,Cons_Region!$G$9,Cons_Region!$J$9,$B110,$K$1)</f>
        <v>0</v>
      </c>
    </row>
    <row r="111" spans="2:14" s="1" customFormat="1" ht="15.75" customHeight="1" x14ac:dyDescent="0.25">
      <c r="B111" s="24" t="s">
        <v>89</v>
      </c>
      <c r="C111" s="21">
        <f>_xll.DBRW($C$3,Cons_Region!$D$9,Cons_Region!C$11,$M$1,Cons_Region!$G$9,Cons_Region!$J$9,$B111,$K$1)</f>
        <v>32.157167987052297</v>
      </c>
      <c r="D111" s="21">
        <f>_xll.DBRW($C$3,Cons_Region!$D$9,Cons_Region!D$11,$M$1,Cons_Region!$G$9,Cons_Region!$J$9,$B111,$K$1)</f>
        <v>32.0924694974575</v>
      </c>
      <c r="E111" s="21">
        <f>_xll.DBRW($C$3,Cons_Region!$D$9,Cons_Region!E$11,$M$1,Cons_Region!$G$9,Cons_Region!$J$9,$B111,$K$1)</f>
        <v>30.266237605309801</v>
      </c>
      <c r="F111" s="21">
        <f>_xll.DBRW($C$3,Cons_Region!$D$9,Cons_Region!F$11,$M$1,Cons_Region!$G$9,Cons_Region!$J$9,$B111,$K$1)</f>
        <v>31.650163412986998</v>
      </c>
      <c r="G111" s="21">
        <f>_xll.DBRW($C$3,Cons_Region!$D$9,Cons_Region!G$11,$M$1,Cons_Region!$G$9,Cons_Region!$J$9,$B111,$K$1)</f>
        <v>32.329150279096403</v>
      </c>
      <c r="H111" s="21">
        <f>_xll.DBRW($C$3,Cons_Region!$D$9,Cons_Region!H$11,$M$1,Cons_Region!$G$9,Cons_Region!$J$9,$B111,$K$1)</f>
        <v>32.813056578146401</v>
      </c>
      <c r="I111" s="21">
        <f>_xll.DBRW($C$3,Cons_Region!$D$9,Cons_Region!I$11,$M$1,Cons_Region!$G$9,Cons_Region!$J$9,$B111,$K$1)</f>
        <v>33.265272020979701</v>
      </c>
      <c r="J111" s="21">
        <f>_xll.DBRW($C$3,Cons_Region!$D$9,Cons_Region!J$11,$M$1,Cons_Region!$G$9,Cons_Region!$J$9,$B111,$K$1)</f>
        <v>33.332143476655901</v>
      </c>
      <c r="K111" s="21">
        <f>_xll.DBRW($C$3,Cons_Region!$D$9,Cons_Region!K$11,$M$1,Cons_Region!$G$9,Cons_Region!$J$9,$B111,$K$1)</f>
        <v>32.930295840500101</v>
      </c>
      <c r="L111" s="21">
        <f>_xll.DBRW($C$3,Cons_Region!$D$9,Cons_Region!L$11,$M$1,Cons_Region!$G$9,Cons_Region!$J$9,$B111,$K$1)</f>
        <v>32.690442244947199</v>
      </c>
      <c r="M111" s="21">
        <f>_xll.DBRW($C$3,Cons_Region!$D$9,Cons_Region!M$11,$M$1,Cons_Region!$G$9,Cons_Region!$J$9,$B111,$K$1)</f>
        <v>32.833888509057601</v>
      </c>
      <c r="N111" s="21">
        <f>_xll.DBRW($C$3,Cons_Region!$D$9,Cons_Region!N$11,$M$1,Cons_Region!$G$9,Cons_Region!$J$9,$B111,$K$1)</f>
        <v>33.049767856136903</v>
      </c>
    </row>
    <row r="112" spans="2:14" s="1" customFormat="1" ht="15.75" customHeight="1" x14ac:dyDescent="0.25">
      <c r="B112" s="17" t="s">
        <v>90</v>
      </c>
      <c r="C112" s="34">
        <f>_xll.DBRW($B$1,Cons_Region!$D$9,Cons_Region!C$11,$M$1,Cons_Region!$G$9,Cons_Region!$J$9,$N$1,Cons_Region!$B112,$L$1,$K$1)</f>
        <v>131.909340503805</v>
      </c>
      <c r="D112" s="34">
        <f>_xll.DBRW($B$1,Cons_Region!$D$9,Cons_Region!D$11,$M$1,Cons_Region!$G$9,Cons_Region!$J$9,$N$1,Cons_Region!$B112,$L$1,$K$1)</f>
        <v>124.685848815249</v>
      </c>
      <c r="E112" s="34">
        <f>_xll.DBRW($B$1,Cons_Region!$D$9,Cons_Region!E$11,$M$1,Cons_Region!$G$9,Cons_Region!$J$9,$N$1,Cons_Region!$B112,$L$1,$K$1)</f>
        <v>126.03322584487</v>
      </c>
      <c r="F112" s="34">
        <f>_xll.DBRW($B$1,Cons_Region!$D$9,Cons_Region!F$11,$M$1,Cons_Region!$G$9,Cons_Region!$J$9,$N$1,Cons_Region!$B112,$L$1,$K$1)</f>
        <v>126.25921122907999</v>
      </c>
      <c r="G112" s="34">
        <f>_xll.DBRW($B$1,Cons_Region!$D$9,Cons_Region!G$11,$M$1,Cons_Region!$G$9,Cons_Region!$J$9,$N$1,Cons_Region!$B112,$L$1,$K$1)</f>
        <v>128.85264589495401</v>
      </c>
      <c r="H112" s="34">
        <f>_xll.DBRW($B$1,Cons_Region!$D$9,Cons_Region!H$11,$M$1,Cons_Region!$G$9,Cons_Region!$J$9,$N$1,Cons_Region!$B112,$L$1,$K$1)</f>
        <v>125.605121242774</v>
      </c>
      <c r="I112" s="34">
        <f>_xll.DBRW($B$1,Cons_Region!$D$9,Cons_Region!I$11,$M$1,Cons_Region!$G$9,Cons_Region!$J$9,$N$1,Cons_Region!$B112,$L$1,$K$1)</f>
        <v>125.41618057064601</v>
      </c>
      <c r="J112" s="34">
        <f>_xll.DBRW($B$1,Cons_Region!$D$9,Cons_Region!J$11,$M$1,Cons_Region!$G$9,Cons_Region!$J$9,$N$1,Cons_Region!$B112,$L$1,$K$1)</f>
        <v>127.158516654454</v>
      </c>
      <c r="K112" s="34">
        <f>_xll.DBRW($B$1,Cons_Region!$D$9,Cons_Region!K$11,$M$1,Cons_Region!$G$9,Cons_Region!$J$9,$N$1,Cons_Region!$B112,$L$1,$K$1)</f>
        <v>120.969446216566</v>
      </c>
      <c r="L112" s="34">
        <f>_xll.DBRW($B$1,Cons_Region!$D$9,Cons_Region!L$11,$M$1,Cons_Region!$G$9,Cons_Region!$J$9,$N$1,Cons_Region!$B112,$L$1,$K$1)</f>
        <v>114.347310905857</v>
      </c>
      <c r="M112" s="34">
        <f>_xll.DBRW($B$1,Cons_Region!$D$9,Cons_Region!M$11,$M$1,Cons_Region!$G$9,Cons_Region!$J$9,$N$1,Cons_Region!$B112,$L$1,$K$1)</f>
        <v>123.20380293639001</v>
      </c>
      <c r="N112" s="34">
        <f>_xll.DBRW($B$1,Cons_Region!$D$9,Cons_Region!N$11,$M$1,Cons_Region!$G$9,Cons_Region!$J$9,$N$1,Cons_Region!$B112,$L$1,$K$1)</f>
        <v>137.593825752437</v>
      </c>
    </row>
    <row r="113" spans="2:14" s="1" customFormat="1" ht="15.75" customHeight="1" x14ac:dyDescent="0.25">
      <c r="B113" s="17" t="s">
        <v>91</v>
      </c>
      <c r="C113" s="34">
        <f>_xll.DBRW($B$1,Cons_Region!$D$9,Cons_Region!C$11,$M$1,Cons_Region!$G$9,Cons_Region!$J$9,$N$1,Cons_Region!$B113,$L$1,$K$1)</f>
        <v>36.753783514409903</v>
      </c>
      <c r="D113" s="34">
        <f>_xll.DBRW($B$1,Cons_Region!$D$9,Cons_Region!D$11,$M$1,Cons_Region!$G$9,Cons_Region!$J$9,$N$1,Cons_Region!$B113,$L$1,$K$1)</f>
        <v>34.324329155495001</v>
      </c>
      <c r="E113" s="34">
        <f>_xll.DBRW($B$1,Cons_Region!$D$9,Cons_Region!E$11,$M$1,Cons_Region!$G$9,Cons_Region!$J$9,$N$1,Cons_Region!$B113,$L$1,$K$1)</f>
        <v>35.4775755526856</v>
      </c>
      <c r="F113" s="34">
        <f>_xll.DBRW($B$1,Cons_Region!$D$9,Cons_Region!F$11,$M$1,Cons_Region!$G$9,Cons_Region!$J$9,$N$1,Cons_Region!$B113,$L$1,$K$1)</f>
        <v>33.059757034238203</v>
      </c>
      <c r="G113" s="34">
        <f>_xll.DBRW($B$1,Cons_Region!$D$9,Cons_Region!G$11,$M$1,Cons_Region!$G$9,Cons_Region!$J$9,$N$1,Cons_Region!$B113,$L$1,$K$1)</f>
        <v>36.128428650907097</v>
      </c>
      <c r="H113" s="34">
        <f>_xll.DBRW($B$1,Cons_Region!$D$9,Cons_Region!H$11,$M$1,Cons_Region!$G$9,Cons_Region!$J$9,$N$1,Cons_Region!$B113,$L$1,$K$1)</f>
        <v>38.679507901638502</v>
      </c>
      <c r="I113" s="34">
        <f>_xll.DBRW($B$1,Cons_Region!$D$9,Cons_Region!I$11,$M$1,Cons_Region!$G$9,Cons_Region!$J$9,$N$1,Cons_Region!$B113,$L$1,$K$1)</f>
        <v>38.991430972134502</v>
      </c>
      <c r="J113" s="34">
        <f>_xll.DBRW($B$1,Cons_Region!$D$9,Cons_Region!J$11,$M$1,Cons_Region!$G$9,Cons_Region!$J$9,$N$1,Cons_Region!$B113,$L$1,$K$1)</f>
        <v>34.999299636888601</v>
      </c>
      <c r="K113" s="34">
        <f>_xll.DBRW($B$1,Cons_Region!$D$9,Cons_Region!K$11,$M$1,Cons_Region!$G$9,Cons_Region!$J$9,$N$1,Cons_Region!$B113,$L$1,$K$1)</f>
        <v>38.015507794683103</v>
      </c>
      <c r="L113" s="34">
        <f>_xll.DBRW($B$1,Cons_Region!$D$9,Cons_Region!L$11,$M$1,Cons_Region!$G$9,Cons_Region!$J$9,$N$1,Cons_Region!$B113,$L$1,$K$1)</f>
        <v>39.812607178259299</v>
      </c>
      <c r="M113" s="34">
        <f>_xll.DBRW($B$1,Cons_Region!$D$9,Cons_Region!M$11,$M$1,Cons_Region!$G$9,Cons_Region!$J$9,$N$1,Cons_Region!$B113,$L$1,$K$1)</f>
        <v>41.688361300156998</v>
      </c>
      <c r="N113" s="34">
        <f>_xll.DBRW($B$1,Cons_Region!$D$9,Cons_Region!N$11,$M$1,Cons_Region!$G$9,Cons_Region!$J$9,$N$1,Cons_Region!$B113,$L$1,$K$1)</f>
        <v>36.5216840298799</v>
      </c>
    </row>
    <row r="114" spans="2:14" s="1" customFormat="1" ht="15.75" customHeight="1" x14ac:dyDescent="0.25">
      <c r="B114" s="17" t="s">
        <v>291</v>
      </c>
      <c r="C114" s="34">
        <f>_xll.DBRW($B$1,Cons_Region!$D$9,Cons_Region!C$11,$M$1,Cons_Region!$G$9,Cons_Region!$J$9,$N$1,Cons_Region!$B114,$L$1,$K$1)</f>
        <v>67.765153280551999</v>
      </c>
      <c r="D114" s="34">
        <f>_xll.DBRW($B$1,Cons_Region!$D$9,Cons_Region!D$11,$M$1,Cons_Region!$G$9,Cons_Region!$J$9,$N$1,Cons_Region!$B114,$L$1,$K$1)</f>
        <v>0</v>
      </c>
      <c r="E114" s="34">
        <f>_xll.DBRW($B$1,Cons_Region!$D$9,Cons_Region!E$11,$M$1,Cons_Region!$G$9,Cons_Region!$J$9,$N$1,Cons_Region!$B114,$L$1,$K$1)</f>
        <v>0</v>
      </c>
      <c r="F114" s="34">
        <f>_xll.DBRW($B$1,Cons_Region!$D$9,Cons_Region!F$11,$M$1,Cons_Region!$G$9,Cons_Region!$J$9,$N$1,Cons_Region!$B114,$L$1,$K$1)</f>
        <v>0</v>
      </c>
      <c r="G114" s="34">
        <f>_xll.DBRW($B$1,Cons_Region!$D$9,Cons_Region!G$11,$M$1,Cons_Region!$G$9,Cons_Region!$J$9,$N$1,Cons_Region!$B114,$L$1,$K$1)</f>
        <v>0</v>
      </c>
      <c r="H114" s="34">
        <f>_xll.DBRW($B$1,Cons_Region!$D$9,Cons_Region!H$11,$M$1,Cons_Region!$G$9,Cons_Region!$J$9,$N$1,Cons_Region!$B114,$L$1,$K$1)</f>
        <v>0</v>
      </c>
      <c r="I114" s="34">
        <f>_xll.DBRW($B$1,Cons_Region!$D$9,Cons_Region!I$11,$M$1,Cons_Region!$G$9,Cons_Region!$J$9,$N$1,Cons_Region!$B114,$L$1,$K$1)</f>
        <v>0</v>
      </c>
      <c r="J114" s="34">
        <f>_xll.DBRW($B$1,Cons_Region!$D$9,Cons_Region!J$11,$M$1,Cons_Region!$G$9,Cons_Region!$J$9,$N$1,Cons_Region!$B114,$L$1,$K$1)</f>
        <v>0</v>
      </c>
      <c r="K114" s="34">
        <f>_xll.DBRW($B$1,Cons_Region!$D$9,Cons_Region!K$11,$M$1,Cons_Region!$G$9,Cons_Region!$J$9,$N$1,Cons_Region!$B114,$L$1,$K$1)</f>
        <v>0</v>
      </c>
      <c r="L114" s="34">
        <f>_xll.DBRW($B$1,Cons_Region!$D$9,Cons_Region!L$11,$M$1,Cons_Region!$G$9,Cons_Region!$J$9,$N$1,Cons_Region!$B114,$L$1,$K$1)</f>
        <v>0</v>
      </c>
      <c r="M114" s="34">
        <f>_xll.DBRW($B$1,Cons_Region!$D$9,Cons_Region!M$11,$M$1,Cons_Region!$G$9,Cons_Region!$J$9,$N$1,Cons_Region!$B114,$L$1,$K$1)</f>
        <v>0</v>
      </c>
      <c r="N114" s="34">
        <f>_xll.DBRW($B$1,Cons_Region!$D$9,Cons_Region!N$11,$M$1,Cons_Region!$G$9,Cons_Region!$J$9,$N$1,Cons_Region!$B114,$L$1,$K$1)</f>
        <v>0</v>
      </c>
    </row>
    <row r="115" spans="2:14" s="1" customFormat="1" ht="15.75" customHeight="1" x14ac:dyDescent="0.25">
      <c r="B115" s="17" t="s">
        <v>92</v>
      </c>
      <c r="C115" s="34" t="e">
        <f>_xll.DBRW($B$1,Cons_Region!$D$9,Cons_Region!C$11,$M$1,Cons_Region!$G$9,Cons_Region!$J$9,$N$1,Cons_Region!$B115,$L$1,$K$1)</f>
        <v>#NUM!</v>
      </c>
      <c r="D115" s="34"/>
      <c r="E115" s="34"/>
      <c r="F115" s="34"/>
      <c r="G115" s="34"/>
      <c r="H115" s="34"/>
      <c r="I115" s="34"/>
      <c r="J115" s="34"/>
      <c r="K115" s="34"/>
      <c r="L115" s="34"/>
      <c r="M115" s="34"/>
      <c r="N115" s="34"/>
    </row>
    <row r="116" spans="2:14" s="1" customFormat="1" ht="15.75" customHeight="1" x14ac:dyDescent="0.25">
      <c r="B116" s="17" t="s">
        <v>93</v>
      </c>
      <c r="C116" s="34">
        <f>_xll.DBRW($B$1,Cons_Region!$D$9,Cons_Region!C$11,$M$1,Cons_Region!$G$9,Cons_Region!$J$9,$N$1,Cons_Region!$B116,$L$1,$K$1)</f>
        <v>30.3090620920992</v>
      </c>
      <c r="D116" s="34">
        <f>_xll.DBRW($B$1,Cons_Region!$D$9,Cons_Region!D$11,$M$1,Cons_Region!$G$9,Cons_Region!$J$9,$N$1,Cons_Region!$B116,$L$1,$K$1)</f>
        <v>33.994084394232601</v>
      </c>
      <c r="E116" s="34">
        <f>_xll.DBRW($B$1,Cons_Region!$D$9,Cons_Region!E$11,$M$1,Cons_Region!$G$9,Cons_Region!$J$9,$N$1,Cons_Region!$B116,$L$1,$K$1)</f>
        <v>32.794075068150697</v>
      </c>
      <c r="F116" s="34">
        <f>_xll.DBRW($B$1,Cons_Region!$D$9,Cons_Region!F$11,$M$1,Cons_Region!$G$9,Cons_Region!$J$9,$N$1,Cons_Region!$B116,$L$1,$K$1)</f>
        <v>35.025497751289002</v>
      </c>
      <c r="G116" s="34">
        <f>_xll.DBRW($B$1,Cons_Region!$D$9,Cons_Region!G$11,$M$1,Cons_Region!$G$9,Cons_Region!$J$9,$N$1,Cons_Region!$B116,$L$1,$K$1)</f>
        <v>29.487893120900399</v>
      </c>
      <c r="H116" s="34">
        <f>_xll.DBRW($B$1,Cons_Region!$D$9,Cons_Region!H$11,$M$1,Cons_Region!$G$9,Cons_Region!$J$9,$N$1,Cons_Region!$B116,$L$1,$K$1)</f>
        <v>26.9455988746878</v>
      </c>
      <c r="I116" s="34">
        <f>_xll.DBRW($B$1,Cons_Region!$D$9,Cons_Region!I$11,$M$1,Cons_Region!$G$9,Cons_Region!$J$9,$N$1,Cons_Region!$B116,$L$1,$K$1)</f>
        <v>24.220174410083501</v>
      </c>
      <c r="J116" s="34">
        <f>_xll.DBRW($B$1,Cons_Region!$D$9,Cons_Region!J$11,$M$1,Cons_Region!$G$9,Cons_Region!$J$9,$N$1,Cons_Region!$B116,$L$1,$K$1)</f>
        <v>20.480485123845799</v>
      </c>
      <c r="K116" s="34">
        <f>_xll.DBRW($B$1,Cons_Region!$D$9,Cons_Region!K$11,$M$1,Cons_Region!$G$9,Cons_Region!$J$9,$N$1,Cons_Region!$B116,$L$1,$K$1)</f>
        <v>18.107980360545199</v>
      </c>
      <c r="L116" s="34">
        <f>_xll.DBRW($B$1,Cons_Region!$D$9,Cons_Region!L$11,$M$1,Cons_Region!$G$9,Cons_Region!$J$9,$N$1,Cons_Region!$B116,$L$1,$K$1)</f>
        <v>16.7713395866921</v>
      </c>
      <c r="M116" s="34">
        <f>_xll.DBRW($B$1,Cons_Region!$D$9,Cons_Region!M$11,$M$1,Cons_Region!$G$9,Cons_Region!$J$9,$N$1,Cons_Region!$B116,$L$1,$K$1)</f>
        <v>16.823058038985799</v>
      </c>
      <c r="N116" s="34">
        <f>_xll.DBRW($B$1,Cons_Region!$D$9,Cons_Region!N$11,$M$1,Cons_Region!$G$9,Cons_Region!$J$9,$N$1,Cons_Region!$B116,$L$1,$K$1)</f>
        <v>26.6774366114612</v>
      </c>
    </row>
    <row r="117" spans="2:14" s="1" customFormat="1" ht="15.75" customHeight="1" x14ac:dyDescent="0.25">
      <c r="B117" s="24" t="s">
        <v>94</v>
      </c>
      <c r="C117" s="36">
        <f>_xll.DBRW($C$3,Cons_Region!$D$9,Cons_Region!C$11,$M$1,Cons_Region!$G$9,Cons_Region!$J$9,$B117,$K$1)</f>
        <v>54.331311941838102</v>
      </c>
      <c r="D117" s="36">
        <f>_xll.DBRW($C$3,Cons_Region!$D$9,Cons_Region!D$11,$M$1,Cons_Region!$G$9,Cons_Region!$J$9,$B117,$K$1)</f>
        <v>47.668593098875853</v>
      </c>
      <c r="E117" s="36">
        <f>_xll.DBRW($C$3,Cons_Region!$D$9,Cons_Region!E$11,$M$1,Cons_Region!$G$9,Cons_Region!$J$9,$B117,$K$1)</f>
        <v>74.407647983021093</v>
      </c>
      <c r="F117" s="36">
        <f>_xll.DBRW($C$3,Cons_Region!$D$9,Cons_Region!F$11,$M$1,Cons_Region!$G$9,Cons_Region!$J$9,$B117,$K$1)</f>
        <v>85.805169950830859</v>
      </c>
      <c r="G117" s="36">
        <f>_xll.DBRW($C$3,Cons_Region!$D$9,Cons_Region!G$11,$M$1,Cons_Region!$G$9,Cons_Region!$J$9,$B117,$K$1)</f>
        <v>114.71596806323048</v>
      </c>
      <c r="H117" s="36">
        <f>_xll.DBRW($C$3,Cons_Region!$D$9,Cons_Region!H$11,$M$1,Cons_Region!$G$9,Cons_Region!$J$9,$B117,$K$1)</f>
        <v>124.72212965911025</v>
      </c>
      <c r="I117" s="36">
        <f>_xll.DBRW($C$3,Cons_Region!$D$9,Cons_Region!I$11,$M$1,Cons_Region!$G$9,Cons_Region!$J$9,$B117,$K$1)</f>
        <v>133.12470202617828</v>
      </c>
      <c r="J117" s="36">
        <f>_xll.DBRW($C$3,Cons_Region!$D$9,Cons_Region!J$11,$M$1,Cons_Region!$G$9,Cons_Region!$J$9,$B117,$K$1)</f>
        <v>138.39620553301441</v>
      </c>
      <c r="K117" s="36">
        <f>_xll.DBRW($C$3,Cons_Region!$D$9,Cons_Region!K$11,$M$1,Cons_Region!$G$9,Cons_Region!$J$9,$B117,$K$1)</f>
        <v>140.18920452588372</v>
      </c>
      <c r="L117" s="36">
        <f>_xll.DBRW($C$3,Cons_Region!$D$9,Cons_Region!L$11,$M$1,Cons_Region!$G$9,Cons_Region!$J$9,$B117,$K$1)</f>
        <v>128.72094576134074</v>
      </c>
      <c r="M117" s="36">
        <f>_xll.DBRW($C$3,Cons_Region!$D$9,Cons_Region!M$11,$M$1,Cons_Region!$G$9,Cons_Region!$J$9,$B117,$K$1)</f>
        <v>0</v>
      </c>
      <c r="N117" s="36">
        <f>_xll.DBRW($C$3,Cons_Region!$D$9,Cons_Region!N$11,$M$1,Cons_Region!$G$9,Cons_Region!$J$9,$B117,$K$1)</f>
        <v>0</v>
      </c>
    </row>
    <row r="119" spans="2:14" s="1" customFormat="1" ht="15.75" customHeight="1" thickBot="1" x14ac:dyDescent="0.3">
      <c r="B119" s="10"/>
    </row>
    <row r="120" spans="2:14" s="1" customFormat="1" ht="15.75" customHeight="1" thickTop="1" x14ac:dyDescent="0.25">
      <c r="B120" s="9" t="s">
        <v>95</v>
      </c>
    </row>
    <row r="122" spans="2:14" s="1" customFormat="1" ht="15.75" customHeight="1" x14ac:dyDescent="0.25">
      <c r="B122" s="5"/>
      <c r="C122" s="18" t="str">
        <f t="shared" ref="C122:N122" si="10">$D$9&amp;"."&amp;C$11</f>
        <v>2026.01</v>
      </c>
      <c r="D122" s="18" t="str">
        <f t="shared" si="10"/>
        <v>2026.02</v>
      </c>
      <c r="E122" s="18" t="str">
        <f t="shared" si="10"/>
        <v>2026.03</v>
      </c>
      <c r="F122" s="18" t="str">
        <f t="shared" si="10"/>
        <v>2026.04</v>
      </c>
      <c r="G122" s="18" t="str">
        <f t="shared" si="10"/>
        <v>2026.05</v>
      </c>
      <c r="H122" s="18" t="str">
        <f t="shared" si="10"/>
        <v>2026.06</v>
      </c>
      <c r="I122" s="18" t="str">
        <f t="shared" si="10"/>
        <v>2026.07</v>
      </c>
      <c r="J122" s="18" t="str">
        <f t="shared" si="10"/>
        <v>2026.08</v>
      </c>
      <c r="K122" s="18" t="str">
        <f t="shared" si="10"/>
        <v>2026.09</v>
      </c>
      <c r="L122" s="18" t="str">
        <f t="shared" si="10"/>
        <v>2026.10</v>
      </c>
      <c r="M122" s="18" t="str">
        <f t="shared" si="10"/>
        <v>2026.11</v>
      </c>
      <c r="N122" s="18" t="str">
        <f t="shared" si="10"/>
        <v>2026.12</v>
      </c>
    </row>
    <row r="123" spans="2:14" s="1" customFormat="1" ht="15.75" customHeight="1" x14ac:dyDescent="0.25">
      <c r="B123" s="24" t="s">
        <v>88</v>
      </c>
      <c r="C123" s="21">
        <f>_xll.DBRW($C$3,Cons_Region!$D$9,Cons_Region!C$11,$M$1,Cons_Region!$G$9,Cons_Region!$J$9,$B123,$K$1)</f>
        <v>49.721166792731267</v>
      </c>
      <c r="D123" s="21">
        <f>_xll.DBRW($C$3,Cons_Region!$D$9,Cons_Region!D$11,$M$1,Cons_Region!$G$9,Cons_Region!$J$9,$B123,$K$1)</f>
        <v>50.423219386286284</v>
      </c>
      <c r="E123" s="21">
        <f>_xll.DBRW($C$3,Cons_Region!$D$9,Cons_Region!E$11,$M$1,Cons_Region!$G$9,Cons_Region!$J$9,$B123,$K$1)</f>
        <v>65.874173848254358</v>
      </c>
      <c r="F123" s="21">
        <f>_xll.DBRW($C$3,Cons_Region!$D$9,Cons_Region!F$11,$M$1,Cons_Region!$G$9,Cons_Region!$J$9,$B123,$K$1)</f>
        <v>73.427308619819357</v>
      </c>
      <c r="G123" s="21">
        <f>_xll.DBRW($C$3,Cons_Region!$D$9,Cons_Region!G$11,$M$1,Cons_Region!$G$9,Cons_Region!$J$9,$B123,$K$1)</f>
        <v>86.30415854115661</v>
      </c>
      <c r="H123" s="21">
        <f>_xll.DBRW($C$3,Cons_Region!$D$9,Cons_Region!H$11,$M$1,Cons_Region!$G$9,Cons_Region!$J$9,$B123,$K$1)</f>
        <v>91.533617702029545</v>
      </c>
      <c r="I123" s="21">
        <f>_xll.DBRW($C$3,Cons_Region!$D$9,Cons_Region!I$11,$M$1,Cons_Region!$G$9,Cons_Region!$J$9,$B123,$K$1)</f>
        <v>111.43625714548851</v>
      </c>
      <c r="J123" s="21">
        <f>_xll.DBRW($C$3,Cons_Region!$D$9,Cons_Region!J$11,$M$1,Cons_Region!$G$9,Cons_Region!$J$9,$B123,$K$1)</f>
        <v>92.628002720828519</v>
      </c>
      <c r="K123" s="21">
        <f>_xll.DBRW($C$3,Cons_Region!$D$9,Cons_Region!K$11,$M$1,Cons_Region!$G$9,Cons_Region!$J$9,$B123,$K$1)</f>
        <v>120.87974784806693</v>
      </c>
      <c r="L123" s="21">
        <f>_xll.DBRW($C$3,Cons_Region!$D$9,Cons_Region!L$11,$M$1,Cons_Region!$G$9,Cons_Region!$J$9,$B123,$K$1)</f>
        <v>109.35016681858905</v>
      </c>
      <c r="M123" s="21">
        <f>_xll.DBRW($C$3,Cons_Region!$D$9,Cons_Region!M$11,$M$1,Cons_Region!$G$9,Cons_Region!$J$9,$B123,$K$1)</f>
        <v>0</v>
      </c>
      <c r="N123" s="21">
        <f>_xll.DBRW($C$3,Cons_Region!$D$9,Cons_Region!N$11,$M$1,Cons_Region!$G$9,Cons_Region!$J$9,$B123,$K$1)</f>
        <v>0</v>
      </c>
    </row>
    <row r="124" spans="2:14" s="1" customFormat="1" ht="15.75" customHeight="1" x14ac:dyDescent="0.25">
      <c r="B124" s="24" t="s">
        <v>96</v>
      </c>
      <c r="C124" s="21">
        <f>_xll.DBRW($C$3,Cons_Region!$D$9,Cons_Region!C$11,$M$1,Cons_Region!$G$9,Cons_Region!$J$9,$B124,$K$1)</f>
        <v>150.36949482377528</v>
      </c>
      <c r="D124" s="21">
        <f>_xll.DBRW($C$3,Cons_Region!$D$9,Cons_Region!D$11,$M$1,Cons_Region!$G$9,Cons_Region!$J$9,$B124,$K$1)</f>
        <v>124.62851577570412</v>
      </c>
      <c r="E124" s="21">
        <f>_xll.DBRW($C$3,Cons_Region!$D$9,Cons_Region!E$11,$M$1,Cons_Region!$G$9,Cons_Region!$J$9,$B124,$K$1)</f>
        <v>130.81937254872295</v>
      </c>
      <c r="F124" s="21">
        <f>_xll.DBRW($C$3,Cons_Region!$D$9,Cons_Region!F$11,$M$1,Cons_Region!$G$9,Cons_Region!$J$9,$B124,$K$1)</f>
        <v>138.88881498302214</v>
      </c>
      <c r="G124" s="21">
        <f>_xll.DBRW($C$3,Cons_Region!$D$9,Cons_Region!G$11,$M$1,Cons_Region!$G$9,Cons_Region!$J$9,$B124,$K$1)</f>
        <v>135.94156237697371</v>
      </c>
      <c r="H124" s="21">
        <f>_xll.DBRW($C$3,Cons_Region!$D$9,Cons_Region!H$11,$M$1,Cons_Region!$G$9,Cons_Region!$J$9,$B124,$K$1)</f>
        <v>129.14241655485048</v>
      </c>
      <c r="I124" s="21">
        <f>_xll.DBRW($C$3,Cons_Region!$D$9,Cons_Region!I$11,$M$1,Cons_Region!$G$9,Cons_Region!$J$9,$B124,$K$1)</f>
        <v>129.19442471596676</v>
      </c>
      <c r="J124" s="21">
        <f>_xll.DBRW($C$3,Cons_Region!$D$9,Cons_Region!J$11,$M$1,Cons_Region!$G$9,Cons_Region!$J$9,$B124,$K$1)</f>
        <v>126.57201542917721</v>
      </c>
      <c r="K124" s="21">
        <f>_xll.DBRW($C$3,Cons_Region!$D$9,Cons_Region!K$11,$M$1,Cons_Region!$G$9,Cons_Region!$J$9,$B124,$K$1)</f>
        <v>137.48289760709989</v>
      </c>
      <c r="L124" s="21">
        <f>_xll.DBRW($C$3,Cons_Region!$D$9,Cons_Region!L$11,$M$1,Cons_Region!$G$9,Cons_Region!$J$9,$B124,$K$1)</f>
        <v>145.30669891397866</v>
      </c>
      <c r="M124" s="21">
        <f>_xll.DBRW($C$3,Cons_Region!$D$9,Cons_Region!M$11,$M$1,Cons_Region!$G$9,Cons_Region!$J$9,$B124,$K$1)</f>
        <v>0</v>
      </c>
      <c r="N124" s="21">
        <f>_xll.DBRW($C$3,Cons_Region!$D$9,Cons_Region!N$11,$M$1,Cons_Region!$G$9,Cons_Region!$J$9,$B124,$K$1)</f>
        <v>0</v>
      </c>
    </row>
    <row r="125" spans="2:14" s="1" customFormat="1" ht="15.75" customHeight="1" x14ac:dyDescent="0.25">
      <c r="B125" s="24" t="s">
        <v>97</v>
      </c>
      <c r="C125" s="21">
        <f>_xll.DBRW($C$3,Cons_Region!$D$9,Cons_Region!C$11,$M$1,Cons_Region!$G$9,Cons_Region!$J$9,$B125,$K$1)</f>
        <v>4.1061450735357061</v>
      </c>
      <c r="D125" s="21">
        <f>_xll.DBRW($C$3,Cons_Region!$D$9,Cons_Region!D$11,$M$1,Cons_Region!$G$9,Cons_Region!$J$9,$B125,$K$1)</f>
        <v>5.6165430243699568</v>
      </c>
      <c r="E125" s="21">
        <f>_xll.DBRW($C$3,Cons_Region!$D$9,Cons_Region!E$11,$M$1,Cons_Region!$G$9,Cons_Region!$J$9,$B125,$K$1)</f>
        <v>5.4999578451002336</v>
      </c>
      <c r="F125" s="21">
        <f>_xll.DBRW($C$3,Cons_Region!$D$9,Cons_Region!F$11,$M$1,Cons_Region!$G$9,Cons_Region!$J$9,$B125,$K$1)</f>
        <v>5.9999717911178561</v>
      </c>
      <c r="G125" s="21">
        <f>_xll.DBRW($C$3,Cons_Region!$D$9,Cons_Region!G$11,$M$1,Cons_Region!$G$9,Cons_Region!$J$9,$B125,$K$1)</f>
        <v>6.0000174002956266</v>
      </c>
      <c r="H125" s="21">
        <f>_xll.DBRW($C$3,Cons_Region!$D$9,Cons_Region!H$11,$M$1,Cons_Region!$G$9,Cons_Region!$J$9,$B125,$K$1)</f>
        <v>6.0000180757819273</v>
      </c>
      <c r="I125" s="21">
        <f>_xll.DBRW($C$3,Cons_Region!$D$9,Cons_Region!I$11,$M$1,Cons_Region!$G$9,Cons_Region!$J$9,$B125,$K$1)</f>
        <v>5.9999761608266704</v>
      </c>
      <c r="J125" s="21">
        <f>_xll.DBRW($C$3,Cons_Region!$D$9,Cons_Region!J$11,$M$1,Cons_Region!$G$9,Cons_Region!$J$9,$B125,$K$1)</f>
        <v>5.999979858881086</v>
      </c>
      <c r="K125" s="21">
        <f>_xll.DBRW($C$3,Cons_Region!$D$9,Cons_Region!K$11,$M$1,Cons_Region!$G$9,Cons_Region!$J$9,$B125,$K$1)</f>
        <v>5.9999691759290901</v>
      </c>
      <c r="L125" s="21">
        <f>_xll.DBRW($C$3,Cons_Region!$D$9,Cons_Region!L$11,$M$1,Cons_Region!$G$9,Cons_Region!$J$9,$B125,$K$1)</f>
        <v>6.0000162406323678</v>
      </c>
      <c r="M125" s="21">
        <f>_xll.DBRW($C$3,Cons_Region!$D$9,Cons_Region!M$11,$M$1,Cons_Region!$G$9,Cons_Region!$J$9,$B125,$K$1)</f>
        <v>5.9999589656673642</v>
      </c>
      <c r="N125" s="21">
        <f>_xll.DBRW($C$3,Cons_Region!$D$9,Cons_Region!N$11,$M$1,Cons_Region!$G$9,Cons_Region!$J$9,$B125,$K$1)</f>
        <v>6.200063225511137</v>
      </c>
    </row>
    <row r="126" spans="2:14" s="1" customFormat="1" ht="15.75" customHeight="1" x14ac:dyDescent="0.25">
      <c r="B126" s="24" t="s">
        <v>98</v>
      </c>
      <c r="C126" s="21">
        <f>_xll.DBRW($C$3,Cons_Region!$D$9,Cons_Region!C$11,$M$1,Cons_Region!$G$9,Cons_Region!$J$9,$B126,$K$1)</f>
        <v>65.270279140217283</v>
      </c>
      <c r="D126" s="21">
        <f>_xll.DBRW($C$3,Cons_Region!$D$9,Cons_Region!D$11,$M$1,Cons_Region!$G$9,Cons_Region!$J$9,$B126,$K$1)</f>
        <v>45.998483326572995</v>
      </c>
      <c r="E126" s="21">
        <f>_xll.DBRW($C$3,Cons_Region!$D$9,Cons_Region!E$11,$M$1,Cons_Region!$G$9,Cons_Region!$J$9,$B126,$K$1)</f>
        <v>50.90908927847105</v>
      </c>
      <c r="F126" s="21">
        <f>_xll.DBRW($C$3,Cons_Region!$D$9,Cons_Region!F$11,$M$1,Cons_Region!$G$9,Cons_Region!$J$9,$B126,$K$1)</f>
        <v>52.534089278470908</v>
      </c>
      <c r="G126" s="21">
        <f>_xll.DBRW($C$3,Cons_Region!$D$9,Cons_Region!G$11,$M$1,Cons_Region!$G$9,Cons_Region!$J$9,$B126,$K$1)</f>
        <v>54.159089278470837</v>
      </c>
      <c r="H126" s="21">
        <f>_xll.DBRW($C$3,Cons_Region!$D$9,Cons_Region!H$11,$M$1,Cons_Region!$G$9,Cons_Region!$J$9,$B126,$K$1)</f>
        <v>53.984602527552504</v>
      </c>
      <c r="I126" s="21">
        <f>_xll.DBRW($C$3,Cons_Region!$D$9,Cons_Region!I$11,$M$1,Cons_Region!$G$9,Cons_Region!$J$9,$B126,$K$1)</f>
        <v>59.322725587753297</v>
      </c>
      <c r="J126" s="21">
        <f>_xll.DBRW($C$3,Cons_Region!$D$9,Cons_Region!J$11,$M$1,Cons_Region!$G$9,Cons_Region!$J$9,$B126,$K$1)</f>
        <v>59.034089278471001</v>
      </c>
      <c r="K126" s="21">
        <f>_xll.DBRW($C$3,Cons_Region!$D$9,Cons_Region!K$11,$M$1,Cons_Region!$G$9,Cons_Region!$J$9,$B126,$K$1)</f>
        <v>60.659089278470866</v>
      </c>
      <c r="L126" s="21">
        <f>_xll.DBRW($C$3,Cons_Region!$D$9,Cons_Region!L$11,$M$1,Cons_Region!$G$9,Cons_Region!$J$9,$B126,$K$1)</f>
        <v>62.284089278470972</v>
      </c>
      <c r="M126" s="21">
        <f>_xll.DBRW($C$3,Cons_Region!$D$9,Cons_Region!M$11,$M$1,Cons_Region!$G$9,Cons_Region!$J$9,$B126,$K$1)</f>
        <v>0</v>
      </c>
      <c r="N126" s="21">
        <f>_xll.DBRW($C$3,Cons_Region!$D$9,Cons_Region!N$11,$M$1,Cons_Region!$G$9,Cons_Region!$J$9,$B126,$K$1)</f>
        <v>0</v>
      </c>
    </row>
    <row r="127" spans="2:14" s="1" customFormat="1" ht="15.75" customHeight="1" x14ac:dyDescent="0.25">
      <c r="B127" s="24" t="s">
        <v>99</v>
      </c>
      <c r="C127" s="21">
        <f>_xll.DBRW($C$3,Cons_Region!$D$9,Cons_Region!C$11,$M$1,Cons_Region!$G$9,Cons_Region!$J$9,$B127,$K$1)</f>
        <v>56.492737729788509</v>
      </c>
      <c r="D127" s="21">
        <f>_xll.DBRW($C$3,Cons_Region!$D$9,Cons_Region!D$11,$M$1,Cons_Region!$G$9,Cons_Region!$J$9,$B127,$K$1)</f>
        <v>48.294899770649394</v>
      </c>
      <c r="E127" s="21">
        <f>_xll.DBRW($C$3,Cons_Region!$D$9,Cons_Region!E$11,$M$1,Cons_Region!$G$9,Cons_Region!$J$9,$B127,$K$1)</f>
        <v>50.000000000000078</v>
      </c>
      <c r="F127" s="21">
        <f>_xll.DBRW($C$3,Cons_Region!$D$9,Cons_Region!F$11,$M$1,Cons_Region!$G$9,Cons_Region!$J$9,$B127,$K$1)</f>
        <v>44.999999999999979</v>
      </c>
      <c r="G127" s="21">
        <f>_xll.DBRW($C$3,Cons_Region!$D$9,Cons_Region!G$11,$M$1,Cons_Region!$G$9,Cons_Region!$J$9,$B127,$K$1)</f>
        <v>44.999999999999858</v>
      </c>
      <c r="H127" s="21">
        <f>_xll.DBRW($C$3,Cons_Region!$D$9,Cons_Region!H$11,$M$1,Cons_Region!$G$9,Cons_Region!$J$9,$B127,$K$1)</f>
        <v>48.387096774193651</v>
      </c>
      <c r="I127" s="21">
        <f>_xll.DBRW($C$3,Cons_Region!$D$9,Cons_Region!I$11,$M$1,Cons_Region!$G$9,Cons_Region!$J$9,$B127,$K$1)</f>
        <v>51.666666666666615</v>
      </c>
      <c r="J127" s="21">
        <f>_xll.DBRW($C$3,Cons_Region!$D$9,Cons_Region!J$11,$M$1,Cons_Region!$G$9,Cons_Region!$J$9,$B127,$K$1)</f>
        <v>55.000000000000007</v>
      </c>
      <c r="K127" s="21">
        <f>_xll.DBRW($C$3,Cons_Region!$D$9,Cons_Region!K$11,$M$1,Cons_Region!$G$9,Cons_Region!$J$9,$B127,$K$1)</f>
        <v>59.999999999999922</v>
      </c>
      <c r="L127" s="21">
        <f>_xll.DBRW($C$3,Cons_Region!$D$9,Cons_Region!L$11,$M$1,Cons_Region!$G$9,Cons_Region!$J$9,$B127,$K$1)</f>
        <v>54.999999999999979</v>
      </c>
      <c r="M127" s="21">
        <f>_xll.DBRW($C$3,Cons_Region!$D$9,Cons_Region!M$11,$M$1,Cons_Region!$G$9,Cons_Region!$J$9,$B127,$K$1)</f>
        <v>0</v>
      </c>
      <c r="N127" s="21">
        <f>_xll.DBRW($C$3,Cons_Region!$D$9,Cons_Region!N$11,$M$1,Cons_Region!$G$9,Cons_Region!$J$9,$B127,$K$1)</f>
        <v>0</v>
      </c>
    </row>
    <row r="129" spans="2:14" ht="15.75" customHeight="1" thickBot="1" x14ac:dyDescent="0.3">
      <c r="B129" s="10"/>
    </row>
    <row r="130" spans="2:14" s="1" customFormat="1" ht="15.75" customHeight="1" thickTop="1" x14ac:dyDescent="0.25">
      <c r="B130" s="9" t="s">
        <v>100</v>
      </c>
    </row>
    <row r="132" spans="2:14" s="1" customFormat="1" ht="15.75" customHeight="1" x14ac:dyDescent="0.25">
      <c r="B132" s="5"/>
      <c r="C132" s="18" t="str">
        <f t="shared" ref="C132:N132" si="11">$D$9&amp;"."&amp;C$11</f>
        <v>2026.01</v>
      </c>
      <c r="D132" s="18" t="str">
        <f t="shared" si="11"/>
        <v>2026.02</v>
      </c>
      <c r="E132" s="18" t="str">
        <f t="shared" si="11"/>
        <v>2026.03</v>
      </c>
      <c r="F132" s="18" t="str">
        <f t="shared" si="11"/>
        <v>2026.04</v>
      </c>
      <c r="G132" s="18" t="str">
        <f t="shared" si="11"/>
        <v>2026.05</v>
      </c>
      <c r="H132" s="18" t="str">
        <f t="shared" si="11"/>
        <v>2026.06</v>
      </c>
      <c r="I132" s="18" t="str">
        <f t="shared" si="11"/>
        <v>2026.07</v>
      </c>
      <c r="J132" s="18" t="str">
        <f t="shared" si="11"/>
        <v>2026.08</v>
      </c>
      <c r="K132" s="18" t="str">
        <f t="shared" si="11"/>
        <v>2026.09</v>
      </c>
      <c r="L132" s="18" t="str">
        <f t="shared" si="11"/>
        <v>2026.10</v>
      </c>
      <c r="M132" s="18" t="str">
        <f t="shared" si="11"/>
        <v>2026.11</v>
      </c>
      <c r="N132" s="18" t="str">
        <f t="shared" si="11"/>
        <v>2026.12</v>
      </c>
    </row>
    <row r="133" spans="2:14" s="1" customFormat="1" ht="15.75" customHeight="1" x14ac:dyDescent="0.25">
      <c r="B133" s="24" t="s">
        <v>101</v>
      </c>
      <c r="C133" s="34">
        <f>_xll.DBRW($B$1,Cons_Region!$D$9,Cons_Region!C$11,$M$1,Cons_Region!$G$9,Cons_Region!$J$9,$N$1,Cons_Region!$B133,$L$1,$K$1)</f>
        <v>38.130000000000003</v>
      </c>
      <c r="D133" s="21">
        <f>_xll.DBRW($C$3,Cons_Region!$D$9,Cons_Region!D$11,$M$1,Cons_Region!$G$9,Cons_Region!$J$9,$B133,$K$1)</f>
        <v>218.77370402332468</v>
      </c>
      <c r="E133" s="21">
        <f>_xll.DBRW($C$3,Cons_Region!$D$9,Cons_Region!E$11,$M$1,Cons_Region!$G$9,Cons_Region!$J$9,$B133,$K$1)</f>
        <v>168.99314586920747</v>
      </c>
      <c r="F133" s="21">
        <f>_xll.DBRW($C$3,Cons_Region!$D$9,Cons_Region!F$11,$M$1,Cons_Region!$G$9,Cons_Region!$J$9,$B133,$K$1)</f>
        <v>183.85358594340971</v>
      </c>
      <c r="G133" s="21">
        <f>_xll.DBRW($C$3,Cons_Region!$D$9,Cons_Region!G$11,$M$1,Cons_Region!$G$9,Cons_Region!$J$9,$B133,$K$1)</f>
        <v>191.5928718351025</v>
      </c>
      <c r="H133" s="21">
        <f>_xll.DBRW($C$3,Cons_Region!$D$9,Cons_Region!H$11,$M$1,Cons_Region!$G$9,Cons_Region!$J$9,$B133,$K$1)</f>
        <v>224.00956171027102</v>
      </c>
      <c r="I133" s="21">
        <f>_xll.DBRW($C$3,Cons_Region!$D$9,Cons_Region!I$11,$M$1,Cons_Region!$G$9,Cons_Region!$J$9,$B133,$K$1)</f>
        <v>240.7252772235102</v>
      </c>
      <c r="J133" s="21">
        <f>_xll.DBRW($C$3,Cons_Region!$D$9,Cons_Region!J$11,$M$1,Cons_Region!$G$9,Cons_Region!$J$9,$B133,$K$1)</f>
        <v>255.71187306058056</v>
      </c>
      <c r="K133" s="21">
        <f>_xll.DBRW($C$3,Cons_Region!$D$9,Cons_Region!K$11,$M$1,Cons_Region!$G$9,Cons_Region!$J$9,$B133,$K$1)</f>
        <v>234.27067990161964</v>
      </c>
      <c r="L133" s="21">
        <f>_xll.DBRW($C$3,Cons_Region!$D$9,Cons_Region!L$11,$M$1,Cons_Region!$G$9,Cons_Region!$J$9,$B133,$K$1)</f>
        <v>237.31776342444147</v>
      </c>
      <c r="M133" s="21">
        <f>_xll.DBRW($C$3,Cons_Region!$D$9,Cons_Region!M$11,$M$1,Cons_Region!$G$9,Cons_Region!$J$9,$B133,$K$1)</f>
        <v>203.87805328154639</v>
      </c>
      <c r="N133" s="21">
        <f>_xll.DBRW($C$3,Cons_Region!$D$9,Cons_Region!N$11,$M$1,Cons_Region!$G$9,Cons_Region!$J$9,$B133,$K$1)</f>
        <v>208.54915181892304</v>
      </c>
    </row>
    <row r="134" spans="2:14" s="1" customFormat="1" ht="15.75" customHeight="1" x14ac:dyDescent="0.25">
      <c r="B134" s="24" t="s">
        <v>102</v>
      </c>
      <c r="C134" s="21">
        <f>_xll.DBRW($C$3,Cons_Region!$D$9,Cons_Region!C$11,$M$1,Cons_Region!$G$9,Cons_Region!$J$9,$B134,$K$1)</f>
        <v>218.77370402332468</v>
      </c>
      <c r="D134" s="21">
        <f>_xll.DBRW($C$3,Cons_Region!$D$9,Cons_Region!D$11,$M$1,Cons_Region!$G$9,Cons_Region!$J$9,$B134,$K$1)</f>
        <v>168.99314586920747</v>
      </c>
      <c r="E134" s="21">
        <f>_xll.DBRW($C$3,Cons_Region!$D$9,Cons_Region!E$11,$M$1,Cons_Region!$G$9,Cons_Region!$J$9,$B134,$K$1)</f>
        <v>183.85358594340971</v>
      </c>
      <c r="F134" s="21">
        <f>_xll.DBRW($C$3,Cons_Region!$D$9,Cons_Region!F$11,$M$1,Cons_Region!$G$9,Cons_Region!$J$9,$B134,$K$1)</f>
        <v>191.5928718351025</v>
      </c>
      <c r="G134" s="21">
        <f>_xll.DBRW($C$3,Cons_Region!$D$9,Cons_Region!G$11,$M$1,Cons_Region!$G$9,Cons_Region!$J$9,$B134,$K$1)</f>
        <v>224.00956171027102</v>
      </c>
      <c r="H134" s="21">
        <f>_xll.DBRW($C$3,Cons_Region!$D$9,Cons_Region!H$11,$M$1,Cons_Region!$G$9,Cons_Region!$J$9,$B134,$K$1)</f>
        <v>240.7252772235102</v>
      </c>
      <c r="I134" s="21">
        <f>_xll.DBRW($C$3,Cons_Region!$D$9,Cons_Region!I$11,$M$1,Cons_Region!$G$9,Cons_Region!$J$9,$B134,$K$1)</f>
        <v>255.71187306058056</v>
      </c>
      <c r="J134" s="21">
        <f>_xll.DBRW($C$3,Cons_Region!$D$9,Cons_Region!J$11,$M$1,Cons_Region!$G$9,Cons_Region!$J$9,$B134,$K$1)</f>
        <v>234.27067990161964</v>
      </c>
      <c r="K134" s="21">
        <f>_xll.DBRW($C$3,Cons_Region!$D$9,Cons_Region!K$11,$M$1,Cons_Region!$G$9,Cons_Region!$J$9,$B134,$K$1)</f>
        <v>237.31776342444147</v>
      </c>
      <c r="L134" s="21">
        <f>_xll.DBRW($C$3,Cons_Region!$D$9,Cons_Region!L$11,$M$1,Cons_Region!$G$9,Cons_Region!$J$9,$B134,$K$1)</f>
        <v>203.87805328154639</v>
      </c>
      <c r="M134" s="21">
        <f>_xll.DBRW($C$3,Cons_Region!$D$9,Cons_Region!M$11,$M$1,Cons_Region!$G$9,Cons_Region!$J$9,$B134,$K$1)</f>
        <v>208.54915181892304</v>
      </c>
      <c r="N134" s="21">
        <f>_xll.DBRW($C$3,Cons_Region!$D$9,Cons_Region!N$11,$M$1,Cons_Region!$G$9,Cons_Region!$J$9,$B134,$K$1)</f>
        <v>227.64265102440385</v>
      </c>
    </row>
    <row r="135" spans="2:14" s="1" customFormat="1" ht="15.75" customHeight="1" x14ac:dyDescent="0.25">
      <c r="B135" s="17" t="s">
        <v>103</v>
      </c>
      <c r="C135" s="16">
        <f>_xll.DBRW($B$1,Cons_Region!$D$9,Cons_Region!C$11,$M$1,Cons_Region!$G$9,Cons_Region!$J$9,$N$1,Cons_Region!$B135,$L$1,$K$1)</f>
        <v>0</v>
      </c>
      <c r="D135" s="16">
        <f>_xll.DBRW($B$1,Cons_Region!$D$9,Cons_Region!D$11,$M$1,Cons_Region!$G$9,Cons_Region!$J$9,$N$1,Cons_Region!$B135,$L$1,$K$1)</f>
        <v>0</v>
      </c>
      <c r="E135" s="16">
        <f>_xll.DBRW($B$1,Cons_Region!$D$9,Cons_Region!E$11,$M$1,Cons_Region!$G$9,Cons_Region!$J$9,$N$1,Cons_Region!$B135,$L$1,$K$1)</f>
        <v>0</v>
      </c>
      <c r="F135" s="16">
        <f>_xll.DBRW($B$1,Cons_Region!$D$9,Cons_Region!F$11,$M$1,Cons_Region!$G$9,Cons_Region!$J$9,$N$1,Cons_Region!$B135,$L$1,$K$1)</f>
        <v>0</v>
      </c>
      <c r="G135" s="16">
        <f>_xll.DBRW($B$1,Cons_Region!$D$9,Cons_Region!G$11,$M$1,Cons_Region!$G$9,Cons_Region!$J$9,$N$1,Cons_Region!$B135,$L$1,$K$1)</f>
        <v>0</v>
      </c>
      <c r="H135" s="16">
        <f>_xll.DBRW($B$1,Cons_Region!$D$9,Cons_Region!H$11,$M$1,Cons_Region!$G$9,Cons_Region!$J$9,$N$1,Cons_Region!$B135,$L$1,$K$1)</f>
        <v>0</v>
      </c>
      <c r="I135" s="16">
        <f>_xll.DBRW($B$1,Cons_Region!$D$9,Cons_Region!I$11,$M$1,Cons_Region!$G$9,Cons_Region!$J$9,$N$1,Cons_Region!$B135,$L$1,$K$1)</f>
        <v>0</v>
      </c>
      <c r="J135" s="16">
        <f>_xll.DBRW($B$1,Cons_Region!$D$9,Cons_Region!J$11,$M$1,Cons_Region!$G$9,Cons_Region!$J$9,$N$1,Cons_Region!$B135,$L$1,$K$1)</f>
        <v>0</v>
      </c>
      <c r="K135" s="16">
        <f>_xll.DBRW($B$1,Cons_Region!$D$9,Cons_Region!K$11,$M$1,Cons_Region!$G$9,Cons_Region!$J$9,$N$1,Cons_Region!$B135,$L$1,$K$1)</f>
        <v>0</v>
      </c>
      <c r="L135" s="16">
        <f>_xll.DBRW($B$1,Cons_Region!$D$9,Cons_Region!L$11,$M$1,Cons_Region!$G$9,Cons_Region!$J$9,$N$1,Cons_Region!$B135,$L$1,$K$1)</f>
        <v>0</v>
      </c>
      <c r="M135" s="16">
        <f>_xll.DBRW($B$1,Cons_Region!$D$9,Cons_Region!M$11,$M$1,Cons_Region!$G$9,Cons_Region!$J$9,$N$1,Cons_Region!$B135,$L$1,$K$1)</f>
        <v>0</v>
      </c>
      <c r="N135" s="16">
        <f>_xll.DBRW($B$1,Cons_Region!$D$9,Cons_Region!N$11,$M$1,Cons_Region!$G$9,Cons_Region!$J$9,$N$1,Cons_Region!$B135,$L$1,$K$1)</f>
        <v>0</v>
      </c>
    </row>
    <row r="136" spans="2:14" s="1" customFormat="1" ht="15.75" customHeight="1" x14ac:dyDescent="0.25">
      <c r="B136" s="24" t="s">
        <v>104</v>
      </c>
      <c r="C136" s="21">
        <f>_xll.DBRW($C$3,Cons_Region!$D$9,Cons_Region!C$11,$M$1,Cons_Region!$G$9,Cons_Region!$J$9,$B136,$K$1)</f>
        <v>-180.64370402332469</v>
      </c>
      <c r="D136" s="21">
        <f>_xll.DBRW($C$3,Cons_Region!$D$9,Cons_Region!D$11,$M$1,Cons_Region!$G$9,Cons_Region!$J$9,$B136,$K$1)</f>
        <v>49.780558154117216</v>
      </c>
      <c r="E136" s="21">
        <f>_xll.DBRW($C$3,Cons_Region!$D$9,Cons_Region!E$11,$M$1,Cons_Region!$G$9,Cons_Region!$J$9,$B136,$K$1)</f>
        <v>-14.860440074202245</v>
      </c>
      <c r="F136" s="21">
        <f>_xll.DBRW($C$3,Cons_Region!$D$9,Cons_Region!F$11,$M$1,Cons_Region!$G$9,Cons_Region!$J$9,$B136,$K$1)</f>
        <v>-7.7392858916927878</v>
      </c>
      <c r="G136" s="21">
        <f>_xll.DBRW($C$3,Cons_Region!$D$9,Cons_Region!G$11,$M$1,Cons_Region!$G$9,Cons_Region!$J$9,$B136,$K$1)</f>
        <v>-32.416689875168515</v>
      </c>
      <c r="H136" s="21">
        <f>_xll.DBRW($C$3,Cons_Region!$D$9,Cons_Region!H$11,$M$1,Cons_Region!$G$9,Cons_Region!$J$9,$B136,$K$1)</f>
        <v>-16.715715513239189</v>
      </c>
      <c r="I136" s="21">
        <f>_xll.DBRW($C$3,Cons_Region!$D$9,Cons_Region!I$11,$M$1,Cons_Region!$G$9,Cons_Region!$J$9,$B136,$K$1)</f>
        <v>-14.986595837070354</v>
      </c>
      <c r="J136" s="21">
        <f>_xll.DBRW($C$3,Cons_Region!$D$9,Cons_Region!J$11,$M$1,Cons_Region!$G$9,Cons_Region!$J$9,$B136,$K$1)</f>
        <v>21.441193158960914</v>
      </c>
      <c r="K136" s="21">
        <f>_xll.DBRW($C$3,Cons_Region!$D$9,Cons_Region!K$11,$M$1,Cons_Region!$G$9,Cons_Region!$J$9,$B136,$K$1)</f>
        <v>-3.047083522821822</v>
      </c>
      <c r="L136" s="21">
        <f>_xll.DBRW($C$3,Cons_Region!$D$9,Cons_Region!L$11,$M$1,Cons_Region!$G$9,Cons_Region!$J$9,$B136,$K$1)</f>
        <v>33.43971014289508</v>
      </c>
      <c r="M136" s="21">
        <f>_xll.DBRW($C$3,Cons_Region!$D$9,Cons_Region!M$11,$M$1,Cons_Region!$G$9,Cons_Region!$J$9,$B136,$K$1)</f>
        <v>-4.6710985373766505</v>
      </c>
      <c r="N136" s="21">
        <f>_xll.DBRW($C$3,Cons_Region!$D$9,Cons_Region!N$11,$M$1,Cons_Region!$G$9,Cons_Region!$J$9,$B136,$K$1)</f>
        <v>-19.093499205480811</v>
      </c>
    </row>
    <row r="138" spans="2:14" ht="15.75" customHeight="1" thickBot="1" x14ac:dyDescent="0.3">
      <c r="B138" s="10"/>
    </row>
    <row r="139" spans="2:14" ht="15.75" customHeight="1" thickTop="1" thickBot="1" x14ac:dyDescent="0.3">
      <c r="B139" s="9" t="s">
        <v>108</v>
      </c>
      <c r="F139" s="19" t="s">
        <v>68</v>
      </c>
      <c r="G139" s="35" t="str">
        <f>_xll.SUBNM("CONS_VC:ALL.D.Currency","PAX","USD Conv.","Nome alternativo")</f>
        <v>USD Conv.</v>
      </c>
    </row>
    <row r="140" spans="2:14" ht="15.75" customHeight="1" thickTop="1" x14ac:dyDescent="0.25"/>
    <row r="142" spans="2:14" ht="15.75" customHeight="1" x14ac:dyDescent="0.25">
      <c r="B142" s="5"/>
      <c r="C142" s="18" t="str">
        <f t="shared" ref="C142:N142" si="12">$D$9&amp;"."&amp;C$11</f>
        <v>2026.01</v>
      </c>
      <c r="D142" s="18" t="str">
        <f t="shared" si="12"/>
        <v>2026.02</v>
      </c>
      <c r="E142" s="18" t="str">
        <f t="shared" si="12"/>
        <v>2026.03</v>
      </c>
      <c r="F142" s="18" t="str">
        <f t="shared" si="12"/>
        <v>2026.04</v>
      </c>
      <c r="G142" s="18" t="str">
        <f t="shared" si="12"/>
        <v>2026.05</v>
      </c>
      <c r="H142" s="18" t="str">
        <f t="shared" si="12"/>
        <v>2026.06</v>
      </c>
      <c r="I142" s="18" t="str">
        <f t="shared" si="12"/>
        <v>2026.07</v>
      </c>
      <c r="J142" s="18" t="str">
        <f t="shared" si="12"/>
        <v>2026.08</v>
      </c>
      <c r="K142" s="18" t="str">
        <f t="shared" si="12"/>
        <v>2026.09</v>
      </c>
      <c r="L142" s="18" t="str">
        <f t="shared" si="12"/>
        <v>2026.10</v>
      </c>
      <c r="M142" s="18" t="str">
        <f t="shared" si="12"/>
        <v>2026.11</v>
      </c>
      <c r="N142" s="18" t="str">
        <f t="shared" si="12"/>
        <v>2026.12</v>
      </c>
    </row>
    <row r="143" spans="2:14" ht="15.75" customHeight="1" x14ac:dyDescent="0.25">
      <c r="B143" s="24" t="s">
        <v>308</v>
      </c>
      <c r="C143" s="21">
        <f>_xll.DBRW($C$4,Cons_Region!$D$9,Cons_Region!C$11,$M$1,$G$139,Cons_Region!$J$9,Cons_Region!$B143,$K$1)</f>
        <v>-965.90423999999996</v>
      </c>
      <c r="D143" s="21">
        <f>_xll.DBRW($C$4,Cons_Region!$D$9,Cons_Region!D$11,$M$1,$G$139,Cons_Region!$J$9,Cons_Region!$B143,$K$1)</f>
        <v>-847.26721466671211</v>
      </c>
      <c r="E143" s="21">
        <f>_xll.DBRW($C$4,Cons_Region!$D$9,Cons_Region!E$11,$M$1,$G$139,Cons_Region!$J$9,Cons_Region!$B143,$K$1)</f>
        <v>-900.14824078028892</v>
      </c>
      <c r="F143" s="21">
        <f>_xll.DBRW($C$4,Cons_Region!$D$9,Cons_Region!F$11,$M$1,$G$139,Cons_Region!$J$9,Cons_Region!$B143,$K$1)</f>
        <v>-963.20214989250917</v>
      </c>
      <c r="G143" s="21">
        <f>_xll.DBRW($C$4,Cons_Region!$D$9,Cons_Region!G$11,$M$1,$G$139,Cons_Region!$J$9,Cons_Region!$B143,$K$1)</f>
        <v>-949.46618295625694</v>
      </c>
      <c r="H143" s="21">
        <f>_xll.DBRW($C$4,Cons_Region!$D$9,Cons_Region!H$11,$M$1,$G$139,Cons_Region!$J$9,Cons_Region!$B143,$K$1)</f>
        <v>-939.0907233734024</v>
      </c>
      <c r="I143" s="21">
        <f>_xll.DBRW($C$4,Cons_Region!$D$9,Cons_Region!I$11,$M$1,$G$139,Cons_Region!$J$9,Cons_Region!$B143,$K$1)</f>
        <v>-927.14436179464656</v>
      </c>
      <c r="J143" s="21">
        <f>_xll.DBRW($C$4,Cons_Region!$D$9,Cons_Region!J$11,$M$1,$G$139,Cons_Region!$J$9,Cons_Region!$B143,$K$1)</f>
        <v>-897.62003302507128</v>
      </c>
      <c r="K143" s="21">
        <f>_xll.DBRW($C$4,Cons_Region!$D$9,Cons_Region!K$11,$M$1,$G$139,Cons_Region!$J$9,Cons_Region!$B143,$K$1)</f>
        <v>-843.09605936031642</v>
      </c>
      <c r="L143" s="21">
        <f>_xll.DBRW($C$4,Cons_Region!$D$9,Cons_Region!L$11,$M$1,$G$139,Cons_Region!$J$9,Cons_Region!$B143,$K$1)</f>
        <v>-818.37067748331469</v>
      </c>
      <c r="M143" s="21">
        <f>_xll.DBRW($C$4,Cons_Region!$D$9,Cons_Region!M$11,$M$1,$G$139,Cons_Region!$J$9,Cons_Region!$B143,$K$1)</f>
        <v>-774.45085779357441</v>
      </c>
      <c r="N143" s="21">
        <f>_xll.DBRW($C$4,Cons_Region!$D$9,Cons_Region!N$11,$M$1,$G$139,Cons_Region!$J$9,Cons_Region!$B143,$K$1)</f>
        <v>-744.8816504743063</v>
      </c>
    </row>
    <row r="144" spans="2:14" ht="15.75" customHeight="1" x14ac:dyDescent="0.25">
      <c r="B144" s="24" t="s">
        <v>309</v>
      </c>
      <c r="C144" s="21">
        <f>_xll.DBRW($C$4,Cons_Region!$D$9,Cons_Region!C$11,$M$1,$G$139,Cons_Region!$J$9,Cons_Region!$B144,$K$1)</f>
        <v>100</v>
      </c>
      <c r="D144" s="21">
        <f>_xll.DBRW($C$4,Cons_Region!$D$9,Cons_Region!D$11,$M$1,$G$139,Cons_Region!$J$9,Cons_Region!$B144,$K$1)</f>
        <v>-52.165202108963101</v>
      </c>
      <c r="E144" s="21">
        <f>_xll.DBRW($C$4,Cons_Region!$D$9,Cons_Region!E$11,$M$1,$G$139,Cons_Region!$J$9,Cons_Region!$B144,$K$1)</f>
        <v>-65</v>
      </c>
      <c r="F144" s="21">
        <f>_xll.DBRW($C$4,Cons_Region!$D$9,Cons_Region!F$11,$M$1,$G$139,Cons_Region!$J$9,Cons_Region!$B144,$K$1)</f>
        <v>0</v>
      </c>
      <c r="G144" s="21">
        <f>_xll.DBRW($C$4,Cons_Region!$D$9,Cons_Region!G$11,$M$1,$G$139,Cons_Region!$J$9,Cons_Region!$B144,$K$1)</f>
        <v>0</v>
      </c>
      <c r="H144" s="21">
        <f>_xll.DBRW($C$4,Cons_Region!$D$9,Cons_Region!H$11,$M$1,$G$139,Cons_Region!$J$9,Cons_Region!$B144,$K$1)</f>
        <v>0</v>
      </c>
      <c r="I144" s="21">
        <f>_xll.DBRW($C$4,Cons_Region!$D$9,Cons_Region!I$11,$M$1,$G$139,Cons_Region!$J$9,Cons_Region!$B144,$K$1)</f>
        <v>0</v>
      </c>
      <c r="J144" s="21">
        <f>_xll.DBRW($C$4,Cons_Region!$D$9,Cons_Region!J$11,$M$1,$G$139,Cons_Region!$J$9,Cons_Region!$B144,$K$1)</f>
        <v>0</v>
      </c>
      <c r="K144" s="21">
        <f>_xll.DBRW($C$4,Cons_Region!$D$9,Cons_Region!K$11,$M$1,$G$139,Cons_Region!$J$9,Cons_Region!$B144,$K$1)</f>
        <v>0</v>
      </c>
      <c r="L144" s="21">
        <f>_xll.DBRW($C$4,Cons_Region!$D$9,Cons_Region!L$11,$M$1,$G$139,Cons_Region!$J$9,Cons_Region!$B144,$K$1)</f>
        <v>0</v>
      </c>
      <c r="M144" s="21">
        <f>_xll.DBRW($C$4,Cons_Region!$D$9,Cons_Region!M$11,$M$1,$G$139,Cons_Region!$J$9,Cons_Region!$B144,$K$1)</f>
        <v>0</v>
      </c>
      <c r="N144" s="21">
        <f>_xll.DBRW($C$4,Cons_Region!$D$9,Cons_Region!N$11,$M$1,$G$139,Cons_Region!$J$9,Cons_Region!$B144,$K$1)</f>
        <v>-100</v>
      </c>
    </row>
    <row r="145" spans="2:14" ht="15.75" customHeight="1" x14ac:dyDescent="0.25">
      <c r="B145" s="24" t="s">
        <v>310</v>
      </c>
      <c r="C145" s="21">
        <f>_xll.DBRW($C$4,Cons_Region!$D$9,Cons_Region!C$11,$M$1,$G$139,Cons_Region!$J$9,Cons_Region!$B145,$K$1)</f>
        <v>-4.8705273696136997</v>
      </c>
      <c r="D145" s="21">
        <f>_xll.DBRW($C$4,Cons_Region!$D$9,Cons_Region!D$11,$M$1,$G$139,Cons_Region!$J$9,Cons_Region!$B145,$K$1)</f>
        <v>-4.3604742621041099</v>
      </c>
      <c r="E145" s="21">
        <f>_xll.DBRW($C$4,Cons_Region!$D$9,Cons_Region!E$11,$M$1,$G$139,Cons_Region!$J$9,Cons_Region!$B145,$K$1)</f>
        <v>-4.9375758168232098</v>
      </c>
      <c r="F145" s="21">
        <f>_xll.DBRW($C$4,Cons_Region!$D$9,Cons_Region!F$11,$M$1,$G$139,Cons_Region!$J$9,Cons_Region!$B145,$K$1)</f>
        <v>-5.0072594732301798</v>
      </c>
      <c r="G145" s="21">
        <f>_xll.DBRW($C$4,Cons_Region!$D$9,Cons_Region!G$11,$M$1,$G$139,Cons_Region!$J$9,Cons_Region!$B145,$K$1)</f>
        <v>-4.88298585947887</v>
      </c>
      <c r="H145" s="21">
        <f>_xll.DBRW($C$4,Cons_Region!$D$9,Cons_Region!H$11,$M$1,$G$139,Cons_Region!$J$9,Cons_Region!$B145,$K$1)</f>
        <v>-4.7580370378021799</v>
      </c>
      <c r="I145" s="21">
        <f>_xll.DBRW($C$4,Cons_Region!$D$9,Cons_Region!I$11,$M$1,$G$139,Cons_Region!$J$9,Cons_Region!$B145,$K$1)</f>
        <v>-4.7526589842572298</v>
      </c>
      <c r="J145" s="21">
        <f>_xll.DBRW($C$4,Cons_Region!$D$9,Cons_Region!J$11,$M$1,$G$139,Cons_Region!$J$9,Cons_Region!$B145,$K$1)</f>
        <v>-4.6752097807960604</v>
      </c>
      <c r="K145" s="21">
        <f>_xll.DBRW($C$4,Cons_Region!$D$9,Cons_Region!K$11,$M$1,$G$139,Cons_Region!$J$9,Cons_Region!$B145,$K$1)</f>
        <v>-4.7055761759738504</v>
      </c>
      <c r="L145" s="21">
        <f>_xll.DBRW($C$4,Cons_Region!$D$9,Cons_Region!L$11,$M$1,$G$139,Cons_Region!$J$9,Cons_Region!$B145,$K$1)</f>
        <v>-4.8630506087476899</v>
      </c>
      <c r="M145" s="21">
        <f>_xll.DBRW($C$4,Cons_Region!$D$9,Cons_Region!M$11,$M$1,$G$139,Cons_Region!$J$9,Cons_Region!$B145,$K$1)</f>
        <v>-4.7857067681398702</v>
      </c>
      <c r="N145" s="21">
        <f>_xll.DBRW($C$4,Cons_Region!$D$9,Cons_Region!N$11,$M$1,$G$139,Cons_Region!$J$9,Cons_Region!$B145,$K$1)</f>
        <v>-4.7610492698178302</v>
      </c>
    </row>
    <row r="146" spans="2:14" ht="15.75" customHeight="1" x14ac:dyDescent="0.25">
      <c r="B146" s="24" t="s">
        <v>311</v>
      </c>
      <c r="C146" s="21">
        <f>_xll.DBRW($C$4,Cons_Region!$D$9,Cons_Region!C$11,$M$1,$G$139,Cons_Region!$J$9,Cons_Region!$B146,$K$1)</f>
        <v>24.924497137927201</v>
      </c>
      <c r="D146" s="21">
        <f>_xll.DBRW($C$4,Cons_Region!$D$9,Cons_Region!D$11,$M$1,$G$139,Cons_Region!$J$9,Cons_Region!$B146,$K$1)</f>
        <v>4.6172399503573596</v>
      </c>
      <c r="E146" s="21">
        <f>_xll.DBRW($C$4,Cons_Region!$D$9,Cons_Region!E$11,$M$1,$G$139,Cons_Region!$J$9,Cons_Region!$B146,$K$1)</f>
        <v>4.1547888872435497</v>
      </c>
      <c r="F146" s="21">
        <f>_xll.DBRW($C$4,Cons_Region!$D$9,Cons_Region!F$11,$M$1,$G$139,Cons_Region!$J$9,Cons_Region!$B146,$K$1)</f>
        <v>4.1547888872435497</v>
      </c>
      <c r="G146" s="21">
        <f>_xll.DBRW($C$4,Cons_Region!$D$9,Cons_Region!G$11,$M$1,$G$139,Cons_Region!$J$9,Cons_Region!$B146,$K$1)</f>
        <v>14.154788887243599</v>
      </c>
      <c r="H146" s="21">
        <f>_xll.DBRW($C$4,Cons_Region!$D$9,Cons_Region!H$11,$M$1,$G$139,Cons_Region!$J$9,Cons_Region!$B146,$K$1)</f>
        <v>14.154788887243599</v>
      </c>
      <c r="I146" s="21">
        <f>_xll.DBRW($C$4,Cons_Region!$D$9,Cons_Region!I$11,$M$1,$G$139,Cons_Region!$J$9,Cons_Region!$B146,$K$1)</f>
        <v>34.154788887243598</v>
      </c>
      <c r="J146" s="21">
        <f>_xll.DBRW($C$4,Cons_Region!$D$9,Cons_Region!J$11,$M$1,$G$139,Cons_Region!$J$9,Cons_Region!$B146,$K$1)</f>
        <v>59.154788887243598</v>
      </c>
      <c r="K146" s="21">
        <f>_xll.DBRW($C$4,Cons_Region!$D$9,Cons_Region!K$11,$M$1,$G$139,Cons_Region!$J$9,Cons_Region!$B146,$K$1)</f>
        <v>34.154788887243598</v>
      </c>
      <c r="L146" s="21">
        <f>_xll.DBRW($C$4,Cons_Region!$D$9,Cons_Region!L$11,$M$1,$G$139,Cons_Region!$J$9,Cons_Region!$B146,$K$1)</f>
        <v>34.154788887243598</v>
      </c>
      <c r="M146" s="21">
        <f>_xll.DBRW($C$4,Cons_Region!$D$9,Cons_Region!M$11,$M$1,$G$139,Cons_Region!$J$9,Cons_Region!$B146,$K$1)</f>
        <v>34.154788887243598</v>
      </c>
      <c r="N146" s="21">
        <f>_xll.DBRW($C$4,Cons_Region!$D$9,Cons_Region!N$11,$M$1,$G$139,Cons_Region!$J$9,Cons_Region!$B146,$K$1)</f>
        <v>58.8547888872436</v>
      </c>
    </row>
    <row r="147" spans="2:14" ht="15.75" customHeight="1" x14ac:dyDescent="0.25">
      <c r="B147" s="24" t="s">
        <v>312</v>
      </c>
      <c r="C147" s="21">
        <f>_xll.DBRW($C$4,Cons_Region!$D$9,Cons_Region!C$11,$M$1,$G$139,Cons_Region!$J$9,Cons_Region!$B147,$K$1)</f>
        <v>0.81343818259398404</v>
      </c>
      <c r="D147" s="21">
        <f>_xll.DBRW($C$4,Cons_Region!$D$9,Cons_Region!D$11,$M$1,$G$139,Cons_Region!$J$9,Cons_Region!$B147,$K$1)</f>
        <v>0.42185429123193802</v>
      </c>
      <c r="E147" s="21">
        <f>_xll.DBRW($C$4,Cons_Region!$D$9,Cons_Region!E$11,$M$1,$G$139,Cons_Region!$J$9,Cons_Region!$B147,$K$1)</f>
        <v>3.7337179426724201</v>
      </c>
      <c r="F147" s="21">
        <f>_xll.DBRW($C$4,Cons_Region!$D$9,Cons_Region!F$11,$M$1,$G$139,Cons_Region!$J$9,Cons_Region!$B147,$K$1)</f>
        <v>15.657956366004999</v>
      </c>
      <c r="G147" s="21">
        <f>_xll.DBRW($C$4,Cons_Region!$D$9,Cons_Region!G$11,$M$1,$G$139,Cons_Region!$J$9,Cons_Region!$B147,$K$1)</f>
        <v>2.3732541525343001</v>
      </c>
      <c r="H147" s="21">
        <f>_xll.DBRW($C$4,Cons_Region!$D$9,Cons_Region!H$11,$M$1,$G$139,Cons_Region!$J$9,Cons_Region!$B147,$K$1)</f>
        <v>3.8678751915695302</v>
      </c>
      <c r="I147" s="21">
        <f>_xll.DBRW($C$4,Cons_Region!$D$9,Cons_Region!I$11,$M$1,$G$139,Cons_Region!$J$9,Cons_Region!$B147,$K$1)</f>
        <v>1.5443371525843901</v>
      </c>
      <c r="J147" s="21">
        <f>_xll.DBRW($C$4,Cons_Region!$D$9,Cons_Region!J$11,$M$1,$G$139,Cons_Region!$J$9,Cons_Region!$B147,$K$1)</f>
        <v>1.5144672803788699</v>
      </c>
      <c r="K147" s="21">
        <f>_xll.DBRW($C$4,Cons_Region!$D$9,Cons_Region!K$11,$M$1,$G$139,Cons_Region!$J$9,Cons_Region!$B147,$K$1)</f>
        <v>3.8365252120089601</v>
      </c>
      <c r="L147" s="21">
        <f>_xll.DBRW($C$4,Cons_Region!$D$9,Cons_Region!L$11,$M$1,$G$139,Cons_Region!$J$9,Cons_Region!$B147,$K$1)</f>
        <v>16.028888878833499</v>
      </c>
      <c r="M147" s="21">
        <f>_xll.DBRW($C$4,Cons_Region!$D$9,Cons_Region!M$11,$M$1,$G$139,Cons_Region!$J$9,Cons_Region!$B147,$K$1)</f>
        <v>1.59681113360129</v>
      </c>
      <c r="N147" s="21">
        <f>_xll.DBRW($C$4,Cons_Region!$D$9,Cons_Region!N$11,$M$1,$G$139,Cons_Region!$J$9,Cons_Region!$B147,$K$1)</f>
        <v>3.8038263739686902</v>
      </c>
    </row>
    <row r="148" spans="2:14" ht="15.75" customHeight="1" x14ac:dyDescent="0.25">
      <c r="B148" s="24" t="s">
        <v>313</v>
      </c>
      <c r="C148" s="21">
        <f>_xll.DBRW($C$4,Cons_Region!$D$9,Cons_Region!C$11,$M$1,$G$139,Cons_Region!$J$9,Cons_Region!$B148,$K$1)</f>
        <v>-2.2303826176196302</v>
      </c>
      <c r="D148" s="21">
        <f>_xll.DBRW($C$4,Cons_Region!$D$9,Cons_Region!D$11,$M$1,$G$139,Cons_Region!$J$9,Cons_Region!$B148,$K$1)</f>
        <v>-1.39444398409887</v>
      </c>
      <c r="E148" s="21">
        <f>_xll.DBRW($C$4,Cons_Region!$D$9,Cons_Region!E$11,$M$1,$G$139,Cons_Region!$J$9,Cons_Region!$B148,$K$1)</f>
        <v>-1.00484012531297</v>
      </c>
      <c r="F148" s="21">
        <f>_xll.DBRW($C$4,Cons_Region!$D$9,Cons_Region!F$11,$M$1,$G$139,Cons_Region!$J$9,Cons_Region!$B148,$K$1)</f>
        <v>-1.06951884376622</v>
      </c>
      <c r="G148" s="21">
        <f>_xll.DBRW($C$4,Cons_Region!$D$9,Cons_Region!G$11,$M$1,$G$139,Cons_Region!$J$9,Cons_Region!$B148,$K$1)</f>
        <v>-1.2695975974445399</v>
      </c>
      <c r="H148" s="21">
        <f>_xll.DBRW($C$4,Cons_Region!$D$9,Cons_Region!H$11,$M$1,$G$139,Cons_Region!$J$9,Cons_Region!$B148,$K$1)</f>
        <v>-1.31826546225511</v>
      </c>
      <c r="I148" s="21">
        <f>_xll.DBRW($C$4,Cons_Region!$D$9,Cons_Region!I$11,$M$1,$G$139,Cons_Region!$J$9,Cons_Region!$B148,$K$1)</f>
        <v>-1.4221382859955201</v>
      </c>
      <c r="J148" s="21">
        <f>_xll.DBRW($C$4,Cons_Region!$D$9,Cons_Region!J$11,$M$1,$G$139,Cons_Region!$J$9,Cons_Region!$B148,$K$1)</f>
        <v>-1.4700727220715599</v>
      </c>
      <c r="K148" s="21">
        <f>_xll.DBRW($C$4,Cons_Region!$D$9,Cons_Region!K$11,$M$1,$G$139,Cons_Region!$J$9,Cons_Region!$B148,$K$1)</f>
        <v>-8.5603560462769792</v>
      </c>
      <c r="L148" s="21">
        <f>_xll.DBRW($C$4,Cons_Region!$D$9,Cons_Region!L$11,$M$1,$G$139,Cons_Region!$J$9,Cons_Region!$B148,$K$1)</f>
        <v>-1.40080746758917</v>
      </c>
      <c r="M148" s="21">
        <f>_xll.DBRW($C$4,Cons_Region!$D$9,Cons_Region!M$11,$M$1,$G$139,Cons_Region!$J$9,Cons_Region!$B148,$K$1)</f>
        <v>-1.39668593343686</v>
      </c>
      <c r="N148" s="21">
        <f>_xll.DBRW($C$4,Cons_Region!$D$9,Cons_Region!N$11,$M$1,$G$139,Cons_Region!$J$9,Cons_Region!$B148,$K$1)</f>
        <v>-1.3793232745728099</v>
      </c>
    </row>
    <row r="149" spans="2:14" ht="15.75" customHeight="1" x14ac:dyDescent="0.25">
      <c r="B149" s="24" t="s">
        <v>314</v>
      </c>
      <c r="C149" s="21">
        <f>_xll.DBRW($C$4,Cons_Region!$D$9,Cons_Region!C$11,$M$1,$G$139,Cons_Region!$J$9,Cons_Region!$B149,$K$1)</f>
        <v>0</v>
      </c>
      <c r="D149" s="21">
        <f>_xll.DBRW($C$4,Cons_Region!$D$9,Cons_Region!D$11,$M$1,$G$139,Cons_Region!$J$9,Cons_Region!$B149,$K$1)</f>
        <v>0</v>
      </c>
      <c r="E149" s="21">
        <f>_xll.DBRW($C$4,Cons_Region!$D$9,Cons_Region!E$11,$M$1,$G$139,Cons_Region!$J$9,Cons_Region!$B149,$K$1)</f>
        <v>0</v>
      </c>
      <c r="F149" s="21">
        <f>_xll.DBRW($C$4,Cons_Region!$D$9,Cons_Region!F$11,$M$1,$G$139,Cons_Region!$J$9,Cons_Region!$B149,$K$1)</f>
        <v>0</v>
      </c>
      <c r="G149" s="21">
        <f>_xll.DBRW($C$4,Cons_Region!$D$9,Cons_Region!G$11,$M$1,$G$139,Cons_Region!$J$9,Cons_Region!$B149,$K$1)</f>
        <v>0</v>
      </c>
      <c r="H149" s="21">
        <f>_xll.DBRW($C$4,Cons_Region!$D$9,Cons_Region!H$11,$M$1,$G$139,Cons_Region!$J$9,Cons_Region!$B149,$K$1)</f>
        <v>0</v>
      </c>
      <c r="I149" s="21">
        <f>_xll.DBRW($C$4,Cons_Region!$D$9,Cons_Region!I$11,$M$1,$G$139,Cons_Region!$J$9,Cons_Region!$B149,$K$1)</f>
        <v>0</v>
      </c>
      <c r="J149" s="21">
        <f>_xll.DBRW($C$4,Cons_Region!$D$9,Cons_Region!J$11,$M$1,$G$139,Cons_Region!$J$9,Cons_Region!$B149,$K$1)</f>
        <v>0</v>
      </c>
      <c r="K149" s="21">
        <f>_xll.DBRW($C$4,Cons_Region!$D$9,Cons_Region!K$11,$M$1,$G$139,Cons_Region!$J$9,Cons_Region!$B149,$K$1)</f>
        <v>0</v>
      </c>
      <c r="L149" s="21">
        <f>_xll.DBRW($C$4,Cons_Region!$D$9,Cons_Region!L$11,$M$1,$G$139,Cons_Region!$J$9,Cons_Region!$B149,$K$1)</f>
        <v>0</v>
      </c>
      <c r="M149" s="21">
        <f>_xll.DBRW($C$4,Cons_Region!$D$9,Cons_Region!M$11,$M$1,$G$139,Cons_Region!$J$9,Cons_Region!$B149,$K$1)</f>
        <v>0</v>
      </c>
      <c r="N149" s="21">
        <f>_xll.DBRW($C$4,Cons_Region!$D$9,Cons_Region!N$11,$M$1,$G$139,Cons_Region!$J$9,Cons_Region!$B149,$K$1)</f>
        <v>0</v>
      </c>
    </row>
    <row r="150" spans="2:14" ht="15.75" customHeight="1" x14ac:dyDescent="0.25">
      <c r="B150" s="24" t="s">
        <v>315</v>
      </c>
      <c r="C150" s="21">
        <f>_xll.DBRW($C$4,Cons_Region!$D$9,Cons_Region!C$11,$M$1,$G$139,Cons_Region!$J$9,Cons_Region!$B150,$K$1)</f>
        <v>0</v>
      </c>
      <c r="D150" s="21">
        <f>_xll.DBRW($C$4,Cons_Region!$D$9,Cons_Region!D$11,$M$1,$G$139,Cons_Region!$J$9,Cons_Region!$B150,$K$1)</f>
        <v>0</v>
      </c>
      <c r="E150" s="21">
        <f>_xll.DBRW($C$4,Cons_Region!$D$9,Cons_Region!E$11,$M$1,$G$139,Cons_Region!$J$9,Cons_Region!$B150,$K$1)</f>
        <v>0</v>
      </c>
      <c r="F150" s="21">
        <f>_xll.DBRW($C$4,Cons_Region!$D$9,Cons_Region!F$11,$M$1,$G$139,Cons_Region!$J$9,Cons_Region!$B150,$K$1)</f>
        <v>0</v>
      </c>
      <c r="G150" s="21">
        <f>_xll.DBRW($C$4,Cons_Region!$D$9,Cons_Region!G$11,$M$1,$G$139,Cons_Region!$J$9,Cons_Region!$B150,$K$1)</f>
        <v>0</v>
      </c>
      <c r="H150" s="21">
        <f>_xll.DBRW($C$4,Cons_Region!$D$9,Cons_Region!H$11,$M$1,$G$139,Cons_Region!$J$9,Cons_Region!$B150,$K$1)</f>
        <v>0</v>
      </c>
      <c r="I150" s="21">
        <f>_xll.DBRW($C$4,Cons_Region!$D$9,Cons_Region!I$11,$M$1,$G$139,Cons_Region!$J$9,Cons_Region!$B150,$K$1)</f>
        <v>0</v>
      </c>
      <c r="J150" s="21">
        <f>_xll.DBRW($C$4,Cons_Region!$D$9,Cons_Region!J$11,$M$1,$G$139,Cons_Region!$J$9,Cons_Region!$B150,$K$1)</f>
        <v>0</v>
      </c>
      <c r="K150" s="21">
        <f>_xll.DBRW($C$4,Cons_Region!$D$9,Cons_Region!K$11,$M$1,$G$139,Cons_Region!$J$9,Cons_Region!$B150,$K$1)</f>
        <v>0</v>
      </c>
      <c r="L150" s="21">
        <f>_xll.DBRW($C$4,Cons_Region!$D$9,Cons_Region!L$11,$M$1,$G$139,Cons_Region!$J$9,Cons_Region!$B150,$K$1)</f>
        <v>0</v>
      </c>
      <c r="M150" s="21">
        <f>_xll.DBRW($C$4,Cons_Region!$D$9,Cons_Region!M$11,$M$1,$G$139,Cons_Region!$J$9,Cons_Region!$B150,$K$1)</f>
        <v>0</v>
      </c>
      <c r="N150" s="21">
        <f>_xll.DBRW($C$4,Cons_Region!$D$9,Cons_Region!N$11,$M$1,$G$139,Cons_Region!$J$9,Cons_Region!$B150,$K$1)</f>
        <v>0</v>
      </c>
    </row>
    <row r="151" spans="2:14" ht="15.75" customHeight="1" x14ac:dyDescent="0.25">
      <c r="B151" s="24" t="s">
        <v>316</v>
      </c>
      <c r="C151" s="21">
        <f>_xll.DBRW($C$4,Cons_Region!$D$9,Cons_Region!C$11,$M$1,$G$139,Cons_Region!$J$9,Cons_Region!$B151,$K$1)</f>
        <v>0</v>
      </c>
      <c r="D151" s="21">
        <f>_xll.DBRW($C$4,Cons_Region!$D$9,Cons_Region!D$11,$M$1,$G$139,Cons_Region!$J$9,Cons_Region!$B151,$K$1)</f>
        <v>0</v>
      </c>
      <c r="E151" s="21">
        <f>_xll.DBRW($C$4,Cons_Region!$D$9,Cons_Region!E$11,$M$1,$G$139,Cons_Region!$J$9,Cons_Region!$B151,$K$1)</f>
        <v>0</v>
      </c>
      <c r="F151" s="21">
        <f>_xll.DBRW($C$4,Cons_Region!$D$9,Cons_Region!F$11,$M$1,$G$139,Cons_Region!$J$9,Cons_Region!$B151,$K$1)</f>
        <v>0</v>
      </c>
      <c r="G151" s="21">
        <f>_xll.DBRW($C$4,Cons_Region!$D$9,Cons_Region!G$11,$M$1,$G$139,Cons_Region!$J$9,Cons_Region!$B151,$K$1)</f>
        <v>0</v>
      </c>
      <c r="H151" s="21">
        <f>_xll.DBRW($C$4,Cons_Region!$D$9,Cons_Region!H$11,$M$1,$G$139,Cons_Region!$J$9,Cons_Region!$B151,$K$1)</f>
        <v>0</v>
      </c>
      <c r="I151" s="21">
        <f>_xll.DBRW($C$4,Cons_Region!$D$9,Cons_Region!I$11,$M$1,$G$139,Cons_Region!$J$9,Cons_Region!$B151,$K$1)</f>
        <v>0</v>
      </c>
      <c r="J151" s="21">
        <f>_xll.DBRW($C$4,Cons_Region!$D$9,Cons_Region!J$11,$M$1,$G$139,Cons_Region!$J$9,Cons_Region!$B151,$K$1)</f>
        <v>0</v>
      </c>
      <c r="K151" s="21">
        <f>_xll.DBRW($C$4,Cons_Region!$D$9,Cons_Region!K$11,$M$1,$G$139,Cons_Region!$J$9,Cons_Region!$B151,$K$1)</f>
        <v>0</v>
      </c>
      <c r="L151" s="21">
        <f>_xll.DBRW($C$4,Cons_Region!$D$9,Cons_Region!L$11,$M$1,$G$139,Cons_Region!$J$9,Cons_Region!$B151,$K$1)</f>
        <v>0</v>
      </c>
      <c r="M151" s="21">
        <f>_xll.DBRW($C$4,Cons_Region!$D$9,Cons_Region!M$11,$M$1,$G$139,Cons_Region!$J$9,Cons_Region!$B151,$K$1)</f>
        <v>0</v>
      </c>
      <c r="N151" s="21">
        <f>_xll.DBRW($C$4,Cons_Region!$D$9,Cons_Region!N$11,$M$1,$G$139,Cons_Region!$J$9,Cons_Region!$B151,$K$1)</f>
        <v>0</v>
      </c>
    </row>
    <row r="152" spans="2:14" ht="15.75" customHeight="1" x14ac:dyDescent="0.25">
      <c r="B152" s="24" t="s">
        <v>317</v>
      </c>
      <c r="C152" s="21">
        <f>_xll.DBRW($C$4,Cons_Region!$D$9,Cons_Region!C$11,$M$1,$G$139,Cons_Region!$J$9,Cons_Region!$B152,$K$1)</f>
        <v>-847.26721466671211</v>
      </c>
      <c r="D152" s="21">
        <f>_xll.DBRW($C$4,Cons_Region!$D$9,Cons_Region!D$11,$M$1,$G$139,Cons_Region!$J$9,Cons_Region!$B152,$K$1)</f>
        <v>-900.14824078028892</v>
      </c>
      <c r="E152" s="21">
        <f>_xll.DBRW($C$4,Cons_Region!$D$9,Cons_Region!E$11,$M$1,$G$139,Cons_Region!$J$9,Cons_Region!$B152,$K$1)</f>
        <v>-963.20214989250917</v>
      </c>
      <c r="F152" s="21">
        <f>_xll.DBRW($C$4,Cons_Region!$D$9,Cons_Region!F$11,$M$1,$G$139,Cons_Region!$J$9,Cons_Region!$B152,$K$1)</f>
        <v>-949.46618295625694</v>
      </c>
      <c r="G152" s="21">
        <f>_xll.DBRW($C$4,Cons_Region!$D$9,Cons_Region!G$11,$M$1,$G$139,Cons_Region!$J$9,Cons_Region!$B152,$K$1)</f>
        <v>-939.0907233734024</v>
      </c>
      <c r="H152" s="21">
        <f>_xll.DBRW($C$4,Cons_Region!$D$9,Cons_Region!H$11,$M$1,$G$139,Cons_Region!$J$9,Cons_Region!$B152,$K$1)</f>
        <v>-927.14436179464656</v>
      </c>
      <c r="I152" s="21">
        <f>_xll.DBRW($C$4,Cons_Region!$D$9,Cons_Region!I$11,$M$1,$G$139,Cons_Region!$J$9,Cons_Region!$B152,$K$1)</f>
        <v>-897.62003302507128</v>
      </c>
      <c r="J152" s="21">
        <f>_xll.DBRW($C$4,Cons_Region!$D$9,Cons_Region!J$11,$M$1,$G$139,Cons_Region!$J$9,Cons_Region!$B152,$K$1)</f>
        <v>-843.09605936031642</v>
      </c>
      <c r="K152" s="21">
        <f>_xll.DBRW($C$4,Cons_Region!$D$9,Cons_Region!K$11,$M$1,$G$139,Cons_Region!$J$9,Cons_Region!$B152,$K$1)</f>
        <v>-818.37067748331469</v>
      </c>
      <c r="L152" s="21">
        <f>_xll.DBRW($C$4,Cons_Region!$D$9,Cons_Region!L$11,$M$1,$G$139,Cons_Region!$J$9,Cons_Region!$B152,$K$1)</f>
        <v>-774.45085779357441</v>
      </c>
      <c r="M152" s="21">
        <f>_xll.DBRW($C$4,Cons_Region!$D$9,Cons_Region!M$11,$M$1,$G$139,Cons_Region!$J$9,Cons_Region!$B152,$K$1)</f>
        <v>-744.8816504743063</v>
      </c>
      <c r="N152" s="21">
        <f>_xll.DBRW($C$4,Cons_Region!$D$9,Cons_Region!N$11,$M$1,$G$139,Cons_Region!$J$9,Cons_Region!$B152,$K$1)</f>
        <v>-788.36340775748465</v>
      </c>
    </row>
    <row r="154" spans="2:14" ht="15.75" customHeight="1" thickBot="1" x14ac:dyDescent="0.3">
      <c r="F154" s="19" t="s">
        <v>68</v>
      </c>
      <c r="G154" s="35" t="str">
        <f>_xll.SUBNM("CONS_VC:ALL.D.Currency","Local","USD","Nome alternativo")</f>
        <v>USD</v>
      </c>
    </row>
    <row r="155" spans="2:14" ht="15.75" customHeight="1" thickTop="1" x14ac:dyDescent="0.25"/>
    <row r="156" spans="2:14" ht="15.75" customHeight="1" x14ac:dyDescent="0.25">
      <c r="B156" s="5"/>
      <c r="C156" s="18" t="str">
        <f t="shared" ref="C156:N156" si="13">$D$9&amp;"."&amp;C$11</f>
        <v>2026.01</v>
      </c>
      <c r="D156" s="18" t="str">
        <f t="shared" si="13"/>
        <v>2026.02</v>
      </c>
      <c r="E156" s="18" t="str">
        <f t="shared" si="13"/>
        <v>2026.03</v>
      </c>
      <c r="F156" s="18" t="str">
        <f t="shared" si="13"/>
        <v>2026.04</v>
      </c>
      <c r="G156" s="18" t="str">
        <f t="shared" si="13"/>
        <v>2026.05</v>
      </c>
      <c r="H156" s="18" t="str">
        <f t="shared" si="13"/>
        <v>2026.06</v>
      </c>
      <c r="I156" s="18" t="str">
        <f t="shared" si="13"/>
        <v>2026.07</v>
      </c>
      <c r="J156" s="18" t="str">
        <f t="shared" si="13"/>
        <v>2026.08</v>
      </c>
      <c r="K156" s="18" t="str">
        <f t="shared" si="13"/>
        <v>2026.09</v>
      </c>
      <c r="L156" s="18" t="str">
        <f t="shared" si="13"/>
        <v>2026.10</v>
      </c>
      <c r="M156" s="18" t="str">
        <f t="shared" si="13"/>
        <v>2026.11</v>
      </c>
      <c r="N156" s="18" t="str">
        <f t="shared" si="13"/>
        <v>2026.12</v>
      </c>
    </row>
    <row r="157" spans="2:14" ht="15.75" customHeight="1" x14ac:dyDescent="0.25">
      <c r="B157" s="17" t="s">
        <v>109</v>
      </c>
      <c r="C157" s="34">
        <f>_xll.DBRW($B$1,Cons_Region!$D$9,Cons_Region!C$11,$M$1,$G$154,Cons_Region!$J$9,$N$1,Cons_Region!$B157,$L$1,$K$1)</f>
        <v>-965.90423999999996</v>
      </c>
      <c r="D157" s="34">
        <f>_xll.DBRW($B$1,Cons_Region!$D$9,Cons_Region!D$11,$M$1,$G$154,Cons_Region!$J$9,$N$1,Cons_Region!$B157,$L$1,$K$1)</f>
        <v>0</v>
      </c>
      <c r="E157" s="34">
        <f>_xll.DBRW($B$1,Cons_Region!$D$9,Cons_Region!E$11,$M$1,$G$154,Cons_Region!$J$9,$N$1,Cons_Region!$B157,$L$1,$K$1)</f>
        <v>0</v>
      </c>
      <c r="F157" s="34">
        <f>_xll.DBRW($B$1,Cons_Region!$D$9,Cons_Region!F$11,$M$1,$G$154,Cons_Region!$J$9,$N$1,Cons_Region!$B157,$L$1,$K$1)</f>
        <v>0</v>
      </c>
      <c r="G157" s="34">
        <f>_xll.DBRW($B$1,Cons_Region!$D$9,Cons_Region!G$11,$M$1,$G$154,Cons_Region!$J$9,$N$1,Cons_Region!$B157,$L$1,$K$1)</f>
        <v>0</v>
      </c>
      <c r="H157" s="34">
        <f>_xll.DBRW($B$1,Cons_Region!$D$9,Cons_Region!H$11,$M$1,$G$154,Cons_Region!$J$9,$N$1,Cons_Region!$B157,$L$1,$K$1)</f>
        <v>0</v>
      </c>
      <c r="I157" s="34">
        <f>_xll.DBRW($B$1,Cons_Region!$D$9,Cons_Region!I$11,$M$1,$G$154,Cons_Region!$J$9,$N$1,Cons_Region!$B157,$L$1,$K$1)</f>
        <v>0</v>
      </c>
      <c r="J157" s="34">
        <f>_xll.DBRW($B$1,Cons_Region!$D$9,Cons_Region!J$11,$M$1,$G$154,Cons_Region!$J$9,$N$1,Cons_Region!$B157,$L$1,$K$1)</f>
        <v>0</v>
      </c>
      <c r="K157" s="34">
        <f>_xll.DBRW($B$1,Cons_Region!$D$9,Cons_Region!K$11,$M$1,$G$154,Cons_Region!$J$9,$N$1,Cons_Region!$B157,$L$1,$K$1)</f>
        <v>0</v>
      </c>
      <c r="L157" s="34">
        <f>_xll.DBRW($B$1,Cons_Region!$D$9,Cons_Region!L$11,$M$1,$G$154,Cons_Region!$J$9,$N$1,Cons_Region!$B157,$L$1,$K$1)</f>
        <v>0</v>
      </c>
      <c r="M157" s="34">
        <f>_xll.DBRW($B$1,Cons_Region!$D$9,Cons_Region!M$11,$M$1,$G$154,Cons_Region!$J$9,$N$1,Cons_Region!$B157,$L$1,$K$1)</f>
        <v>0</v>
      </c>
      <c r="N157" s="34">
        <f>_xll.DBRW($B$1,Cons_Region!$D$9,Cons_Region!N$11,$M$1,$G$154,Cons_Region!$J$9,$N$1,Cons_Region!$B157,$L$1,$K$1)</f>
        <v>0</v>
      </c>
    </row>
    <row r="158" spans="2:14" ht="15.75" customHeight="1" x14ac:dyDescent="0.25">
      <c r="B158" s="17" t="s">
        <v>110</v>
      </c>
      <c r="C158" s="34">
        <f>_xll.DBRW($B$1,Cons_Region!$D$9,Cons_Region!C$11,$M$1,$G$154,Cons_Region!$J$9,$N$1,Cons_Region!$B158,$L$1,$K$1)</f>
        <v>30</v>
      </c>
      <c r="D158" s="34">
        <f>_xll.DBRW($B$1,Cons_Region!$D$9,Cons_Region!D$11,$M$1,$G$154,Cons_Region!$J$9,$N$1,Cons_Region!$B158,$L$1,$K$1)</f>
        <v>-52.165202108963101</v>
      </c>
      <c r="E158" s="34">
        <f>_xll.DBRW($B$1,Cons_Region!$D$9,Cons_Region!E$11,$M$1,$G$154,Cons_Region!$J$9,$N$1,Cons_Region!$B158,$L$1,$K$1)</f>
        <v>-65</v>
      </c>
      <c r="F158" s="34">
        <f>_xll.DBRW($B$1,Cons_Region!$D$9,Cons_Region!F$11,$M$1,$G$154,Cons_Region!$J$9,$N$1,Cons_Region!$B158,$L$1,$K$1)</f>
        <v>0</v>
      </c>
      <c r="G158" s="34">
        <f>_xll.DBRW($B$1,Cons_Region!$D$9,Cons_Region!G$11,$M$1,$G$154,Cons_Region!$J$9,$N$1,Cons_Region!$B158,$L$1,$K$1)</f>
        <v>0</v>
      </c>
      <c r="H158" s="34">
        <f>_xll.DBRW($B$1,Cons_Region!$D$9,Cons_Region!H$11,$M$1,$G$154,Cons_Region!$J$9,$N$1,Cons_Region!$B158,$L$1,$K$1)</f>
        <v>0</v>
      </c>
      <c r="I158" s="34">
        <f>_xll.DBRW($B$1,Cons_Region!$D$9,Cons_Region!I$11,$M$1,$G$154,Cons_Region!$J$9,$N$1,Cons_Region!$B158,$L$1,$K$1)</f>
        <v>0</v>
      </c>
      <c r="J158" s="34">
        <f>_xll.DBRW($B$1,Cons_Region!$D$9,Cons_Region!J$11,$M$1,$G$154,Cons_Region!$J$9,$N$1,Cons_Region!$B158,$L$1,$K$1)</f>
        <v>0</v>
      </c>
      <c r="K158" s="34">
        <f>_xll.DBRW($B$1,Cons_Region!$D$9,Cons_Region!K$11,$M$1,$G$154,Cons_Region!$J$9,$N$1,Cons_Region!$B158,$L$1,$K$1)</f>
        <v>0</v>
      </c>
      <c r="L158" s="34">
        <f>_xll.DBRW($B$1,Cons_Region!$D$9,Cons_Region!L$11,$M$1,$G$154,Cons_Region!$J$9,$N$1,Cons_Region!$B158,$L$1,$K$1)</f>
        <v>0</v>
      </c>
      <c r="M158" s="34">
        <f>_xll.DBRW($B$1,Cons_Region!$D$9,Cons_Region!M$11,$M$1,$G$154,Cons_Region!$J$9,$N$1,Cons_Region!$B158,$L$1,$K$1)</f>
        <v>0</v>
      </c>
      <c r="N158" s="34">
        <f>_xll.DBRW($B$1,Cons_Region!$D$9,Cons_Region!N$11,$M$1,$G$154,Cons_Region!$J$9,$N$1,Cons_Region!$B158,$L$1,$K$1)</f>
        <v>-100</v>
      </c>
    </row>
    <row r="159" spans="2:14" ht="15.75" customHeight="1" x14ac:dyDescent="0.25">
      <c r="B159" s="17" t="s">
        <v>111</v>
      </c>
      <c r="C159" s="34">
        <f>_xll.DBRW($B$1,Cons_Region!$D$9,Cons_Region!C$11,$M$1,$G$154,Cons_Region!$J$9,$N$1,Cons_Region!$B159,$L$1,$K$1)</f>
        <v>-4.8705273696136997</v>
      </c>
      <c r="D159" s="34">
        <f>_xll.DBRW($B$1,Cons_Region!$D$9,Cons_Region!D$11,$M$1,$G$154,Cons_Region!$J$9,$N$1,Cons_Region!$B159,$L$1,$K$1)</f>
        <v>-4.3604742621041099</v>
      </c>
      <c r="E159" s="34">
        <f>_xll.DBRW($B$1,Cons_Region!$D$9,Cons_Region!E$11,$M$1,$G$154,Cons_Region!$J$9,$N$1,Cons_Region!$B159,$L$1,$K$1)</f>
        <v>-4.9375758168232098</v>
      </c>
      <c r="F159" s="34">
        <f>_xll.DBRW($B$1,Cons_Region!$D$9,Cons_Region!F$11,$M$1,$G$154,Cons_Region!$J$9,$N$1,Cons_Region!$B159,$L$1,$K$1)</f>
        <v>-5.0072594732301798</v>
      </c>
      <c r="G159" s="34">
        <f>_xll.DBRW($B$1,Cons_Region!$D$9,Cons_Region!G$11,$M$1,$G$154,Cons_Region!$J$9,$N$1,Cons_Region!$B159,$L$1,$K$1)</f>
        <v>-4.88298585947887</v>
      </c>
      <c r="H159" s="34">
        <f>_xll.DBRW($B$1,Cons_Region!$D$9,Cons_Region!H$11,$M$1,$G$154,Cons_Region!$J$9,$N$1,Cons_Region!$B159,$L$1,$K$1)</f>
        <v>-4.7580370378021799</v>
      </c>
      <c r="I159" s="34">
        <f>_xll.DBRW($B$1,Cons_Region!$D$9,Cons_Region!I$11,$M$1,$G$154,Cons_Region!$J$9,$N$1,Cons_Region!$B159,$L$1,$K$1)</f>
        <v>-4.7526589842572298</v>
      </c>
      <c r="J159" s="34">
        <f>_xll.DBRW($B$1,Cons_Region!$D$9,Cons_Region!J$11,$M$1,$G$154,Cons_Region!$J$9,$N$1,Cons_Region!$B159,$L$1,$K$1)</f>
        <v>-4.6752097807960604</v>
      </c>
      <c r="K159" s="34">
        <f>_xll.DBRW($B$1,Cons_Region!$D$9,Cons_Region!K$11,$M$1,$G$154,Cons_Region!$J$9,$N$1,Cons_Region!$B159,$L$1,$K$1)</f>
        <v>-4.7055761759738504</v>
      </c>
      <c r="L159" s="34">
        <f>_xll.DBRW($B$1,Cons_Region!$D$9,Cons_Region!L$11,$M$1,$G$154,Cons_Region!$J$9,$N$1,Cons_Region!$B159,$L$1,$K$1)</f>
        <v>-4.8630506087476899</v>
      </c>
      <c r="M159" s="34">
        <f>_xll.DBRW($B$1,Cons_Region!$D$9,Cons_Region!M$11,$M$1,$G$154,Cons_Region!$J$9,$N$1,Cons_Region!$B159,$L$1,$K$1)</f>
        <v>-4.7857067681398702</v>
      </c>
      <c r="N159" s="34">
        <f>_xll.DBRW($B$1,Cons_Region!$D$9,Cons_Region!N$11,$M$1,$G$154,Cons_Region!$J$9,$N$1,Cons_Region!$B159,$L$1,$K$1)</f>
        <v>-4.7610492698178302</v>
      </c>
    </row>
    <row r="160" spans="2:14" ht="15.75" customHeight="1" x14ac:dyDescent="0.25">
      <c r="B160" s="17" t="s">
        <v>112</v>
      </c>
      <c r="C160" s="34">
        <f>_xll.DBRW($B$1,Cons_Region!$D$9,Cons_Region!C$11,$M$1,$G$154,Cons_Region!$J$9,$N$1,Cons_Region!$B160,$L$1,$K$1)</f>
        <v>0</v>
      </c>
      <c r="D160" s="34">
        <f>_xll.DBRW($B$1,Cons_Region!$D$9,Cons_Region!D$11,$M$1,$G$154,Cons_Region!$J$9,$N$1,Cons_Region!$B160,$L$1,$K$1)</f>
        <v>0</v>
      </c>
      <c r="E160" s="34">
        <f>_xll.DBRW($B$1,Cons_Region!$D$9,Cons_Region!E$11,$M$1,$G$154,Cons_Region!$J$9,$N$1,Cons_Region!$B160,$L$1,$K$1)</f>
        <v>0</v>
      </c>
      <c r="F160" s="34">
        <f>_xll.DBRW($B$1,Cons_Region!$D$9,Cons_Region!F$11,$M$1,$G$154,Cons_Region!$J$9,$N$1,Cons_Region!$B160,$L$1,$K$1)</f>
        <v>0</v>
      </c>
      <c r="G160" s="34">
        <f>_xll.DBRW($B$1,Cons_Region!$D$9,Cons_Region!G$11,$M$1,$G$154,Cons_Region!$J$9,$N$1,Cons_Region!$B160,$L$1,$K$1)</f>
        <v>0</v>
      </c>
      <c r="H160" s="34">
        <f>_xll.DBRW($B$1,Cons_Region!$D$9,Cons_Region!H$11,$M$1,$G$154,Cons_Region!$J$9,$N$1,Cons_Region!$B160,$L$1,$K$1)</f>
        <v>0</v>
      </c>
      <c r="I160" s="34">
        <f>_xll.DBRW($B$1,Cons_Region!$D$9,Cons_Region!I$11,$M$1,$G$154,Cons_Region!$J$9,$N$1,Cons_Region!$B160,$L$1,$K$1)</f>
        <v>0</v>
      </c>
      <c r="J160" s="34">
        <f>_xll.DBRW($B$1,Cons_Region!$D$9,Cons_Region!J$11,$M$1,$G$154,Cons_Region!$J$9,$N$1,Cons_Region!$B160,$L$1,$K$1)</f>
        <v>0</v>
      </c>
      <c r="K160" s="34">
        <f>_xll.DBRW($B$1,Cons_Region!$D$9,Cons_Region!K$11,$M$1,$G$154,Cons_Region!$J$9,$N$1,Cons_Region!$B160,$L$1,$K$1)</f>
        <v>0</v>
      </c>
      <c r="L160" s="34">
        <f>_xll.DBRW($B$1,Cons_Region!$D$9,Cons_Region!L$11,$M$1,$G$154,Cons_Region!$J$9,$N$1,Cons_Region!$B160,$L$1,$K$1)</f>
        <v>0</v>
      </c>
      <c r="M160" s="34">
        <f>_xll.DBRW($B$1,Cons_Region!$D$9,Cons_Region!M$11,$M$1,$G$154,Cons_Region!$J$9,$N$1,Cons_Region!$B160,$L$1,$K$1)</f>
        <v>0</v>
      </c>
      <c r="N160" s="34">
        <f>_xll.DBRW($B$1,Cons_Region!$D$9,Cons_Region!N$11,$M$1,$G$154,Cons_Region!$J$9,$N$1,Cons_Region!$B160,$L$1,$K$1)</f>
        <v>0</v>
      </c>
    </row>
    <row r="161" spans="2:14" ht="15.75" customHeight="1" x14ac:dyDescent="0.25">
      <c r="B161" s="17" t="s">
        <v>113</v>
      </c>
      <c r="C161" s="34">
        <f>_xll.DBRW($B$1,Cons_Region!$D$9,Cons_Region!C$11,$M$1,$G$154,Cons_Region!$J$9,$N$1,Cons_Region!$B161,$L$1,$K$1)</f>
        <v>24.924497137927201</v>
      </c>
      <c r="D161" s="34">
        <f>_xll.DBRW($B$1,Cons_Region!$D$9,Cons_Region!D$11,$M$1,$G$154,Cons_Region!$J$9,$N$1,Cons_Region!$B161,$L$1,$K$1)</f>
        <v>4.6172399503573596</v>
      </c>
      <c r="E161" s="34">
        <f>_xll.DBRW($B$1,Cons_Region!$D$9,Cons_Region!E$11,$M$1,$G$154,Cons_Region!$J$9,$N$1,Cons_Region!$B161,$L$1,$K$1)</f>
        <v>4.1547888872435497</v>
      </c>
      <c r="F161" s="34">
        <f>_xll.DBRW($B$1,Cons_Region!$D$9,Cons_Region!F$11,$M$1,$G$154,Cons_Region!$J$9,$N$1,Cons_Region!$B161,$L$1,$K$1)</f>
        <v>4.1547888872435497</v>
      </c>
      <c r="G161" s="34">
        <f>_xll.DBRW($B$1,Cons_Region!$D$9,Cons_Region!G$11,$M$1,$G$154,Cons_Region!$J$9,$N$1,Cons_Region!$B161,$L$1,$K$1)</f>
        <v>14.154788887243599</v>
      </c>
      <c r="H161" s="34">
        <f>_xll.DBRW($B$1,Cons_Region!$D$9,Cons_Region!H$11,$M$1,$G$154,Cons_Region!$J$9,$N$1,Cons_Region!$B161,$L$1,$K$1)</f>
        <v>14.154788887243599</v>
      </c>
      <c r="I161" s="34">
        <f>_xll.DBRW($B$1,Cons_Region!$D$9,Cons_Region!I$11,$M$1,$G$154,Cons_Region!$J$9,$N$1,Cons_Region!$B161,$L$1,$K$1)</f>
        <v>34.154788887243598</v>
      </c>
      <c r="J161" s="34">
        <f>_xll.DBRW($B$1,Cons_Region!$D$9,Cons_Region!J$11,$M$1,$G$154,Cons_Region!$J$9,$N$1,Cons_Region!$B161,$L$1,$K$1)</f>
        <v>59.154788887243598</v>
      </c>
      <c r="K161" s="34">
        <f>_xll.DBRW($B$1,Cons_Region!$D$9,Cons_Region!K$11,$M$1,$G$154,Cons_Region!$J$9,$N$1,Cons_Region!$B161,$L$1,$K$1)</f>
        <v>34.154788887243598</v>
      </c>
      <c r="L161" s="34">
        <f>_xll.DBRW($B$1,Cons_Region!$D$9,Cons_Region!L$11,$M$1,$G$154,Cons_Region!$J$9,$N$1,Cons_Region!$B161,$L$1,$K$1)</f>
        <v>34.154788887243598</v>
      </c>
      <c r="M161" s="34">
        <f>_xll.DBRW($B$1,Cons_Region!$D$9,Cons_Region!M$11,$M$1,$G$154,Cons_Region!$J$9,$N$1,Cons_Region!$B161,$L$1,$K$1)</f>
        <v>34.154788887243598</v>
      </c>
      <c r="N161" s="34">
        <f>_xll.DBRW($B$1,Cons_Region!$D$9,Cons_Region!N$11,$M$1,$G$154,Cons_Region!$J$9,$N$1,Cons_Region!$B161,$L$1,$K$1)</f>
        <v>58.8547888872436</v>
      </c>
    </row>
    <row r="162" spans="2:14" ht="15.75" customHeight="1" x14ac:dyDescent="0.25">
      <c r="B162" s="17" t="s">
        <v>114</v>
      </c>
      <c r="C162" s="34">
        <f>_xll.DBRW($B$1,Cons_Region!$D$9,Cons_Region!C$11,$M$1,$G$154,Cons_Region!$J$9,$N$1,Cons_Region!$B162,$L$1,$K$1)</f>
        <v>0.81343818259398404</v>
      </c>
      <c r="D162" s="34">
        <f>_xll.DBRW($B$1,Cons_Region!$D$9,Cons_Region!D$11,$M$1,$G$154,Cons_Region!$J$9,$N$1,Cons_Region!$B162,$L$1,$K$1)</f>
        <v>0.42185429123193802</v>
      </c>
      <c r="E162" s="34">
        <f>_xll.DBRW($B$1,Cons_Region!$D$9,Cons_Region!E$11,$M$1,$G$154,Cons_Region!$J$9,$N$1,Cons_Region!$B162,$L$1,$K$1)</f>
        <v>3.7337179426724201</v>
      </c>
      <c r="F162" s="34">
        <f>_xll.DBRW($B$1,Cons_Region!$D$9,Cons_Region!F$11,$M$1,$G$154,Cons_Region!$J$9,$N$1,Cons_Region!$B162,$L$1,$K$1)</f>
        <v>15.657956366004999</v>
      </c>
      <c r="G162" s="34">
        <f>_xll.DBRW($B$1,Cons_Region!$D$9,Cons_Region!G$11,$M$1,$G$154,Cons_Region!$J$9,$N$1,Cons_Region!$B162,$L$1,$K$1)</f>
        <v>2.3732541525343001</v>
      </c>
      <c r="H162" s="34">
        <f>_xll.DBRW($B$1,Cons_Region!$D$9,Cons_Region!H$11,$M$1,$G$154,Cons_Region!$J$9,$N$1,Cons_Region!$B162,$L$1,$K$1)</f>
        <v>3.8678751915695302</v>
      </c>
      <c r="I162" s="34">
        <f>_xll.DBRW($B$1,Cons_Region!$D$9,Cons_Region!I$11,$M$1,$G$154,Cons_Region!$J$9,$N$1,Cons_Region!$B162,$L$1,$K$1)</f>
        <v>1.5443371525843901</v>
      </c>
      <c r="J162" s="34">
        <f>_xll.DBRW($B$1,Cons_Region!$D$9,Cons_Region!J$11,$M$1,$G$154,Cons_Region!$J$9,$N$1,Cons_Region!$B162,$L$1,$K$1)</f>
        <v>1.5144672803788699</v>
      </c>
      <c r="K162" s="34">
        <f>_xll.DBRW($B$1,Cons_Region!$D$9,Cons_Region!K$11,$M$1,$G$154,Cons_Region!$J$9,$N$1,Cons_Region!$B162,$L$1,$K$1)</f>
        <v>3.8365252120089601</v>
      </c>
      <c r="L162" s="34">
        <f>_xll.DBRW($B$1,Cons_Region!$D$9,Cons_Region!L$11,$M$1,$G$154,Cons_Region!$J$9,$N$1,Cons_Region!$B162,$L$1,$K$1)</f>
        <v>16.028888878833499</v>
      </c>
      <c r="M162" s="34">
        <f>_xll.DBRW($B$1,Cons_Region!$D$9,Cons_Region!M$11,$M$1,$G$154,Cons_Region!$J$9,$N$1,Cons_Region!$B162,$L$1,$K$1)</f>
        <v>1.59681113360129</v>
      </c>
      <c r="N162" s="34">
        <f>_xll.DBRW($B$1,Cons_Region!$D$9,Cons_Region!N$11,$M$1,$G$154,Cons_Region!$J$9,$N$1,Cons_Region!$B162,$L$1,$K$1)</f>
        <v>3.8038263739686902</v>
      </c>
    </row>
    <row r="163" spans="2:14" ht="15.75" customHeight="1" x14ac:dyDescent="0.25">
      <c r="B163" s="17" t="s">
        <v>115</v>
      </c>
      <c r="C163" s="34">
        <f>_xll.DBRW($B$1,Cons_Region!$D$9,Cons_Region!C$11,$M$1,$G$154,Cons_Region!$J$9,$N$1,Cons_Region!$B163,$L$1,$K$1)</f>
        <v>-2.2303826176196302</v>
      </c>
      <c r="D163" s="34">
        <f>_xll.DBRW($B$1,Cons_Region!$D$9,Cons_Region!D$11,$M$1,$G$154,Cons_Region!$J$9,$N$1,Cons_Region!$B163,$L$1,$K$1)</f>
        <v>-1.39444398409887</v>
      </c>
      <c r="E163" s="34">
        <f>_xll.DBRW($B$1,Cons_Region!$D$9,Cons_Region!E$11,$M$1,$G$154,Cons_Region!$J$9,$N$1,Cons_Region!$B163,$L$1,$K$1)</f>
        <v>-1.00484012531297</v>
      </c>
      <c r="F163" s="34">
        <f>_xll.DBRW($B$1,Cons_Region!$D$9,Cons_Region!F$11,$M$1,$G$154,Cons_Region!$J$9,$N$1,Cons_Region!$B163,$L$1,$K$1)</f>
        <v>-1.06951884376622</v>
      </c>
      <c r="G163" s="34">
        <f>_xll.DBRW($B$1,Cons_Region!$D$9,Cons_Region!G$11,$M$1,$G$154,Cons_Region!$J$9,$N$1,Cons_Region!$B163,$L$1,$K$1)</f>
        <v>-1.2695975974445399</v>
      </c>
      <c r="H163" s="34">
        <f>_xll.DBRW($B$1,Cons_Region!$D$9,Cons_Region!H$11,$M$1,$G$154,Cons_Region!$J$9,$N$1,Cons_Region!$B163,$L$1,$K$1)</f>
        <v>-1.31826546225511</v>
      </c>
      <c r="I163" s="34">
        <f>_xll.DBRW($B$1,Cons_Region!$D$9,Cons_Region!I$11,$M$1,$G$154,Cons_Region!$J$9,$N$1,Cons_Region!$B163,$L$1,$K$1)</f>
        <v>-1.4221382859955201</v>
      </c>
      <c r="J163" s="34">
        <f>_xll.DBRW($B$1,Cons_Region!$D$9,Cons_Region!J$11,$M$1,$G$154,Cons_Region!$J$9,$N$1,Cons_Region!$B163,$L$1,$K$1)</f>
        <v>-1.4700727220715599</v>
      </c>
      <c r="K163" s="34">
        <f>_xll.DBRW($B$1,Cons_Region!$D$9,Cons_Region!K$11,$M$1,$G$154,Cons_Region!$J$9,$N$1,Cons_Region!$B163,$L$1,$K$1)</f>
        <v>-8.5603560462769792</v>
      </c>
      <c r="L163" s="34">
        <f>_xll.DBRW($B$1,Cons_Region!$D$9,Cons_Region!L$11,$M$1,$G$154,Cons_Region!$J$9,$N$1,Cons_Region!$B163,$L$1,$K$1)</f>
        <v>-1.40080746758917</v>
      </c>
      <c r="M163" s="34">
        <f>_xll.DBRW($B$1,Cons_Region!$D$9,Cons_Region!M$11,$M$1,$G$154,Cons_Region!$J$9,$N$1,Cons_Region!$B163,$L$1,$K$1)</f>
        <v>-1.39668593343686</v>
      </c>
      <c r="N163" s="34">
        <f>_xll.DBRW($B$1,Cons_Region!$D$9,Cons_Region!N$11,$M$1,$G$154,Cons_Region!$J$9,$N$1,Cons_Region!$B163,$L$1,$K$1)</f>
        <v>-1.3793232745728099</v>
      </c>
    </row>
    <row r="164" spans="2:14" ht="15.75" customHeight="1" x14ac:dyDescent="0.25">
      <c r="B164" s="17" t="s">
        <v>116</v>
      </c>
      <c r="C164" s="34">
        <f>_xll.DBRW($B$1,Cons_Region!$D$9,Cons_Region!C$11,$M$1,$G$154,Cons_Region!$J$9,$N$1,Cons_Region!$B164,$L$1,$K$1)</f>
        <v>0</v>
      </c>
      <c r="D164" s="34">
        <f>_xll.DBRW($B$1,Cons_Region!$D$9,Cons_Region!D$11,$M$1,$G$154,Cons_Region!$J$9,$N$1,Cons_Region!$B164,$L$1,$K$1)</f>
        <v>0</v>
      </c>
      <c r="E164" s="34">
        <f>_xll.DBRW($B$1,Cons_Region!$D$9,Cons_Region!E$11,$M$1,$G$154,Cons_Region!$J$9,$N$1,Cons_Region!$B164,$L$1,$K$1)</f>
        <v>0</v>
      </c>
      <c r="F164" s="34">
        <f>_xll.DBRW($B$1,Cons_Region!$D$9,Cons_Region!F$11,$M$1,$G$154,Cons_Region!$J$9,$N$1,Cons_Region!$B164,$L$1,$K$1)</f>
        <v>0</v>
      </c>
      <c r="G164" s="34">
        <f>_xll.DBRW($B$1,Cons_Region!$D$9,Cons_Region!G$11,$M$1,$G$154,Cons_Region!$J$9,$N$1,Cons_Region!$B164,$L$1,$K$1)</f>
        <v>0</v>
      </c>
      <c r="H164" s="34">
        <f>_xll.DBRW($B$1,Cons_Region!$D$9,Cons_Region!H$11,$M$1,$G$154,Cons_Region!$J$9,$N$1,Cons_Region!$B164,$L$1,$K$1)</f>
        <v>0</v>
      </c>
      <c r="I164" s="34">
        <f>_xll.DBRW($B$1,Cons_Region!$D$9,Cons_Region!I$11,$M$1,$G$154,Cons_Region!$J$9,$N$1,Cons_Region!$B164,$L$1,$K$1)</f>
        <v>0</v>
      </c>
      <c r="J164" s="34">
        <f>_xll.DBRW($B$1,Cons_Region!$D$9,Cons_Region!J$11,$M$1,$G$154,Cons_Region!$J$9,$N$1,Cons_Region!$B164,$L$1,$K$1)</f>
        <v>0</v>
      </c>
      <c r="K164" s="34">
        <f>_xll.DBRW($B$1,Cons_Region!$D$9,Cons_Region!K$11,$M$1,$G$154,Cons_Region!$J$9,$N$1,Cons_Region!$B164,$L$1,$K$1)</f>
        <v>0</v>
      </c>
      <c r="L164" s="34">
        <f>_xll.DBRW($B$1,Cons_Region!$D$9,Cons_Region!L$11,$M$1,$G$154,Cons_Region!$J$9,$N$1,Cons_Region!$B164,$L$1,$K$1)</f>
        <v>0</v>
      </c>
      <c r="M164" s="34">
        <f>_xll.DBRW($B$1,Cons_Region!$D$9,Cons_Region!M$11,$M$1,$G$154,Cons_Region!$J$9,$N$1,Cons_Region!$B164,$L$1,$K$1)</f>
        <v>0</v>
      </c>
      <c r="N164" s="34">
        <f>_xll.DBRW($B$1,Cons_Region!$D$9,Cons_Region!N$11,$M$1,$G$154,Cons_Region!$J$9,$N$1,Cons_Region!$B164,$L$1,$K$1)</f>
        <v>0</v>
      </c>
    </row>
    <row r="165" spans="2:14" ht="15.75" customHeight="1" x14ac:dyDescent="0.25">
      <c r="B165" s="24" t="s">
        <v>117</v>
      </c>
      <c r="C165" s="21">
        <f>_xll.DBRW($C$4,Cons_Region!$D$9,Cons_Region!C$11,$M$1,$G$154,Cons_Region!$J$9,Cons_Region!$B165,$K$1)</f>
        <v>-917.26721466671211</v>
      </c>
      <c r="D165" s="21">
        <f>_xll.DBRW($C$4,Cons_Region!$D$9,Cons_Region!D$11,$M$1,$G$154,Cons_Region!$J$9,Cons_Region!$B165,$K$1)</f>
        <v>-970.14824078028892</v>
      </c>
      <c r="E165" s="21">
        <f>_xll.DBRW($C$4,Cons_Region!$D$9,Cons_Region!E$11,$M$1,$G$154,Cons_Region!$J$9,Cons_Region!$B165,$K$1)</f>
        <v>-1033.2021498925092</v>
      </c>
      <c r="F165" s="21">
        <f>_xll.DBRW($C$4,Cons_Region!$D$9,Cons_Region!F$11,$M$1,$G$154,Cons_Region!$J$9,Cons_Region!$B165,$K$1)</f>
        <v>-1019.4661829562569</v>
      </c>
      <c r="G165" s="21">
        <f>_xll.DBRW($C$4,Cons_Region!$D$9,Cons_Region!G$11,$M$1,$G$154,Cons_Region!$J$9,Cons_Region!$B165,$K$1)</f>
        <v>-1009.0907233734024</v>
      </c>
      <c r="H165" s="21">
        <f>_xll.DBRW($C$4,Cons_Region!$D$9,Cons_Region!H$11,$M$1,$G$154,Cons_Region!$J$9,Cons_Region!$B165,$K$1)</f>
        <v>-997.14436179464656</v>
      </c>
      <c r="I165" s="21">
        <f>_xll.DBRW($C$4,Cons_Region!$D$9,Cons_Region!I$11,$M$1,$G$154,Cons_Region!$J$9,Cons_Region!$B165,$K$1)</f>
        <v>-967.62003302507128</v>
      </c>
      <c r="J165" s="21">
        <f>_xll.DBRW($C$4,Cons_Region!$D$9,Cons_Region!J$11,$M$1,$G$154,Cons_Region!$J$9,Cons_Region!$B165,$K$1)</f>
        <v>-913.09605936031642</v>
      </c>
      <c r="K165" s="21">
        <f>_xll.DBRW($C$4,Cons_Region!$D$9,Cons_Region!K$11,$M$1,$G$154,Cons_Region!$J$9,Cons_Region!$B165,$K$1)</f>
        <v>-888.37067748331469</v>
      </c>
      <c r="L165" s="21">
        <f>_xll.DBRW($C$4,Cons_Region!$D$9,Cons_Region!L$11,$M$1,$G$154,Cons_Region!$J$9,Cons_Region!$B165,$K$1)</f>
        <v>-844.45085779357441</v>
      </c>
      <c r="M165" s="21">
        <f>_xll.DBRW($C$4,Cons_Region!$D$9,Cons_Region!M$11,$M$1,$G$154,Cons_Region!$J$9,Cons_Region!$B165,$K$1)</f>
        <v>-814.8816504743063</v>
      </c>
      <c r="N165" s="21">
        <f>_xll.DBRW($C$4,Cons_Region!$D$9,Cons_Region!N$11,$M$1,$G$154,Cons_Region!$J$9,Cons_Region!$B165,$K$1)</f>
        <v>-858.36340775748465</v>
      </c>
    </row>
    <row r="168" spans="2:14" ht="15.75" customHeight="1" thickBot="1" x14ac:dyDescent="0.3">
      <c r="F168" s="19" t="s">
        <v>68</v>
      </c>
      <c r="G168" s="57" t="str">
        <f>_xll.SUBNM("CONS_VC:ALL.D.Currency","Local","BRL","Nome alternativo")</f>
        <v>BRL</v>
      </c>
    </row>
    <row r="169" spans="2:14" ht="15.75" customHeight="1" thickTop="1" x14ac:dyDescent="0.25"/>
    <row r="170" spans="2:14" ht="15.75" customHeight="1" x14ac:dyDescent="0.25">
      <c r="B170" s="5"/>
      <c r="C170" s="18" t="str">
        <f t="shared" ref="C170:N170" si="14">$D$9&amp;"."&amp;C$11</f>
        <v>2026.01</v>
      </c>
      <c r="D170" s="18" t="str">
        <f t="shared" si="14"/>
        <v>2026.02</v>
      </c>
      <c r="E170" s="18" t="str">
        <f t="shared" si="14"/>
        <v>2026.03</v>
      </c>
      <c r="F170" s="18" t="str">
        <f t="shared" si="14"/>
        <v>2026.04</v>
      </c>
      <c r="G170" s="18" t="str">
        <f t="shared" si="14"/>
        <v>2026.05</v>
      </c>
      <c r="H170" s="18" t="str">
        <f t="shared" si="14"/>
        <v>2026.06</v>
      </c>
      <c r="I170" s="18" t="str">
        <f t="shared" si="14"/>
        <v>2026.07</v>
      </c>
      <c r="J170" s="18" t="str">
        <f t="shared" si="14"/>
        <v>2026.08</v>
      </c>
      <c r="K170" s="18" t="str">
        <f t="shared" si="14"/>
        <v>2026.09</v>
      </c>
      <c r="L170" s="18" t="str">
        <f t="shared" si="14"/>
        <v>2026.10</v>
      </c>
      <c r="M170" s="18" t="str">
        <f t="shared" si="14"/>
        <v>2026.11</v>
      </c>
      <c r="N170" s="18" t="str">
        <f t="shared" si="14"/>
        <v>2026.12</v>
      </c>
    </row>
    <row r="171" spans="2:14" ht="15.75" customHeight="1" x14ac:dyDescent="0.25">
      <c r="B171" s="17" t="s">
        <v>109</v>
      </c>
      <c r="C171" s="34">
        <f>_xll.DBRW($B$1,Cons_Region!$D$9,Cons_Region!C$11,$M$1,$G$168,Cons_Region!$J$9,$N$1,Cons_Region!$B171,$L$1,$K$1)</f>
        <v>0</v>
      </c>
      <c r="D171" s="34">
        <f>_xll.DBRW($B$1,Cons_Region!$D$9,Cons_Region!D$11,$M$1,$G$168,Cons_Region!$J$9,$N$1,Cons_Region!$B171,$L$1,$K$1)</f>
        <v>0</v>
      </c>
      <c r="E171" s="34">
        <f>_xll.DBRW($B$1,Cons_Region!$D$9,Cons_Region!E$11,$M$1,$G$168,Cons_Region!$J$9,$N$1,Cons_Region!$B171,$L$1,$K$1)</f>
        <v>0</v>
      </c>
      <c r="F171" s="34">
        <f>_xll.DBRW($B$1,Cons_Region!$D$9,Cons_Region!F$11,$M$1,$G$168,Cons_Region!$J$9,$N$1,Cons_Region!$B171,$L$1,$K$1)</f>
        <v>0</v>
      </c>
      <c r="G171" s="34">
        <f>_xll.DBRW($B$1,Cons_Region!$D$9,Cons_Region!G$11,$M$1,$G$168,Cons_Region!$J$9,$N$1,Cons_Region!$B171,$L$1,$K$1)</f>
        <v>0</v>
      </c>
      <c r="H171" s="34">
        <f>_xll.DBRW($B$1,Cons_Region!$D$9,Cons_Region!H$11,$M$1,$G$168,Cons_Region!$J$9,$N$1,Cons_Region!$B171,$L$1,$K$1)</f>
        <v>0</v>
      </c>
      <c r="I171" s="34">
        <f>_xll.DBRW($B$1,Cons_Region!$D$9,Cons_Region!I$11,$M$1,$G$168,Cons_Region!$J$9,$N$1,Cons_Region!$B171,$L$1,$K$1)</f>
        <v>0</v>
      </c>
      <c r="J171" s="34">
        <f>_xll.DBRW($B$1,Cons_Region!$D$9,Cons_Region!J$11,$M$1,$G$168,Cons_Region!$J$9,$N$1,Cons_Region!$B171,$L$1,$K$1)</f>
        <v>0</v>
      </c>
      <c r="K171" s="34">
        <f>_xll.DBRW($B$1,Cons_Region!$D$9,Cons_Region!K$11,$M$1,$G$168,Cons_Region!$J$9,$N$1,Cons_Region!$B171,$L$1,$K$1)</f>
        <v>0</v>
      </c>
      <c r="L171" s="34">
        <f>_xll.DBRW($B$1,Cons_Region!$D$9,Cons_Region!L$11,$M$1,$G$168,Cons_Region!$J$9,$N$1,Cons_Region!$B171,$L$1,$K$1)</f>
        <v>0</v>
      </c>
      <c r="M171" s="34">
        <f>_xll.DBRW($B$1,Cons_Region!$D$9,Cons_Region!M$11,$M$1,$G$168,Cons_Region!$J$9,$N$1,Cons_Region!$B171,$L$1,$K$1)</f>
        <v>0</v>
      </c>
      <c r="N171" s="34">
        <f>_xll.DBRW($B$1,Cons_Region!$D$9,Cons_Region!N$11,$M$1,$G$168,Cons_Region!$J$9,$N$1,Cons_Region!$B171,$L$1,$K$1)</f>
        <v>0</v>
      </c>
    </row>
    <row r="172" spans="2:14" ht="15.75" customHeight="1" x14ac:dyDescent="0.25">
      <c r="B172" s="17" t="s">
        <v>110</v>
      </c>
      <c r="C172" s="34">
        <f>_xll.DBRW($B$1,Cons_Region!$D$9,Cons_Region!C$11,$M$1,$G$168,Cons_Region!$J$9,$N$1,Cons_Region!$B172,$L$1,$K$1)</f>
        <v>0</v>
      </c>
      <c r="D172" s="34">
        <f>_xll.DBRW($B$1,Cons_Region!$D$9,Cons_Region!D$11,$M$1,$G$168,Cons_Region!$J$9,$N$1,Cons_Region!$B172,$L$1,$K$1)</f>
        <v>0</v>
      </c>
      <c r="E172" s="34">
        <f>_xll.DBRW($B$1,Cons_Region!$D$9,Cons_Region!E$11,$M$1,$G$168,Cons_Region!$J$9,$N$1,Cons_Region!$B172,$L$1,$K$1)</f>
        <v>0</v>
      </c>
      <c r="F172" s="34">
        <f>_xll.DBRW($B$1,Cons_Region!$D$9,Cons_Region!F$11,$M$1,$G$168,Cons_Region!$J$9,$N$1,Cons_Region!$B172,$L$1,$K$1)</f>
        <v>0</v>
      </c>
      <c r="G172" s="34">
        <f>_xll.DBRW($B$1,Cons_Region!$D$9,Cons_Region!G$11,$M$1,$G$168,Cons_Region!$J$9,$N$1,Cons_Region!$B172,$L$1,$K$1)</f>
        <v>0</v>
      </c>
      <c r="H172" s="34">
        <f>_xll.DBRW($B$1,Cons_Region!$D$9,Cons_Region!H$11,$M$1,$G$168,Cons_Region!$J$9,$N$1,Cons_Region!$B172,$L$1,$K$1)</f>
        <v>0</v>
      </c>
      <c r="I172" s="34">
        <f>_xll.DBRW($B$1,Cons_Region!$D$9,Cons_Region!I$11,$M$1,$G$168,Cons_Region!$J$9,$N$1,Cons_Region!$B172,$L$1,$K$1)</f>
        <v>0</v>
      </c>
      <c r="J172" s="34">
        <f>_xll.DBRW($B$1,Cons_Region!$D$9,Cons_Region!J$11,$M$1,$G$168,Cons_Region!$J$9,$N$1,Cons_Region!$B172,$L$1,$K$1)</f>
        <v>0</v>
      </c>
      <c r="K172" s="34">
        <f>_xll.DBRW($B$1,Cons_Region!$D$9,Cons_Region!K$11,$M$1,$G$168,Cons_Region!$J$9,$N$1,Cons_Region!$B172,$L$1,$K$1)</f>
        <v>0</v>
      </c>
      <c r="L172" s="34">
        <f>_xll.DBRW($B$1,Cons_Region!$D$9,Cons_Region!L$11,$M$1,$G$168,Cons_Region!$J$9,$N$1,Cons_Region!$B172,$L$1,$K$1)</f>
        <v>0</v>
      </c>
      <c r="M172" s="34">
        <f>_xll.DBRW($B$1,Cons_Region!$D$9,Cons_Region!M$11,$M$1,$G$168,Cons_Region!$J$9,$N$1,Cons_Region!$B172,$L$1,$K$1)</f>
        <v>0</v>
      </c>
      <c r="N172" s="34">
        <f>_xll.DBRW($B$1,Cons_Region!$D$9,Cons_Region!N$11,$M$1,$G$168,Cons_Region!$J$9,$N$1,Cons_Region!$B172,$L$1,$K$1)</f>
        <v>0</v>
      </c>
    </row>
    <row r="173" spans="2:14" ht="15.75" customHeight="1" x14ac:dyDescent="0.25">
      <c r="B173" s="17" t="s">
        <v>111</v>
      </c>
      <c r="C173" s="34">
        <f>_xll.DBRW($B$1,Cons_Region!$D$9,Cons_Region!C$11,$M$1,$G$168,Cons_Region!$J$9,$N$1,Cons_Region!$B173,$L$1,$K$1)</f>
        <v>0</v>
      </c>
      <c r="D173" s="34">
        <f>_xll.DBRW($B$1,Cons_Region!$D$9,Cons_Region!D$11,$M$1,$G$168,Cons_Region!$J$9,$N$1,Cons_Region!$B173,$L$1,$K$1)</f>
        <v>0</v>
      </c>
      <c r="E173" s="34">
        <f>_xll.DBRW($B$1,Cons_Region!$D$9,Cons_Region!E$11,$M$1,$G$168,Cons_Region!$J$9,$N$1,Cons_Region!$B173,$L$1,$K$1)</f>
        <v>0</v>
      </c>
      <c r="F173" s="34">
        <f>_xll.DBRW($B$1,Cons_Region!$D$9,Cons_Region!F$11,$M$1,$G$168,Cons_Region!$J$9,$N$1,Cons_Region!$B173,$L$1,$K$1)</f>
        <v>0</v>
      </c>
      <c r="G173" s="34">
        <f>_xll.DBRW($B$1,Cons_Region!$D$9,Cons_Region!G$11,$M$1,$G$168,Cons_Region!$J$9,$N$1,Cons_Region!$B173,$L$1,$K$1)</f>
        <v>0</v>
      </c>
      <c r="H173" s="34">
        <f>_xll.DBRW($B$1,Cons_Region!$D$9,Cons_Region!H$11,$M$1,$G$168,Cons_Region!$J$9,$N$1,Cons_Region!$B173,$L$1,$K$1)</f>
        <v>0</v>
      </c>
      <c r="I173" s="34">
        <f>_xll.DBRW($B$1,Cons_Region!$D$9,Cons_Region!I$11,$M$1,$G$168,Cons_Region!$J$9,$N$1,Cons_Region!$B173,$L$1,$K$1)</f>
        <v>0</v>
      </c>
      <c r="J173" s="34">
        <f>_xll.DBRW($B$1,Cons_Region!$D$9,Cons_Region!J$11,$M$1,$G$168,Cons_Region!$J$9,$N$1,Cons_Region!$B173,$L$1,$K$1)</f>
        <v>0</v>
      </c>
      <c r="K173" s="34">
        <f>_xll.DBRW($B$1,Cons_Region!$D$9,Cons_Region!K$11,$M$1,$G$168,Cons_Region!$J$9,$N$1,Cons_Region!$B173,$L$1,$K$1)</f>
        <v>0</v>
      </c>
      <c r="L173" s="34">
        <f>_xll.DBRW($B$1,Cons_Region!$D$9,Cons_Region!L$11,$M$1,$G$168,Cons_Region!$J$9,$N$1,Cons_Region!$B173,$L$1,$K$1)</f>
        <v>0</v>
      </c>
      <c r="M173" s="34">
        <f>_xll.DBRW($B$1,Cons_Region!$D$9,Cons_Region!M$11,$M$1,$G$168,Cons_Region!$J$9,$N$1,Cons_Region!$B173,$L$1,$K$1)</f>
        <v>0</v>
      </c>
      <c r="N173" s="34">
        <f>_xll.DBRW($B$1,Cons_Region!$D$9,Cons_Region!N$11,$M$1,$G$168,Cons_Region!$J$9,$N$1,Cons_Region!$B173,$L$1,$K$1)</f>
        <v>0</v>
      </c>
    </row>
    <row r="174" spans="2:14" ht="15.75" customHeight="1" x14ac:dyDescent="0.25">
      <c r="B174" s="17" t="s">
        <v>112</v>
      </c>
      <c r="C174" s="34">
        <f>_xll.DBRW($B$1,Cons_Region!$D$9,Cons_Region!C$11,$M$1,$G$168,Cons_Region!$J$9,$N$1,Cons_Region!$B174,$L$1,$K$1)</f>
        <v>0</v>
      </c>
      <c r="D174" s="34">
        <f>_xll.DBRW($B$1,Cons_Region!$D$9,Cons_Region!D$11,$M$1,$G$168,Cons_Region!$J$9,$N$1,Cons_Region!$B174,$L$1,$K$1)</f>
        <v>0</v>
      </c>
      <c r="E174" s="34">
        <f>_xll.DBRW($B$1,Cons_Region!$D$9,Cons_Region!E$11,$M$1,$G$168,Cons_Region!$J$9,$N$1,Cons_Region!$B174,$L$1,$K$1)</f>
        <v>0</v>
      </c>
      <c r="F174" s="34">
        <f>_xll.DBRW($B$1,Cons_Region!$D$9,Cons_Region!F$11,$M$1,$G$168,Cons_Region!$J$9,$N$1,Cons_Region!$B174,$L$1,$K$1)</f>
        <v>0</v>
      </c>
      <c r="G174" s="34">
        <f>_xll.DBRW($B$1,Cons_Region!$D$9,Cons_Region!G$11,$M$1,$G$168,Cons_Region!$J$9,$N$1,Cons_Region!$B174,$L$1,$K$1)</f>
        <v>0</v>
      </c>
      <c r="H174" s="34">
        <f>_xll.DBRW($B$1,Cons_Region!$D$9,Cons_Region!H$11,$M$1,$G$168,Cons_Region!$J$9,$N$1,Cons_Region!$B174,$L$1,$K$1)</f>
        <v>0</v>
      </c>
      <c r="I174" s="34">
        <f>_xll.DBRW($B$1,Cons_Region!$D$9,Cons_Region!I$11,$M$1,$G$168,Cons_Region!$J$9,$N$1,Cons_Region!$B174,$L$1,$K$1)</f>
        <v>0</v>
      </c>
      <c r="J174" s="34">
        <f>_xll.DBRW($B$1,Cons_Region!$D$9,Cons_Region!J$11,$M$1,$G$168,Cons_Region!$J$9,$N$1,Cons_Region!$B174,$L$1,$K$1)</f>
        <v>0</v>
      </c>
      <c r="K174" s="34">
        <f>_xll.DBRW($B$1,Cons_Region!$D$9,Cons_Region!K$11,$M$1,$G$168,Cons_Region!$J$9,$N$1,Cons_Region!$B174,$L$1,$K$1)</f>
        <v>0</v>
      </c>
      <c r="L174" s="34">
        <f>_xll.DBRW($B$1,Cons_Region!$D$9,Cons_Region!L$11,$M$1,$G$168,Cons_Region!$J$9,$N$1,Cons_Region!$B174,$L$1,$K$1)</f>
        <v>0</v>
      </c>
      <c r="M174" s="34">
        <f>_xll.DBRW($B$1,Cons_Region!$D$9,Cons_Region!M$11,$M$1,$G$168,Cons_Region!$J$9,$N$1,Cons_Region!$B174,$L$1,$K$1)</f>
        <v>0</v>
      </c>
      <c r="N174" s="34">
        <f>_xll.DBRW($B$1,Cons_Region!$D$9,Cons_Region!N$11,$M$1,$G$168,Cons_Region!$J$9,$N$1,Cons_Region!$B174,$L$1,$K$1)</f>
        <v>0</v>
      </c>
    </row>
    <row r="175" spans="2:14" ht="15.75" customHeight="1" x14ac:dyDescent="0.25">
      <c r="B175" s="17" t="s">
        <v>113</v>
      </c>
      <c r="C175" s="34">
        <f>_xll.DBRW($B$1,Cons_Region!$D$9,Cons_Region!C$11,$M$1,$G$168,Cons_Region!$J$9,$N$1,Cons_Region!$B175,$L$1,$K$1)</f>
        <v>0</v>
      </c>
      <c r="D175" s="34">
        <f>_xll.DBRW($B$1,Cons_Region!$D$9,Cons_Region!D$11,$M$1,$G$168,Cons_Region!$J$9,$N$1,Cons_Region!$B175,$L$1,$K$1)</f>
        <v>0</v>
      </c>
      <c r="E175" s="34">
        <f>_xll.DBRW($B$1,Cons_Region!$D$9,Cons_Region!E$11,$M$1,$G$168,Cons_Region!$J$9,$N$1,Cons_Region!$B175,$L$1,$K$1)</f>
        <v>0</v>
      </c>
      <c r="F175" s="34">
        <f>_xll.DBRW($B$1,Cons_Region!$D$9,Cons_Region!F$11,$M$1,$G$168,Cons_Region!$J$9,$N$1,Cons_Region!$B175,$L$1,$K$1)</f>
        <v>0</v>
      </c>
      <c r="G175" s="34">
        <f>_xll.DBRW($B$1,Cons_Region!$D$9,Cons_Region!G$11,$M$1,$G$168,Cons_Region!$J$9,$N$1,Cons_Region!$B175,$L$1,$K$1)</f>
        <v>0</v>
      </c>
      <c r="H175" s="34">
        <f>_xll.DBRW($B$1,Cons_Region!$D$9,Cons_Region!H$11,$M$1,$G$168,Cons_Region!$J$9,$N$1,Cons_Region!$B175,$L$1,$K$1)</f>
        <v>0</v>
      </c>
      <c r="I175" s="34">
        <f>_xll.DBRW($B$1,Cons_Region!$D$9,Cons_Region!I$11,$M$1,$G$168,Cons_Region!$J$9,$N$1,Cons_Region!$B175,$L$1,$K$1)</f>
        <v>0</v>
      </c>
      <c r="J175" s="34">
        <f>_xll.DBRW($B$1,Cons_Region!$D$9,Cons_Region!J$11,$M$1,$G$168,Cons_Region!$J$9,$N$1,Cons_Region!$B175,$L$1,$K$1)</f>
        <v>0</v>
      </c>
      <c r="K175" s="34">
        <f>_xll.DBRW($B$1,Cons_Region!$D$9,Cons_Region!K$11,$M$1,$G$168,Cons_Region!$J$9,$N$1,Cons_Region!$B175,$L$1,$K$1)</f>
        <v>0</v>
      </c>
      <c r="L175" s="34">
        <f>_xll.DBRW($B$1,Cons_Region!$D$9,Cons_Region!L$11,$M$1,$G$168,Cons_Region!$J$9,$N$1,Cons_Region!$B175,$L$1,$K$1)</f>
        <v>0</v>
      </c>
      <c r="M175" s="34">
        <f>_xll.DBRW($B$1,Cons_Region!$D$9,Cons_Region!M$11,$M$1,$G$168,Cons_Region!$J$9,$N$1,Cons_Region!$B175,$L$1,$K$1)</f>
        <v>0</v>
      </c>
      <c r="N175" s="34">
        <f>_xll.DBRW($B$1,Cons_Region!$D$9,Cons_Region!N$11,$M$1,$G$168,Cons_Region!$J$9,$N$1,Cons_Region!$B175,$L$1,$K$1)</f>
        <v>0</v>
      </c>
    </row>
    <row r="176" spans="2:14" ht="15.75" customHeight="1" x14ac:dyDescent="0.25">
      <c r="B176" s="17" t="s">
        <v>114</v>
      </c>
      <c r="C176" s="34">
        <f>_xll.DBRW($B$1,Cons_Region!$D$9,Cons_Region!C$11,$M$1,$G$168,Cons_Region!$J$9,$N$1,Cons_Region!$B176,$L$1,$K$1)</f>
        <v>0</v>
      </c>
      <c r="D176" s="34">
        <f>_xll.DBRW($B$1,Cons_Region!$D$9,Cons_Region!D$11,$M$1,$G$168,Cons_Region!$J$9,$N$1,Cons_Region!$B176,$L$1,$K$1)</f>
        <v>0</v>
      </c>
      <c r="E176" s="34">
        <f>_xll.DBRW($B$1,Cons_Region!$D$9,Cons_Region!E$11,$M$1,$G$168,Cons_Region!$J$9,$N$1,Cons_Region!$B176,$L$1,$K$1)</f>
        <v>0</v>
      </c>
      <c r="F176" s="34">
        <f>_xll.DBRW($B$1,Cons_Region!$D$9,Cons_Region!F$11,$M$1,$G$168,Cons_Region!$J$9,$N$1,Cons_Region!$B176,$L$1,$K$1)</f>
        <v>0</v>
      </c>
      <c r="G176" s="34">
        <f>_xll.DBRW($B$1,Cons_Region!$D$9,Cons_Region!G$11,$M$1,$G$168,Cons_Region!$J$9,$N$1,Cons_Region!$B176,$L$1,$K$1)</f>
        <v>0</v>
      </c>
      <c r="H176" s="34">
        <f>_xll.DBRW($B$1,Cons_Region!$D$9,Cons_Region!H$11,$M$1,$G$168,Cons_Region!$J$9,$N$1,Cons_Region!$B176,$L$1,$K$1)</f>
        <v>0</v>
      </c>
      <c r="I176" s="34">
        <f>_xll.DBRW($B$1,Cons_Region!$D$9,Cons_Region!I$11,$M$1,$G$168,Cons_Region!$J$9,$N$1,Cons_Region!$B176,$L$1,$K$1)</f>
        <v>0</v>
      </c>
      <c r="J176" s="34">
        <f>_xll.DBRW($B$1,Cons_Region!$D$9,Cons_Region!J$11,$M$1,$G$168,Cons_Region!$J$9,$N$1,Cons_Region!$B176,$L$1,$K$1)</f>
        <v>0</v>
      </c>
      <c r="K176" s="34">
        <f>_xll.DBRW($B$1,Cons_Region!$D$9,Cons_Region!K$11,$M$1,$G$168,Cons_Region!$J$9,$N$1,Cons_Region!$B176,$L$1,$K$1)</f>
        <v>0</v>
      </c>
      <c r="L176" s="34">
        <f>_xll.DBRW($B$1,Cons_Region!$D$9,Cons_Region!L$11,$M$1,$G$168,Cons_Region!$J$9,$N$1,Cons_Region!$B176,$L$1,$K$1)</f>
        <v>0</v>
      </c>
      <c r="M176" s="34">
        <f>_xll.DBRW($B$1,Cons_Region!$D$9,Cons_Region!M$11,$M$1,$G$168,Cons_Region!$J$9,$N$1,Cons_Region!$B176,$L$1,$K$1)</f>
        <v>0</v>
      </c>
      <c r="N176" s="34">
        <f>_xll.DBRW($B$1,Cons_Region!$D$9,Cons_Region!N$11,$M$1,$G$168,Cons_Region!$J$9,$N$1,Cons_Region!$B176,$L$1,$K$1)</f>
        <v>0</v>
      </c>
    </row>
    <row r="177" spans="2:14" ht="15.75" customHeight="1" x14ac:dyDescent="0.25">
      <c r="B177" s="17" t="s">
        <v>115</v>
      </c>
      <c r="C177" s="34">
        <f>_xll.DBRW($B$1,Cons_Region!$D$9,Cons_Region!C$11,$M$1,$G$168,Cons_Region!$J$9,$N$1,Cons_Region!$B177,$L$1,$K$1)</f>
        <v>0</v>
      </c>
      <c r="D177" s="34">
        <f>_xll.DBRW($B$1,Cons_Region!$D$9,Cons_Region!D$11,$M$1,$G$168,Cons_Region!$J$9,$N$1,Cons_Region!$B177,$L$1,$K$1)</f>
        <v>0</v>
      </c>
      <c r="E177" s="34">
        <f>_xll.DBRW($B$1,Cons_Region!$D$9,Cons_Region!E$11,$M$1,$G$168,Cons_Region!$J$9,$N$1,Cons_Region!$B177,$L$1,$K$1)</f>
        <v>0</v>
      </c>
      <c r="F177" s="34">
        <f>_xll.DBRW($B$1,Cons_Region!$D$9,Cons_Region!F$11,$M$1,$G$168,Cons_Region!$J$9,$N$1,Cons_Region!$B177,$L$1,$K$1)</f>
        <v>0</v>
      </c>
      <c r="G177" s="34">
        <f>_xll.DBRW($B$1,Cons_Region!$D$9,Cons_Region!G$11,$M$1,$G$168,Cons_Region!$J$9,$N$1,Cons_Region!$B177,$L$1,$K$1)</f>
        <v>0</v>
      </c>
      <c r="H177" s="34">
        <f>_xll.DBRW($B$1,Cons_Region!$D$9,Cons_Region!H$11,$M$1,$G$168,Cons_Region!$J$9,$N$1,Cons_Region!$B177,$L$1,$K$1)</f>
        <v>0</v>
      </c>
      <c r="I177" s="34">
        <f>_xll.DBRW($B$1,Cons_Region!$D$9,Cons_Region!I$11,$M$1,$G$168,Cons_Region!$J$9,$N$1,Cons_Region!$B177,$L$1,$K$1)</f>
        <v>0</v>
      </c>
      <c r="J177" s="34">
        <f>_xll.DBRW($B$1,Cons_Region!$D$9,Cons_Region!J$11,$M$1,$G$168,Cons_Region!$J$9,$N$1,Cons_Region!$B177,$L$1,$K$1)</f>
        <v>0</v>
      </c>
      <c r="K177" s="34">
        <f>_xll.DBRW($B$1,Cons_Region!$D$9,Cons_Region!K$11,$M$1,$G$168,Cons_Region!$J$9,$N$1,Cons_Region!$B177,$L$1,$K$1)</f>
        <v>0</v>
      </c>
      <c r="L177" s="34">
        <f>_xll.DBRW($B$1,Cons_Region!$D$9,Cons_Region!L$11,$M$1,$G$168,Cons_Region!$J$9,$N$1,Cons_Region!$B177,$L$1,$K$1)</f>
        <v>0</v>
      </c>
      <c r="M177" s="34">
        <f>_xll.DBRW($B$1,Cons_Region!$D$9,Cons_Region!M$11,$M$1,$G$168,Cons_Region!$J$9,$N$1,Cons_Region!$B177,$L$1,$K$1)</f>
        <v>0</v>
      </c>
      <c r="N177" s="34">
        <f>_xll.DBRW($B$1,Cons_Region!$D$9,Cons_Region!N$11,$M$1,$G$168,Cons_Region!$J$9,$N$1,Cons_Region!$B177,$L$1,$K$1)</f>
        <v>0</v>
      </c>
    </row>
    <row r="178" spans="2:14" ht="15.75" customHeight="1" x14ac:dyDescent="0.25">
      <c r="B178" s="17" t="s">
        <v>116</v>
      </c>
      <c r="C178" s="34">
        <f>_xll.DBRW($B$1,Cons_Region!$D$9,Cons_Region!C$11,$M$1,$G$168,Cons_Region!$J$9,$N$1,Cons_Region!$B178,$L$1,$K$1)</f>
        <v>0</v>
      </c>
      <c r="D178" s="34">
        <f>_xll.DBRW($B$1,Cons_Region!$D$9,Cons_Region!D$11,$M$1,$G$168,Cons_Region!$J$9,$N$1,Cons_Region!$B178,$L$1,$K$1)</f>
        <v>0</v>
      </c>
      <c r="E178" s="34">
        <f>_xll.DBRW($B$1,Cons_Region!$D$9,Cons_Region!E$11,$M$1,$G$168,Cons_Region!$J$9,$N$1,Cons_Region!$B178,$L$1,$K$1)</f>
        <v>0</v>
      </c>
      <c r="F178" s="34">
        <f>_xll.DBRW($B$1,Cons_Region!$D$9,Cons_Region!F$11,$M$1,$G$168,Cons_Region!$J$9,$N$1,Cons_Region!$B178,$L$1,$K$1)</f>
        <v>0</v>
      </c>
      <c r="G178" s="34">
        <f>_xll.DBRW($B$1,Cons_Region!$D$9,Cons_Region!G$11,$M$1,$G$168,Cons_Region!$J$9,$N$1,Cons_Region!$B178,$L$1,$K$1)</f>
        <v>0</v>
      </c>
      <c r="H178" s="34">
        <f>_xll.DBRW($B$1,Cons_Region!$D$9,Cons_Region!H$11,$M$1,$G$168,Cons_Region!$J$9,$N$1,Cons_Region!$B178,$L$1,$K$1)</f>
        <v>0</v>
      </c>
      <c r="I178" s="34">
        <f>_xll.DBRW($B$1,Cons_Region!$D$9,Cons_Region!I$11,$M$1,$G$168,Cons_Region!$J$9,$N$1,Cons_Region!$B178,$L$1,$K$1)</f>
        <v>0</v>
      </c>
      <c r="J178" s="34">
        <f>_xll.DBRW($B$1,Cons_Region!$D$9,Cons_Region!J$11,$M$1,$G$168,Cons_Region!$J$9,$N$1,Cons_Region!$B178,$L$1,$K$1)</f>
        <v>0</v>
      </c>
      <c r="K178" s="34">
        <f>_xll.DBRW($B$1,Cons_Region!$D$9,Cons_Region!K$11,$M$1,$G$168,Cons_Region!$J$9,$N$1,Cons_Region!$B178,$L$1,$K$1)</f>
        <v>0</v>
      </c>
      <c r="L178" s="34">
        <f>_xll.DBRW($B$1,Cons_Region!$D$9,Cons_Region!L$11,$M$1,$G$168,Cons_Region!$J$9,$N$1,Cons_Region!$B178,$L$1,$K$1)</f>
        <v>0</v>
      </c>
      <c r="M178" s="34">
        <f>_xll.DBRW($B$1,Cons_Region!$D$9,Cons_Region!M$11,$M$1,$G$168,Cons_Region!$J$9,$N$1,Cons_Region!$B178,$L$1,$K$1)</f>
        <v>0</v>
      </c>
      <c r="N178" s="34">
        <f>_xll.DBRW($B$1,Cons_Region!$D$9,Cons_Region!N$11,$M$1,$G$168,Cons_Region!$J$9,$N$1,Cons_Region!$B178,$L$1,$K$1)</f>
        <v>0</v>
      </c>
    </row>
    <row r="179" spans="2:14" ht="15.75" customHeight="1" x14ac:dyDescent="0.25">
      <c r="B179" s="24" t="s">
        <v>117</v>
      </c>
      <c r="C179" s="21">
        <f>_xll.DBRW($C$4,Cons_Region!$D$9,Cons_Region!C$11,$M$1,$G$168,Cons_Region!$J$9,Cons_Region!$B179,$K$1)</f>
        <v>0</v>
      </c>
      <c r="D179" s="21">
        <f>_xll.DBRW($C$4,Cons_Region!$D$9,Cons_Region!D$11,$M$1,$G$168,Cons_Region!$J$9,Cons_Region!$B179,$K$1)</f>
        <v>0</v>
      </c>
      <c r="E179" s="21">
        <f>_xll.DBRW($C$4,Cons_Region!$D$9,Cons_Region!E$11,$M$1,$G$168,Cons_Region!$J$9,Cons_Region!$B179,$K$1)</f>
        <v>0</v>
      </c>
      <c r="F179" s="21">
        <f>_xll.DBRW($C$4,Cons_Region!$D$9,Cons_Region!F$11,$M$1,$G$168,Cons_Region!$J$9,Cons_Region!$B179,$K$1)</f>
        <v>0</v>
      </c>
      <c r="G179" s="21">
        <f>_xll.DBRW($C$4,Cons_Region!$D$9,Cons_Region!G$11,$M$1,$G$168,Cons_Region!$J$9,Cons_Region!$B179,$K$1)</f>
        <v>0</v>
      </c>
      <c r="H179" s="21">
        <f>_xll.DBRW($C$4,Cons_Region!$D$9,Cons_Region!H$11,$M$1,$G$168,Cons_Region!$J$9,Cons_Region!$B179,$K$1)</f>
        <v>0</v>
      </c>
      <c r="I179" s="21">
        <f>_xll.DBRW($C$4,Cons_Region!$D$9,Cons_Region!I$11,$M$1,$G$168,Cons_Region!$J$9,Cons_Region!$B179,$K$1)</f>
        <v>0</v>
      </c>
      <c r="J179" s="21">
        <f>_xll.DBRW($C$4,Cons_Region!$D$9,Cons_Region!J$11,$M$1,$G$168,Cons_Region!$J$9,Cons_Region!$B179,$K$1)</f>
        <v>0</v>
      </c>
      <c r="K179" s="21">
        <f>_xll.DBRW($C$4,Cons_Region!$D$9,Cons_Region!K$11,$M$1,$G$168,Cons_Region!$J$9,Cons_Region!$B179,$K$1)</f>
        <v>0</v>
      </c>
      <c r="L179" s="21">
        <f>_xll.DBRW($C$4,Cons_Region!$D$9,Cons_Region!L$11,$M$1,$G$168,Cons_Region!$J$9,Cons_Region!$B179,$K$1)</f>
        <v>0</v>
      </c>
      <c r="M179" s="21">
        <f>_xll.DBRW($C$4,Cons_Region!$D$9,Cons_Region!M$11,$M$1,$G$168,Cons_Region!$J$9,Cons_Region!$B179,$K$1)</f>
        <v>0</v>
      </c>
      <c r="N179" s="21">
        <f>_xll.DBRW($C$4,Cons_Region!$D$9,Cons_Region!N$11,$M$1,$G$168,Cons_Region!$J$9,Cons_Region!$B179,$K$1)</f>
        <v>0</v>
      </c>
    </row>
    <row r="182" spans="2:14" ht="15.75" customHeight="1" thickBot="1" x14ac:dyDescent="0.3">
      <c r="F182" s="19" t="s">
        <v>68</v>
      </c>
      <c r="G182" s="35" t="str">
        <f>_xll.SUBNM("CONS_VC:ALL.D.Currency","Local","USD","Nome alternativo")</f>
        <v>USD</v>
      </c>
    </row>
    <row r="183" spans="2:14" ht="15.75" customHeight="1" thickTop="1" x14ac:dyDescent="0.25"/>
    <row r="184" spans="2:14" ht="15.75" customHeight="1" x14ac:dyDescent="0.25">
      <c r="B184" s="5"/>
      <c r="C184" s="18" t="str">
        <f t="shared" ref="C184:N184" si="15">$D$9&amp;"."&amp;C$11</f>
        <v>2026.01</v>
      </c>
      <c r="D184" s="18" t="str">
        <f t="shared" si="15"/>
        <v>2026.02</v>
      </c>
      <c r="E184" s="18" t="str">
        <f t="shared" si="15"/>
        <v>2026.03</v>
      </c>
      <c r="F184" s="18" t="str">
        <f t="shared" si="15"/>
        <v>2026.04</v>
      </c>
      <c r="G184" s="18" t="str">
        <f t="shared" si="15"/>
        <v>2026.05</v>
      </c>
      <c r="H184" s="18" t="str">
        <f t="shared" si="15"/>
        <v>2026.06</v>
      </c>
      <c r="I184" s="18" t="str">
        <f t="shared" si="15"/>
        <v>2026.07</v>
      </c>
      <c r="J184" s="18" t="str">
        <f t="shared" si="15"/>
        <v>2026.08</v>
      </c>
      <c r="K184" s="18" t="str">
        <f t="shared" si="15"/>
        <v>2026.09</v>
      </c>
      <c r="L184" s="18" t="str">
        <f t="shared" si="15"/>
        <v>2026.10</v>
      </c>
      <c r="M184" s="18" t="str">
        <f t="shared" si="15"/>
        <v>2026.11</v>
      </c>
      <c r="N184" s="18" t="str">
        <f t="shared" si="15"/>
        <v>2026.12</v>
      </c>
    </row>
    <row r="185" spans="2:14" ht="15.75" customHeight="1" x14ac:dyDescent="0.25">
      <c r="B185" s="17" t="s">
        <v>109</v>
      </c>
      <c r="C185" s="34">
        <f>_xll.DBRW($B$1,Cons_Region!$D$9,Cons_Region!C$11,$M$1,$G$182,Cons_Region!$J$9,$N$1,Cons_Region!$B185,$L$1,$K$1)</f>
        <v>-965.90423999999996</v>
      </c>
      <c r="D185" s="34">
        <f>_xll.DBRW($B$1,Cons_Region!$D$9,Cons_Region!D$11,$M$1,$G$182,Cons_Region!$J$9,$N$1,Cons_Region!$B185,$L$1,$K$1)</f>
        <v>0</v>
      </c>
      <c r="E185" s="34">
        <f>_xll.DBRW($B$1,Cons_Region!$D$9,Cons_Region!E$11,$M$1,$G$182,Cons_Region!$J$9,$N$1,Cons_Region!$B185,$L$1,$K$1)</f>
        <v>0</v>
      </c>
      <c r="F185" s="34">
        <f>_xll.DBRW($B$1,Cons_Region!$D$9,Cons_Region!F$11,$M$1,$G$182,Cons_Region!$J$9,$N$1,Cons_Region!$B185,$L$1,$K$1)</f>
        <v>0</v>
      </c>
      <c r="G185" s="34">
        <f>_xll.DBRW($B$1,Cons_Region!$D$9,Cons_Region!G$11,$M$1,$G$182,Cons_Region!$J$9,$N$1,Cons_Region!$B185,$L$1,$K$1)</f>
        <v>0</v>
      </c>
      <c r="H185" s="34">
        <f>_xll.DBRW($B$1,Cons_Region!$D$9,Cons_Region!H$11,$M$1,$G$182,Cons_Region!$J$9,$N$1,Cons_Region!$B185,$L$1,$K$1)</f>
        <v>0</v>
      </c>
      <c r="I185" s="34">
        <f>_xll.DBRW($B$1,Cons_Region!$D$9,Cons_Region!I$11,$M$1,$G$182,Cons_Region!$J$9,$N$1,Cons_Region!$B185,$L$1,$K$1)</f>
        <v>0</v>
      </c>
      <c r="J185" s="34">
        <f>_xll.DBRW($B$1,Cons_Region!$D$9,Cons_Region!J$11,$M$1,$G$182,Cons_Region!$J$9,$N$1,Cons_Region!$B185,$L$1,$K$1)</f>
        <v>0</v>
      </c>
      <c r="K185" s="34">
        <f>_xll.DBRW($B$1,Cons_Region!$D$9,Cons_Region!K$11,$M$1,$G$182,Cons_Region!$J$9,$N$1,Cons_Region!$B185,$L$1,$K$1)</f>
        <v>0</v>
      </c>
      <c r="L185" s="34">
        <f>_xll.DBRW($B$1,Cons_Region!$D$9,Cons_Region!L$11,$M$1,$G$182,Cons_Region!$J$9,$N$1,Cons_Region!$B185,$L$1,$K$1)</f>
        <v>0</v>
      </c>
      <c r="M185" s="34">
        <f>_xll.DBRW($B$1,Cons_Region!$D$9,Cons_Region!M$11,$M$1,$G$182,Cons_Region!$J$9,$N$1,Cons_Region!$B185,$L$1,$K$1)</f>
        <v>0</v>
      </c>
      <c r="N185" s="34">
        <f>_xll.DBRW($B$1,Cons_Region!$D$9,Cons_Region!N$11,$M$1,$G$182,Cons_Region!$J$9,$N$1,Cons_Region!$B185,$L$1,$K$1)</f>
        <v>0</v>
      </c>
    </row>
    <row r="186" spans="2:14" ht="15.75" customHeight="1" x14ac:dyDescent="0.25">
      <c r="B186" s="17" t="s">
        <v>110</v>
      </c>
      <c r="C186" s="34">
        <f>_xll.DBRW($B$1,Cons_Region!$D$9,Cons_Region!C$11,$M$1,$G$182,Cons_Region!$J$9,$N$1,Cons_Region!$B186,$L$1,$K$1)</f>
        <v>30</v>
      </c>
      <c r="D186" s="34">
        <f>_xll.DBRW($B$1,Cons_Region!$D$9,Cons_Region!D$11,$M$1,$G$182,Cons_Region!$J$9,$N$1,Cons_Region!$B186,$L$1,$K$1)</f>
        <v>-52.165202108963101</v>
      </c>
      <c r="E186" s="34">
        <f>_xll.DBRW($B$1,Cons_Region!$D$9,Cons_Region!E$11,$M$1,$G$182,Cons_Region!$J$9,$N$1,Cons_Region!$B186,$L$1,$K$1)</f>
        <v>-65</v>
      </c>
      <c r="F186" s="34">
        <f>_xll.DBRW($B$1,Cons_Region!$D$9,Cons_Region!F$11,$M$1,$G$182,Cons_Region!$J$9,$N$1,Cons_Region!$B186,$L$1,$K$1)</f>
        <v>0</v>
      </c>
      <c r="G186" s="34">
        <f>_xll.DBRW($B$1,Cons_Region!$D$9,Cons_Region!G$11,$M$1,$G$182,Cons_Region!$J$9,$N$1,Cons_Region!$B186,$L$1,$K$1)</f>
        <v>0</v>
      </c>
      <c r="H186" s="34">
        <f>_xll.DBRW($B$1,Cons_Region!$D$9,Cons_Region!H$11,$M$1,$G$182,Cons_Region!$J$9,$N$1,Cons_Region!$B186,$L$1,$K$1)</f>
        <v>0</v>
      </c>
      <c r="I186" s="34">
        <f>_xll.DBRW($B$1,Cons_Region!$D$9,Cons_Region!I$11,$M$1,$G$182,Cons_Region!$J$9,$N$1,Cons_Region!$B186,$L$1,$K$1)</f>
        <v>0</v>
      </c>
      <c r="J186" s="34">
        <f>_xll.DBRW($B$1,Cons_Region!$D$9,Cons_Region!J$11,$M$1,$G$182,Cons_Region!$J$9,$N$1,Cons_Region!$B186,$L$1,$K$1)</f>
        <v>0</v>
      </c>
      <c r="K186" s="34">
        <f>_xll.DBRW($B$1,Cons_Region!$D$9,Cons_Region!K$11,$M$1,$G$182,Cons_Region!$J$9,$N$1,Cons_Region!$B186,$L$1,$K$1)</f>
        <v>0</v>
      </c>
      <c r="L186" s="34">
        <f>_xll.DBRW($B$1,Cons_Region!$D$9,Cons_Region!L$11,$M$1,$G$182,Cons_Region!$J$9,$N$1,Cons_Region!$B186,$L$1,$K$1)</f>
        <v>0</v>
      </c>
      <c r="M186" s="34">
        <f>_xll.DBRW($B$1,Cons_Region!$D$9,Cons_Region!M$11,$M$1,$G$182,Cons_Region!$J$9,$N$1,Cons_Region!$B186,$L$1,$K$1)</f>
        <v>0</v>
      </c>
      <c r="N186" s="34">
        <f>_xll.DBRW($B$1,Cons_Region!$D$9,Cons_Region!N$11,$M$1,$G$182,Cons_Region!$J$9,$N$1,Cons_Region!$B186,$L$1,$K$1)</f>
        <v>-100</v>
      </c>
    </row>
    <row r="187" spans="2:14" ht="15.75" customHeight="1" x14ac:dyDescent="0.25">
      <c r="B187" s="17" t="s">
        <v>111</v>
      </c>
      <c r="C187" s="34">
        <f>_xll.DBRW($B$1,Cons_Region!$D$9,Cons_Region!C$11,$M$1,$G$182,Cons_Region!$J$9,$N$1,Cons_Region!$B187,$L$1,$K$1)</f>
        <v>-4.8705273696136997</v>
      </c>
      <c r="D187" s="34">
        <f>_xll.DBRW($B$1,Cons_Region!$D$9,Cons_Region!D$11,$M$1,$G$182,Cons_Region!$J$9,$N$1,Cons_Region!$B187,$L$1,$K$1)</f>
        <v>-4.3604742621041099</v>
      </c>
      <c r="E187" s="34">
        <f>_xll.DBRW($B$1,Cons_Region!$D$9,Cons_Region!E$11,$M$1,$G$182,Cons_Region!$J$9,$N$1,Cons_Region!$B187,$L$1,$K$1)</f>
        <v>-4.9375758168232098</v>
      </c>
      <c r="F187" s="34">
        <f>_xll.DBRW($B$1,Cons_Region!$D$9,Cons_Region!F$11,$M$1,$G$182,Cons_Region!$J$9,$N$1,Cons_Region!$B187,$L$1,$K$1)</f>
        <v>-5.0072594732301798</v>
      </c>
      <c r="G187" s="34">
        <f>_xll.DBRW($B$1,Cons_Region!$D$9,Cons_Region!G$11,$M$1,$G$182,Cons_Region!$J$9,$N$1,Cons_Region!$B187,$L$1,$K$1)</f>
        <v>-4.88298585947887</v>
      </c>
      <c r="H187" s="34">
        <f>_xll.DBRW($B$1,Cons_Region!$D$9,Cons_Region!H$11,$M$1,$G$182,Cons_Region!$J$9,$N$1,Cons_Region!$B187,$L$1,$K$1)</f>
        <v>-4.7580370378021799</v>
      </c>
      <c r="I187" s="34">
        <f>_xll.DBRW($B$1,Cons_Region!$D$9,Cons_Region!I$11,$M$1,$G$182,Cons_Region!$J$9,$N$1,Cons_Region!$B187,$L$1,$K$1)</f>
        <v>-4.7526589842572298</v>
      </c>
      <c r="J187" s="34">
        <f>_xll.DBRW($B$1,Cons_Region!$D$9,Cons_Region!J$11,$M$1,$G$182,Cons_Region!$J$9,$N$1,Cons_Region!$B187,$L$1,$K$1)</f>
        <v>-4.6752097807960604</v>
      </c>
      <c r="K187" s="34">
        <f>_xll.DBRW($B$1,Cons_Region!$D$9,Cons_Region!K$11,$M$1,$G$182,Cons_Region!$J$9,$N$1,Cons_Region!$B187,$L$1,$K$1)</f>
        <v>-4.7055761759738504</v>
      </c>
      <c r="L187" s="34">
        <f>_xll.DBRW($B$1,Cons_Region!$D$9,Cons_Region!L$11,$M$1,$G$182,Cons_Region!$J$9,$N$1,Cons_Region!$B187,$L$1,$K$1)</f>
        <v>-4.8630506087476899</v>
      </c>
      <c r="M187" s="34">
        <f>_xll.DBRW($B$1,Cons_Region!$D$9,Cons_Region!M$11,$M$1,$G$182,Cons_Region!$J$9,$N$1,Cons_Region!$B187,$L$1,$K$1)</f>
        <v>-4.7857067681398702</v>
      </c>
      <c r="N187" s="34">
        <f>_xll.DBRW($B$1,Cons_Region!$D$9,Cons_Region!N$11,$M$1,$G$182,Cons_Region!$J$9,$N$1,Cons_Region!$B187,$L$1,$K$1)</f>
        <v>-4.7610492698178302</v>
      </c>
    </row>
    <row r="188" spans="2:14" ht="15.75" customHeight="1" x14ac:dyDescent="0.25">
      <c r="B188" s="17" t="s">
        <v>112</v>
      </c>
      <c r="C188" s="34">
        <f>_xll.DBRW($B$1,Cons_Region!$D$9,Cons_Region!C$11,$M$1,$G$182,Cons_Region!$J$9,$N$1,Cons_Region!$B188,$L$1,$K$1)</f>
        <v>0</v>
      </c>
      <c r="D188" s="34">
        <f>_xll.DBRW($B$1,Cons_Region!$D$9,Cons_Region!D$11,$M$1,$G$182,Cons_Region!$J$9,$N$1,Cons_Region!$B188,$L$1,$K$1)</f>
        <v>0</v>
      </c>
      <c r="E188" s="34">
        <f>_xll.DBRW($B$1,Cons_Region!$D$9,Cons_Region!E$11,$M$1,$G$182,Cons_Region!$J$9,$N$1,Cons_Region!$B188,$L$1,$K$1)</f>
        <v>0</v>
      </c>
      <c r="F188" s="34">
        <f>_xll.DBRW($B$1,Cons_Region!$D$9,Cons_Region!F$11,$M$1,$G$182,Cons_Region!$J$9,$N$1,Cons_Region!$B188,$L$1,$K$1)</f>
        <v>0</v>
      </c>
      <c r="G188" s="34">
        <f>_xll.DBRW($B$1,Cons_Region!$D$9,Cons_Region!G$11,$M$1,$G$182,Cons_Region!$J$9,$N$1,Cons_Region!$B188,$L$1,$K$1)</f>
        <v>0</v>
      </c>
      <c r="H188" s="34">
        <f>_xll.DBRW($B$1,Cons_Region!$D$9,Cons_Region!H$11,$M$1,$G$182,Cons_Region!$J$9,$N$1,Cons_Region!$B188,$L$1,$K$1)</f>
        <v>0</v>
      </c>
      <c r="I188" s="34">
        <f>_xll.DBRW($B$1,Cons_Region!$D$9,Cons_Region!I$11,$M$1,$G$182,Cons_Region!$J$9,$N$1,Cons_Region!$B188,$L$1,$K$1)</f>
        <v>0</v>
      </c>
      <c r="J188" s="34">
        <f>_xll.DBRW($B$1,Cons_Region!$D$9,Cons_Region!J$11,$M$1,$G$182,Cons_Region!$J$9,$N$1,Cons_Region!$B188,$L$1,$K$1)</f>
        <v>0</v>
      </c>
      <c r="K188" s="34">
        <f>_xll.DBRW($B$1,Cons_Region!$D$9,Cons_Region!K$11,$M$1,$G$182,Cons_Region!$J$9,$N$1,Cons_Region!$B188,$L$1,$K$1)</f>
        <v>0</v>
      </c>
      <c r="L188" s="34">
        <f>_xll.DBRW($B$1,Cons_Region!$D$9,Cons_Region!L$11,$M$1,$G$182,Cons_Region!$J$9,$N$1,Cons_Region!$B188,$L$1,$K$1)</f>
        <v>0</v>
      </c>
      <c r="M188" s="34">
        <f>_xll.DBRW($B$1,Cons_Region!$D$9,Cons_Region!M$11,$M$1,$G$182,Cons_Region!$J$9,$N$1,Cons_Region!$B188,$L$1,$K$1)</f>
        <v>0</v>
      </c>
      <c r="N188" s="34">
        <f>_xll.DBRW($B$1,Cons_Region!$D$9,Cons_Region!N$11,$M$1,$G$182,Cons_Region!$J$9,$N$1,Cons_Region!$B188,$L$1,$K$1)</f>
        <v>0</v>
      </c>
    </row>
    <row r="189" spans="2:14" ht="15.75" customHeight="1" x14ac:dyDescent="0.25">
      <c r="B189" s="17" t="s">
        <v>113</v>
      </c>
      <c r="C189" s="34">
        <f>_xll.DBRW($B$1,Cons_Region!$D$9,Cons_Region!C$11,$M$1,$G$182,Cons_Region!$J$9,$N$1,Cons_Region!$B189,$L$1,$K$1)</f>
        <v>24.924497137927201</v>
      </c>
      <c r="D189" s="34">
        <f>_xll.DBRW($B$1,Cons_Region!$D$9,Cons_Region!D$11,$M$1,$G$182,Cons_Region!$J$9,$N$1,Cons_Region!$B189,$L$1,$K$1)</f>
        <v>4.6172399503573596</v>
      </c>
      <c r="E189" s="34">
        <f>_xll.DBRW($B$1,Cons_Region!$D$9,Cons_Region!E$11,$M$1,$G$182,Cons_Region!$J$9,$N$1,Cons_Region!$B189,$L$1,$K$1)</f>
        <v>4.1547888872435497</v>
      </c>
      <c r="F189" s="34">
        <f>_xll.DBRW($B$1,Cons_Region!$D$9,Cons_Region!F$11,$M$1,$G$182,Cons_Region!$J$9,$N$1,Cons_Region!$B189,$L$1,$K$1)</f>
        <v>4.1547888872435497</v>
      </c>
      <c r="G189" s="34">
        <f>_xll.DBRW($B$1,Cons_Region!$D$9,Cons_Region!G$11,$M$1,$G$182,Cons_Region!$J$9,$N$1,Cons_Region!$B189,$L$1,$K$1)</f>
        <v>14.154788887243599</v>
      </c>
      <c r="H189" s="34">
        <f>_xll.DBRW($B$1,Cons_Region!$D$9,Cons_Region!H$11,$M$1,$G$182,Cons_Region!$J$9,$N$1,Cons_Region!$B189,$L$1,$K$1)</f>
        <v>14.154788887243599</v>
      </c>
      <c r="I189" s="34">
        <f>_xll.DBRW($B$1,Cons_Region!$D$9,Cons_Region!I$11,$M$1,$G$182,Cons_Region!$J$9,$N$1,Cons_Region!$B189,$L$1,$K$1)</f>
        <v>34.154788887243598</v>
      </c>
      <c r="J189" s="34">
        <f>_xll.DBRW($B$1,Cons_Region!$D$9,Cons_Region!J$11,$M$1,$G$182,Cons_Region!$J$9,$N$1,Cons_Region!$B189,$L$1,$K$1)</f>
        <v>59.154788887243598</v>
      </c>
      <c r="K189" s="34">
        <f>_xll.DBRW($B$1,Cons_Region!$D$9,Cons_Region!K$11,$M$1,$G$182,Cons_Region!$J$9,$N$1,Cons_Region!$B189,$L$1,$K$1)</f>
        <v>34.154788887243598</v>
      </c>
      <c r="L189" s="34">
        <f>_xll.DBRW($B$1,Cons_Region!$D$9,Cons_Region!L$11,$M$1,$G$182,Cons_Region!$J$9,$N$1,Cons_Region!$B189,$L$1,$K$1)</f>
        <v>34.154788887243598</v>
      </c>
      <c r="M189" s="34">
        <f>_xll.DBRW($B$1,Cons_Region!$D$9,Cons_Region!M$11,$M$1,$G$182,Cons_Region!$J$9,$N$1,Cons_Region!$B189,$L$1,$K$1)</f>
        <v>34.154788887243598</v>
      </c>
      <c r="N189" s="34">
        <f>_xll.DBRW($B$1,Cons_Region!$D$9,Cons_Region!N$11,$M$1,$G$182,Cons_Region!$J$9,$N$1,Cons_Region!$B189,$L$1,$K$1)</f>
        <v>58.8547888872436</v>
      </c>
    </row>
    <row r="190" spans="2:14" ht="15.75" customHeight="1" x14ac:dyDescent="0.25">
      <c r="B190" s="17" t="s">
        <v>114</v>
      </c>
      <c r="C190" s="34">
        <f>_xll.DBRW($B$1,Cons_Region!$D$9,Cons_Region!C$11,$M$1,$G$182,Cons_Region!$J$9,$N$1,Cons_Region!$B190,$L$1,$K$1)</f>
        <v>0.81343818259398404</v>
      </c>
      <c r="D190" s="34">
        <f>_xll.DBRW($B$1,Cons_Region!$D$9,Cons_Region!D$11,$M$1,$G$182,Cons_Region!$J$9,$N$1,Cons_Region!$B190,$L$1,$K$1)</f>
        <v>0.42185429123193802</v>
      </c>
      <c r="E190" s="34">
        <f>_xll.DBRW($B$1,Cons_Region!$D$9,Cons_Region!E$11,$M$1,$G$182,Cons_Region!$J$9,$N$1,Cons_Region!$B190,$L$1,$K$1)</f>
        <v>3.7337179426724201</v>
      </c>
      <c r="F190" s="34">
        <f>_xll.DBRW($B$1,Cons_Region!$D$9,Cons_Region!F$11,$M$1,$G$182,Cons_Region!$J$9,$N$1,Cons_Region!$B190,$L$1,$K$1)</f>
        <v>15.657956366004999</v>
      </c>
      <c r="G190" s="34">
        <f>_xll.DBRW($B$1,Cons_Region!$D$9,Cons_Region!G$11,$M$1,$G$182,Cons_Region!$J$9,$N$1,Cons_Region!$B190,$L$1,$K$1)</f>
        <v>2.3732541525343001</v>
      </c>
      <c r="H190" s="34">
        <f>_xll.DBRW($B$1,Cons_Region!$D$9,Cons_Region!H$11,$M$1,$G$182,Cons_Region!$J$9,$N$1,Cons_Region!$B190,$L$1,$K$1)</f>
        <v>3.8678751915695302</v>
      </c>
      <c r="I190" s="34">
        <f>_xll.DBRW($B$1,Cons_Region!$D$9,Cons_Region!I$11,$M$1,$G$182,Cons_Region!$J$9,$N$1,Cons_Region!$B190,$L$1,$K$1)</f>
        <v>1.5443371525843901</v>
      </c>
      <c r="J190" s="34">
        <f>_xll.DBRW($B$1,Cons_Region!$D$9,Cons_Region!J$11,$M$1,$G$182,Cons_Region!$J$9,$N$1,Cons_Region!$B190,$L$1,$K$1)</f>
        <v>1.5144672803788699</v>
      </c>
      <c r="K190" s="34">
        <f>_xll.DBRW($B$1,Cons_Region!$D$9,Cons_Region!K$11,$M$1,$G$182,Cons_Region!$J$9,$N$1,Cons_Region!$B190,$L$1,$K$1)</f>
        <v>3.8365252120089601</v>
      </c>
      <c r="L190" s="34">
        <f>_xll.DBRW($B$1,Cons_Region!$D$9,Cons_Region!L$11,$M$1,$G$182,Cons_Region!$J$9,$N$1,Cons_Region!$B190,$L$1,$K$1)</f>
        <v>16.028888878833499</v>
      </c>
      <c r="M190" s="34">
        <f>_xll.DBRW($B$1,Cons_Region!$D$9,Cons_Region!M$11,$M$1,$G$182,Cons_Region!$J$9,$N$1,Cons_Region!$B190,$L$1,$K$1)</f>
        <v>1.59681113360129</v>
      </c>
      <c r="N190" s="34">
        <f>_xll.DBRW($B$1,Cons_Region!$D$9,Cons_Region!N$11,$M$1,$G$182,Cons_Region!$J$9,$N$1,Cons_Region!$B190,$L$1,$K$1)</f>
        <v>3.8038263739686902</v>
      </c>
    </row>
    <row r="191" spans="2:14" ht="15.75" customHeight="1" x14ac:dyDescent="0.25">
      <c r="B191" s="17" t="s">
        <v>115</v>
      </c>
      <c r="C191" s="34">
        <f>_xll.DBRW($B$1,Cons_Region!$D$9,Cons_Region!C$11,$M$1,$G$182,Cons_Region!$J$9,$N$1,Cons_Region!$B191,$L$1,$K$1)</f>
        <v>-2.2303826176196302</v>
      </c>
      <c r="D191" s="34">
        <f>_xll.DBRW($B$1,Cons_Region!$D$9,Cons_Region!D$11,$M$1,$G$182,Cons_Region!$J$9,$N$1,Cons_Region!$B191,$L$1,$K$1)</f>
        <v>-1.39444398409887</v>
      </c>
      <c r="E191" s="34">
        <f>_xll.DBRW($B$1,Cons_Region!$D$9,Cons_Region!E$11,$M$1,$G$182,Cons_Region!$J$9,$N$1,Cons_Region!$B191,$L$1,$K$1)</f>
        <v>-1.00484012531297</v>
      </c>
      <c r="F191" s="34">
        <f>_xll.DBRW($B$1,Cons_Region!$D$9,Cons_Region!F$11,$M$1,$G$182,Cons_Region!$J$9,$N$1,Cons_Region!$B191,$L$1,$K$1)</f>
        <v>-1.06951884376622</v>
      </c>
      <c r="G191" s="34">
        <f>_xll.DBRW($B$1,Cons_Region!$D$9,Cons_Region!G$11,$M$1,$G$182,Cons_Region!$J$9,$N$1,Cons_Region!$B191,$L$1,$K$1)</f>
        <v>-1.2695975974445399</v>
      </c>
      <c r="H191" s="34">
        <f>_xll.DBRW($B$1,Cons_Region!$D$9,Cons_Region!H$11,$M$1,$G$182,Cons_Region!$J$9,$N$1,Cons_Region!$B191,$L$1,$K$1)</f>
        <v>-1.31826546225511</v>
      </c>
      <c r="I191" s="34">
        <f>_xll.DBRW($B$1,Cons_Region!$D$9,Cons_Region!I$11,$M$1,$G$182,Cons_Region!$J$9,$N$1,Cons_Region!$B191,$L$1,$K$1)</f>
        <v>-1.4221382859955201</v>
      </c>
      <c r="J191" s="34">
        <f>_xll.DBRW($B$1,Cons_Region!$D$9,Cons_Region!J$11,$M$1,$G$182,Cons_Region!$J$9,$N$1,Cons_Region!$B191,$L$1,$K$1)</f>
        <v>-1.4700727220715599</v>
      </c>
      <c r="K191" s="34">
        <f>_xll.DBRW($B$1,Cons_Region!$D$9,Cons_Region!K$11,$M$1,$G$182,Cons_Region!$J$9,$N$1,Cons_Region!$B191,$L$1,$K$1)</f>
        <v>-8.5603560462769792</v>
      </c>
      <c r="L191" s="34">
        <f>_xll.DBRW($B$1,Cons_Region!$D$9,Cons_Region!L$11,$M$1,$G$182,Cons_Region!$J$9,$N$1,Cons_Region!$B191,$L$1,$K$1)</f>
        <v>-1.40080746758917</v>
      </c>
      <c r="M191" s="34">
        <f>_xll.DBRW($B$1,Cons_Region!$D$9,Cons_Region!M$11,$M$1,$G$182,Cons_Region!$J$9,$N$1,Cons_Region!$B191,$L$1,$K$1)</f>
        <v>-1.39668593343686</v>
      </c>
      <c r="N191" s="34">
        <f>_xll.DBRW($B$1,Cons_Region!$D$9,Cons_Region!N$11,$M$1,$G$182,Cons_Region!$J$9,$N$1,Cons_Region!$B191,$L$1,$K$1)</f>
        <v>-1.3793232745728099</v>
      </c>
    </row>
    <row r="192" spans="2:14" ht="15.75" customHeight="1" x14ac:dyDescent="0.25">
      <c r="B192" s="17" t="s">
        <v>116</v>
      </c>
      <c r="C192" s="34">
        <f>_xll.DBRW($B$1,Cons_Region!$D$9,Cons_Region!C$11,$M$1,$G$182,Cons_Region!$J$9,$N$1,Cons_Region!$B192,$L$1,$K$1)</f>
        <v>0</v>
      </c>
      <c r="D192" s="34">
        <f>_xll.DBRW($B$1,Cons_Region!$D$9,Cons_Region!D$11,$M$1,$G$182,Cons_Region!$J$9,$N$1,Cons_Region!$B192,$L$1,$K$1)</f>
        <v>0</v>
      </c>
      <c r="E192" s="34">
        <f>_xll.DBRW($B$1,Cons_Region!$D$9,Cons_Region!E$11,$M$1,$G$182,Cons_Region!$J$9,$N$1,Cons_Region!$B192,$L$1,$K$1)</f>
        <v>0</v>
      </c>
      <c r="F192" s="34">
        <f>_xll.DBRW($B$1,Cons_Region!$D$9,Cons_Region!F$11,$M$1,$G$182,Cons_Region!$J$9,$N$1,Cons_Region!$B192,$L$1,$K$1)</f>
        <v>0</v>
      </c>
      <c r="G192" s="34">
        <f>_xll.DBRW($B$1,Cons_Region!$D$9,Cons_Region!G$11,$M$1,$G$182,Cons_Region!$J$9,$N$1,Cons_Region!$B192,$L$1,$K$1)</f>
        <v>0</v>
      </c>
      <c r="H192" s="34">
        <f>_xll.DBRW($B$1,Cons_Region!$D$9,Cons_Region!H$11,$M$1,$G$182,Cons_Region!$J$9,$N$1,Cons_Region!$B192,$L$1,$K$1)</f>
        <v>0</v>
      </c>
      <c r="I192" s="34">
        <f>_xll.DBRW($B$1,Cons_Region!$D$9,Cons_Region!I$11,$M$1,$G$182,Cons_Region!$J$9,$N$1,Cons_Region!$B192,$L$1,$K$1)</f>
        <v>0</v>
      </c>
      <c r="J192" s="34">
        <f>_xll.DBRW($B$1,Cons_Region!$D$9,Cons_Region!J$11,$M$1,$G$182,Cons_Region!$J$9,$N$1,Cons_Region!$B192,$L$1,$K$1)</f>
        <v>0</v>
      </c>
      <c r="K192" s="34">
        <f>_xll.DBRW($B$1,Cons_Region!$D$9,Cons_Region!K$11,$M$1,$G$182,Cons_Region!$J$9,$N$1,Cons_Region!$B192,$L$1,$K$1)</f>
        <v>0</v>
      </c>
      <c r="L192" s="34">
        <f>_xll.DBRW($B$1,Cons_Region!$D$9,Cons_Region!L$11,$M$1,$G$182,Cons_Region!$J$9,$N$1,Cons_Region!$B192,$L$1,$K$1)</f>
        <v>0</v>
      </c>
      <c r="M192" s="34">
        <f>_xll.DBRW($B$1,Cons_Region!$D$9,Cons_Region!M$11,$M$1,$G$182,Cons_Region!$J$9,$N$1,Cons_Region!$B192,$L$1,$K$1)</f>
        <v>0</v>
      </c>
      <c r="N192" s="34">
        <f>_xll.DBRW($B$1,Cons_Region!$D$9,Cons_Region!N$11,$M$1,$G$182,Cons_Region!$J$9,$N$1,Cons_Region!$B192,$L$1,$K$1)</f>
        <v>0</v>
      </c>
    </row>
    <row r="193" spans="2:14" ht="15.75" customHeight="1" x14ac:dyDescent="0.25">
      <c r="B193" s="24" t="s">
        <v>117</v>
      </c>
      <c r="C193" s="21">
        <f>_xll.DBRW($C$4,Cons_Region!$D$9,Cons_Region!C$11,$M$1,$G$182,Cons_Region!$J$9,Cons_Region!$B193,$K$1)</f>
        <v>-917.26721466671211</v>
      </c>
      <c r="D193" s="21">
        <f>_xll.DBRW($C$4,Cons_Region!$D$9,Cons_Region!D$11,$M$1,$G$182,Cons_Region!$J$9,Cons_Region!$B193,$K$1)</f>
        <v>-970.14824078028892</v>
      </c>
      <c r="E193" s="21">
        <f>_xll.DBRW($C$4,Cons_Region!$D$9,Cons_Region!E$11,$M$1,$G$182,Cons_Region!$J$9,Cons_Region!$B193,$K$1)</f>
        <v>-1033.2021498925092</v>
      </c>
      <c r="F193" s="21">
        <f>_xll.DBRW($C$4,Cons_Region!$D$9,Cons_Region!F$11,$M$1,$G$182,Cons_Region!$J$9,Cons_Region!$B193,$K$1)</f>
        <v>-1019.4661829562569</v>
      </c>
      <c r="G193" s="21">
        <f>_xll.DBRW($C$4,Cons_Region!$D$9,Cons_Region!G$11,$M$1,$G$182,Cons_Region!$J$9,Cons_Region!$B193,$K$1)</f>
        <v>-1009.0907233734024</v>
      </c>
      <c r="H193" s="21">
        <f>_xll.DBRW($C$4,Cons_Region!$D$9,Cons_Region!H$11,$M$1,$G$182,Cons_Region!$J$9,Cons_Region!$B193,$K$1)</f>
        <v>-997.14436179464656</v>
      </c>
      <c r="I193" s="21">
        <f>_xll.DBRW($C$4,Cons_Region!$D$9,Cons_Region!I$11,$M$1,$G$182,Cons_Region!$J$9,Cons_Region!$B193,$K$1)</f>
        <v>-967.62003302507128</v>
      </c>
      <c r="J193" s="21">
        <f>_xll.DBRW($C$4,Cons_Region!$D$9,Cons_Region!J$11,$M$1,$G$182,Cons_Region!$J$9,Cons_Region!$B193,$K$1)</f>
        <v>-913.09605936031642</v>
      </c>
      <c r="K193" s="21">
        <f>_xll.DBRW($C$4,Cons_Region!$D$9,Cons_Region!K$11,$M$1,$G$182,Cons_Region!$J$9,Cons_Region!$B193,$K$1)</f>
        <v>-888.37067748331469</v>
      </c>
      <c r="L193" s="21">
        <f>_xll.DBRW($C$4,Cons_Region!$D$9,Cons_Region!L$11,$M$1,$G$182,Cons_Region!$J$9,Cons_Region!$B193,$K$1)</f>
        <v>-844.45085779357441</v>
      </c>
      <c r="M193" s="21">
        <f>_xll.DBRW($C$4,Cons_Region!$D$9,Cons_Region!M$11,$M$1,$G$182,Cons_Region!$J$9,Cons_Region!$B193,$K$1)</f>
        <v>-814.8816504743063</v>
      </c>
      <c r="N193" s="21">
        <f>_xll.DBRW($C$4,Cons_Region!$D$9,Cons_Region!N$11,$M$1,$G$182,Cons_Region!$J$9,Cons_Region!$B193,$K$1)</f>
        <v>-858.36340775748465</v>
      </c>
    </row>
    <row r="196" spans="2:14" ht="15.75" customHeight="1" thickBot="1" x14ac:dyDescent="0.3">
      <c r="F196" s="19" t="s">
        <v>68</v>
      </c>
      <c r="G196" s="57" t="str">
        <f>_xll.SUBNM("CONS_VC:ALL.D.Currency","Local","EUR","Nome alternativo")</f>
        <v>EUR</v>
      </c>
    </row>
    <row r="197" spans="2:14" ht="15.75" customHeight="1" thickTop="1" x14ac:dyDescent="0.25"/>
    <row r="198" spans="2:14" ht="15.75" customHeight="1" x14ac:dyDescent="0.25">
      <c r="B198" s="5"/>
      <c r="C198" s="18" t="str">
        <f t="shared" ref="C198:N198" si="16">$D$9&amp;"."&amp;C$11</f>
        <v>2026.01</v>
      </c>
      <c r="D198" s="18" t="str">
        <f t="shared" si="16"/>
        <v>2026.02</v>
      </c>
      <c r="E198" s="18" t="str">
        <f t="shared" si="16"/>
        <v>2026.03</v>
      </c>
      <c r="F198" s="18" t="str">
        <f t="shared" si="16"/>
        <v>2026.04</v>
      </c>
      <c r="G198" s="18" t="str">
        <f t="shared" si="16"/>
        <v>2026.05</v>
      </c>
      <c r="H198" s="18" t="str">
        <f t="shared" si="16"/>
        <v>2026.06</v>
      </c>
      <c r="I198" s="18" t="str">
        <f t="shared" si="16"/>
        <v>2026.07</v>
      </c>
      <c r="J198" s="18" t="str">
        <f t="shared" si="16"/>
        <v>2026.08</v>
      </c>
      <c r="K198" s="18" t="str">
        <f t="shared" si="16"/>
        <v>2026.09</v>
      </c>
      <c r="L198" s="18" t="str">
        <f t="shared" si="16"/>
        <v>2026.10</v>
      </c>
      <c r="M198" s="18" t="str">
        <f t="shared" si="16"/>
        <v>2026.11</v>
      </c>
      <c r="N198" s="18" t="str">
        <f t="shared" si="16"/>
        <v>2026.12</v>
      </c>
    </row>
    <row r="199" spans="2:14" ht="15.75" customHeight="1" x14ac:dyDescent="0.25">
      <c r="B199" s="17" t="s">
        <v>299</v>
      </c>
      <c r="C199" s="34">
        <f>_xll.DBRW($B$1,Cons_Region!$D$9,Cons_Region!C$11,$M$1,Cons_Region!$G$9,Cons_Region!$J$9,$N$1,Cons_Region!$B199,$L$1,$K$1)</f>
        <v>0</v>
      </c>
      <c r="D199" s="16">
        <f>_xll.DBRW($B$1,Cons_Region!$D$9,Cons_Region!D$11,$M$1,Cons_Region!$G$9,Cons_Region!$J$9,$N$1,Cons_Region!$B199,$L$1,$K$1)</f>
        <v>0</v>
      </c>
      <c r="E199" s="16">
        <f>_xll.DBRW($B$1,Cons_Region!$D$9,Cons_Region!E$11,$M$1,Cons_Region!$G$9,Cons_Region!$J$9,$N$1,Cons_Region!$B199,$L$1,$K$1)</f>
        <v>0</v>
      </c>
      <c r="F199" s="16">
        <f>_xll.DBRW($B$1,Cons_Region!$D$9,Cons_Region!F$11,$M$1,Cons_Region!$G$9,Cons_Region!$J$9,$N$1,Cons_Region!$B199,$L$1,$K$1)</f>
        <v>0</v>
      </c>
      <c r="G199" s="16">
        <f>_xll.DBRW($B$1,Cons_Region!$D$9,Cons_Region!G$11,$M$1,Cons_Region!$G$9,Cons_Region!$J$9,$N$1,Cons_Region!$B199,$L$1,$K$1)</f>
        <v>0</v>
      </c>
      <c r="H199" s="16">
        <f>_xll.DBRW($B$1,Cons_Region!$D$9,Cons_Region!H$11,$M$1,Cons_Region!$G$9,Cons_Region!$J$9,$N$1,Cons_Region!$B199,$L$1,$K$1)</f>
        <v>0</v>
      </c>
      <c r="I199" s="16">
        <f>_xll.DBRW($B$1,Cons_Region!$D$9,Cons_Region!I$11,$M$1,Cons_Region!$G$9,Cons_Region!$J$9,$N$1,Cons_Region!$B199,$L$1,$K$1)</f>
        <v>0</v>
      </c>
      <c r="J199" s="16">
        <f>_xll.DBRW($B$1,Cons_Region!$D$9,Cons_Region!J$11,$M$1,Cons_Region!$G$9,Cons_Region!$J$9,$N$1,Cons_Region!$B199,$L$1,$K$1)</f>
        <v>0</v>
      </c>
      <c r="K199" s="16">
        <f>_xll.DBRW($B$1,Cons_Region!$D$9,Cons_Region!K$11,$M$1,Cons_Region!$G$9,Cons_Region!$J$9,$N$1,Cons_Region!$B199,$L$1,$K$1)</f>
        <v>0</v>
      </c>
      <c r="L199" s="16">
        <f>_xll.DBRW($B$1,Cons_Region!$D$9,Cons_Region!L$11,$M$1,Cons_Region!$G$9,Cons_Region!$J$9,$N$1,Cons_Region!$B199,$L$1,$K$1)</f>
        <v>0</v>
      </c>
      <c r="M199" s="16">
        <f>_xll.DBRW($B$1,Cons_Region!$D$9,Cons_Region!M$11,$M$1,Cons_Region!$G$9,Cons_Region!$J$9,$N$1,Cons_Region!$B199,$L$1,$K$1)</f>
        <v>0</v>
      </c>
      <c r="N199" s="16">
        <f>_xll.DBRW($B$1,Cons_Region!$D$9,Cons_Region!N$11,$M$1,Cons_Region!$G$9,Cons_Region!$J$9,$N$1,Cons_Region!$B199,$L$1,$K$1)</f>
        <v>0</v>
      </c>
    </row>
    <row r="200" spans="2:14" ht="15.75" customHeight="1" x14ac:dyDescent="0.25">
      <c r="B200" s="17" t="s">
        <v>300</v>
      </c>
      <c r="C200" s="34">
        <f>_xll.DBRW($B$1,Cons_Region!$D$9,Cons_Region!C$11,$M$1,Cons_Region!$G$9,Cons_Region!$J$9,$N$1,Cons_Region!$B200,$L$1,$K$1)</f>
        <v>70</v>
      </c>
      <c r="D200" s="34">
        <f>_xll.DBRW($B$1,Cons_Region!$D$9,Cons_Region!D$11,$M$1,Cons_Region!$G$9,Cons_Region!$J$9,$N$1,Cons_Region!$B200,$L$1,$K$1)</f>
        <v>0</v>
      </c>
      <c r="E200" s="34">
        <f>_xll.DBRW($B$1,Cons_Region!$D$9,Cons_Region!E$11,$M$1,Cons_Region!$G$9,Cons_Region!$J$9,$N$1,Cons_Region!$B200,$L$1,$K$1)</f>
        <v>0</v>
      </c>
      <c r="F200" s="34">
        <f>_xll.DBRW($B$1,Cons_Region!$D$9,Cons_Region!F$11,$M$1,Cons_Region!$G$9,Cons_Region!$J$9,$N$1,Cons_Region!$B200,$L$1,$K$1)</f>
        <v>0</v>
      </c>
      <c r="G200" s="34">
        <f>_xll.DBRW($B$1,Cons_Region!$D$9,Cons_Region!G$11,$M$1,Cons_Region!$G$9,Cons_Region!$J$9,$N$1,Cons_Region!$B200,$L$1,$K$1)</f>
        <v>0</v>
      </c>
      <c r="H200" s="34">
        <f>_xll.DBRW($B$1,Cons_Region!$D$9,Cons_Region!H$11,$M$1,Cons_Region!$G$9,Cons_Region!$J$9,$N$1,Cons_Region!$B200,$L$1,$K$1)</f>
        <v>0</v>
      </c>
      <c r="I200" s="34">
        <f>_xll.DBRW($B$1,Cons_Region!$D$9,Cons_Region!I$11,$M$1,Cons_Region!$G$9,Cons_Region!$J$9,$N$1,Cons_Region!$B200,$L$1,$K$1)</f>
        <v>0</v>
      </c>
      <c r="J200" s="34">
        <f>_xll.DBRW($B$1,Cons_Region!$D$9,Cons_Region!J$11,$M$1,Cons_Region!$G$9,Cons_Region!$J$9,$N$1,Cons_Region!$B200,$L$1,$K$1)</f>
        <v>0</v>
      </c>
      <c r="K200" s="34">
        <f>_xll.DBRW($B$1,Cons_Region!$D$9,Cons_Region!K$11,$M$1,Cons_Region!$G$9,Cons_Region!$J$9,$N$1,Cons_Region!$B200,$L$1,$K$1)</f>
        <v>0</v>
      </c>
      <c r="L200" s="34">
        <f>_xll.DBRW($B$1,Cons_Region!$D$9,Cons_Region!L$11,$M$1,Cons_Region!$G$9,Cons_Region!$J$9,$N$1,Cons_Region!$B200,$L$1,$K$1)</f>
        <v>0</v>
      </c>
      <c r="M200" s="34">
        <f>_xll.DBRW($B$1,Cons_Region!$D$9,Cons_Region!M$11,$M$1,Cons_Region!$G$9,Cons_Region!$J$9,$N$1,Cons_Region!$B200,$L$1,$K$1)</f>
        <v>0</v>
      </c>
      <c r="N200" s="34">
        <f>_xll.DBRW($B$1,Cons_Region!$D$9,Cons_Region!N$11,$M$1,Cons_Region!$G$9,Cons_Region!$J$9,$N$1,Cons_Region!$B200,$L$1,$K$1)</f>
        <v>0</v>
      </c>
    </row>
    <row r="201" spans="2:14" ht="15.75" customHeight="1" x14ac:dyDescent="0.25">
      <c r="B201" s="17" t="s">
        <v>301</v>
      </c>
      <c r="C201" s="34">
        <f>_xll.DBRW($B$1,Cons_Region!$D$9,Cons_Region!C$11,$M$1,Cons_Region!$G$9,Cons_Region!$J$9,$N$1,Cons_Region!$B201,$L$1,$K$1)</f>
        <v>0</v>
      </c>
      <c r="D201" s="34">
        <f>_xll.DBRW($B$1,Cons_Region!$D$9,Cons_Region!D$11,$M$1,Cons_Region!$G$9,Cons_Region!$J$9,$N$1,Cons_Region!$B201,$L$1,$K$1)</f>
        <v>0</v>
      </c>
      <c r="E201" s="34">
        <f>_xll.DBRW($B$1,Cons_Region!$D$9,Cons_Region!E$11,$M$1,Cons_Region!$G$9,Cons_Region!$J$9,$N$1,Cons_Region!$B201,$L$1,$K$1)</f>
        <v>0</v>
      </c>
      <c r="F201" s="34">
        <f>_xll.DBRW($B$1,Cons_Region!$D$9,Cons_Region!F$11,$M$1,Cons_Region!$G$9,Cons_Region!$J$9,$N$1,Cons_Region!$B201,$L$1,$K$1)</f>
        <v>0</v>
      </c>
      <c r="G201" s="34">
        <f>_xll.DBRW($B$1,Cons_Region!$D$9,Cons_Region!G$11,$M$1,Cons_Region!$G$9,Cons_Region!$J$9,$N$1,Cons_Region!$B201,$L$1,$K$1)</f>
        <v>0</v>
      </c>
      <c r="H201" s="34">
        <f>_xll.DBRW($B$1,Cons_Region!$D$9,Cons_Region!H$11,$M$1,Cons_Region!$G$9,Cons_Region!$J$9,$N$1,Cons_Region!$B201,$L$1,$K$1)</f>
        <v>0</v>
      </c>
      <c r="I201" s="34">
        <f>_xll.DBRW($B$1,Cons_Region!$D$9,Cons_Region!I$11,$M$1,Cons_Region!$G$9,Cons_Region!$J$9,$N$1,Cons_Region!$B201,$L$1,$K$1)</f>
        <v>0</v>
      </c>
      <c r="J201" s="34">
        <f>_xll.DBRW($B$1,Cons_Region!$D$9,Cons_Region!J$11,$M$1,Cons_Region!$G$9,Cons_Region!$J$9,$N$1,Cons_Region!$B201,$L$1,$K$1)</f>
        <v>0</v>
      </c>
      <c r="K201" s="34">
        <f>_xll.DBRW($B$1,Cons_Region!$D$9,Cons_Region!K$11,$M$1,Cons_Region!$G$9,Cons_Region!$J$9,$N$1,Cons_Region!$B201,$L$1,$K$1)</f>
        <v>0</v>
      </c>
      <c r="L201" s="34">
        <f>_xll.DBRW($B$1,Cons_Region!$D$9,Cons_Region!L$11,$M$1,Cons_Region!$G$9,Cons_Region!$J$9,$N$1,Cons_Region!$B201,$L$1,$K$1)</f>
        <v>0</v>
      </c>
      <c r="M201" s="34">
        <f>_xll.DBRW($B$1,Cons_Region!$D$9,Cons_Region!M$11,$M$1,Cons_Region!$G$9,Cons_Region!$J$9,$N$1,Cons_Region!$B201,$L$1,$K$1)</f>
        <v>0</v>
      </c>
      <c r="N201" s="34">
        <f>_xll.DBRW($B$1,Cons_Region!$D$9,Cons_Region!N$11,$M$1,Cons_Region!$G$9,Cons_Region!$J$9,$N$1,Cons_Region!$B201,$L$1,$K$1)</f>
        <v>0</v>
      </c>
    </row>
    <row r="202" spans="2:14" ht="15.75" customHeight="1" x14ac:dyDescent="0.25">
      <c r="B202" s="17" t="s">
        <v>302</v>
      </c>
      <c r="C202" s="34"/>
      <c r="D202" s="34"/>
      <c r="E202" s="34"/>
      <c r="F202" s="34"/>
      <c r="G202" s="34"/>
      <c r="H202" s="34"/>
      <c r="I202" s="34"/>
      <c r="J202" s="34"/>
      <c r="K202" s="34"/>
      <c r="L202" s="34"/>
      <c r="M202" s="34"/>
      <c r="N202" s="34"/>
    </row>
    <row r="203" spans="2:14" ht="15.75" customHeight="1" x14ac:dyDescent="0.25">
      <c r="B203" s="17" t="s">
        <v>303</v>
      </c>
      <c r="C203" s="34">
        <f>_xll.DBRW($B$1,Cons_Region!$D$9,Cons_Region!C$11,$M$1,Cons_Region!$G$9,Cons_Region!$J$9,$N$1,Cons_Region!$B203,$L$1,$K$1)</f>
        <v>0</v>
      </c>
      <c r="D203" s="34">
        <f>_xll.DBRW($B$1,Cons_Region!$D$9,Cons_Region!D$11,$M$1,Cons_Region!$G$9,Cons_Region!$J$9,$N$1,Cons_Region!$B203,$L$1,$K$1)</f>
        <v>0</v>
      </c>
      <c r="E203" s="34">
        <f>_xll.DBRW($B$1,Cons_Region!$D$9,Cons_Region!E$11,$M$1,Cons_Region!$G$9,Cons_Region!$J$9,$N$1,Cons_Region!$B203,$L$1,$K$1)</f>
        <v>0</v>
      </c>
      <c r="F203" s="34">
        <f>_xll.DBRW($B$1,Cons_Region!$D$9,Cons_Region!F$11,$M$1,Cons_Region!$G$9,Cons_Region!$J$9,$N$1,Cons_Region!$B203,$L$1,$K$1)</f>
        <v>0</v>
      </c>
      <c r="G203" s="34">
        <f>_xll.DBRW($B$1,Cons_Region!$D$9,Cons_Region!G$11,$M$1,Cons_Region!$G$9,Cons_Region!$J$9,$N$1,Cons_Region!$B203,$L$1,$K$1)</f>
        <v>0</v>
      </c>
      <c r="H203" s="34">
        <f>_xll.DBRW($B$1,Cons_Region!$D$9,Cons_Region!H$11,$M$1,Cons_Region!$G$9,Cons_Region!$J$9,$N$1,Cons_Region!$B203,$L$1,$K$1)</f>
        <v>0</v>
      </c>
      <c r="I203" s="34">
        <f>_xll.DBRW($B$1,Cons_Region!$D$9,Cons_Region!I$11,$M$1,Cons_Region!$G$9,Cons_Region!$J$9,$N$1,Cons_Region!$B203,$L$1,$K$1)</f>
        <v>0</v>
      </c>
      <c r="J203" s="34">
        <f>_xll.DBRW($B$1,Cons_Region!$D$9,Cons_Region!J$11,$M$1,Cons_Region!$G$9,Cons_Region!$J$9,$N$1,Cons_Region!$B203,$L$1,$K$1)</f>
        <v>0</v>
      </c>
      <c r="K203" s="34">
        <f>_xll.DBRW($B$1,Cons_Region!$D$9,Cons_Region!K$11,$M$1,Cons_Region!$G$9,Cons_Region!$J$9,$N$1,Cons_Region!$B203,$L$1,$K$1)</f>
        <v>0</v>
      </c>
      <c r="L203" s="34">
        <f>_xll.DBRW($B$1,Cons_Region!$D$9,Cons_Region!L$11,$M$1,Cons_Region!$G$9,Cons_Region!$J$9,$N$1,Cons_Region!$B203,$L$1,$K$1)</f>
        <v>0</v>
      </c>
      <c r="M203" s="34">
        <f>_xll.DBRW($B$1,Cons_Region!$D$9,Cons_Region!M$11,$M$1,Cons_Region!$G$9,Cons_Region!$J$9,$N$1,Cons_Region!$B203,$L$1,$K$1)</f>
        <v>0</v>
      </c>
      <c r="N203" s="34">
        <f>_xll.DBRW($B$1,Cons_Region!$D$9,Cons_Region!N$11,$M$1,Cons_Region!$G$9,Cons_Region!$J$9,$N$1,Cons_Region!$B203,$L$1,$K$1)</f>
        <v>0</v>
      </c>
    </row>
    <row r="204" spans="2:14" ht="15.75" customHeight="1" x14ac:dyDescent="0.25">
      <c r="B204" s="17" t="s">
        <v>304</v>
      </c>
      <c r="C204" s="34">
        <f>_xll.DBRW($B$1,Cons_Region!$D$9,Cons_Region!C$11,$M$1,Cons_Region!$G$9,Cons_Region!$J$9,$N$1,Cons_Region!$B204,$L$1,$K$1)</f>
        <v>0</v>
      </c>
      <c r="D204" s="34">
        <f>_xll.DBRW($B$1,Cons_Region!$D$9,Cons_Region!D$11,$M$1,Cons_Region!$G$9,Cons_Region!$J$9,$N$1,Cons_Region!$B204,$L$1,$K$1)</f>
        <v>0</v>
      </c>
      <c r="E204" s="34">
        <f>_xll.DBRW($B$1,Cons_Region!$D$9,Cons_Region!E$11,$M$1,Cons_Region!$G$9,Cons_Region!$J$9,$N$1,Cons_Region!$B204,$L$1,$K$1)</f>
        <v>0</v>
      </c>
      <c r="F204" s="34">
        <f>_xll.DBRW($B$1,Cons_Region!$D$9,Cons_Region!F$11,$M$1,Cons_Region!$G$9,Cons_Region!$J$9,$N$1,Cons_Region!$B204,$L$1,$K$1)</f>
        <v>0</v>
      </c>
      <c r="G204" s="34">
        <f>_xll.DBRW($B$1,Cons_Region!$D$9,Cons_Region!G$11,$M$1,Cons_Region!$G$9,Cons_Region!$J$9,$N$1,Cons_Region!$B204,$L$1,$K$1)</f>
        <v>0</v>
      </c>
      <c r="H204" s="34">
        <f>_xll.DBRW($B$1,Cons_Region!$D$9,Cons_Region!H$11,$M$1,Cons_Region!$G$9,Cons_Region!$J$9,$N$1,Cons_Region!$B204,$L$1,$K$1)</f>
        <v>0</v>
      </c>
      <c r="I204" s="34">
        <f>_xll.DBRW($B$1,Cons_Region!$D$9,Cons_Region!I$11,$M$1,Cons_Region!$G$9,Cons_Region!$J$9,$N$1,Cons_Region!$B204,$L$1,$K$1)</f>
        <v>0</v>
      </c>
      <c r="J204" s="34">
        <f>_xll.DBRW($B$1,Cons_Region!$D$9,Cons_Region!J$11,$M$1,Cons_Region!$G$9,Cons_Region!$J$9,$N$1,Cons_Region!$B204,$L$1,$K$1)</f>
        <v>0</v>
      </c>
      <c r="K204" s="34">
        <f>_xll.DBRW($B$1,Cons_Region!$D$9,Cons_Region!K$11,$M$1,Cons_Region!$G$9,Cons_Region!$J$9,$N$1,Cons_Region!$B204,$L$1,$K$1)</f>
        <v>0</v>
      </c>
      <c r="L204" s="34">
        <f>_xll.DBRW($B$1,Cons_Region!$D$9,Cons_Region!L$11,$M$1,Cons_Region!$G$9,Cons_Region!$J$9,$N$1,Cons_Region!$B204,$L$1,$K$1)</f>
        <v>0</v>
      </c>
      <c r="M204" s="34">
        <f>_xll.DBRW($B$1,Cons_Region!$D$9,Cons_Region!M$11,$M$1,Cons_Region!$G$9,Cons_Region!$J$9,$N$1,Cons_Region!$B204,$L$1,$K$1)</f>
        <v>0</v>
      </c>
      <c r="N204" s="34">
        <f>_xll.DBRW($B$1,Cons_Region!$D$9,Cons_Region!N$11,$M$1,Cons_Region!$G$9,Cons_Region!$J$9,$N$1,Cons_Region!$B204,$L$1,$K$1)</f>
        <v>0</v>
      </c>
    </row>
    <row r="205" spans="2:14" ht="15.75" customHeight="1" x14ac:dyDescent="0.25">
      <c r="B205" s="17" t="s">
        <v>305</v>
      </c>
      <c r="C205" s="34">
        <f>_xll.DBRW($B$1,Cons_Region!$D$9,Cons_Region!C$11,$M$1,Cons_Region!$G$9,Cons_Region!$J$9,$N$1,Cons_Region!$B205,$L$1,$K$1)</f>
        <v>0</v>
      </c>
      <c r="D205" s="34">
        <f>_xll.DBRW($B$1,Cons_Region!$D$9,Cons_Region!D$11,$M$1,Cons_Region!$G$9,Cons_Region!$J$9,$N$1,Cons_Region!$B205,$L$1,$K$1)</f>
        <v>0</v>
      </c>
      <c r="E205" s="34">
        <f>_xll.DBRW($B$1,Cons_Region!$D$9,Cons_Region!E$11,$M$1,Cons_Region!$G$9,Cons_Region!$J$9,$N$1,Cons_Region!$B205,$L$1,$K$1)</f>
        <v>0</v>
      </c>
      <c r="F205" s="34">
        <f>_xll.DBRW($B$1,Cons_Region!$D$9,Cons_Region!F$11,$M$1,Cons_Region!$G$9,Cons_Region!$J$9,$N$1,Cons_Region!$B205,$L$1,$K$1)</f>
        <v>0</v>
      </c>
      <c r="G205" s="34">
        <f>_xll.DBRW($B$1,Cons_Region!$D$9,Cons_Region!G$11,$M$1,Cons_Region!$G$9,Cons_Region!$J$9,$N$1,Cons_Region!$B205,$L$1,$K$1)</f>
        <v>0</v>
      </c>
      <c r="H205" s="34">
        <f>_xll.DBRW($B$1,Cons_Region!$D$9,Cons_Region!H$11,$M$1,Cons_Region!$G$9,Cons_Region!$J$9,$N$1,Cons_Region!$B205,$L$1,$K$1)</f>
        <v>0</v>
      </c>
      <c r="I205" s="34">
        <f>_xll.DBRW($B$1,Cons_Region!$D$9,Cons_Region!I$11,$M$1,Cons_Region!$G$9,Cons_Region!$J$9,$N$1,Cons_Region!$B205,$L$1,$K$1)</f>
        <v>0</v>
      </c>
      <c r="J205" s="34">
        <f>_xll.DBRW($B$1,Cons_Region!$D$9,Cons_Region!J$11,$M$1,Cons_Region!$G$9,Cons_Region!$J$9,$N$1,Cons_Region!$B205,$L$1,$K$1)</f>
        <v>0</v>
      </c>
      <c r="K205" s="34">
        <f>_xll.DBRW($B$1,Cons_Region!$D$9,Cons_Region!K$11,$M$1,Cons_Region!$G$9,Cons_Region!$J$9,$N$1,Cons_Region!$B205,$L$1,$K$1)</f>
        <v>0</v>
      </c>
      <c r="L205" s="34">
        <f>_xll.DBRW($B$1,Cons_Region!$D$9,Cons_Region!L$11,$M$1,Cons_Region!$G$9,Cons_Region!$J$9,$N$1,Cons_Region!$B205,$L$1,$K$1)</f>
        <v>0</v>
      </c>
      <c r="M205" s="34">
        <f>_xll.DBRW($B$1,Cons_Region!$D$9,Cons_Region!M$11,$M$1,Cons_Region!$G$9,Cons_Region!$J$9,$N$1,Cons_Region!$B205,$L$1,$K$1)</f>
        <v>0</v>
      </c>
      <c r="N205" s="34">
        <f>_xll.DBRW($B$1,Cons_Region!$D$9,Cons_Region!N$11,$M$1,Cons_Region!$G$9,Cons_Region!$J$9,$N$1,Cons_Region!$B205,$L$1,$K$1)</f>
        <v>0</v>
      </c>
    </row>
    <row r="206" spans="2:14" ht="15.75" customHeight="1" x14ac:dyDescent="0.25">
      <c r="B206" s="17" t="s">
        <v>306</v>
      </c>
      <c r="C206" s="16">
        <f>_xll.DBRW($B$1,Cons_Region!$D$9,Cons_Region!C$11,$M$1,Cons_Region!$G$9,Cons_Region!$J$9,$N$1,Cons_Region!$B206,$L$1,$K$1)</f>
        <v>0</v>
      </c>
      <c r="D206" s="16">
        <f>_xll.DBRW($B$1,Cons_Region!$D$9,Cons_Region!D$11,$M$1,Cons_Region!$G$9,Cons_Region!$J$9,$N$1,Cons_Region!$B206,$L$1,$K$1)</f>
        <v>0</v>
      </c>
      <c r="E206" s="16">
        <f>_xll.DBRW($B$1,Cons_Region!$D$9,Cons_Region!E$11,$M$1,Cons_Region!$G$9,Cons_Region!$J$9,$N$1,Cons_Region!$B206,$L$1,$K$1)</f>
        <v>0</v>
      </c>
      <c r="F206" s="16">
        <f>_xll.DBRW($B$1,Cons_Region!$D$9,Cons_Region!F$11,$M$1,Cons_Region!$G$9,Cons_Region!$J$9,$N$1,Cons_Region!$B206,$L$1,$K$1)</f>
        <v>0</v>
      </c>
      <c r="G206" s="16">
        <f>_xll.DBRW($B$1,Cons_Region!$D$9,Cons_Region!G$11,$M$1,Cons_Region!$G$9,Cons_Region!$J$9,$N$1,Cons_Region!$B206,$L$1,$K$1)</f>
        <v>0</v>
      </c>
      <c r="H206" s="16">
        <f>_xll.DBRW($B$1,Cons_Region!$D$9,Cons_Region!H$11,$M$1,Cons_Region!$G$9,Cons_Region!$J$9,$N$1,Cons_Region!$B206,$L$1,$K$1)</f>
        <v>0</v>
      </c>
      <c r="I206" s="16">
        <f>_xll.DBRW($B$1,Cons_Region!$D$9,Cons_Region!I$11,$M$1,Cons_Region!$G$9,Cons_Region!$J$9,$N$1,Cons_Region!$B206,$L$1,$K$1)</f>
        <v>0</v>
      </c>
      <c r="J206" s="16">
        <f>_xll.DBRW($B$1,Cons_Region!$D$9,Cons_Region!J$11,$M$1,Cons_Region!$G$9,Cons_Region!$J$9,$N$1,Cons_Region!$B206,$L$1,$K$1)</f>
        <v>0</v>
      </c>
      <c r="K206" s="16">
        <f>_xll.DBRW($B$1,Cons_Region!$D$9,Cons_Region!K$11,$M$1,Cons_Region!$G$9,Cons_Region!$J$9,$N$1,Cons_Region!$B206,$L$1,$K$1)</f>
        <v>0</v>
      </c>
      <c r="L206" s="16">
        <f>_xll.DBRW($B$1,Cons_Region!$D$9,Cons_Region!L$11,$M$1,Cons_Region!$G$9,Cons_Region!$J$9,$N$1,Cons_Region!$B206,$L$1,$K$1)</f>
        <v>0</v>
      </c>
      <c r="M206" s="16">
        <f>_xll.DBRW($B$1,Cons_Region!$D$9,Cons_Region!M$11,$M$1,Cons_Region!$G$9,Cons_Region!$J$9,$N$1,Cons_Region!$B206,$L$1,$K$1)</f>
        <v>0</v>
      </c>
      <c r="N206" s="16">
        <f>_xll.DBRW($B$1,Cons_Region!$D$9,Cons_Region!N$11,$M$1,Cons_Region!$G$9,Cons_Region!$J$9,$N$1,Cons_Region!$B206,$L$1,$K$1)</f>
        <v>0</v>
      </c>
    </row>
    <row r="207" spans="2:14" ht="15.75" customHeight="1" x14ac:dyDescent="0.25">
      <c r="B207" s="24" t="s">
        <v>307</v>
      </c>
      <c r="C207" s="21">
        <f>_xll.DBRW($C$4,Cons_Region!$D$9,Cons_Region!C$11,$M$1,$G$196,Cons_Region!$J$9,Cons_Region!$B207,$K$1)</f>
        <v>0</v>
      </c>
      <c r="D207" s="21">
        <f>_xll.DBRW($C$4,Cons_Region!$D$9,Cons_Region!D$11,$M$1,$G$196,Cons_Region!$J$9,Cons_Region!$B207,$K$1)</f>
        <v>0</v>
      </c>
      <c r="E207" s="21">
        <f>_xll.DBRW($C$4,Cons_Region!$D$9,Cons_Region!E$11,$M$1,$G$196,Cons_Region!$J$9,Cons_Region!$B207,$K$1)</f>
        <v>0</v>
      </c>
      <c r="F207" s="21">
        <f>_xll.DBRW($C$4,Cons_Region!$D$9,Cons_Region!F$11,$M$1,$G$196,Cons_Region!$J$9,Cons_Region!$B207,$K$1)</f>
        <v>0</v>
      </c>
      <c r="G207" s="21">
        <f>_xll.DBRW($C$4,Cons_Region!$D$9,Cons_Region!G$11,$M$1,$G$196,Cons_Region!$J$9,Cons_Region!$B207,$K$1)</f>
        <v>0</v>
      </c>
      <c r="H207" s="21">
        <f>_xll.DBRW($C$4,Cons_Region!$D$9,Cons_Region!H$11,$M$1,$G$196,Cons_Region!$J$9,Cons_Region!$B207,$K$1)</f>
        <v>0</v>
      </c>
      <c r="I207" s="21">
        <f>_xll.DBRW($C$4,Cons_Region!$D$9,Cons_Region!I$11,$M$1,$G$196,Cons_Region!$J$9,Cons_Region!$B207,$K$1)</f>
        <v>0</v>
      </c>
      <c r="J207" s="21">
        <f>_xll.DBRW($C$4,Cons_Region!$D$9,Cons_Region!J$11,$M$1,$G$196,Cons_Region!$J$9,Cons_Region!$B207,$K$1)</f>
        <v>0</v>
      </c>
      <c r="K207" s="21">
        <f>_xll.DBRW($C$4,Cons_Region!$D$9,Cons_Region!K$11,$M$1,$G$196,Cons_Region!$J$9,Cons_Region!$B207,$K$1)</f>
        <v>0</v>
      </c>
      <c r="L207" s="21">
        <f>_xll.DBRW($C$4,Cons_Region!$D$9,Cons_Region!L$11,$M$1,$G$196,Cons_Region!$J$9,Cons_Region!$B207,$K$1)</f>
        <v>0</v>
      </c>
      <c r="M207" s="21">
        <f>_xll.DBRW($C$4,Cons_Region!$D$9,Cons_Region!M$11,$M$1,$G$196,Cons_Region!$J$9,Cons_Region!$B207,$K$1)</f>
        <v>0</v>
      </c>
      <c r="N207" s="21">
        <f>_xll.DBRW($C$4,Cons_Region!$D$9,Cons_Region!N$11,$M$1,$G$196,Cons_Region!$J$9,Cons_Region!$B207,$K$1)</f>
        <v>0</v>
      </c>
    </row>
    <row r="209" spans="2:14" ht="15.75" customHeight="1" thickBot="1" x14ac:dyDescent="0.3">
      <c r="B209" s="10"/>
    </row>
    <row r="210" spans="2:14" ht="15.75" customHeight="1" thickTop="1" x14ac:dyDescent="0.25">
      <c r="B210" s="9" t="s">
        <v>318</v>
      </c>
    </row>
    <row r="212" spans="2:14" ht="15.75" customHeight="1" x14ac:dyDescent="0.25">
      <c r="B212" s="5"/>
      <c r="C212" s="18" t="str">
        <f t="shared" ref="C212:N212" si="17">$D$9&amp;"."&amp;C$11</f>
        <v>2026.01</v>
      </c>
      <c r="D212" s="18" t="str">
        <f t="shared" si="17"/>
        <v>2026.02</v>
      </c>
      <c r="E212" s="18" t="str">
        <f t="shared" si="17"/>
        <v>2026.03</v>
      </c>
      <c r="F212" s="18" t="str">
        <f t="shared" si="17"/>
        <v>2026.04</v>
      </c>
      <c r="G212" s="18" t="str">
        <f t="shared" si="17"/>
        <v>2026.05</v>
      </c>
      <c r="H212" s="18" t="str">
        <f t="shared" si="17"/>
        <v>2026.06</v>
      </c>
      <c r="I212" s="18" t="str">
        <f t="shared" si="17"/>
        <v>2026.07</v>
      </c>
      <c r="J212" s="18" t="str">
        <f t="shared" si="17"/>
        <v>2026.08</v>
      </c>
      <c r="K212" s="18" t="str">
        <f t="shared" si="17"/>
        <v>2026.09</v>
      </c>
      <c r="L212" s="18" t="str">
        <f t="shared" si="17"/>
        <v>2026.10</v>
      </c>
      <c r="M212" s="18" t="str">
        <f t="shared" si="17"/>
        <v>2026.11</v>
      </c>
      <c r="N212" s="18" t="str">
        <f t="shared" si="17"/>
        <v>2026.12</v>
      </c>
    </row>
    <row r="213" spans="2:14" ht="15.75" customHeight="1" x14ac:dyDescent="0.25">
      <c r="B213" s="24" t="s">
        <v>27</v>
      </c>
      <c r="C213" s="21">
        <f>_xll.DBRW($B$3,Cons_Region!$D$9,Cons_Region!C$11,$M$1,Cons_Region!$G$9,Cons_Region!$J$9,$N$2,$B213,$K$1)</f>
        <v>1.7295281990036104</v>
      </c>
      <c r="D213" s="21">
        <f>_xll.DBRW($B$3,Cons_Region!$D$9,Cons_Region!D$11,$M$1,Cons_Region!$G$9,Cons_Region!$J$9,$N$2,$B213,$K$1)</f>
        <v>-5.4000290820190386</v>
      </c>
      <c r="E213" s="21">
        <f>_xll.DBRW($B$3,Cons_Region!$D$9,Cons_Region!E$11,$M$1,Cons_Region!$G$9,Cons_Region!$J$9,$N$2,$B213,$K$1)</f>
        <v>-6.8554214023186795</v>
      </c>
      <c r="F213" s="21">
        <f>_xll.DBRW($B$3,Cons_Region!$D$9,Cons_Region!F$11,$M$1,Cons_Region!$G$9,Cons_Region!$J$9,$N$2,$B213,$K$1)</f>
        <v>-6.9932326587626497</v>
      </c>
      <c r="G213" s="21">
        <f>_xll.DBRW($B$3,Cons_Region!$D$9,Cons_Region!G$11,$M$1,Cons_Region!$G$9,Cons_Region!$J$9,$N$2,$B213,$K$1)</f>
        <v>-6.2571222829202497</v>
      </c>
      <c r="H213" s="21">
        <f>_xll.DBRW($B$3,Cons_Region!$D$9,Cons_Region!H$11,$M$1,Cons_Region!$G$9,Cons_Region!$J$9,$N$2,$B213,$K$1)</f>
        <v>-8.4361242333059998</v>
      </c>
      <c r="I213" s="21">
        <f>_xll.DBRW($B$3,Cons_Region!$D$9,Cons_Region!I$11,$M$1,Cons_Region!$G$9,Cons_Region!$J$9,$N$2,$B213,$K$1)</f>
        <v>-4.9359175848213344</v>
      </c>
      <c r="J213" s="21">
        <f>_xll.DBRW($B$3,Cons_Region!$D$9,Cons_Region!J$11,$M$1,Cons_Region!$G$9,Cons_Region!$J$9,$N$2,$B213,$K$1)</f>
        <v>-7.0739169178564403</v>
      </c>
      <c r="K213" s="21">
        <f>_xll.DBRW($B$3,Cons_Region!$D$9,Cons_Region!K$11,$M$1,Cons_Region!$G$9,Cons_Region!$J$9,$N$2,$B213,$K$1)</f>
        <v>-8.07665852987083</v>
      </c>
      <c r="L213" s="21">
        <f>_xll.DBRW($B$3,Cons_Region!$D$9,Cons_Region!L$11,$M$1,Cons_Region!$G$9,Cons_Region!$J$9,$N$2,$B213,$K$1)</f>
        <v>-7.3251159693399899</v>
      </c>
      <c r="M213" s="21">
        <f>_xll.DBRW($B$3,Cons_Region!$D$9,Cons_Region!M$11,$M$1,Cons_Region!$G$9,Cons_Region!$J$9,$N$2,$B213,$K$1)</f>
        <v>-6.5676838294969899</v>
      </c>
      <c r="N213" s="21">
        <f>_xll.DBRW($B$3,Cons_Region!$D$9,Cons_Region!N$11,$M$1,Cons_Region!$G$9,Cons_Region!$J$9,$N$2,$B213,$K$1)</f>
        <v>-7.2190236468359004</v>
      </c>
    </row>
    <row r="214" spans="2:14" ht="15.75" customHeight="1" x14ac:dyDescent="0.25">
      <c r="B214" s="24" t="s">
        <v>319</v>
      </c>
      <c r="C214" s="21">
        <f>_xll.DBRW($B$3,Cons_Region!$D$9,Cons_Region!C$11,$M$1,Cons_Region!$G$9,Cons_Region!$J$9,$N$2,$B214,$K$1)</f>
        <v>-4.8705273696136997</v>
      </c>
      <c r="D214" s="21">
        <f>_xll.DBRW($B$3,Cons_Region!$D$9,Cons_Region!D$11,$M$1,Cons_Region!$G$9,Cons_Region!$J$9,$N$2,$B214,$K$1)</f>
        <v>-4.3604742621041099</v>
      </c>
      <c r="E214" s="21">
        <f>_xll.DBRW($B$3,Cons_Region!$D$9,Cons_Region!E$11,$M$1,Cons_Region!$G$9,Cons_Region!$J$9,$N$2,$B214,$K$1)</f>
        <v>-4.9375758168232098</v>
      </c>
      <c r="F214" s="21">
        <f>_xll.DBRW($B$3,Cons_Region!$D$9,Cons_Region!F$11,$M$1,Cons_Region!$G$9,Cons_Region!$J$9,$N$2,$B214,$K$1)</f>
        <v>-5.0072594732301798</v>
      </c>
      <c r="G214" s="21">
        <f>_xll.DBRW($B$3,Cons_Region!$D$9,Cons_Region!G$11,$M$1,Cons_Region!$G$9,Cons_Region!$J$9,$N$2,$B214,$K$1)</f>
        <v>-4.88298585947887</v>
      </c>
      <c r="H214" s="21">
        <f>_xll.DBRW($B$3,Cons_Region!$D$9,Cons_Region!H$11,$M$1,Cons_Region!$G$9,Cons_Region!$J$9,$N$2,$B214,$K$1)</f>
        <v>-4.7580370378021799</v>
      </c>
      <c r="I214" s="21">
        <f>_xll.DBRW($B$3,Cons_Region!$D$9,Cons_Region!I$11,$M$1,Cons_Region!$G$9,Cons_Region!$J$9,$N$2,$B214,$K$1)</f>
        <v>-4.7526589842572298</v>
      </c>
      <c r="J214" s="21">
        <f>_xll.DBRW($B$3,Cons_Region!$D$9,Cons_Region!J$11,$M$1,Cons_Region!$G$9,Cons_Region!$J$9,$N$2,$B214,$K$1)</f>
        <v>-4.6752097807960604</v>
      </c>
      <c r="K214" s="21">
        <f>_xll.DBRW($B$3,Cons_Region!$D$9,Cons_Region!K$11,$M$1,Cons_Region!$G$9,Cons_Region!$J$9,$N$2,$B214,$K$1)</f>
        <v>-4.7055761759738504</v>
      </c>
      <c r="L214" s="21">
        <f>_xll.DBRW($B$3,Cons_Region!$D$9,Cons_Region!L$11,$M$1,Cons_Region!$G$9,Cons_Region!$J$9,$N$2,$B214,$K$1)</f>
        <v>-4.8630506087476899</v>
      </c>
      <c r="M214" s="21">
        <f>_xll.DBRW($B$3,Cons_Region!$D$9,Cons_Region!M$11,$M$1,Cons_Region!$G$9,Cons_Region!$J$9,$N$2,$B214,$K$1)</f>
        <v>-4.7857067681398702</v>
      </c>
      <c r="N214" s="21">
        <f>_xll.DBRW($B$3,Cons_Region!$D$9,Cons_Region!N$11,$M$1,Cons_Region!$G$9,Cons_Region!$J$9,$N$2,$B214,$K$1)</f>
        <v>-4.7610492698178302</v>
      </c>
    </row>
    <row r="215" spans="2:14" ht="15.75" customHeight="1" x14ac:dyDescent="0.25">
      <c r="B215" s="24" t="s">
        <v>320</v>
      </c>
      <c r="C215" s="21">
        <f>_xll.DBRW($B$3,Cons_Region!$D$9,Cons_Region!C$11,$M$1,Cons_Region!$G$9,Cons_Region!$J$9,$N$2,$B215,$K$1)</f>
        <v>4.7983522880250602</v>
      </c>
      <c r="D215" s="21">
        <f>_xll.DBRW($B$3,Cons_Region!$D$9,Cons_Region!D$11,$M$1,Cons_Region!$G$9,Cons_Region!$J$9,$N$2,$B215,$K$1)</f>
        <v>-0.52112512978233705</v>
      </c>
      <c r="E215" s="21">
        <f>_xll.DBRW($B$3,Cons_Region!$D$9,Cons_Region!E$11,$M$1,Cons_Region!$G$9,Cons_Region!$J$9,$N$2,$B215,$K$1)</f>
        <v>-1.9178455854954699</v>
      </c>
      <c r="F215" s="21">
        <f>_xll.DBRW($B$3,Cons_Region!$D$9,Cons_Region!F$11,$M$1,Cons_Region!$G$9,Cons_Region!$J$9,$N$2,$B215,$K$1)</f>
        <v>-1.98597318553247</v>
      </c>
      <c r="G215" s="21">
        <f>_xll.DBRW($B$3,Cons_Region!$D$9,Cons_Region!G$11,$M$1,Cons_Region!$G$9,Cons_Region!$J$9,$N$2,$B215,$K$1)</f>
        <v>-1.37413642344138</v>
      </c>
      <c r="H215" s="21">
        <f>_xll.DBRW($B$3,Cons_Region!$D$9,Cons_Region!H$11,$M$1,Cons_Region!$G$9,Cons_Region!$J$9,$N$2,$B215,$K$1)</f>
        <v>-3.6780871955038199</v>
      </c>
      <c r="I215" s="21">
        <f>_xll.DBRW($B$3,Cons_Region!$D$9,Cons_Region!I$11,$M$1,Cons_Region!$G$9,Cons_Region!$J$9,$N$2,$B215,$K$1)</f>
        <v>-0.18325860056410501</v>
      </c>
      <c r="J215" s="21">
        <f>_xll.DBRW($B$3,Cons_Region!$D$9,Cons_Region!J$11,$M$1,Cons_Region!$G$9,Cons_Region!$J$9,$N$2,$B215,$K$1)</f>
        <v>-2.3987071370603799</v>
      </c>
      <c r="K215" s="21">
        <f>_xll.DBRW($B$3,Cons_Region!$D$9,Cons_Region!K$11,$M$1,Cons_Region!$G$9,Cons_Region!$J$9,$N$2,$B215,$K$1)</f>
        <v>-3.3710823538969801</v>
      </c>
      <c r="L215" s="21">
        <f>_xll.DBRW($B$3,Cons_Region!$D$9,Cons_Region!L$11,$M$1,Cons_Region!$G$9,Cons_Region!$J$9,$N$2,$B215,$K$1)</f>
        <v>-2.4620653605923</v>
      </c>
      <c r="M215" s="21">
        <f>_xll.DBRW($B$3,Cons_Region!$D$9,Cons_Region!M$11,$M$1,Cons_Region!$G$9,Cons_Region!$J$9,$N$2,$B215,$K$1)</f>
        <v>-1.78197706135712</v>
      </c>
      <c r="N215" s="21">
        <f>_xll.DBRW($B$3,Cons_Region!$D$9,Cons_Region!N$11,$M$1,Cons_Region!$G$9,Cons_Region!$J$9,$N$2,$B215,$K$1)</f>
        <v>-1.75797437701807</v>
      </c>
    </row>
    <row r="216" spans="2:14" ht="15.75" customHeight="1" x14ac:dyDescent="0.25">
      <c r="B216" s="24" t="s">
        <v>321</v>
      </c>
      <c r="C216" s="21">
        <f>_xll.DBRW($B$3,Cons_Region!$D$9,Cons_Region!C$11,$M$1,Cons_Region!$G$9,Cons_Region!$J$9,$N$2,$B216,$K$1)</f>
        <v>0</v>
      </c>
      <c r="D216" s="21">
        <f>_xll.DBRW($B$3,Cons_Region!$D$9,Cons_Region!D$11,$M$1,Cons_Region!$G$9,Cons_Region!$J$9,$N$2,$B216,$K$1)</f>
        <v>0</v>
      </c>
      <c r="E216" s="21">
        <f>_xll.DBRW($B$3,Cons_Region!$D$9,Cons_Region!E$11,$M$1,Cons_Region!$G$9,Cons_Region!$J$9,$N$2,$B216,$K$1)</f>
        <v>0</v>
      </c>
      <c r="F216" s="21">
        <f>_xll.DBRW($B$3,Cons_Region!$D$9,Cons_Region!F$11,$M$1,Cons_Region!$G$9,Cons_Region!$J$9,$N$2,$B216,$K$1)</f>
        <v>0</v>
      </c>
      <c r="G216" s="21">
        <f>_xll.DBRW($B$3,Cons_Region!$D$9,Cons_Region!G$11,$M$1,Cons_Region!$G$9,Cons_Region!$J$9,$N$2,$B216,$K$1)</f>
        <v>0</v>
      </c>
      <c r="H216" s="21">
        <f>_xll.DBRW($B$3,Cons_Region!$D$9,Cons_Region!H$11,$M$1,Cons_Region!$G$9,Cons_Region!$J$9,$N$2,$B216,$K$1)</f>
        <v>0</v>
      </c>
      <c r="I216" s="21">
        <f>_xll.DBRW($B$3,Cons_Region!$D$9,Cons_Region!I$11,$M$1,Cons_Region!$G$9,Cons_Region!$J$9,$N$2,$B216,$K$1)</f>
        <v>0</v>
      </c>
      <c r="J216" s="21">
        <f>_xll.DBRW($B$3,Cons_Region!$D$9,Cons_Region!J$11,$M$1,Cons_Region!$G$9,Cons_Region!$J$9,$N$2,$B216,$K$1)</f>
        <v>0</v>
      </c>
      <c r="K216" s="21">
        <f>_xll.DBRW($B$3,Cons_Region!$D$9,Cons_Region!K$11,$M$1,Cons_Region!$G$9,Cons_Region!$J$9,$N$2,$B216,$K$1)</f>
        <v>0</v>
      </c>
      <c r="L216" s="21">
        <f>_xll.DBRW($B$3,Cons_Region!$D$9,Cons_Region!L$11,$M$1,Cons_Region!$G$9,Cons_Region!$J$9,$N$2,$B216,$K$1)</f>
        <v>0</v>
      </c>
      <c r="M216" s="21">
        <f>_xll.DBRW($B$3,Cons_Region!$D$9,Cons_Region!M$11,$M$1,Cons_Region!$G$9,Cons_Region!$J$9,$N$2,$B216,$K$1)</f>
        <v>0</v>
      </c>
      <c r="N216" s="21">
        <f>_xll.DBRW($B$3,Cons_Region!$D$9,Cons_Region!N$11,$M$1,Cons_Region!$G$9,Cons_Region!$J$9,$N$2,$B216,$K$1)</f>
        <v>0</v>
      </c>
    </row>
    <row r="217" spans="2:14" ht="15.75" customHeight="1" x14ac:dyDescent="0.25">
      <c r="B217" s="24" t="s">
        <v>277</v>
      </c>
      <c r="C217" s="21">
        <f>_xll.DBRW($B$3,Cons_Region!$D$9,Cons_Region!C$11,$M$1,Cons_Region!$G$9,Cons_Region!$J$9,$N$2,$B217,$K$1)</f>
        <v>1.8017032805922499</v>
      </c>
      <c r="D217" s="21">
        <f>_xll.DBRW($B$3,Cons_Region!$D$9,Cons_Region!D$11,$M$1,Cons_Region!$G$9,Cons_Region!$J$9,$N$2,$B217,$K$1)</f>
        <v>-0.51842969013259099</v>
      </c>
      <c r="E217" s="21">
        <f>_xll.DBRW($B$3,Cons_Region!$D$9,Cons_Region!E$11,$M$1,Cons_Region!$G$9,Cons_Region!$J$9,$N$2,$B217,$K$1)</f>
        <v>0</v>
      </c>
      <c r="F217" s="21">
        <f>_xll.DBRW($B$3,Cons_Region!$D$9,Cons_Region!F$11,$M$1,Cons_Region!$G$9,Cons_Region!$J$9,$N$2,$B217,$K$1)</f>
        <v>0</v>
      </c>
      <c r="G217" s="21">
        <f>_xll.DBRW($B$3,Cons_Region!$D$9,Cons_Region!G$11,$M$1,Cons_Region!$G$9,Cons_Region!$J$9,$N$2,$B217,$K$1)</f>
        <v>0</v>
      </c>
      <c r="H217" s="21">
        <f>_xll.DBRW($B$3,Cons_Region!$D$9,Cons_Region!H$11,$M$1,Cons_Region!$G$9,Cons_Region!$J$9,$N$2,$B217,$K$1)</f>
        <v>0</v>
      </c>
      <c r="I217" s="21">
        <f>_xll.DBRW($B$3,Cons_Region!$D$9,Cons_Region!I$11,$M$1,Cons_Region!$G$9,Cons_Region!$J$9,$N$2,$B217,$K$1)</f>
        <v>0</v>
      </c>
      <c r="J217" s="21">
        <f>_xll.DBRW($B$3,Cons_Region!$D$9,Cons_Region!J$11,$M$1,Cons_Region!$G$9,Cons_Region!$J$9,$N$2,$B217,$K$1)</f>
        <v>0</v>
      </c>
      <c r="K217" s="21">
        <f>_xll.DBRW($B$3,Cons_Region!$D$9,Cons_Region!K$11,$M$1,Cons_Region!$G$9,Cons_Region!$J$9,$N$2,$B217,$K$1)</f>
        <v>0</v>
      </c>
      <c r="L217" s="21">
        <f>_xll.DBRW($B$3,Cons_Region!$D$9,Cons_Region!L$11,$M$1,Cons_Region!$G$9,Cons_Region!$J$9,$N$2,$B217,$K$1)</f>
        <v>0</v>
      </c>
      <c r="M217" s="21">
        <f>_xll.DBRW($B$3,Cons_Region!$D$9,Cons_Region!M$11,$M$1,Cons_Region!$G$9,Cons_Region!$J$9,$N$2,$B217,$K$1)</f>
        <v>0</v>
      </c>
      <c r="N217" s="21">
        <f>_xll.DBRW($B$3,Cons_Region!$D$9,Cons_Region!N$11,$M$1,Cons_Region!$G$9,Cons_Region!$J$9,$N$2,$B217,$K$1)</f>
        <v>-0.7</v>
      </c>
    </row>
    <row r="218" spans="2:14" ht="15.75" customHeight="1" x14ac:dyDescent="0.25">
      <c r="B218" s="24" t="s">
        <v>322</v>
      </c>
      <c r="C218" s="21">
        <f>_xll.DBRW($B$3,Cons_Region!$D$9,Cons_Region!C$11,$M$1,Cons_Region!$G$9,Cons_Region!$J$9,$N$2,$B218,$K$1)</f>
        <v>0</v>
      </c>
      <c r="D218" s="21">
        <f>_xll.DBRW($B$3,Cons_Region!$D$9,Cons_Region!D$11,$M$1,Cons_Region!$G$9,Cons_Region!$J$9,$N$2,$B218,$K$1)</f>
        <v>0</v>
      </c>
      <c r="E218" s="21">
        <f>_xll.DBRW($B$3,Cons_Region!$D$9,Cons_Region!E$11,$M$1,Cons_Region!$G$9,Cons_Region!$J$9,$N$2,$B218,$K$1)</f>
        <v>0</v>
      </c>
      <c r="F218" s="21">
        <f>_xll.DBRW($B$3,Cons_Region!$D$9,Cons_Region!F$11,$M$1,Cons_Region!$G$9,Cons_Region!$J$9,$N$2,$B218,$K$1)</f>
        <v>0</v>
      </c>
      <c r="G218" s="21">
        <f>_xll.DBRW($B$3,Cons_Region!$D$9,Cons_Region!G$11,$M$1,Cons_Region!$G$9,Cons_Region!$J$9,$N$2,$B218,$K$1)</f>
        <v>0</v>
      </c>
      <c r="H218" s="21">
        <f>_xll.DBRW($B$3,Cons_Region!$D$9,Cons_Region!H$11,$M$1,Cons_Region!$G$9,Cons_Region!$J$9,$N$2,$B218,$K$1)</f>
        <v>0</v>
      </c>
      <c r="I218" s="21">
        <f>_xll.DBRW($B$3,Cons_Region!$D$9,Cons_Region!I$11,$M$1,Cons_Region!$G$9,Cons_Region!$J$9,$N$2,$B218,$K$1)</f>
        <v>0</v>
      </c>
      <c r="J218" s="21">
        <f>_xll.DBRW($B$3,Cons_Region!$D$9,Cons_Region!J$11,$M$1,Cons_Region!$G$9,Cons_Region!$J$9,$N$2,$B218,$K$1)</f>
        <v>0</v>
      </c>
      <c r="K218" s="21">
        <f>_xll.DBRW($B$3,Cons_Region!$D$9,Cons_Region!K$11,$M$1,Cons_Region!$G$9,Cons_Region!$J$9,$N$2,$B218,$K$1)</f>
        <v>0</v>
      </c>
      <c r="L218" s="21">
        <f>_xll.DBRW($B$3,Cons_Region!$D$9,Cons_Region!L$11,$M$1,Cons_Region!$G$9,Cons_Region!$J$9,$N$2,$B218,$K$1)</f>
        <v>0</v>
      </c>
      <c r="M218" s="21">
        <f>_xll.DBRW($B$3,Cons_Region!$D$9,Cons_Region!M$11,$M$1,Cons_Region!$G$9,Cons_Region!$J$9,$N$2,$B218,$K$1)</f>
        <v>0</v>
      </c>
      <c r="N218" s="21">
        <f>_xll.DBRW($B$3,Cons_Region!$D$9,Cons_Region!N$11,$M$1,Cons_Region!$G$9,Cons_Region!$J$9,$N$2,$B218,$K$1)</f>
        <v>0</v>
      </c>
    </row>
    <row r="221" spans="2:14" ht="15.75" customHeight="1" thickBot="1" x14ac:dyDescent="0.3">
      <c r="B221" s="10"/>
    </row>
    <row r="222" spans="2:14" ht="15.75" customHeight="1" thickTop="1" thickBot="1" x14ac:dyDescent="0.3">
      <c r="B222" s="9" t="s">
        <v>120</v>
      </c>
      <c r="F222" s="28" t="s">
        <v>68</v>
      </c>
      <c r="G222" s="48" t="str">
        <f>_xll.SUBNM("CONS_VC:ALL.D.Currency","PAX","USD","Nome alternativo")</f>
        <v>USD</v>
      </c>
    </row>
    <row r="223" spans="2:14" ht="15.75" customHeight="1" thickTop="1" x14ac:dyDescent="0.25"/>
    <row r="224" spans="2:14" ht="15.75" customHeight="1" x14ac:dyDescent="0.25">
      <c r="B224" s="5"/>
      <c r="C224" s="18" t="str">
        <f t="shared" ref="C224:N224" si="18">$D$9&amp;"."&amp;C$11</f>
        <v>2026.01</v>
      </c>
      <c r="D224" s="18" t="str">
        <f t="shared" si="18"/>
        <v>2026.02</v>
      </c>
      <c r="E224" s="18" t="str">
        <f t="shared" si="18"/>
        <v>2026.03</v>
      </c>
      <c r="F224" s="18" t="str">
        <f t="shared" si="18"/>
        <v>2026.04</v>
      </c>
      <c r="G224" s="18" t="str">
        <f t="shared" si="18"/>
        <v>2026.05</v>
      </c>
      <c r="H224" s="18" t="str">
        <f t="shared" si="18"/>
        <v>2026.06</v>
      </c>
      <c r="I224" s="18" t="str">
        <f t="shared" si="18"/>
        <v>2026.07</v>
      </c>
      <c r="J224" s="18" t="str">
        <f t="shared" si="18"/>
        <v>2026.08</v>
      </c>
      <c r="K224" s="18" t="str">
        <f t="shared" si="18"/>
        <v>2026.09</v>
      </c>
      <c r="L224" s="18" t="str">
        <f t="shared" si="18"/>
        <v>2026.10</v>
      </c>
      <c r="M224" s="18" t="str">
        <f t="shared" si="18"/>
        <v>2026.11</v>
      </c>
      <c r="N224" s="18" t="str">
        <f t="shared" si="18"/>
        <v>2026.12</v>
      </c>
    </row>
    <row r="225" spans="2:14" ht="15.75" customHeight="1" x14ac:dyDescent="0.25">
      <c r="B225" s="17" t="s">
        <v>111</v>
      </c>
      <c r="C225" s="34">
        <f>_xll.DBRW($B$1,Cons_Region!$D$9,Cons_Region!C$11,$M$1,Cons_Region!$G$9,Cons_Region!$J$9,$N$1,Cons_Region!$B225,$L$1,$K$1)</f>
        <v>-4.8705273696136997</v>
      </c>
      <c r="D225" s="34">
        <f>_xll.DBRW($B$1,Cons_Region!$D$9,Cons_Region!D$11,$M$1,Cons_Region!$G$9,Cons_Region!$J$9,$N$1,Cons_Region!$B225,$L$1,$K$1)</f>
        <v>-4.3604742621041099</v>
      </c>
      <c r="E225" s="34">
        <f>_xll.DBRW($B$1,Cons_Region!$D$9,Cons_Region!E$11,$M$1,Cons_Region!$G$9,Cons_Region!$J$9,$N$1,Cons_Region!$B225,$L$1,$K$1)</f>
        <v>-4.9375758168232098</v>
      </c>
      <c r="F225" s="34">
        <f>_xll.DBRW($B$1,Cons_Region!$D$9,Cons_Region!F$11,$M$1,Cons_Region!$G$9,Cons_Region!$J$9,$N$1,Cons_Region!$B225,$L$1,$K$1)</f>
        <v>-5.0072594732301798</v>
      </c>
      <c r="G225" s="34">
        <f>_xll.DBRW($B$1,Cons_Region!$D$9,Cons_Region!G$11,$M$1,Cons_Region!$G$9,Cons_Region!$J$9,$N$1,Cons_Region!$B225,$L$1,$K$1)</f>
        <v>-4.88298585947887</v>
      </c>
      <c r="H225" s="34">
        <f>_xll.DBRW($B$1,Cons_Region!$D$9,Cons_Region!H$11,$M$1,Cons_Region!$G$9,Cons_Region!$J$9,$N$1,Cons_Region!$B225,$L$1,$K$1)</f>
        <v>-4.7580370378021799</v>
      </c>
      <c r="I225" s="34">
        <f>_xll.DBRW($B$1,Cons_Region!$D$9,Cons_Region!I$11,$M$1,Cons_Region!$G$9,Cons_Region!$J$9,$N$1,Cons_Region!$B225,$L$1,$K$1)</f>
        <v>-4.7526589842572298</v>
      </c>
      <c r="J225" s="34">
        <f>_xll.DBRW($B$1,Cons_Region!$D$9,Cons_Region!J$11,$M$1,Cons_Region!$G$9,Cons_Region!$J$9,$N$1,Cons_Region!$B225,$L$1,$K$1)</f>
        <v>-4.6752097807960604</v>
      </c>
      <c r="K225" s="34">
        <f>_xll.DBRW($B$1,Cons_Region!$D$9,Cons_Region!K$11,$M$1,Cons_Region!$G$9,Cons_Region!$J$9,$N$1,Cons_Region!$B225,$L$1,$K$1)</f>
        <v>-4.7055761759738504</v>
      </c>
      <c r="L225" s="34">
        <f>_xll.DBRW($B$1,Cons_Region!$D$9,Cons_Region!L$11,$M$1,Cons_Region!$G$9,Cons_Region!$J$9,$N$1,Cons_Region!$B225,$L$1,$K$1)</f>
        <v>-4.8630506087476899</v>
      </c>
      <c r="M225" s="34">
        <f>_xll.DBRW($B$1,Cons_Region!$D$9,Cons_Region!M$11,$M$1,Cons_Region!$G$9,Cons_Region!$J$9,$N$1,Cons_Region!$B225,$L$1,$K$1)</f>
        <v>-4.7857067681398702</v>
      </c>
      <c r="N225" s="34">
        <f>_xll.DBRW($B$1,Cons_Region!$D$9,Cons_Region!N$11,$M$1,Cons_Region!$G$9,Cons_Region!$J$9,$N$1,Cons_Region!$B225,$L$1,$K$1)</f>
        <v>-4.7610492698178302</v>
      </c>
    </row>
    <row r="226" spans="2:14" ht="15.75" customHeight="1" x14ac:dyDescent="0.25">
      <c r="B226" s="17" t="s">
        <v>121</v>
      </c>
      <c r="C226" s="16">
        <f>_xll.DBRW($B$1,Cons_Region!$D$9,Cons_Region!C$11,$M$1,Cons_Region!$G$9,Cons_Region!$J$9,$N$1,Cons_Region!$B226,$L$1,$K$1)</f>
        <v>0</v>
      </c>
      <c r="D226" s="16">
        <f>_xll.DBRW($B$1,Cons_Region!$D$9,Cons_Region!D$11,$M$1,Cons_Region!$G$9,Cons_Region!$J$9,$N$1,Cons_Region!$B226,$L$1,$K$1)</f>
        <v>0</v>
      </c>
      <c r="E226" s="16">
        <f>_xll.DBRW($B$1,Cons_Region!$D$9,Cons_Region!E$11,$M$1,Cons_Region!$G$9,Cons_Region!$J$9,$N$1,Cons_Region!$B226,$L$1,$K$1)</f>
        <v>0</v>
      </c>
      <c r="F226" s="16">
        <f>_xll.DBRW($B$1,Cons_Region!$D$9,Cons_Region!F$11,$M$1,Cons_Region!$G$9,Cons_Region!$J$9,$N$1,Cons_Region!$B226,$L$1,$K$1)</f>
        <v>0</v>
      </c>
      <c r="G226" s="16">
        <f>_xll.DBRW($B$1,Cons_Region!$D$9,Cons_Region!G$11,$M$1,Cons_Region!$G$9,Cons_Region!$J$9,$N$1,Cons_Region!$B226,$L$1,$K$1)</f>
        <v>0</v>
      </c>
      <c r="H226" s="16">
        <f>_xll.DBRW($B$1,Cons_Region!$D$9,Cons_Region!H$11,$M$1,Cons_Region!$G$9,Cons_Region!$J$9,$N$1,Cons_Region!$B226,$L$1,$K$1)</f>
        <v>0</v>
      </c>
      <c r="I226" s="16">
        <f>_xll.DBRW($B$1,Cons_Region!$D$9,Cons_Region!I$11,$M$1,Cons_Region!$G$9,Cons_Region!$J$9,$N$1,Cons_Region!$B226,$L$1,$K$1)</f>
        <v>0</v>
      </c>
      <c r="J226" s="16">
        <f>_xll.DBRW($B$1,Cons_Region!$D$9,Cons_Region!J$11,$M$1,Cons_Region!$G$9,Cons_Region!$J$9,$N$1,Cons_Region!$B226,$L$1,$K$1)</f>
        <v>0</v>
      </c>
      <c r="K226" s="16">
        <f>_xll.DBRW($B$1,Cons_Region!$D$9,Cons_Region!K$11,$M$1,Cons_Region!$G$9,Cons_Region!$J$9,$N$1,Cons_Region!$B226,$L$1,$K$1)</f>
        <v>0</v>
      </c>
      <c r="L226" s="16">
        <f>_xll.DBRW($B$1,Cons_Region!$D$9,Cons_Region!L$11,$M$1,Cons_Region!$G$9,Cons_Region!$J$9,$N$1,Cons_Region!$B226,$L$1,$K$1)</f>
        <v>0</v>
      </c>
      <c r="M226" s="16">
        <f>_xll.DBRW($B$1,Cons_Region!$D$9,Cons_Region!M$11,$M$1,Cons_Region!$G$9,Cons_Region!$J$9,$N$1,Cons_Region!$B226,$L$1,$K$1)</f>
        <v>0</v>
      </c>
      <c r="N226" s="16">
        <f>_xll.DBRW($B$1,Cons_Region!$D$9,Cons_Region!N$11,$M$1,Cons_Region!$G$9,Cons_Region!$J$9,$N$1,Cons_Region!$B226,$L$1,$K$1)</f>
        <v>0</v>
      </c>
    </row>
    <row r="228" spans="2:14" ht="15.75" customHeight="1" thickBot="1" x14ac:dyDescent="0.3">
      <c r="B228" s="10"/>
    </row>
    <row r="229" spans="2:14" ht="21.75" thickTop="1" thickBot="1" x14ac:dyDescent="0.3">
      <c r="B229" s="9" t="s">
        <v>122</v>
      </c>
      <c r="D229"/>
      <c r="E229"/>
      <c r="F229" s="28" t="s">
        <v>68</v>
      </c>
      <c r="G229" s="48" t="str">
        <f>_xll.SUBNM("CONS_VC:ALL.D.Currency","PAX","USD","Nome alternativo")</f>
        <v>USD</v>
      </c>
    </row>
    <row r="230" spans="2:14" ht="15.75" customHeight="1" thickTop="1" x14ac:dyDescent="0.25"/>
    <row r="231" spans="2:14" ht="15.75" customHeight="1" x14ac:dyDescent="0.25">
      <c r="B231" s="5"/>
      <c r="C231" s="18" t="str">
        <f t="shared" ref="C231:N231" si="19">$D$9&amp;"."&amp;C$11</f>
        <v>2026.01</v>
      </c>
      <c r="D231" s="18" t="str">
        <f t="shared" si="19"/>
        <v>2026.02</v>
      </c>
      <c r="E231" s="18" t="str">
        <f t="shared" si="19"/>
        <v>2026.03</v>
      </c>
      <c r="F231" s="18" t="str">
        <f t="shared" si="19"/>
        <v>2026.04</v>
      </c>
      <c r="G231" s="18" t="str">
        <f t="shared" si="19"/>
        <v>2026.05</v>
      </c>
      <c r="H231" s="18" t="str">
        <f t="shared" si="19"/>
        <v>2026.06</v>
      </c>
      <c r="I231" s="18" t="str">
        <f t="shared" si="19"/>
        <v>2026.07</v>
      </c>
      <c r="J231" s="18" t="str">
        <f t="shared" si="19"/>
        <v>2026.08</v>
      </c>
      <c r="K231" s="18" t="str">
        <f t="shared" si="19"/>
        <v>2026.09</v>
      </c>
      <c r="L231" s="18" t="str">
        <f t="shared" si="19"/>
        <v>2026.10</v>
      </c>
      <c r="M231" s="18" t="str">
        <f t="shared" si="19"/>
        <v>2026.11</v>
      </c>
      <c r="N231" s="18" t="str">
        <f t="shared" si="19"/>
        <v>2026.12</v>
      </c>
    </row>
    <row r="232" spans="2:14" ht="15.75" customHeight="1" x14ac:dyDescent="0.25">
      <c r="B232" s="17" t="s">
        <v>123</v>
      </c>
      <c r="C232" s="16">
        <f>_xll.DBRW($B$1,Cons_Region!$D$9,Cons_Region!C$11,$M$1,Cons_Region!$G$9,Cons_Region!$J$9,$N$1,Cons_Region!$B232,$L$1,$K$1)</f>
        <v>0</v>
      </c>
      <c r="D232" s="16">
        <f>_xll.DBRW($B$1,Cons_Region!$D$9,Cons_Region!D$11,$M$1,Cons_Region!$G$9,Cons_Region!$J$9,$N$1,Cons_Region!$B232,$L$1,$K$1)</f>
        <v>0</v>
      </c>
      <c r="E232" s="16">
        <f>_xll.DBRW($B$1,Cons_Region!$D$9,Cons_Region!E$11,$M$1,Cons_Region!$G$9,Cons_Region!$J$9,$N$1,Cons_Region!$B232,$L$1,$K$1)</f>
        <v>0</v>
      </c>
      <c r="F232" s="16">
        <f>_xll.DBRW($B$1,Cons_Region!$D$9,Cons_Region!F$11,$M$1,Cons_Region!$G$9,Cons_Region!$J$9,$N$1,Cons_Region!$B232,$L$1,$K$1)</f>
        <v>0</v>
      </c>
      <c r="G232" s="16">
        <f>_xll.DBRW($B$1,Cons_Region!$D$9,Cons_Region!G$11,$M$1,Cons_Region!$G$9,Cons_Region!$J$9,$N$1,Cons_Region!$B232,$L$1,$K$1)</f>
        <v>0</v>
      </c>
      <c r="H232" s="16">
        <f>_xll.DBRW($B$1,Cons_Region!$D$9,Cons_Region!H$11,$M$1,Cons_Region!$G$9,Cons_Region!$J$9,$N$1,Cons_Region!$B232,$L$1,$K$1)</f>
        <v>0</v>
      </c>
      <c r="I232" s="16">
        <f>_xll.DBRW($B$1,Cons_Region!$D$9,Cons_Region!I$11,$M$1,Cons_Region!$G$9,Cons_Region!$J$9,$N$1,Cons_Region!$B232,$L$1,$K$1)</f>
        <v>0</v>
      </c>
      <c r="J232" s="16">
        <f>_xll.DBRW($B$1,Cons_Region!$D$9,Cons_Region!J$11,$M$1,Cons_Region!$G$9,Cons_Region!$J$9,$N$1,Cons_Region!$B232,$L$1,$K$1)</f>
        <v>0</v>
      </c>
      <c r="K232" s="16">
        <f>_xll.DBRW($B$1,Cons_Region!$D$9,Cons_Region!K$11,$M$1,Cons_Region!$G$9,Cons_Region!$J$9,$N$1,Cons_Region!$B232,$L$1,$K$1)</f>
        <v>0</v>
      </c>
      <c r="L232" s="16">
        <f>_xll.DBRW($B$1,Cons_Region!$D$9,Cons_Region!L$11,$M$1,Cons_Region!$G$9,Cons_Region!$J$9,$N$1,Cons_Region!$B232,$L$1,$K$1)</f>
        <v>0</v>
      </c>
      <c r="M232" s="16">
        <f>_xll.DBRW($B$1,Cons_Region!$D$9,Cons_Region!M$11,$M$1,Cons_Region!$G$9,Cons_Region!$J$9,$N$1,Cons_Region!$B232,$L$1,$K$1)</f>
        <v>0</v>
      </c>
      <c r="N232" s="16">
        <f>_xll.DBRW($B$1,Cons_Region!$D$9,Cons_Region!N$11,$M$1,Cons_Region!$G$9,Cons_Region!$J$9,$N$1,Cons_Region!$B232,$L$1,$K$1)</f>
        <v>0</v>
      </c>
    </row>
    <row r="233" spans="2:14" ht="15.75" customHeight="1" x14ac:dyDescent="0.25">
      <c r="B233" s="17" t="s">
        <v>112</v>
      </c>
      <c r="C233" s="16">
        <f>_xll.DBRW($B$1,Cons_Region!$D$9,Cons_Region!C$11,$M$1,Cons_Region!$G$9,Cons_Region!$J$9,$N$1,Cons_Region!$B233,$L$1,$K$1)</f>
        <v>0</v>
      </c>
      <c r="D233" s="16">
        <f>_xll.DBRW($B$1,Cons_Region!$D$9,Cons_Region!D$11,$M$1,Cons_Region!$G$9,Cons_Region!$J$9,$N$1,Cons_Region!$B233,$L$1,$K$1)</f>
        <v>0</v>
      </c>
      <c r="E233" s="16">
        <f>_xll.DBRW($B$1,Cons_Region!$D$9,Cons_Region!E$11,$M$1,Cons_Region!$G$9,Cons_Region!$J$9,$N$1,Cons_Region!$B233,$L$1,$K$1)</f>
        <v>0</v>
      </c>
      <c r="F233" s="16">
        <f>_xll.DBRW($B$1,Cons_Region!$D$9,Cons_Region!F$11,$M$1,Cons_Region!$G$9,Cons_Region!$J$9,$N$1,Cons_Region!$B233,$L$1,$K$1)</f>
        <v>0</v>
      </c>
      <c r="G233" s="16">
        <f>_xll.DBRW($B$1,Cons_Region!$D$9,Cons_Region!G$11,$M$1,Cons_Region!$G$9,Cons_Region!$J$9,$N$1,Cons_Region!$B233,$L$1,$K$1)</f>
        <v>0</v>
      </c>
      <c r="H233" s="16">
        <f>_xll.DBRW($B$1,Cons_Region!$D$9,Cons_Region!H$11,$M$1,Cons_Region!$G$9,Cons_Region!$J$9,$N$1,Cons_Region!$B233,$L$1,$K$1)</f>
        <v>0</v>
      </c>
      <c r="I233" s="16">
        <f>_xll.DBRW($B$1,Cons_Region!$D$9,Cons_Region!I$11,$M$1,Cons_Region!$G$9,Cons_Region!$J$9,$N$1,Cons_Region!$B233,$L$1,$K$1)</f>
        <v>0</v>
      </c>
      <c r="J233" s="16">
        <f>_xll.DBRW($B$1,Cons_Region!$D$9,Cons_Region!J$11,$M$1,Cons_Region!$G$9,Cons_Region!$J$9,$N$1,Cons_Region!$B233,$L$1,$K$1)</f>
        <v>0</v>
      </c>
      <c r="K233" s="16">
        <f>_xll.DBRW($B$1,Cons_Region!$D$9,Cons_Region!K$11,$M$1,Cons_Region!$G$9,Cons_Region!$J$9,$N$1,Cons_Region!$B233,$L$1,$K$1)</f>
        <v>0</v>
      </c>
      <c r="L233" s="16">
        <f>_xll.DBRW($B$1,Cons_Region!$D$9,Cons_Region!L$11,$M$1,Cons_Region!$G$9,Cons_Region!$J$9,$N$1,Cons_Region!$B233,$L$1,$K$1)</f>
        <v>0</v>
      </c>
      <c r="M233" s="16">
        <f>_xll.DBRW($B$1,Cons_Region!$D$9,Cons_Region!M$11,$M$1,Cons_Region!$G$9,Cons_Region!$J$9,$N$1,Cons_Region!$B233,$L$1,$K$1)</f>
        <v>0</v>
      </c>
      <c r="N233" s="16">
        <f>_xll.DBRW($B$1,Cons_Region!$D$9,Cons_Region!N$11,$M$1,Cons_Region!$G$9,Cons_Region!$J$9,$N$1,Cons_Region!$B233,$L$1,$K$1)</f>
        <v>0</v>
      </c>
    </row>
    <row r="234" spans="2:14" ht="15.75" customHeight="1" x14ac:dyDescent="0.25">
      <c r="B234" s="24" t="s">
        <v>124</v>
      </c>
      <c r="C234" s="21">
        <f>_xll.DBRW($D$1,Cons_Region!$D$9,Cons_Region!C$11,$M$1,$G$229,Cons_Region!$J$9,Cons_Region!$B234,$K$1)</f>
        <v>0</v>
      </c>
      <c r="D234" s="21">
        <f>_xll.DBRW($D$1,Cons_Region!$D$9,Cons_Region!D$11,$M$1,$G$229,Cons_Region!$J$9,Cons_Region!$B234,$K$1)</f>
        <v>0</v>
      </c>
      <c r="E234" s="21">
        <f>_xll.DBRW($D$1,Cons_Region!$D$9,Cons_Region!E$11,$M$1,$G$229,Cons_Region!$J$9,Cons_Region!$B234,$K$1)</f>
        <v>0</v>
      </c>
      <c r="F234" s="21">
        <f>_xll.DBRW($D$1,Cons_Region!$D$9,Cons_Region!F$11,$M$1,$G$229,Cons_Region!$J$9,Cons_Region!$B234,$K$1)</f>
        <v>0</v>
      </c>
      <c r="G234" s="21">
        <f>_xll.DBRW($D$1,Cons_Region!$D$9,Cons_Region!G$11,$M$1,$G$229,Cons_Region!$J$9,Cons_Region!$B234,$K$1)</f>
        <v>0</v>
      </c>
      <c r="H234" s="21">
        <f>_xll.DBRW($D$1,Cons_Region!$D$9,Cons_Region!H$11,$M$1,$G$229,Cons_Region!$J$9,Cons_Region!$B234,$K$1)</f>
        <v>0</v>
      </c>
      <c r="I234" s="21">
        <f>_xll.DBRW($D$1,Cons_Region!$D$9,Cons_Region!I$11,$M$1,$G$229,Cons_Region!$J$9,Cons_Region!$B234,$K$1)</f>
        <v>0</v>
      </c>
      <c r="J234" s="21">
        <f>_xll.DBRW($D$1,Cons_Region!$D$9,Cons_Region!J$11,$M$1,$G$229,Cons_Region!$J$9,Cons_Region!$B234,$K$1)</f>
        <v>0</v>
      </c>
      <c r="K234" s="21">
        <f>_xll.DBRW($D$1,Cons_Region!$D$9,Cons_Region!K$11,$M$1,$G$229,Cons_Region!$J$9,Cons_Region!$B234,$K$1)</f>
        <v>0</v>
      </c>
      <c r="L234" s="21">
        <f>_xll.DBRW($D$1,Cons_Region!$D$9,Cons_Region!L$11,$M$1,$G$229,Cons_Region!$J$9,Cons_Region!$B234,$K$1)</f>
        <v>0</v>
      </c>
      <c r="M234" s="21">
        <f>_xll.DBRW($D$1,Cons_Region!$D$9,Cons_Region!M$11,$M$1,$G$229,Cons_Region!$J$9,Cons_Region!$B234,$K$1)</f>
        <v>0</v>
      </c>
      <c r="N234" s="21">
        <f>_xll.DBRW($D$1,Cons_Region!$D$9,Cons_Region!N$11,$M$1,$G$229,Cons_Region!$J$9,Cons_Region!$B234,$K$1)</f>
        <v>0</v>
      </c>
    </row>
    <row r="235" spans="2:14" ht="15.75" customHeight="1" x14ac:dyDescent="0.25">
      <c r="B235" s="17" t="s">
        <v>125</v>
      </c>
      <c r="C235" s="16">
        <f>_xll.DBRW($B$1,Cons_Region!$D$9,Cons_Region!C$11,$M$1,Cons_Region!$G$9,Cons_Region!$J$9,$N$1,Cons_Region!$B235,$L$1,$K$1)</f>
        <v>0</v>
      </c>
      <c r="D235" s="16">
        <f>_xll.DBRW($B$1,Cons_Region!$D$9,Cons_Region!D$11,$M$1,Cons_Region!$G$9,Cons_Region!$J$9,$N$1,Cons_Region!$B235,$L$1,$K$1)</f>
        <v>0</v>
      </c>
      <c r="E235" s="16">
        <f>_xll.DBRW($B$1,Cons_Region!$D$9,Cons_Region!E$11,$M$1,Cons_Region!$G$9,Cons_Region!$J$9,$N$1,Cons_Region!$B235,$L$1,$K$1)</f>
        <v>0</v>
      </c>
      <c r="F235" s="16">
        <f>_xll.DBRW($B$1,Cons_Region!$D$9,Cons_Region!F$11,$M$1,Cons_Region!$G$9,Cons_Region!$J$9,$N$1,Cons_Region!$B235,$L$1,$K$1)</f>
        <v>0</v>
      </c>
      <c r="G235" s="16">
        <f>_xll.DBRW($B$1,Cons_Region!$D$9,Cons_Region!G$11,$M$1,Cons_Region!$G$9,Cons_Region!$J$9,$N$1,Cons_Region!$B235,$L$1,$K$1)</f>
        <v>0</v>
      </c>
      <c r="H235" s="16">
        <f>_xll.DBRW($B$1,Cons_Region!$D$9,Cons_Region!H$11,$M$1,Cons_Region!$G$9,Cons_Region!$J$9,$N$1,Cons_Region!$B235,$L$1,$K$1)</f>
        <v>0</v>
      </c>
      <c r="I235" s="16">
        <f>_xll.DBRW($B$1,Cons_Region!$D$9,Cons_Region!I$11,$M$1,Cons_Region!$G$9,Cons_Region!$J$9,$N$1,Cons_Region!$B235,$L$1,$K$1)</f>
        <v>0</v>
      </c>
      <c r="J235" s="16">
        <f>_xll.DBRW($B$1,Cons_Region!$D$9,Cons_Region!J$11,$M$1,Cons_Region!$G$9,Cons_Region!$J$9,$N$1,Cons_Region!$B235,$L$1,$K$1)</f>
        <v>0</v>
      </c>
      <c r="K235" s="16">
        <f>_xll.DBRW($B$1,Cons_Region!$D$9,Cons_Region!K$11,$M$1,Cons_Region!$G$9,Cons_Region!$J$9,$N$1,Cons_Region!$B235,$L$1,$K$1)</f>
        <v>0</v>
      </c>
      <c r="L235" s="16">
        <f>_xll.DBRW($B$1,Cons_Region!$D$9,Cons_Region!L$11,$M$1,Cons_Region!$G$9,Cons_Region!$J$9,$N$1,Cons_Region!$B235,$L$1,$K$1)</f>
        <v>0</v>
      </c>
      <c r="M235" s="16">
        <f>_xll.DBRW($B$1,Cons_Region!$D$9,Cons_Region!M$11,$M$1,Cons_Region!$G$9,Cons_Region!$J$9,$N$1,Cons_Region!$B235,$L$1,$K$1)</f>
        <v>0</v>
      </c>
      <c r="N235" s="16">
        <f>_xll.DBRW($B$1,Cons_Region!$D$9,Cons_Region!N$11,$M$1,Cons_Region!$G$9,Cons_Region!$J$9,$N$1,Cons_Region!$B235,$L$1,$K$1)</f>
        <v>0</v>
      </c>
    </row>
    <row r="236" spans="2:14" ht="15.75" customHeight="1" x14ac:dyDescent="0.25">
      <c r="B236" s="17" t="s">
        <v>118</v>
      </c>
      <c r="C236" s="34">
        <f>_xll.DBRW($B$1,Cons_Region!$D$9,Cons_Region!C$11,$M$1,Cons_Region!$G$9,Cons_Region!$J$9,$N$1,Cons_Region!$B236,$L$1,$K$1)</f>
        <v>1.8017032805922499</v>
      </c>
      <c r="D236" s="34">
        <f>_xll.DBRW($B$1,Cons_Region!$D$9,Cons_Region!D$11,$M$1,Cons_Region!$G$9,Cons_Region!$J$9,$N$1,Cons_Region!$B236,$L$1,$K$1)</f>
        <v>-0.51842969013259099</v>
      </c>
      <c r="E236" s="34">
        <f>_xll.DBRW($B$1,Cons_Region!$D$9,Cons_Region!E$11,$M$1,Cons_Region!$G$9,Cons_Region!$J$9,$N$1,Cons_Region!$B236,$L$1,$K$1)</f>
        <v>0</v>
      </c>
      <c r="F236" s="34">
        <f>_xll.DBRW($B$1,Cons_Region!$D$9,Cons_Region!F$11,$M$1,Cons_Region!$G$9,Cons_Region!$J$9,$N$1,Cons_Region!$B236,$L$1,$K$1)</f>
        <v>0</v>
      </c>
      <c r="G236" s="34">
        <f>_xll.DBRW($B$1,Cons_Region!$D$9,Cons_Region!G$11,$M$1,Cons_Region!$G$9,Cons_Region!$J$9,$N$1,Cons_Region!$B236,$L$1,$K$1)</f>
        <v>0</v>
      </c>
      <c r="H236" s="34">
        <f>_xll.DBRW($B$1,Cons_Region!$D$9,Cons_Region!H$11,$M$1,Cons_Region!$G$9,Cons_Region!$J$9,$N$1,Cons_Region!$B236,$L$1,$K$1)</f>
        <v>0</v>
      </c>
      <c r="I236" s="34">
        <f>_xll.DBRW($B$1,Cons_Region!$D$9,Cons_Region!I$11,$M$1,Cons_Region!$G$9,Cons_Region!$J$9,$N$1,Cons_Region!$B236,$L$1,$K$1)</f>
        <v>0</v>
      </c>
      <c r="J236" s="34">
        <f>_xll.DBRW($B$1,Cons_Region!$D$9,Cons_Region!J$11,$M$1,Cons_Region!$G$9,Cons_Region!$J$9,$N$1,Cons_Region!$B236,$L$1,$K$1)</f>
        <v>0</v>
      </c>
      <c r="K236" s="34">
        <f>_xll.DBRW($B$1,Cons_Region!$D$9,Cons_Region!K$11,$M$1,Cons_Region!$G$9,Cons_Region!$J$9,$N$1,Cons_Region!$B236,$L$1,$K$1)</f>
        <v>0</v>
      </c>
      <c r="L236" s="34">
        <f>_xll.DBRW($B$1,Cons_Region!$D$9,Cons_Region!L$11,$M$1,Cons_Region!$G$9,Cons_Region!$J$9,$N$1,Cons_Region!$B236,$L$1,$K$1)</f>
        <v>0</v>
      </c>
      <c r="M236" s="34">
        <f>_xll.DBRW($B$1,Cons_Region!$D$9,Cons_Region!M$11,$M$1,Cons_Region!$G$9,Cons_Region!$J$9,$N$1,Cons_Region!$B236,$L$1,$K$1)</f>
        <v>0</v>
      </c>
      <c r="N236" s="34">
        <f>_xll.DBRW($B$1,Cons_Region!$D$9,Cons_Region!N$11,$M$1,Cons_Region!$G$9,Cons_Region!$J$9,$N$1,Cons_Region!$B236,$L$1,$K$1)</f>
        <v>-0.7</v>
      </c>
    </row>
    <row r="238" spans="2:14" ht="15.75" customHeight="1" thickBot="1" x14ac:dyDescent="0.3">
      <c r="B238" s="10"/>
    </row>
    <row r="239" spans="2:14" ht="21.75" thickTop="1" thickBot="1" x14ac:dyDescent="0.3">
      <c r="B239" s="9" t="s">
        <v>126</v>
      </c>
      <c r="F239" s="28" t="s">
        <v>68</v>
      </c>
      <c r="G239" s="48" t="str">
        <f>_xll.SUBNM("CONS_VC:ALL.D.Currency","PAX","USD","Nome alternativo")</f>
        <v>USD</v>
      </c>
    </row>
    <row r="240" spans="2:14" ht="15.75" customHeight="1" thickTop="1" x14ac:dyDescent="0.25"/>
    <row r="241" spans="2:14" ht="15.75" customHeight="1" x14ac:dyDescent="0.25">
      <c r="B241" s="5"/>
      <c r="C241" s="18" t="str">
        <f t="shared" ref="C241:N241" si="20">$D$9&amp;"."&amp;C$11</f>
        <v>2026.01</v>
      </c>
      <c r="D241" s="18" t="str">
        <f t="shared" si="20"/>
        <v>2026.02</v>
      </c>
      <c r="E241" s="18" t="str">
        <f t="shared" si="20"/>
        <v>2026.03</v>
      </c>
      <c r="F241" s="18" t="str">
        <f t="shared" si="20"/>
        <v>2026.04</v>
      </c>
      <c r="G241" s="18" t="str">
        <f t="shared" si="20"/>
        <v>2026.05</v>
      </c>
      <c r="H241" s="18" t="str">
        <f t="shared" si="20"/>
        <v>2026.06</v>
      </c>
      <c r="I241" s="18" t="str">
        <f t="shared" si="20"/>
        <v>2026.07</v>
      </c>
      <c r="J241" s="18" t="str">
        <f t="shared" si="20"/>
        <v>2026.08</v>
      </c>
      <c r="K241" s="18" t="str">
        <f t="shared" si="20"/>
        <v>2026.09</v>
      </c>
      <c r="L241" s="18" t="str">
        <f t="shared" si="20"/>
        <v>2026.10</v>
      </c>
      <c r="M241" s="18" t="str">
        <f t="shared" si="20"/>
        <v>2026.11</v>
      </c>
      <c r="N241" s="18" t="str">
        <f t="shared" si="20"/>
        <v>2026.12</v>
      </c>
    </row>
    <row r="242" spans="2:14" ht="15.75" customHeight="1" x14ac:dyDescent="0.25">
      <c r="B242" s="17" t="s">
        <v>127</v>
      </c>
      <c r="C242" s="16">
        <f>_xll.DBRW($B$1,Cons_Region!$D$9,Cons_Region!C$11,$M$1,Cons_Region!$G$9,Cons_Region!$J$9,$N$1,Cons_Region!$B242,$L$1,$K$1)</f>
        <v>0</v>
      </c>
      <c r="D242" s="16">
        <f>_xll.DBRW($B$1,Cons_Region!$D$9,Cons_Region!D$11,$M$1,Cons_Region!$G$9,Cons_Region!$J$9,$N$1,Cons_Region!$B242,$L$1,$K$1)</f>
        <v>0</v>
      </c>
      <c r="E242" s="16">
        <f>_xll.DBRW($B$1,Cons_Region!$D$9,Cons_Region!E$11,$M$1,Cons_Region!$G$9,Cons_Region!$J$9,$N$1,Cons_Region!$B242,$L$1,$K$1)</f>
        <v>0</v>
      </c>
      <c r="F242" s="16">
        <f>_xll.DBRW($B$1,Cons_Region!$D$9,Cons_Region!F$11,$M$1,Cons_Region!$G$9,Cons_Region!$J$9,$N$1,Cons_Region!$B242,$L$1,$K$1)</f>
        <v>0</v>
      </c>
      <c r="G242" s="16">
        <f>_xll.DBRW($B$1,Cons_Region!$D$9,Cons_Region!G$11,$M$1,Cons_Region!$G$9,Cons_Region!$J$9,$N$1,Cons_Region!$B242,$L$1,$K$1)</f>
        <v>0</v>
      </c>
      <c r="H242" s="16">
        <f>_xll.DBRW($B$1,Cons_Region!$D$9,Cons_Region!H$11,$M$1,Cons_Region!$G$9,Cons_Region!$J$9,$N$1,Cons_Region!$B242,$L$1,$K$1)</f>
        <v>0</v>
      </c>
      <c r="I242" s="16">
        <f>_xll.DBRW($B$1,Cons_Region!$D$9,Cons_Region!I$11,$M$1,Cons_Region!$G$9,Cons_Region!$J$9,$N$1,Cons_Region!$B242,$L$1,$K$1)</f>
        <v>0</v>
      </c>
      <c r="J242" s="16">
        <f>_xll.DBRW($B$1,Cons_Region!$D$9,Cons_Region!J$11,$M$1,Cons_Region!$G$9,Cons_Region!$J$9,$N$1,Cons_Region!$B242,$L$1,$K$1)</f>
        <v>0</v>
      </c>
      <c r="K242" s="16">
        <f>_xll.DBRW($B$1,Cons_Region!$D$9,Cons_Region!K$11,$M$1,Cons_Region!$G$9,Cons_Region!$J$9,$N$1,Cons_Region!$B242,$L$1,$K$1)</f>
        <v>0</v>
      </c>
      <c r="L242" s="16">
        <f>_xll.DBRW($B$1,Cons_Region!$D$9,Cons_Region!L$11,$M$1,Cons_Region!$G$9,Cons_Region!$J$9,$N$1,Cons_Region!$B242,$L$1,$K$1)</f>
        <v>0</v>
      </c>
      <c r="M242" s="16">
        <f>_xll.DBRW($B$1,Cons_Region!$D$9,Cons_Region!M$11,$M$1,Cons_Region!$G$9,Cons_Region!$J$9,$N$1,Cons_Region!$B242,$L$1,$K$1)</f>
        <v>0</v>
      </c>
      <c r="N242" s="16">
        <f>_xll.DBRW($B$1,Cons_Region!$D$9,Cons_Region!N$11,$M$1,Cons_Region!$G$9,Cons_Region!$J$9,$N$1,Cons_Region!$B242,$L$1,$K$1)</f>
        <v>0</v>
      </c>
    </row>
    <row r="243" spans="2:14" ht="15.75" customHeight="1" x14ac:dyDescent="0.25">
      <c r="B243" s="17" t="s">
        <v>128</v>
      </c>
      <c r="C243" s="16">
        <f>_xll.DBRW($B$1,Cons_Region!$D$9,Cons_Region!C$11,$M$1,Cons_Region!$G$9,Cons_Region!$J$9,$N$1,Cons_Region!$B243,$L$1,$K$1)</f>
        <v>0</v>
      </c>
      <c r="D243" s="16">
        <f>_xll.DBRW($B$1,Cons_Region!$D$9,Cons_Region!D$11,$M$1,Cons_Region!$G$9,Cons_Region!$J$9,$N$1,Cons_Region!$B243,$L$1,$K$1)</f>
        <v>0</v>
      </c>
      <c r="E243" s="16">
        <f>_xll.DBRW($B$1,Cons_Region!$D$9,Cons_Region!E$11,$M$1,Cons_Region!$G$9,Cons_Region!$J$9,$N$1,Cons_Region!$B243,$L$1,$K$1)</f>
        <v>0</v>
      </c>
      <c r="F243" s="16">
        <f>_xll.DBRW($B$1,Cons_Region!$D$9,Cons_Region!F$11,$M$1,Cons_Region!$G$9,Cons_Region!$J$9,$N$1,Cons_Region!$B243,$L$1,$K$1)</f>
        <v>0</v>
      </c>
      <c r="G243" s="16">
        <f>_xll.DBRW($B$1,Cons_Region!$D$9,Cons_Region!G$11,$M$1,Cons_Region!$G$9,Cons_Region!$J$9,$N$1,Cons_Region!$B243,$L$1,$K$1)</f>
        <v>0</v>
      </c>
      <c r="H243" s="16">
        <f>_xll.DBRW($B$1,Cons_Region!$D$9,Cons_Region!H$11,$M$1,Cons_Region!$G$9,Cons_Region!$J$9,$N$1,Cons_Region!$B243,$L$1,$K$1)</f>
        <v>0</v>
      </c>
      <c r="I243" s="16">
        <f>_xll.DBRW($B$1,Cons_Region!$D$9,Cons_Region!I$11,$M$1,Cons_Region!$G$9,Cons_Region!$J$9,$N$1,Cons_Region!$B243,$L$1,$K$1)</f>
        <v>0</v>
      </c>
      <c r="J243" s="16">
        <f>_xll.DBRW($B$1,Cons_Region!$D$9,Cons_Region!J$11,$M$1,Cons_Region!$G$9,Cons_Region!$J$9,$N$1,Cons_Region!$B243,$L$1,$K$1)</f>
        <v>0</v>
      </c>
      <c r="K243" s="16">
        <f>_xll.DBRW($B$1,Cons_Region!$D$9,Cons_Region!K$11,$M$1,Cons_Region!$G$9,Cons_Region!$J$9,$N$1,Cons_Region!$B243,$L$1,$K$1)</f>
        <v>0</v>
      </c>
      <c r="L243" s="16">
        <f>_xll.DBRW($B$1,Cons_Region!$D$9,Cons_Region!L$11,$M$1,Cons_Region!$G$9,Cons_Region!$J$9,$N$1,Cons_Region!$B243,$L$1,$K$1)</f>
        <v>0</v>
      </c>
      <c r="M243" s="16">
        <f>_xll.DBRW($B$1,Cons_Region!$D$9,Cons_Region!M$11,$M$1,Cons_Region!$G$9,Cons_Region!$J$9,$N$1,Cons_Region!$B243,$L$1,$K$1)</f>
        <v>0</v>
      </c>
      <c r="N243" s="16">
        <f>_xll.DBRW($B$1,Cons_Region!$D$9,Cons_Region!N$11,$M$1,Cons_Region!$G$9,Cons_Region!$J$9,$N$1,Cons_Region!$B243,$L$1,$K$1)</f>
        <v>0</v>
      </c>
    </row>
    <row r="244" spans="2:14" ht="15.75" customHeight="1" x14ac:dyDescent="0.25">
      <c r="B244" s="17" t="s">
        <v>129</v>
      </c>
      <c r="C244" s="16">
        <f>_xll.DBRW($B$1,Cons_Region!$D$9,Cons_Region!C$11,$M$1,Cons_Region!$G$9,Cons_Region!$J$9,$N$1,Cons_Region!$B244,$L$1,$K$1)</f>
        <v>0</v>
      </c>
      <c r="D244" s="16">
        <f>_xll.DBRW($B$1,Cons_Region!$D$9,Cons_Region!D$11,$M$1,Cons_Region!$G$9,Cons_Region!$J$9,$N$1,Cons_Region!$B244,$L$1,$K$1)</f>
        <v>0</v>
      </c>
      <c r="E244" s="16">
        <f>_xll.DBRW($B$1,Cons_Region!$D$9,Cons_Region!E$11,$M$1,Cons_Region!$G$9,Cons_Region!$J$9,$N$1,Cons_Region!$B244,$L$1,$K$1)</f>
        <v>0</v>
      </c>
      <c r="F244" s="16">
        <f>_xll.DBRW($B$1,Cons_Region!$D$9,Cons_Region!F$11,$M$1,Cons_Region!$G$9,Cons_Region!$J$9,$N$1,Cons_Region!$B244,$L$1,$K$1)</f>
        <v>0</v>
      </c>
      <c r="G244" s="16">
        <f>_xll.DBRW($B$1,Cons_Region!$D$9,Cons_Region!G$11,$M$1,Cons_Region!$G$9,Cons_Region!$J$9,$N$1,Cons_Region!$B244,$L$1,$K$1)</f>
        <v>0</v>
      </c>
      <c r="H244" s="16">
        <f>_xll.DBRW($B$1,Cons_Region!$D$9,Cons_Region!H$11,$M$1,Cons_Region!$G$9,Cons_Region!$J$9,$N$1,Cons_Region!$B244,$L$1,$K$1)</f>
        <v>0</v>
      </c>
      <c r="I244" s="16">
        <f>_xll.DBRW($B$1,Cons_Region!$D$9,Cons_Region!I$11,$M$1,Cons_Region!$G$9,Cons_Region!$J$9,$N$1,Cons_Region!$B244,$L$1,$K$1)</f>
        <v>0</v>
      </c>
      <c r="J244" s="16">
        <f>_xll.DBRW($B$1,Cons_Region!$D$9,Cons_Region!J$11,$M$1,Cons_Region!$G$9,Cons_Region!$J$9,$N$1,Cons_Region!$B244,$L$1,$K$1)</f>
        <v>0</v>
      </c>
      <c r="K244" s="16">
        <f>_xll.DBRW($B$1,Cons_Region!$D$9,Cons_Region!K$11,$M$1,Cons_Region!$G$9,Cons_Region!$J$9,$N$1,Cons_Region!$B244,$L$1,$K$1)</f>
        <v>0</v>
      </c>
      <c r="L244" s="16">
        <f>_xll.DBRW($B$1,Cons_Region!$D$9,Cons_Region!L$11,$M$1,Cons_Region!$G$9,Cons_Region!$J$9,$N$1,Cons_Region!$B244,$L$1,$K$1)</f>
        <v>0</v>
      </c>
      <c r="M244" s="16">
        <f>_xll.DBRW($B$1,Cons_Region!$D$9,Cons_Region!M$11,$M$1,Cons_Region!$G$9,Cons_Region!$J$9,$N$1,Cons_Region!$B244,$L$1,$K$1)</f>
        <v>0</v>
      </c>
      <c r="N244" s="16">
        <f>_xll.DBRW($B$1,Cons_Region!$D$9,Cons_Region!N$11,$M$1,Cons_Region!$G$9,Cons_Region!$J$9,$N$1,Cons_Region!$B244,$L$1,$K$1)</f>
        <v>0</v>
      </c>
    </row>
    <row r="245" spans="2:14" ht="15.75" customHeight="1" x14ac:dyDescent="0.25">
      <c r="B245" s="17" t="s">
        <v>130</v>
      </c>
      <c r="C245" s="16">
        <f>_xll.DBRW($B$1,Cons_Region!$D$9,Cons_Region!C$11,$M$1,Cons_Region!$G$9,Cons_Region!$J$9,$N$1,Cons_Region!$B245,$L$1,$K$1)</f>
        <v>0</v>
      </c>
      <c r="D245" s="16">
        <f>_xll.DBRW($B$1,Cons_Region!$D$9,Cons_Region!D$11,$M$1,Cons_Region!$G$9,Cons_Region!$J$9,$N$1,Cons_Region!$B245,$L$1,$K$1)</f>
        <v>0</v>
      </c>
      <c r="E245" s="16">
        <f>_xll.DBRW($B$1,Cons_Region!$D$9,Cons_Region!E$11,$M$1,Cons_Region!$G$9,Cons_Region!$J$9,$N$1,Cons_Region!$B245,$L$1,$K$1)</f>
        <v>0</v>
      </c>
      <c r="F245" s="16">
        <f>_xll.DBRW($B$1,Cons_Region!$D$9,Cons_Region!F$11,$M$1,Cons_Region!$G$9,Cons_Region!$J$9,$N$1,Cons_Region!$B245,$L$1,$K$1)</f>
        <v>0</v>
      </c>
      <c r="G245" s="16">
        <f>_xll.DBRW($B$1,Cons_Region!$D$9,Cons_Region!G$11,$M$1,Cons_Region!$G$9,Cons_Region!$J$9,$N$1,Cons_Region!$B245,$L$1,$K$1)</f>
        <v>0</v>
      </c>
      <c r="H245" s="16">
        <f>_xll.DBRW($B$1,Cons_Region!$D$9,Cons_Region!H$11,$M$1,Cons_Region!$G$9,Cons_Region!$J$9,$N$1,Cons_Region!$B245,$L$1,$K$1)</f>
        <v>0</v>
      </c>
      <c r="I245" s="16">
        <f>_xll.DBRW($B$1,Cons_Region!$D$9,Cons_Region!I$11,$M$1,Cons_Region!$G$9,Cons_Region!$J$9,$N$1,Cons_Region!$B245,$L$1,$K$1)</f>
        <v>0</v>
      </c>
      <c r="J245" s="16">
        <f>_xll.DBRW($B$1,Cons_Region!$D$9,Cons_Region!J$11,$M$1,Cons_Region!$G$9,Cons_Region!$J$9,$N$1,Cons_Region!$B245,$L$1,$K$1)</f>
        <v>0</v>
      </c>
      <c r="K245" s="16">
        <f>_xll.DBRW($B$1,Cons_Region!$D$9,Cons_Region!K$11,$M$1,Cons_Region!$G$9,Cons_Region!$J$9,$N$1,Cons_Region!$B245,$L$1,$K$1)</f>
        <v>0</v>
      </c>
      <c r="L245" s="16">
        <f>_xll.DBRW($B$1,Cons_Region!$D$9,Cons_Region!L$11,$M$1,Cons_Region!$G$9,Cons_Region!$J$9,$N$1,Cons_Region!$B245,$L$1,$K$1)</f>
        <v>0</v>
      </c>
      <c r="M245" s="16">
        <f>_xll.DBRW($B$1,Cons_Region!$D$9,Cons_Region!M$11,$M$1,Cons_Region!$G$9,Cons_Region!$J$9,$N$1,Cons_Region!$B245,$L$1,$K$1)</f>
        <v>0</v>
      </c>
      <c r="N245" s="16">
        <f>_xll.DBRW($B$1,Cons_Region!$D$9,Cons_Region!N$11,$M$1,Cons_Region!$G$9,Cons_Region!$J$9,$N$1,Cons_Region!$B245,$L$1,$K$1)</f>
        <v>0</v>
      </c>
    </row>
    <row r="246" spans="2:14" ht="15.75" customHeight="1" x14ac:dyDescent="0.25">
      <c r="B246" s="17" t="s">
        <v>131</v>
      </c>
      <c r="C246" s="16">
        <f>_xll.DBRW($B$1,Cons_Region!$D$9,Cons_Region!C$11,$M$1,Cons_Region!$G$9,Cons_Region!$J$9,$N$1,Cons_Region!$B246,$L$1,$K$1)</f>
        <v>0</v>
      </c>
      <c r="D246" s="16">
        <f>_xll.DBRW($B$1,Cons_Region!$D$9,Cons_Region!D$11,$M$1,Cons_Region!$G$9,Cons_Region!$J$9,$N$1,Cons_Region!$B246,$L$1,$K$1)</f>
        <v>0</v>
      </c>
      <c r="E246" s="16">
        <f>_xll.DBRW($B$1,Cons_Region!$D$9,Cons_Region!E$11,$M$1,Cons_Region!$G$9,Cons_Region!$J$9,$N$1,Cons_Region!$B246,$L$1,$K$1)</f>
        <v>0</v>
      </c>
      <c r="F246" s="16">
        <f>_xll.DBRW($B$1,Cons_Region!$D$9,Cons_Region!F$11,$M$1,Cons_Region!$G$9,Cons_Region!$J$9,$N$1,Cons_Region!$B246,$L$1,$K$1)</f>
        <v>0</v>
      </c>
      <c r="G246" s="16">
        <f>_xll.DBRW($B$1,Cons_Region!$D$9,Cons_Region!G$11,$M$1,Cons_Region!$G$9,Cons_Region!$J$9,$N$1,Cons_Region!$B246,$L$1,$K$1)</f>
        <v>0</v>
      </c>
      <c r="H246" s="16">
        <f>_xll.DBRW($B$1,Cons_Region!$D$9,Cons_Region!H$11,$M$1,Cons_Region!$G$9,Cons_Region!$J$9,$N$1,Cons_Region!$B246,$L$1,$K$1)</f>
        <v>0</v>
      </c>
      <c r="I246" s="16">
        <f>_xll.DBRW($B$1,Cons_Region!$D$9,Cons_Region!I$11,$M$1,Cons_Region!$G$9,Cons_Region!$J$9,$N$1,Cons_Region!$B246,$L$1,$K$1)</f>
        <v>0</v>
      </c>
      <c r="J246" s="16">
        <f>_xll.DBRW($B$1,Cons_Region!$D$9,Cons_Region!J$11,$M$1,Cons_Region!$G$9,Cons_Region!$J$9,$N$1,Cons_Region!$B246,$L$1,$K$1)</f>
        <v>0</v>
      </c>
      <c r="K246" s="16">
        <f>_xll.DBRW($B$1,Cons_Region!$D$9,Cons_Region!K$11,$M$1,Cons_Region!$G$9,Cons_Region!$J$9,$N$1,Cons_Region!$B246,$L$1,$K$1)</f>
        <v>0</v>
      </c>
      <c r="L246" s="16">
        <f>_xll.DBRW($B$1,Cons_Region!$D$9,Cons_Region!L$11,$M$1,Cons_Region!$G$9,Cons_Region!$J$9,$N$1,Cons_Region!$B246,$L$1,$K$1)</f>
        <v>0</v>
      </c>
      <c r="M246" s="16">
        <f>_xll.DBRW($B$1,Cons_Region!$D$9,Cons_Region!M$11,$M$1,Cons_Region!$G$9,Cons_Region!$J$9,$N$1,Cons_Region!$B246,$L$1,$K$1)</f>
        <v>0</v>
      </c>
      <c r="N246" s="16">
        <f>_xll.DBRW($B$1,Cons_Region!$D$9,Cons_Region!N$11,$M$1,Cons_Region!$G$9,Cons_Region!$J$9,$N$1,Cons_Region!$B246,$L$1,$K$1)</f>
        <v>0</v>
      </c>
    </row>
    <row r="247" spans="2:14" ht="15.75" customHeight="1" x14ac:dyDescent="0.25">
      <c r="B247" s="17" t="s">
        <v>132</v>
      </c>
      <c r="C247" s="34">
        <f>_xll.DBRW($B$1,Cons_Region!$D$9,Cons_Region!C$11,$M$1,Cons_Region!$G$9,Cons_Region!$J$9,$N$1,Cons_Region!$B247,$L$1,$K$1)</f>
        <v>4.7983522880250602</v>
      </c>
      <c r="D247" s="34">
        <f>_xll.DBRW($B$1,Cons_Region!$D$9,Cons_Region!D$11,$M$1,Cons_Region!$G$9,Cons_Region!$J$9,$N$1,Cons_Region!$B247,$L$1,$K$1)</f>
        <v>-0.52112512978233705</v>
      </c>
      <c r="E247" s="34">
        <f>_xll.DBRW($B$1,Cons_Region!$D$9,Cons_Region!E$11,$M$1,Cons_Region!$G$9,Cons_Region!$J$9,$N$1,Cons_Region!$B247,$L$1,$K$1)</f>
        <v>-1.9178455854954699</v>
      </c>
      <c r="F247" s="34">
        <f>_xll.DBRW($B$1,Cons_Region!$D$9,Cons_Region!F$11,$M$1,Cons_Region!$G$9,Cons_Region!$J$9,$N$1,Cons_Region!$B247,$L$1,$K$1)</f>
        <v>-1.98597318553247</v>
      </c>
      <c r="G247" s="34">
        <f>_xll.DBRW($B$1,Cons_Region!$D$9,Cons_Region!G$11,$M$1,Cons_Region!$G$9,Cons_Region!$J$9,$N$1,Cons_Region!$B247,$L$1,$K$1)</f>
        <v>-1.37413642344138</v>
      </c>
      <c r="H247" s="34">
        <f>_xll.DBRW($B$1,Cons_Region!$D$9,Cons_Region!H$11,$M$1,Cons_Region!$G$9,Cons_Region!$J$9,$N$1,Cons_Region!$B247,$L$1,$K$1)</f>
        <v>-3.6780871955038199</v>
      </c>
      <c r="I247" s="34">
        <f>_xll.DBRW($B$1,Cons_Region!$D$9,Cons_Region!I$11,$M$1,Cons_Region!$G$9,Cons_Region!$J$9,$N$1,Cons_Region!$B247,$L$1,$K$1)</f>
        <v>-0.18325860056410501</v>
      </c>
      <c r="J247" s="34">
        <f>_xll.DBRW($B$1,Cons_Region!$D$9,Cons_Region!J$11,$M$1,Cons_Region!$G$9,Cons_Region!$J$9,$N$1,Cons_Region!$B247,$L$1,$K$1)</f>
        <v>-2.3987071370603799</v>
      </c>
      <c r="K247" s="34">
        <f>_xll.DBRW($B$1,Cons_Region!$D$9,Cons_Region!K$11,$M$1,Cons_Region!$G$9,Cons_Region!$J$9,$N$1,Cons_Region!$B247,$L$1,$K$1)</f>
        <v>-3.3710823538969801</v>
      </c>
      <c r="L247" s="34">
        <f>_xll.DBRW($B$1,Cons_Region!$D$9,Cons_Region!L$11,$M$1,Cons_Region!$G$9,Cons_Region!$J$9,$N$1,Cons_Region!$B247,$L$1,$K$1)</f>
        <v>-2.4620653605923</v>
      </c>
      <c r="M247" s="34">
        <f>_xll.DBRW($B$1,Cons_Region!$D$9,Cons_Region!M$11,$M$1,Cons_Region!$G$9,Cons_Region!$J$9,$N$1,Cons_Region!$B247,$L$1,$K$1)</f>
        <v>-1.78197706135712</v>
      </c>
      <c r="N247" s="34">
        <f>_xll.DBRW($B$1,Cons_Region!$D$9,Cons_Region!N$11,$M$1,Cons_Region!$G$9,Cons_Region!$J$9,$N$1,Cons_Region!$B247,$L$1,$K$1)</f>
        <v>-1.75797437701807</v>
      </c>
    </row>
    <row r="249" spans="2:14" ht="15.75" customHeight="1" thickBot="1" x14ac:dyDescent="0.3">
      <c r="B249" s="10"/>
    </row>
    <row r="250" spans="2:14" ht="15.75" customHeight="1" thickTop="1" thickBot="1" x14ac:dyDescent="0.3">
      <c r="B250" s="9" t="s">
        <v>133</v>
      </c>
      <c r="F250" s="28" t="s">
        <v>68</v>
      </c>
      <c r="G250" s="48" t="str">
        <f>_xll.SUBNM("CONS_VC:ALL.D.Currency","PAX","USD","Nome alternativo")</f>
        <v>USD</v>
      </c>
    </row>
    <row r="251" spans="2:14" ht="15.75" customHeight="1" thickTop="1" x14ac:dyDescent="0.25"/>
    <row r="252" spans="2:14" ht="15.75" customHeight="1" x14ac:dyDescent="0.25">
      <c r="B252" s="5"/>
      <c r="C252" s="18" t="str">
        <f t="shared" ref="C252:N252" si="21">$D$9&amp;"."&amp;C$11</f>
        <v>2026.01</v>
      </c>
      <c r="D252" s="18" t="str">
        <f t="shared" si="21"/>
        <v>2026.02</v>
      </c>
      <c r="E252" s="18" t="str">
        <f t="shared" si="21"/>
        <v>2026.03</v>
      </c>
      <c r="F252" s="18" t="str">
        <f t="shared" si="21"/>
        <v>2026.04</v>
      </c>
      <c r="G252" s="18" t="str">
        <f t="shared" si="21"/>
        <v>2026.05</v>
      </c>
      <c r="H252" s="18" t="str">
        <f t="shared" si="21"/>
        <v>2026.06</v>
      </c>
      <c r="I252" s="18" t="str">
        <f t="shared" si="21"/>
        <v>2026.07</v>
      </c>
      <c r="J252" s="18" t="str">
        <f t="shared" si="21"/>
        <v>2026.08</v>
      </c>
      <c r="K252" s="18" t="str">
        <f t="shared" si="21"/>
        <v>2026.09</v>
      </c>
      <c r="L252" s="18" t="str">
        <f t="shared" si="21"/>
        <v>2026.10</v>
      </c>
      <c r="M252" s="18" t="str">
        <f t="shared" si="21"/>
        <v>2026.11</v>
      </c>
      <c r="N252" s="18" t="str">
        <f t="shared" si="21"/>
        <v>2026.12</v>
      </c>
    </row>
    <row r="253" spans="2:14" ht="15.75" customHeight="1" x14ac:dyDescent="0.25">
      <c r="B253" s="24" t="s">
        <v>134</v>
      </c>
      <c r="C253" s="21">
        <f>_xll.DBRW($D$2,Cons_Region!$D$9,Cons_Region!C$11,$M$1,$G$250,Cons_Region!$J$9,Cons_Region!$B253,$K$1)</f>
        <v>0</v>
      </c>
      <c r="D253" s="21">
        <f>_xll.DBRW($D$2,Cons_Region!$D$9,Cons_Region!D$11,$M$1,$G$250,Cons_Region!$J$9,Cons_Region!$B253,$K$1)</f>
        <v>0</v>
      </c>
      <c r="E253" s="21">
        <f>_xll.DBRW($D$2,Cons_Region!$D$9,Cons_Region!E$11,$M$1,$G$250,Cons_Region!$J$9,Cons_Region!$B253,$K$1)</f>
        <v>0</v>
      </c>
      <c r="F253" s="21">
        <f>_xll.DBRW($D$2,Cons_Region!$D$9,Cons_Region!F$11,$M$1,$G$250,Cons_Region!$J$9,Cons_Region!$B253,$K$1)</f>
        <v>0</v>
      </c>
      <c r="G253" s="21">
        <f>_xll.DBRW($D$2,Cons_Region!$D$9,Cons_Region!G$11,$M$1,$G$250,Cons_Region!$J$9,Cons_Region!$B253,$K$1)</f>
        <v>0</v>
      </c>
      <c r="H253" s="21">
        <f>_xll.DBRW($D$2,Cons_Region!$D$9,Cons_Region!H$11,$M$1,$G$250,Cons_Region!$J$9,Cons_Region!$B253,$K$1)</f>
        <v>0</v>
      </c>
      <c r="I253" s="21">
        <f>_xll.DBRW($D$2,Cons_Region!$D$9,Cons_Region!I$11,$M$1,$G$250,Cons_Region!$J$9,Cons_Region!$B253,$K$1)</f>
        <v>0</v>
      </c>
      <c r="J253" s="21">
        <f>_xll.DBRW($D$2,Cons_Region!$D$9,Cons_Region!J$11,$M$1,$G$250,Cons_Region!$J$9,Cons_Region!$B253,$K$1)</f>
        <v>0</v>
      </c>
      <c r="K253" s="21">
        <f>_xll.DBRW($D$2,Cons_Region!$D$9,Cons_Region!K$11,$M$1,$G$250,Cons_Region!$J$9,Cons_Region!$B253,$K$1)</f>
        <v>0</v>
      </c>
      <c r="L253" s="21">
        <f>_xll.DBRW($D$2,Cons_Region!$D$9,Cons_Region!L$11,$M$1,$G$250,Cons_Region!$J$9,Cons_Region!$B253,$K$1)</f>
        <v>0</v>
      </c>
      <c r="M253" s="21">
        <f>_xll.DBRW($D$2,Cons_Region!$D$9,Cons_Region!M$11,$M$1,$G$250,Cons_Region!$J$9,Cons_Region!$B253,$K$1)</f>
        <v>0</v>
      </c>
      <c r="N253" s="21">
        <f>_xll.DBRW($D$2,Cons_Region!$D$9,Cons_Region!N$11,$M$1,$G$250,Cons_Region!$J$9,Cons_Region!$B253,$K$1)</f>
        <v>0</v>
      </c>
    </row>
    <row r="254" spans="2:14" ht="15.75" customHeight="1" x14ac:dyDescent="0.25">
      <c r="B254" s="17" t="s">
        <v>135</v>
      </c>
      <c r="C254" s="16">
        <f>_xll.DBRW($B$1,Cons_Region!$D$9,Cons_Region!C$11,$M$1,Cons_Region!$G$9,Cons_Region!$J$9,$N$1,Cons_Region!$B254,$L$1,$K$1)</f>
        <v>0</v>
      </c>
      <c r="D254" s="16">
        <f>_xll.DBRW($B$1,Cons_Region!$D$9,Cons_Region!D$11,$M$1,Cons_Region!$G$9,Cons_Region!$J$9,$N$1,Cons_Region!$B254,$L$1,$K$1)</f>
        <v>0</v>
      </c>
      <c r="E254" s="16">
        <f>_xll.DBRW($B$1,Cons_Region!$D$9,Cons_Region!E$11,$M$1,Cons_Region!$G$9,Cons_Region!$J$9,$N$1,Cons_Region!$B254,$L$1,$K$1)</f>
        <v>0</v>
      </c>
      <c r="F254" s="16">
        <f>_xll.DBRW($B$1,Cons_Region!$D$9,Cons_Region!F$11,$M$1,Cons_Region!$G$9,Cons_Region!$J$9,$N$1,Cons_Region!$B254,$L$1,$K$1)</f>
        <v>0</v>
      </c>
      <c r="G254" s="16">
        <f>_xll.DBRW($B$1,Cons_Region!$D$9,Cons_Region!G$11,$M$1,Cons_Region!$G$9,Cons_Region!$J$9,$N$1,Cons_Region!$B254,$L$1,$K$1)</f>
        <v>0</v>
      </c>
      <c r="H254" s="16">
        <f>_xll.DBRW($B$1,Cons_Region!$D$9,Cons_Region!H$11,$M$1,Cons_Region!$G$9,Cons_Region!$J$9,$N$1,Cons_Region!$B254,$L$1,$K$1)</f>
        <v>0</v>
      </c>
      <c r="I254" s="16">
        <f>_xll.DBRW($B$1,Cons_Region!$D$9,Cons_Region!I$11,$M$1,Cons_Region!$G$9,Cons_Region!$J$9,$N$1,Cons_Region!$B254,$L$1,$K$1)</f>
        <v>0</v>
      </c>
      <c r="J254" s="16">
        <f>_xll.DBRW($B$1,Cons_Region!$D$9,Cons_Region!J$11,$M$1,Cons_Region!$G$9,Cons_Region!$J$9,$N$1,Cons_Region!$B254,$L$1,$K$1)</f>
        <v>0</v>
      </c>
      <c r="K254" s="16">
        <f>_xll.DBRW($B$1,Cons_Region!$D$9,Cons_Region!K$11,$M$1,Cons_Region!$G$9,Cons_Region!$J$9,$N$1,Cons_Region!$B254,$L$1,$K$1)</f>
        <v>0</v>
      </c>
      <c r="L254" s="16">
        <f>_xll.DBRW($B$1,Cons_Region!$D$9,Cons_Region!L$11,$M$1,Cons_Region!$G$9,Cons_Region!$J$9,$N$1,Cons_Region!$B254,$L$1,$K$1)</f>
        <v>0</v>
      </c>
      <c r="M254" s="16">
        <f>_xll.DBRW($B$1,Cons_Region!$D$9,Cons_Region!M$11,$M$1,Cons_Region!$G$9,Cons_Region!$J$9,$N$1,Cons_Region!$B254,$L$1,$K$1)</f>
        <v>0</v>
      </c>
      <c r="N254" s="16">
        <f>_xll.DBRW($B$1,Cons_Region!$D$9,Cons_Region!N$11,$M$1,Cons_Region!$G$9,Cons_Region!$J$9,$N$1,Cons_Region!$B254,$L$1,$K$1)</f>
        <v>0</v>
      </c>
    </row>
    <row r="255" spans="2:14" ht="15.75" customHeight="1" x14ac:dyDescent="0.25">
      <c r="B255" s="17" t="s">
        <v>136</v>
      </c>
      <c r="C255" s="16">
        <f>_xll.DBRW($B$1,Cons_Region!$D$9,Cons_Region!C$11,$M$1,Cons_Region!$G$9,Cons_Region!$J$9,$N$1,Cons_Region!$B255,$L$1,$K$1)</f>
        <v>0</v>
      </c>
      <c r="D255" s="16">
        <f>_xll.DBRW($B$1,Cons_Region!$D$9,Cons_Region!D$11,$M$1,Cons_Region!$G$9,Cons_Region!$J$9,$N$1,Cons_Region!$B255,$L$1,$K$1)</f>
        <v>0</v>
      </c>
      <c r="E255" s="16">
        <f>_xll.DBRW($B$1,Cons_Region!$D$9,Cons_Region!E$11,$M$1,Cons_Region!$G$9,Cons_Region!$J$9,$N$1,Cons_Region!$B255,$L$1,$K$1)</f>
        <v>0</v>
      </c>
      <c r="F255" s="16">
        <f>_xll.DBRW($B$1,Cons_Region!$D$9,Cons_Region!F$11,$M$1,Cons_Region!$G$9,Cons_Region!$J$9,$N$1,Cons_Region!$B255,$L$1,$K$1)</f>
        <v>0</v>
      </c>
      <c r="G255" s="16">
        <f>_xll.DBRW($B$1,Cons_Region!$D$9,Cons_Region!G$11,$M$1,Cons_Region!$G$9,Cons_Region!$J$9,$N$1,Cons_Region!$B255,$L$1,$K$1)</f>
        <v>0</v>
      </c>
      <c r="H255" s="16">
        <f>_xll.DBRW($B$1,Cons_Region!$D$9,Cons_Region!H$11,$M$1,Cons_Region!$G$9,Cons_Region!$J$9,$N$1,Cons_Region!$B255,$L$1,$K$1)</f>
        <v>0</v>
      </c>
      <c r="I255" s="16">
        <f>_xll.DBRW($B$1,Cons_Region!$D$9,Cons_Region!I$11,$M$1,Cons_Region!$G$9,Cons_Region!$J$9,$N$1,Cons_Region!$B255,$L$1,$K$1)</f>
        <v>0</v>
      </c>
      <c r="J255" s="16">
        <f>_xll.DBRW($B$1,Cons_Region!$D$9,Cons_Region!J$11,$M$1,Cons_Region!$G$9,Cons_Region!$J$9,$N$1,Cons_Region!$B255,$L$1,$K$1)</f>
        <v>0</v>
      </c>
      <c r="K255" s="16">
        <f>_xll.DBRW($B$1,Cons_Region!$D$9,Cons_Region!K$11,$M$1,Cons_Region!$G$9,Cons_Region!$J$9,$N$1,Cons_Region!$B255,$L$1,$K$1)</f>
        <v>0</v>
      </c>
      <c r="L255" s="16">
        <f>_xll.DBRW($B$1,Cons_Region!$D$9,Cons_Region!L$11,$M$1,Cons_Region!$G$9,Cons_Region!$J$9,$N$1,Cons_Region!$B255,$L$1,$K$1)</f>
        <v>0</v>
      </c>
      <c r="M255" s="16">
        <f>_xll.DBRW($B$1,Cons_Region!$D$9,Cons_Region!M$11,$M$1,Cons_Region!$G$9,Cons_Region!$J$9,$N$1,Cons_Region!$B255,$L$1,$K$1)</f>
        <v>0</v>
      </c>
      <c r="N255" s="16">
        <f>_xll.DBRW($B$1,Cons_Region!$D$9,Cons_Region!N$11,$M$1,Cons_Region!$G$9,Cons_Region!$J$9,$N$1,Cons_Region!$B255,$L$1,$K$1)</f>
        <v>0</v>
      </c>
    </row>
    <row r="256" spans="2:14" ht="15.75" customHeight="1" x14ac:dyDescent="0.25">
      <c r="B256" s="17" t="s">
        <v>137</v>
      </c>
      <c r="C256" s="16">
        <f>_xll.DBRW($B$1,Cons_Region!$D$9,Cons_Region!C$11,$M$1,Cons_Region!$G$9,Cons_Region!$J$9,$N$1,Cons_Region!$B256,$L$1,$K$1)</f>
        <v>0</v>
      </c>
      <c r="D256" s="16">
        <f>_xll.DBRW($B$1,Cons_Region!$D$9,Cons_Region!D$11,$M$1,Cons_Region!$G$9,Cons_Region!$J$9,$N$1,Cons_Region!$B256,$L$1,$K$1)</f>
        <v>0</v>
      </c>
      <c r="E256" s="16">
        <f>_xll.DBRW($B$1,Cons_Region!$D$9,Cons_Region!E$11,$M$1,Cons_Region!$G$9,Cons_Region!$J$9,$N$1,Cons_Region!$B256,$L$1,$K$1)</f>
        <v>0</v>
      </c>
      <c r="F256" s="16">
        <f>_xll.DBRW($B$1,Cons_Region!$D$9,Cons_Region!F$11,$M$1,Cons_Region!$G$9,Cons_Region!$J$9,$N$1,Cons_Region!$B256,$L$1,$K$1)</f>
        <v>0</v>
      </c>
      <c r="G256" s="16">
        <f>_xll.DBRW($B$1,Cons_Region!$D$9,Cons_Region!G$11,$M$1,Cons_Region!$G$9,Cons_Region!$J$9,$N$1,Cons_Region!$B256,$L$1,$K$1)</f>
        <v>0</v>
      </c>
      <c r="H256" s="16">
        <f>_xll.DBRW($B$1,Cons_Region!$D$9,Cons_Region!H$11,$M$1,Cons_Region!$G$9,Cons_Region!$J$9,$N$1,Cons_Region!$B256,$L$1,$K$1)</f>
        <v>0</v>
      </c>
      <c r="I256" s="16">
        <f>_xll.DBRW($B$1,Cons_Region!$D$9,Cons_Region!I$11,$M$1,Cons_Region!$G$9,Cons_Region!$J$9,$N$1,Cons_Region!$B256,$L$1,$K$1)</f>
        <v>0</v>
      </c>
      <c r="J256" s="16">
        <f>_xll.DBRW($B$1,Cons_Region!$D$9,Cons_Region!J$11,$M$1,Cons_Region!$G$9,Cons_Region!$J$9,$N$1,Cons_Region!$B256,$L$1,$K$1)</f>
        <v>0</v>
      </c>
      <c r="K256" s="16">
        <f>_xll.DBRW($B$1,Cons_Region!$D$9,Cons_Region!K$11,$M$1,Cons_Region!$G$9,Cons_Region!$J$9,$N$1,Cons_Region!$B256,$L$1,$K$1)</f>
        <v>0</v>
      </c>
      <c r="L256" s="16">
        <f>_xll.DBRW($B$1,Cons_Region!$D$9,Cons_Region!L$11,$M$1,Cons_Region!$G$9,Cons_Region!$J$9,$N$1,Cons_Region!$B256,$L$1,$K$1)</f>
        <v>0</v>
      </c>
      <c r="M256" s="16">
        <f>_xll.DBRW($B$1,Cons_Region!$D$9,Cons_Region!M$11,$M$1,Cons_Region!$G$9,Cons_Region!$J$9,$N$1,Cons_Region!$B256,$L$1,$K$1)</f>
        <v>0</v>
      </c>
      <c r="N256" s="16">
        <f>_xll.DBRW($B$1,Cons_Region!$D$9,Cons_Region!N$11,$M$1,Cons_Region!$G$9,Cons_Region!$J$9,$N$1,Cons_Region!$B256,$L$1,$K$1)</f>
        <v>0</v>
      </c>
    </row>
    <row r="258" spans="2:14" ht="15.75" customHeight="1" thickBot="1" x14ac:dyDescent="0.3">
      <c r="B258" s="10"/>
    </row>
    <row r="259" spans="2:14" ht="15.75" customHeight="1" thickTop="1" thickBot="1" x14ac:dyDescent="0.3">
      <c r="B259" s="9" t="s">
        <v>138</v>
      </c>
      <c r="F259" s="28" t="s">
        <v>68</v>
      </c>
      <c r="G259" s="48" t="str">
        <f>_xll.SUBNM("CONS_VC:ALL.D.Currency","PAX","USD","Nome alternativo")</f>
        <v>USD</v>
      </c>
    </row>
    <row r="260" spans="2:14" ht="15.75" customHeight="1" thickTop="1" x14ac:dyDescent="0.25"/>
    <row r="261" spans="2:14" ht="15.75" customHeight="1" x14ac:dyDescent="0.25">
      <c r="B261" s="5"/>
      <c r="C261" s="18" t="str">
        <f t="shared" ref="C261:N261" si="22">$D$9&amp;"."&amp;C$11</f>
        <v>2026.01</v>
      </c>
      <c r="D261" s="18" t="str">
        <f t="shared" si="22"/>
        <v>2026.02</v>
      </c>
      <c r="E261" s="18" t="str">
        <f t="shared" si="22"/>
        <v>2026.03</v>
      </c>
      <c r="F261" s="18" t="str">
        <f t="shared" si="22"/>
        <v>2026.04</v>
      </c>
      <c r="G261" s="18" t="str">
        <f t="shared" si="22"/>
        <v>2026.05</v>
      </c>
      <c r="H261" s="18" t="str">
        <f t="shared" si="22"/>
        <v>2026.06</v>
      </c>
      <c r="I261" s="18" t="str">
        <f t="shared" si="22"/>
        <v>2026.07</v>
      </c>
      <c r="J261" s="18" t="str">
        <f t="shared" si="22"/>
        <v>2026.08</v>
      </c>
      <c r="K261" s="18" t="str">
        <f t="shared" si="22"/>
        <v>2026.09</v>
      </c>
      <c r="L261" s="18" t="str">
        <f t="shared" si="22"/>
        <v>2026.10</v>
      </c>
      <c r="M261" s="18" t="str">
        <f t="shared" si="22"/>
        <v>2026.11</v>
      </c>
      <c r="N261" s="18" t="str">
        <f t="shared" si="22"/>
        <v>2026.12</v>
      </c>
    </row>
    <row r="262" spans="2:14" ht="15.75" customHeight="1" x14ac:dyDescent="0.25">
      <c r="B262" s="17" t="s">
        <v>139</v>
      </c>
      <c r="C262" s="16">
        <f>_xll.DBRW($B$1,Cons_Region!$D$9,Cons_Region!C$11,$M$1,Cons_Region!$G$9,Cons_Region!$J$9,$N$1,Cons_Region!$B262,$L$1,$K$1)</f>
        <v>0</v>
      </c>
      <c r="D262" s="16">
        <f>_xll.DBRW($B$1,Cons_Region!$D$9,Cons_Region!D$11,$M$1,Cons_Region!$G$9,Cons_Region!$J$9,$N$1,Cons_Region!$B262,$L$1,$K$1)</f>
        <v>0</v>
      </c>
      <c r="E262" s="16">
        <f>_xll.DBRW($B$1,Cons_Region!$D$9,Cons_Region!E$11,$M$1,Cons_Region!$G$9,Cons_Region!$J$9,$N$1,Cons_Region!$B262,$L$1,$K$1)</f>
        <v>0</v>
      </c>
      <c r="F262" s="16">
        <f>_xll.DBRW($B$1,Cons_Region!$D$9,Cons_Region!F$11,$M$1,Cons_Region!$G$9,Cons_Region!$J$9,$N$1,Cons_Region!$B262,$L$1,$K$1)</f>
        <v>0</v>
      </c>
      <c r="G262" s="16">
        <f>_xll.DBRW($B$1,Cons_Region!$D$9,Cons_Region!G$11,$M$1,Cons_Region!$G$9,Cons_Region!$J$9,$N$1,Cons_Region!$B262,$L$1,$K$1)</f>
        <v>0</v>
      </c>
      <c r="H262" s="16">
        <f>_xll.DBRW($B$1,Cons_Region!$D$9,Cons_Region!H$11,$M$1,Cons_Region!$G$9,Cons_Region!$J$9,$N$1,Cons_Region!$B262,$L$1,$K$1)</f>
        <v>0</v>
      </c>
      <c r="I262" s="16">
        <f>_xll.DBRW($B$1,Cons_Region!$D$9,Cons_Region!I$11,$M$1,Cons_Region!$G$9,Cons_Region!$J$9,$N$1,Cons_Region!$B262,$L$1,$K$1)</f>
        <v>0</v>
      </c>
      <c r="J262" s="16">
        <f>_xll.DBRW($B$1,Cons_Region!$D$9,Cons_Region!J$11,$M$1,Cons_Region!$G$9,Cons_Region!$J$9,$N$1,Cons_Region!$B262,$L$1,$K$1)</f>
        <v>0</v>
      </c>
      <c r="K262" s="16">
        <f>_xll.DBRW($B$1,Cons_Region!$D$9,Cons_Region!K$11,$M$1,Cons_Region!$G$9,Cons_Region!$J$9,$N$1,Cons_Region!$B262,$L$1,$K$1)</f>
        <v>0</v>
      </c>
      <c r="L262" s="16">
        <f>_xll.DBRW($B$1,Cons_Region!$D$9,Cons_Region!L$11,$M$1,Cons_Region!$G$9,Cons_Region!$J$9,$N$1,Cons_Region!$B262,$L$1,$K$1)</f>
        <v>0</v>
      </c>
      <c r="M262" s="16">
        <f>_xll.DBRW($B$1,Cons_Region!$D$9,Cons_Region!M$11,$M$1,Cons_Region!$G$9,Cons_Region!$J$9,$N$1,Cons_Region!$B262,$L$1,$K$1)</f>
        <v>0</v>
      </c>
      <c r="N262" s="16">
        <f>_xll.DBRW($B$1,Cons_Region!$D$9,Cons_Region!N$11,$M$1,Cons_Region!$G$9,Cons_Region!$J$9,$N$1,Cons_Region!$B262,$L$1,$K$1)</f>
        <v>0</v>
      </c>
    </row>
    <row r="263" spans="2:14" ht="15.75" customHeight="1" x14ac:dyDescent="0.25">
      <c r="B263" s="17" t="s">
        <v>140</v>
      </c>
      <c r="C263" s="16">
        <f>_xll.DBRW($B$1,Cons_Region!$D$9,Cons_Region!C$11,$M$1,Cons_Region!$G$9,Cons_Region!$J$9,$N$1,Cons_Region!$B263,$L$1,$K$1)</f>
        <v>0</v>
      </c>
      <c r="D263" s="16">
        <f>_xll.DBRW($B$1,Cons_Region!$D$9,Cons_Region!D$11,$M$1,Cons_Region!$G$9,Cons_Region!$J$9,$N$1,Cons_Region!$B263,$L$1,$K$1)</f>
        <v>0</v>
      </c>
      <c r="E263" s="16">
        <f>_xll.DBRW($B$1,Cons_Region!$D$9,Cons_Region!E$11,$M$1,Cons_Region!$G$9,Cons_Region!$J$9,$N$1,Cons_Region!$B263,$L$1,$K$1)</f>
        <v>0</v>
      </c>
      <c r="F263" s="16">
        <f>_xll.DBRW($B$1,Cons_Region!$D$9,Cons_Region!F$11,$M$1,Cons_Region!$G$9,Cons_Region!$J$9,$N$1,Cons_Region!$B263,$L$1,$K$1)</f>
        <v>0</v>
      </c>
      <c r="G263" s="16">
        <f>_xll.DBRW($B$1,Cons_Region!$D$9,Cons_Region!G$11,$M$1,Cons_Region!$G$9,Cons_Region!$J$9,$N$1,Cons_Region!$B263,$L$1,$K$1)</f>
        <v>0</v>
      </c>
      <c r="H263" s="16">
        <f>_xll.DBRW($B$1,Cons_Region!$D$9,Cons_Region!H$11,$M$1,Cons_Region!$G$9,Cons_Region!$J$9,$N$1,Cons_Region!$B263,$L$1,$K$1)</f>
        <v>0</v>
      </c>
      <c r="I263" s="16">
        <f>_xll.DBRW($B$1,Cons_Region!$D$9,Cons_Region!I$11,$M$1,Cons_Region!$G$9,Cons_Region!$J$9,$N$1,Cons_Region!$B263,$L$1,$K$1)</f>
        <v>0</v>
      </c>
      <c r="J263" s="16">
        <f>_xll.DBRW($B$1,Cons_Region!$D$9,Cons_Region!J$11,$M$1,Cons_Region!$G$9,Cons_Region!$J$9,$N$1,Cons_Region!$B263,$L$1,$K$1)</f>
        <v>0</v>
      </c>
      <c r="K263" s="16">
        <f>_xll.DBRW($B$1,Cons_Region!$D$9,Cons_Region!K$11,$M$1,Cons_Region!$G$9,Cons_Region!$J$9,$N$1,Cons_Region!$B263,$L$1,$K$1)</f>
        <v>0</v>
      </c>
      <c r="L263" s="16">
        <f>_xll.DBRW($B$1,Cons_Region!$D$9,Cons_Region!L$11,$M$1,Cons_Region!$G$9,Cons_Region!$J$9,$N$1,Cons_Region!$B263,$L$1,$K$1)</f>
        <v>0</v>
      </c>
      <c r="M263" s="16">
        <f>_xll.DBRW($B$1,Cons_Region!$D$9,Cons_Region!M$11,$M$1,Cons_Region!$G$9,Cons_Region!$J$9,$N$1,Cons_Region!$B263,$L$1,$K$1)</f>
        <v>0</v>
      </c>
      <c r="N263" s="16">
        <f>_xll.DBRW($B$1,Cons_Region!$D$9,Cons_Region!N$11,$M$1,Cons_Region!$G$9,Cons_Region!$J$9,$N$1,Cons_Region!$B263,$L$1,$K$1)</f>
        <v>0</v>
      </c>
    </row>
    <row r="264" spans="2:14" ht="15.75" customHeight="1" x14ac:dyDescent="0.25">
      <c r="B264" s="17" t="s">
        <v>141</v>
      </c>
      <c r="C264" s="16">
        <f>_xll.DBRW($B$1,Cons_Region!$D$9,Cons_Region!C$11,$M$1,Cons_Region!$G$9,Cons_Region!$J$9,$N$1,Cons_Region!$B264,$L$1,$K$1)</f>
        <v>0</v>
      </c>
      <c r="D264" s="16">
        <f>_xll.DBRW($B$1,Cons_Region!$D$9,Cons_Region!D$11,$M$1,Cons_Region!$G$9,Cons_Region!$J$9,$N$1,Cons_Region!$B264,$L$1,$K$1)</f>
        <v>0</v>
      </c>
      <c r="E264" s="16">
        <f>_xll.DBRW($B$1,Cons_Region!$D$9,Cons_Region!E$11,$M$1,Cons_Region!$G$9,Cons_Region!$J$9,$N$1,Cons_Region!$B264,$L$1,$K$1)</f>
        <v>0</v>
      </c>
      <c r="F264" s="16">
        <f>_xll.DBRW($B$1,Cons_Region!$D$9,Cons_Region!F$11,$M$1,Cons_Region!$G$9,Cons_Region!$J$9,$N$1,Cons_Region!$B264,$L$1,$K$1)</f>
        <v>0</v>
      </c>
      <c r="G264" s="16">
        <f>_xll.DBRW($B$1,Cons_Region!$D$9,Cons_Region!G$11,$M$1,Cons_Region!$G$9,Cons_Region!$J$9,$N$1,Cons_Region!$B264,$L$1,$K$1)</f>
        <v>0</v>
      </c>
      <c r="H264" s="16">
        <f>_xll.DBRW($B$1,Cons_Region!$D$9,Cons_Region!H$11,$M$1,Cons_Region!$G$9,Cons_Region!$J$9,$N$1,Cons_Region!$B264,$L$1,$K$1)</f>
        <v>0</v>
      </c>
      <c r="I264" s="16">
        <f>_xll.DBRW($B$1,Cons_Region!$D$9,Cons_Region!I$11,$M$1,Cons_Region!$G$9,Cons_Region!$J$9,$N$1,Cons_Region!$B264,$L$1,$K$1)</f>
        <v>0</v>
      </c>
      <c r="J264" s="16">
        <f>_xll.DBRW($B$1,Cons_Region!$D$9,Cons_Region!J$11,$M$1,Cons_Region!$G$9,Cons_Region!$J$9,$N$1,Cons_Region!$B264,$L$1,$K$1)</f>
        <v>0</v>
      </c>
      <c r="K264" s="16">
        <f>_xll.DBRW($B$1,Cons_Region!$D$9,Cons_Region!K$11,$M$1,Cons_Region!$G$9,Cons_Region!$J$9,$N$1,Cons_Region!$B264,$L$1,$K$1)</f>
        <v>0</v>
      </c>
      <c r="L264" s="16">
        <f>_xll.DBRW($B$1,Cons_Region!$D$9,Cons_Region!L$11,$M$1,Cons_Region!$G$9,Cons_Region!$J$9,$N$1,Cons_Region!$B264,$L$1,$K$1)</f>
        <v>0</v>
      </c>
      <c r="M264" s="16">
        <f>_xll.DBRW($B$1,Cons_Region!$D$9,Cons_Region!M$11,$M$1,Cons_Region!$G$9,Cons_Region!$J$9,$N$1,Cons_Region!$B264,$L$1,$K$1)</f>
        <v>0</v>
      </c>
      <c r="N264" s="16">
        <f>_xll.DBRW($B$1,Cons_Region!$D$9,Cons_Region!N$11,$M$1,Cons_Region!$G$9,Cons_Region!$J$9,$N$1,Cons_Region!$B264,$L$1,$K$1)</f>
        <v>0</v>
      </c>
    </row>
    <row r="265" spans="2:14" ht="15.75" customHeight="1" x14ac:dyDescent="0.25">
      <c r="B265" s="17" t="s">
        <v>142</v>
      </c>
      <c r="C265" s="16">
        <f>_xll.DBRW($B$1,Cons_Region!$D$9,Cons_Region!C$11,$M$1,Cons_Region!$G$9,Cons_Region!$J$9,$N$1,Cons_Region!$B265,$L$1,$K$1)</f>
        <v>0</v>
      </c>
      <c r="D265" s="16">
        <f>_xll.DBRW($B$1,Cons_Region!$D$9,Cons_Region!D$11,$M$1,Cons_Region!$G$9,Cons_Region!$J$9,$N$1,Cons_Region!$B265,$L$1,$K$1)</f>
        <v>0</v>
      </c>
      <c r="E265" s="16">
        <f>_xll.DBRW($B$1,Cons_Region!$D$9,Cons_Region!E$11,$M$1,Cons_Region!$G$9,Cons_Region!$J$9,$N$1,Cons_Region!$B265,$L$1,$K$1)</f>
        <v>0</v>
      </c>
      <c r="F265" s="16">
        <f>_xll.DBRW($B$1,Cons_Region!$D$9,Cons_Region!F$11,$M$1,Cons_Region!$G$9,Cons_Region!$J$9,$N$1,Cons_Region!$B265,$L$1,$K$1)</f>
        <v>0</v>
      </c>
      <c r="G265" s="16">
        <f>_xll.DBRW($B$1,Cons_Region!$D$9,Cons_Region!G$11,$M$1,Cons_Region!$G$9,Cons_Region!$J$9,$N$1,Cons_Region!$B265,$L$1,$K$1)</f>
        <v>0</v>
      </c>
      <c r="H265" s="16">
        <f>_xll.DBRW($B$1,Cons_Region!$D$9,Cons_Region!H$11,$M$1,Cons_Region!$G$9,Cons_Region!$J$9,$N$1,Cons_Region!$B265,$L$1,$K$1)</f>
        <v>0</v>
      </c>
      <c r="I265" s="16">
        <f>_xll.DBRW($B$1,Cons_Region!$D$9,Cons_Region!I$11,$M$1,Cons_Region!$G$9,Cons_Region!$J$9,$N$1,Cons_Region!$B265,$L$1,$K$1)</f>
        <v>0</v>
      </c>
      <c r="J265" s="16">
        <f>_xll.DBRW($B$1,Cons_Region!$D$9,Cons_Region!J$11,$M$1,Cons_Region!$G$9,Cons_Region!$J$9,$N$1,Cons_Region!$B265,$L$1,$K$1)</f>
        <v>0</v>
      </c>
      <c r="K265" s="16">
        <f>_xll.DBRW($B$1,Cons_Region!$D$9,Cons_Region!K$11,$M$1,Cons_Region!$G$9,Cons_Region!$J$9,$N$1,Cons_Region!$B265,$L$1,$K$1)</f>
        <v>0</v>
      </c>
      <c r="L265" s="16">
        <f>_xll.DBRW($B$1,Cons_Region!$D$9,Cons_Region!L$11,$M$1,Cons_Region!$G$9,Cons_Region!$J$9,$N$1,Cons_Region!$B265,$L$1,$K$1)</f>
        <v>0</v>
      </c>
      <c r="M265" s="16">
        <f>_xll.DBRW($B$1,Cons_Region!$D$9,Cons_Region!M$11,$M$1,Cons_Region!$G$9,Cons_Region!$J$9,$N$1,Cons_Region!$B265,$L$1,$K$1)</f>
        <v>0</v>
      </c>
      <c r="N265" s="16">
        <f>_xll.DBRW($B$1,Cons_Region!$D$9,Cons_Region!N$11,$M$1,Cons_Region!$G$9,Cons_Region!$J$9,$N$1,Cons_Region!$B265,$L$1,$K$1)</f>
        <v>0</v>
      </c>
    </row>
    <row r="267" spans="2:14" ht="15.75" customHeight="1" thickBot="1" x14ac:dyDescent="0.3">
      <c r="B267" s="10"/>
    </row>
    <row r="268" spans="2:14" ht="15.75" customHeight="1" thickTop="1" thickBot="1" x14ac:dyDescent="0.3">
      <c r="B268" s="9" t="s">
        <v>143</v>
      </c>
      <c r="F268" s="28" t="s">
        <v>68</v>
      </c>
      <c r="G268" s="48" t="str">
        <f>_xll.SUBNM("CONS_VC:ALL.D.Currency","PAX","USD","Nome alternativo")</f>
        <v>USD</v>
      </c>
    </row>
    <row r="269" spans="2:14" ht="15.75" customHeight="1" thickTop="1" x14ac:dyDescent="0.25"/>
    <row r="270" spans="2:14" ht="15.75" customHeight="1" x14ac:dyDescent="0.25">
      <c r="B270" s="5"/>
      <c r="C270" s="18" t="str">
        <f t="shared" ref="C270:N270" si="23">$D$9&amp;"."&amp;C$11</f>
        <v>2026.01</v>
      </c>
      <c r="D270" s="18" t="str">
        <f t="shared" si="23"/>
        <v>2026.02</v>
      </c>
      <c r="E270" s="18" t="str">
        <f t="shared" si="23"/>
        <v>2026.03</v>
      </c>
      <c r="F270" s="18" t="str">
        <f t="shared" si="23"/>
        <v>2026.04</v>
      </c>
      <c r="G270" s="18" t="str">
        <f t="shared" si="23"/>
        <v>2026.05</v>
      </c>
      <c r="H270" s="18" t="str">
        <f t="shared" si="23"/>
        <v>2026.06</v>
      </c>
      <c r="I270" s="18" t="str">
        <f t="shared" si="23"/>
        <v>2026.07</v>
      </c>
      <c r="J270" s="18" t="str">
        <f t="shared" si="23"/>
        <v>2026.08</v>
      </c>
      <c r="K270" s="18" t="str">
        <f t="shared" si="23"/>
        <v>2026.09</v>
      </c>
      <c r="L270" s="18" t="str">
        <f t="shared" si="23"/>
        <v>2026.10</v>
      </c>
      <c r="M270" s="18" t="str">
        <f t="shared" si="23"/>
        <v>2026.11</v>
      </c>
      <c r="N270" s="18" t="str">
        <f t="shared" si="23"/>
        <v>2026.12</v>
      </c>
    </row>
    <row r="271" spans="2:14" ht="15.75" customHeight="1" x14ac:dyDescent="0.25">
      <c r="B271" s="17" t="s">
        <v>144</v>
      </c>
      <c r="C271" s="16">
        <f>_xll.DBRW($B$1,Cons_Region!$D$9,Cons_Region!C$11,$M$1,Cons_Region!$G$9,Cons_Region!$J$9,$N$1,Cons_Region!$B271,$L$1,$K$1)</f>
        <v>0</v>
      </c>
      <c r="D271" s="16">
        <f>_xll.DBRW($B$1,Cons_Region!$D$9,Cons_Region!D$11,$M$1,Cons_Region!$G$9,Cons_Region!$J$9,$N$1,Cons_Region!$B271,$L$1,$K$1)</f>
        <v>0</v>
      </c>
      <c r="E271" s="16">
        <f>_xll.DBRW($B$1,Cons_Region!$D$9,Cons_Region!E$11,$M$1,Cons_Region!$G$9,Cons_Region!$J$9,$N$1,Cons_Region!$B271,$L$1,$K$1)</f>
        <v>0</v>
      </c>
      <c r="F271" s="16">
        <f>_xll.DBRW($B$1,Cons_Region!$D$9,Cons_Region!F$11,$M$1,Cons_Region!$G$9,Cons_Region!$J$9,$N$1,Cons_Region!$B271,$L$1,$K$1)</f>
        <v>0</v>
      </c>
      <c r="G271" s="16">
        <f>_xll.DBRW($B$1,Cons_Region!$D$9,Cons_Region!G$11,$M$1,Cons_Region!$G$9,Cons_Region!$J$9,$N$1,Cons_Region!$B271,$L$1,$K$1)</f>
        <v>0</v>
      </c>
      <c r="H271" s="16">
        <f>_xll.DBRW($B$1,Cons_Region!$D$9,Cons_Region!H$11,$M$1,Cons_Region!$G$9,Cons_Region!$J$9,$N$1,Cons_Region!$B271,$L$1,$K$1)</f>
        <v>0</v>
      </c>
      <c r="I271" s="16">
        <f>_xll.DBRW($B$1,Cons_Region!$D$9,Cons_Region!I$11,$M$1,Cons_Region!$G$9,Cons_Region!$J$9,$N$1,Cons_Region!$B271,$L$1,$K$1)</f>
        <v>0</v>
      </c>
      <c r="J271" s="16">
        <f>_xll.DBRW($B$1,Cons_Region!$D$9,Cons_Region!J$11,$M$1,Cons_Region!$G$9,Cons_Region!$J$9,$N$1,Cons_Region!$B271,$L$1,$K$1)</f>
        <v>0</v>
      </c>
      <c r="K271" s="16">
        <f>_xll.DBRW($B$1,Cons_Region!$D$9,Cons_Region!K$11,$M$1,Cons_Region!$G$9,Cons_Region!$J$9,$N$1,Cons_Region!$B271,$L$1,$K$1)</f>
        <v>0</v>
      </c>
      <c r="L271" s="16">
        <f>_xll.DBRW($B$1,Cons_Region!$D$9,Cons_Region!L$11,$M$1,Cons_Region!$G$9,Cons_Region!$J$9,$N$1,Cons_Region!$B271,$L$1,$K$1)</f>
        <v>0</v>
      </c>
      <c r="M271" s="16">
        <f>_xll.DBRW($B$1,Cons_Region!$D$9,Cons_Region!M$11,$M$1,Cons_Region!$G$9,Cons_Region!$J$9,$N$1,Cons_Region!$B271,$L$1,$K$1)</f>
        <v>0</v>
      </c>
      <c r="N271" s="16">
        <f>_xll.DBRW($B$1,Cons_Region!$D$9,Cons_Region!N$11,$M$1,Cons_Region!$G$9,Cons_Region!$J$9,$N$1,Cons_Region!$B271,$L$1,$K$1)</f>
        <v>0</v>
      </c>
    </row>
    <row r="273" spans="2:14" ht="15.75" customHeight="1" thickBot="1" x14ac:dyDescent="0.3">
      <c r="B273" s="10"/>
    </row>
    <row r="274" spans="2:14" ht="15.75" customHeight="1" thickTop="1" x14ac:dyDescent="0.25">
      <c r="B274" s="9" t="s">
        <v>146</v>
      </c>
    </row>
    <row r="276" spans="2:14" ht="15.75" customHeight="1" x14ac:dyDescent="0.25">
      <c r="B276" s="5"/>
      <c r="C276" s="18" t="str">
        <f t="shared" ref="C276:N276" si="24">$D$9&amp;"."&amp;C$11</f>
        <v>2026.01</v>
      </c>
      <c r="D276" s="18" t="str">
        <f t="shared" si="24"/>
        <v>2026.02</v>
      </c>
      <c r="E276" s="18" t="str">
        <f t="shared" si="24"/>
        <v>2026.03</v>
      </c>
      <c r="F276" s="18" t="str">
        <f t="shared" si="24"/>
        <v>2026.04</v>
      </c>
      <c r="G276" s="18" t="str">
        <f t="shared" si="24"/>
        <v>2026.05</v>
      </c>
      <c r="H276" s="18" t="str">
        <f t="shared" si="24"/>
        <v>2026.06</v>
      </c>
      <c r="I276" s="18" t="str">
        <f t="shared" si="24"/>
        <v>2026.07</v>
      </c>
      <c r="J276" s="18" t="str">
        <f t="shared" si="24"/>
        <v>2026.08</v>
      </c>
      <c r="K276" s="18" t="str">
        <f t="shared" si="24"/>
        <v>2026.09</v>
      </c>
      <c r="L276" s="18" t="str">
        <f t="shared" si="24"/>
        <v>2026.10</v>
      </c>
      <c r="M276" s="18" t="str">
        <f t="shared" si="24"/>
        <v>2026.11</v>
      </c>
      <c r="N276" s="18" t="str">
        <f t="shared" si="24"/>
        <v>2026.12</v>
      </c>
    </row>
    <row r="277" spans="2:14" ht="15.75" customHeight="1" x14ac:dyDescent="0.25">
      <c r="B277" s="24" t="s">
        <v>25</v>
      </c>
      <c r="C277" s="21">
        <f>_xll.DBRW($D$2,Cons_Region!$D$9,Cons_Region!C$11,$M$1,$G$268,Cons_Region!$J$9,Cons_Region!$B277,$K$1)</f>
        <v>-20.517267265660891</v>
      </c>
      <c r="D277" s="21">
        <f>_xll.DBRW($D$2,Cons_Region!$D$9,Cons_Region!D$11,$M$1,$G$268,Cons_Region!$J$9,Cons_Region!$B277,$K$1)</f>
        <v>-19.574698771803629</v>
      </c>
      <c r="E277" s="21">
        <f>_xll.DBRW($D$2,Cons_Region!$D$9,Cons_Region!E$11,$M$1,$G$268,Cons_Region!$J$9,Cons_Region!$B277,$K$1)</f>
        <v>2.3789114459494698</v>
      </c>
      <c r="F277" s="21">
        <f>_xll.DBRW($D$2,Cons_Region!$D$9,Cons_Region!F$11,$M$1,$G$268,Cons_Region!$J$9,Cons_Region!$B277,$K$1)</f>
        <v>27.698911191702106</v>
      </c>
      <c r="G277" s="21">
        <f>_xll.DBRW($D$2,Cons_Region!$D$9,Cons_Region!G$11,$M$1,$G$268,Cons_Region!$J$9,Cons_Region!$B277,$K$1)</f>
        <v>54.66653143115699</v>
      </c>
      <c r="H277" s="21">
        <f>_xll.DBRW($D$2,Cons_Region!$D$9,Cons_Region!H$11,$M$1,$G$268,Cons_Region!$J$9,Cons_Region!$B277,$K$1)</f>
        <v>64.286844481354848</v>
      </c>
      <c r="I277" s="21">
        <f>_xll.DBRW($D$2,Cons_Region!$D$9,Cons_Region!I$11,$M$1,$G$268,Cons_Region!$J$9,Cons_Region!$B277,$K$1)</f>
        <v>65.365945743543534</v>
      </c>
      <c r="J277" s="21">
        <f>_xll.DBRW($D$2,Cons_Region!$D$9,Cons_Region!J$11,$M$1,$G$268,Cons_Region!$J$9,Cons_Region!$B277,$K$1)</f>
        <v>64.100910872804803</v>
      </c>
      <c r="K277" s="21">
        <f>_xll.DBRW($D$2,Cons_Region!$D$9,Cons_Region!K$11,$M$1,$G$268,Cons_Region!$J$9,Cons_Region!$B277,$K$1)</f>
        <v>59.827667553780429</v>
      </c>
      <c r="L277" s="21">
        <f>_xll.DBRW($D$2,Cons_Region!$D$9,Cons_Region!L$11,$M$1,$G$268,Cons_Region!$J$9,Cons_Region!$B277,$K$1)</f>
        <v>60.189079668194793</v>
      </c>
      <c r="M277" s="21">
        <f>_xll.DBRW($D$2,Cons_Region!$D$9,Cons_Region!M$11,$M$1,$G$268,Cons_Region!$J$9,Cons_Region!$B277,$K$1)</f>
        <v>47.541123680829003</v>
      </c>
      <c r="N277" s="21">
        <f>_xll.DBRW($D$2,Cons_Region!$D$9,Cons_Region!N$11,$M$1,$G$268,Cons_Region!$J$9,Cons_Region!$B277,$K$1)</f>
        <v>20.221443097990999</v>
      </c>
    </row>
    <row r="278" spans="2:14" ht="15.75" customHeight="1" x14ac:dyDescent="0.25">
      <c r="B278" s="17" t="s">
        <v>148</v>
      </c>
      <c r="C278" s="16">
        <f>_xll.DBRW($B$1,Cons_Region!$D$9,Cons_Region!C$11,$M$1,$G$259,Cons_Region!$J$9,$N$1,Cons_Region!$B278,$L$1,$K$1)</f>
        <v>0</v>
      </c>
      <c r="D278" s="16">
        <f>_xll.DBRW($B$1,Cons_Region!$D$9,Cons_Region!D$11,$M$1,$G$259,Cons_Region!$J$9,$N$1,Cons_Region!$B278,$L$1,$K$1)</f>
        <v>0</v>
      </c>
      <c r="E278" s="16">
        <f>_xll.DBRW($B$1,Cons_Region!$D$9,Cons_Region!E$11,$M$1,$G$259,Cons_Region!$J$9,$N$1,Cons_Region!$B278,$L$1,$K$1)</f>
        <v>0</v>
      </c>
      <c r="F278" s="16">
        <f>_xll.DBRW($B$1,Cons_Region!$D$9,Cons_Region!F$11,$M$1,$G$259,Cons_Region!$J$9,$N$1,Cons_Region!$B278,$L$1,$K$1)</f>
        <v>0</v>
      </c>
      <c r="G278" s="16">
        <f>_xll.DBRW($B$1,Cons_Region!$D$9,Cons_Region!G$11,$M$1,$G$259,Cons_Region!$J$9,$N$1,Cons_Region!$B278,$L$1,$K$1)</f>
        <v>0</v>
      </c>
      <c r="H278" s="16">
        <f>_xll.DBRW($B$1,Cons_Region!$D$9,Cons_Region!H$11,$M$1,$G$259,Cons_Region!$J$9,$N$1,Cons_Region!$B278,$L$1,$K$1)</f>
        <v>0</v>
      </c>
      <c r="I278" s="16">
        <f>_xll.DBRW($B$1,Cons_Region!$D$9,Cons_Region!I$11,$M$1,$G$259,Cons_Region!$J$9,$N$1,Cons_Region!$B278,$L$1,$K$1)</f>
        <v>0</v>
      </c>
      <c r="J278" s="16">
        <f>_xll.DBRW($B$1,Cons_Region!$D$9,Cons_Region!J$11,$M$1,$G$259,Cons_Region!$J$9,$N$1,Cons_Region!$B278,$L$1,$K$1)</f>
        <v>0</v>
      </c>
      <c r="K278" s="16">
        <f>_xll.DBRW($B$1,Cons_Region!$D$9,Cons_Region!K$11,$M$1,$G$259,Cons_Region!$J$9,$N$1,Cons_Region!$B278,$L$1,$K$1)</f>
        <v>0</v>
      </c>
      <c r="L278" s="16">
        <f>_xll.DBRW($B$1,Cons_Region!$D$9,Cons_Region!L$11,$M$1,$G$259,Cons_Region!$J$9,$N$1,Cons_Region!$B278,$L$1,$K$1)</f>
        <v>0</v>
      </c>
      <c r="M278" s="16">
        <f>_xll.DBRW($B$1,Cons_Region!$D$9,Cons_Region!M$11,$M$1,$G$259,Cons_Region!$J$9,$N$1,Cons_Region!$B278,$L$1,$K$1)</f>
        <v>0</v>
      </c>
      <c r="N278" s="16">
        <f>_xll.DBRW($B$1,Cons_Region!$D$9,Cons_Region!N$11,$M$1,$G$259,Cons_Region!$J$9,$N$1,Cons_Region!$B278,$L$1,$K$1)</f>
        <v>0</v>
      </c>
    </row>
    <row r="279" spans="2:14" ht="15.75" customHeight="1" x14ac:dyDescent="0.25">
      <c r="B279" s="24" t="s">
        <v>149</v>
      </c>
      <c r="C279" s="21">
        <f>_xll.DBRW($D$2,Cons_Region!$D$9,Cons_Region!C$11,$M$1,$G$268,Cons_Region!$J$9,Cons_Region!$B279,$K$1)</f>
        <v>-180.64370402332469</v>
      </c>
      <c r="D279" s="21">
        <f>_xll.DBRW($D$2,Cons_Region!$D$9,Cons_Region!D$11,$M$1,$G$268,Cons_Region!$J$9,Cons_Region!$B279,$K$1)</f>
        <v>49.780558154117216</v>
      </c>
      <c r="E279" s="21">
        <f>_xll.DBRW($D$2,Cons_Region!$D$9,Cons_Region!E$11,$M$1,$G$268,Cons_Region!$J$9,Cons_Region!$B279,$K$1)</f>
        <v>-14.860440074202245</v>
      </c>
      <c r="F279" s="21">
        <f>_xll.DBRW($D$2,Cons_Region!$D$9,Cons_Region!F$11,$M$1,$G$268,Cons_Region!$J$9,Cons_Region!$B279,$K$1)</f>
        <v>-7.7392858916927878</v>
      </c>
      <c r="G279" s="21">
        <f>_xll.DBRW($D$2,Cons_Region!$D$9,Cons_Region!G$11,$M$1,$G$268,Cons_Region!$J$9,Cons_Region!$B279,$K$1)</f>
        <v>-32.416689875168515</v>
      </c>
      <c r="H279" s="21">
        <f>_xll.DBRW($D$2,Cons_Region!$D$9,Cons_Region!H$11,$M$1,$G$268,Cons_Region!$J$9,Cons_Region!$B279,$K$1)</f>
        <v>-16.715715513239189</v>
      </c>
      <c r="I279" s="21">
        <f>_xll.DBRW($D$2,Cons_Region!$D$9,Cons_Region!I$11,$M$1,$G$268,Cons_Region!$J$9,Cons_Region!$B279,$K$1)</f>
        <v>-14.986595837070354</v>
      </c>
      <c r="J279" s="21">
        <f>_xll.DBRW($D$2,Cons_Region!$D$9,Cons_Region!J$11,$M$1,$G$268,Cons_Region!$J$9,Cons_Region!$B279,$K$1)</f>
        <v>21.441193158960914</v>
      </c>
      <c r="K279" s="21">
        <f>_xll.DBRW($D$2,Cons_Region!$D$9,Cons_Region!K$11,$M$1,$G$268,Cons_Region!$J$9,Cons_Region!$B279,$K$1)</f>
        <v>-3.047083522821822</v>
      </c>
      <c r="L279" s="21">
        <f>_xll.DBRW($D$2,Cons_Region!$D$9,Cons_Region!L$11,$M$1,$G$268,Cons_Region!$J$9,Cons_Region!$B279,$K$1)</f>
        <v>33.43971014289508</v>
      </c>
      <c r="M279" s="21">
        <f>_xll.DBRW($D$2,Cons_Region!$D$9,Cons_Region!M$11,$M$1,$G$268,Cons_Region!$J$9,Cons_Region!$B279,$K$1)</f>
        <v>-4.6710985373766505</v>
      </c>
      <c r="N279" s="21">
        <f>_xll.DBRW($D$2,Cons_Region!$D$9,Cons_Region!N$11,$M$1,$G$268,Cons_Region!$J$9,Cons_Region!$B279,$K$1)</f>
        <v>-19.093499205480811</v>
      </c>
    </row>
    <row r="280" spans="2:14" ht="15.75" customHeight="1" x14ac:dyDescent="0.25">
      <c r="B280" s="17" t="s">
        <v>150</v>
      </c>
      <c r="C280" s="16">
        <f>_xll.DBRW($B$1,Cons_Region!$D$9,Cons_Region!C$11,$M$1,$G$259,Cons_Region!$J$9,$N$1,Cons_Region!$B280,$L$1,$K$1)</f>
        <v>0</v>
      </c>
      <c r="D280" s="16">
        <f>_xll.DBRW($B$1,Cons_Region!$D$9,Cons_Region!D$11,$M$1,$G$259,Cons_Region!$J$9,$N$1,Cons_Region!$B280,$L$1,$K$1)</f>
        <v>0</v>
      </c>
      <c r="E280" s="16">
        <f>_xll.DBRW($B$1,Cons_Region!$D$9,Cons_Region!E$11,$M$1,$G$259,Cons_Region!$J$9,$N$1,Cons_Region!$B280,$L$1,$K$1)</f>
        <v>0</v>
      </c>
      <c r="F280" s="16">
        <f>_xll.DBRW($B$1,Cons_Region!$D$9,Cons_Region!F$11,$M$1,$G$259,Cons_Region!$J$9,$N$1,Cons_Region!$B280,$L$1,$K$1)</f>
        <v>0</v>
      </c>
      <c r="G280" s="16">
        <f>_xll.DBRW($B$1,Cons_Region!$D$9,Cons_Region!G$11,$M$1,$G$259,Cons_Region!$J$9,$N$1,Cons_Region!$B280,$L$1,$K$1)</f>
        <v>0</v>
      </c>
      <c r="H280" s="16">
        <f>_xll.DBRW($B$1,Cons_Region!$D$9,Cons_Region!H$11,$M$1,$G$259,Cons_Region!$J$9,$N$1,Cons_Region!$B280,$L$1,$K$1)</f>
        <v>0</v>
      </c>
      <c r="I280" s="16">
        <f>_xll.DBRW($B$1,Cons_Region!$D$9,Cons_Region!I$11,$M$1,$G$259,Cons_Region!$J$9,$N$1,Cons_Region!$B280,$L$1,$K$1)</f>
        <v>0</v>
      </c>
      <c r="J280" s="16">
        <f>_xll.DBRW($B$1,Cons_Region!$D$9,Cons_Region!J$11,$M$1,$G$259,Cons_Region!$J$9,$N$1,Cons_Region!$B280,$L$1,$K$1)</f>
        <v>0</v>
      </c>
      <c r="K280" s="16">
        <f>_xll.DBRW($B$1,Cons_Region!$D$9,Cons_Region!K$11,$M$1,$G$259,Cons_Region!$J$9,$N$1,Cons_Region!$B280,$L$1,$K$1)</f>
        <v>0</v>
      </c>
      <c r="L280" s="16">
        <f>_xll.DBRW($B$1,Cons_Region!$D$9,Cons_Region!L$11,$M$1,$G$259,Cons_Region!$J$9,$N$1,Cons_Region!$B280,$L$1,$K$1)</f>
        <v>0</v>
      </c>
      <c r="M280" s="16">
        <f>_xll.DBRW($B$1,Cons_Region!$D$9,Cons_Region!M$11,$M$1,$G$259,Cons_Region!$J$9,$N$1,Cons_Region!$B280,$L$1,$K$1)</f>
        <v>0</v>
      </c>
      <c r="N280" s="16">
        <f>_xll.DBRW($B$1,Cons_Region!$D$9,Cons_Region!N$11,$M$1,$G$259,Cons_Region!$J$9,$N$1,Cons_Region!$B280,$L$1,$K$1)</f>
        <v>0</v>
      </c>
    </row>
    <row r="281" spans="2:14" ht="15.75" customHeight="1" x14ac:dyDescent="0.25">
      <c r="B281" s="17" t="s">
        <v>279</v>
      </c>
      <c r="C281" s="16">
        <f>_xll.DBRW($B$1,Cons_Region!$D$9,Cons_Region!C$11,$M$1,$G$259,Cons_Region!$J$9,$N$1,Cons_Region!$B281,$L$1,$K$1)</f>
        <v>0</v>
      </c>
      <c r="D281" s="16">
        <f>_xll.DBRW($B$1,Cons_Region!$D$9,Cons_Region!D$11,$M$1,$G$259,Cons_Region!$J$9,$N$1,Cons_Region!$B281,$L$1,$K$1)</f>
        <v>0</v>
      </c>
      <c r="E281" s="16">
        <f>_xll.DBRW($B$1,Cons_Region!$D$9,Cons_Region!E$11,$M$1,$G$259,Cons_Region!$J$9,$N$1,Cons_Region!$B281,$L$1,$K$1)</f>
        <v>0</v>
      </c>
      <c r="F281" s="16">
        <f>_xll.DBRW($B$1,Cons_Region!$D$9,Cons_Region!F$11,$M$1,$G$259,Cons_Region!$J$9,$N$1,Cons_Region!$B281,$L$1,$K$1)</f>
        <v>0</v>
      </c>
      <c r="G281" s="16">
        <f>_xll.DBRW($B$1,Cons_Region!$D$9,Cons_Region!G$11,$M$1,$G$259,Cons_Region!$J$9,$N$1,Cons_Region!$B281,$L$1,$K$1)</f>
        <v>0</v>
      </c>
      <c r="H281" s="16">
        <f>_xll.DBRW($B$1,Cons_Region!$D$9,Cons_Region!H$11,$M$1,$G$259,Cons_Region!$J$9,$N$1,Cons_Region!$B281,$L$1,$K$1)</f>
        <v>0</v>
      </c>
      <c r="I281" s="16">
        <f>_xll.DBRW($B$1,Cons_Region!$D$9,Cons_Region!I$11,$M$1,$G$259,Cons_Region!$J$9,$N$1,Cons_Region!$B281,$L$1,$K$1)</f>
        <v>0</v>
      </c>
      <c r="J281" s="16">
        <f>_xll.DBRW($B$1,Cons_Region!$D$9,Cons_Region!J$11,$M$1,$G$259,Cons_Region!$J$9,$N$1,Cons_Region!$B281,$L$1,$K$1)</f>
        <v>0</v>
      </c>
      <c r="K281" s="16">
        <f>_xll.DBRW($B$1,Cons_Region!$D$9,Cons_Region!K$11,$M$1,$G$259,Cons_Region!$J$9,$N$1,Cons_Region!$B281,$L$1,$K$1)</f>
        <v>0</v>
      </c>
      <c r="L281" s="16">
        <f>_xll.DBRW($B$1,Cons_Region!$D$9,Cons_Region!L$11,$M$1,$G$259,Cons_Region!$J$9,$N$1,Cons_Region!$B281,$L$1,$K$1)</f>
        <v>0</v>
      </c>
      <c r="M281" s="16">
        <f>_xll.DBRW($B$1,Cons_Region!$D$9,Cons_Region!M$11,$M$1,$G$259,Cons_Region!$J$9,$N$1,Cons_Region!$B281,$L$1,$K$1)</f>
        <v>0</v>
      </c>
      <c r="N281" s="16">
        <f>_xll.DBRW($B$1,Cons_Region!$D$9,Cons_Region!N$11,$M$1,$G$259,Cons_Region!$J$9,$N$1,Cons_Region!$B281,$L$1,$K$1)</f>
        <v>0</v>
      </c>
    </row>
    <row r="283" spans="2:14" ht="15.75" customHeight="1" thickBot="1" x14ac:dyDescent="0.3">
      <c r="B283" s="10"/>
    </row>
    <row r="284" spans="2:14" ht="15.75" customHeight="1" thickTop="1" x14ac:dyDescent="0.25">
      <c r="B284" s="9" t="s">
        <v>152</v>
      </c>
    </row>
    <row r="286" spans="2:14" ht="15.75" customHeight="1" x14ac:dyDescent="0.25">
      <c r="B286" s="5"/>
      <c r="C286" s="18" t="str">
        <f t="shared" ref="C286:N286" si="25">$D$9&amp;"."&amp;C$11</f>
        <v>2026.01</v>
      </c>
      <c r="D286" s="18" t="str">
        <f t="shared" si="25"/>
        <v>2026.02</v>
      </c>
      <c r="E286" s="18" t="str">
        <f t="shared" si="25"/>
        <v>2026.03</v>
      </c>
      <c r="F286" s="18" t="str">
        <f t="shared" si="25"/>
        <v>2026.04</v>
      </c>
      <c r="G286" s="18" t="str">
        <f t="shared" si="25"/>
        <v>2026.05</v>
      </c>
      <c r="H286" s="18" t="str">
        <f t="shared" si="25"/>
        <v>2026.06</v>
      </c>
      <c r="I286" s="18" t="str">
        <f t="shared" si="25"/>
        <v>2026.07</v>
      </c>
      <c r="J286" s="18" t="str">
        <f t="shared" si="25"/>
        <v>2026.08</v>
      </c>
      <c r="K286" s="18" t="str">
        <f t="shared" si="25"/>
        <v>2026.09</v>
      </c>
      <c r="L286" s="18" t="str">
        <f t="shared" si="25"/>
        <v>2026.10</v>
      </c>
      <c r="M286" s="18" t="str">
        <f t="shared" si="25"/>
        <v>2026.11</v>
      </c>
      <c r="N286" s="18" t="str">
        <f t="shared" si="25"/>
        <v>2026.12</v>
      </c>
    </row>
    <row r="287" spans="2:14" ht="15.75" customHeight="1" x14ac:dyDescent="0.25">
      <c r="B287" s="24" t="s">
        <v>153</v>
      </c>
      <c r="C287" s="21">
        <f>_xll.DBRW($D$2,Cons_Region!$D$9,Cons_Region!C$11,$M$1,$G$268,Cons_Region!$J$9,Cons_Region!$B287,$K$1)</f>
        <v>-0.81343818259398404</v>
      </c>
      <c r="D287" s="21">
        <f>_xll.DBRW($D$2,Cons_Region!$D$9,Cons_Region!D$11,$M$1,$G$268,Cons_Region!$J$9,Cons_Region!$B287,$K$1)</f>
        <v>-0.42185429123193802</v>
      </c>
      <c r="E287" s="21">
        <f>_xll.DBRW($D$2,Cons_Region!$D$9,Cons_Region!E$11,$M$1,$G$268,Cons_Region!$J$9,Cons_Region!$B287,$K$1)</f>
        <v>-3.7337179426724201</v>
      </c>
      <c r="F287" s="21">
        <f>_xll.DBRW($D$2,Cons_Region!$D$9,Cons_Region!F$11,$M$1,$G$268,Cons_Region!$J$9,Cons_Region!$B287,$K$1)</f>
        <v>-15.657956366004999</v>
      </c>
      <c r="G287" s="21">
        <f>_xll.DBRW($D$2,Cons_Region!$D$9,Cons_Region!G$11,$M$1,$G$268,Cons_Region!$J$9,Cons_Region!$B287,$K$1)</f>
        <v>-2.3732541525343001</v>
      </c>
      <c r="H287" s="21">
        <f>_xll.DBRW($D$2,Cons_Region!$D$9,Cons_Region!H$11,$M$1,$G$268,Cons_Region!$J$9,Cons_Region!$B287,$K$1)</f>
        <v>-3.8678751915695302</v>
      </c>
      <c r="I287" s="21">
        <f>_xll.DBRW($D$2,Cons_Region!$D$9,Cons_Region!I$11,$M$1,$G$268,Cons_Region!$J$9,Cons_Region!$B287,$K$1)</f>
        <v>-1.5443371525843901</v>
      </c>
      <c r="J287" s="21">
        <f>_xll.DBRW($D$2,Cons_Region!$D$9,Cons_Region!J$11,$M$1,$G$268,Cons_Region!$J$9,Cons_Region!$B287,$K$1)</f>
        <v>-1.5144672803788699</v>
      </c>
      <c r="K287" s="21">
        <f>_xll.DBRW($D$2,Cons_Region!$D$9,Cons_Region!K$11,$M$1,$G$268,Cons_Region!$J$9,Cons_Region!$B287,$K$1)</f>
        <v>-3.8365252120089601</v>
      </c>
      <c r="L287" s="21">
        <f>_xll.DBRW($D$2,Cons_Region!$D$9,Cons_Region!L$11,$M$1,$G$268,Cons_Region!$J$9,Cons_Region!$B287,$K$1)</f>
        <v>-16.028888878833499</v>
      </c>
      <c r="M287" s="21">
        <f>_xll.DBRW($D$2,Cons_Region!$D$9,Cons_Region!M$11,$M$1,$G$268,Cons_Region!$J$9,Cons_Region!$B287,$K$1)</f>
        <v>-1.59681113360129</v>
      </c>
      <c r="N287" s="21">
        <f>_xll.DBRW($D$2,Cons_Region!$D$9,Cons_Region!N$11,$M$1,$G$268,Cons_Region!$J$9,Cons_Region!$B287,$K$1)</f>
        <v>-3.8038263739686902</v>
      </c>
    </row>
    <row r="288" spans="2:14" ht="15.75" customHeight="1" x14ac:dyDescent="0.25">
      <c r="B288" s="24" t="s">
        <v>134</v>
      </c>
      <c r="C288" s="21">
        <f>_xll.DBRW($D$2,Cons_Region!$D$9,Cons_Region!C$11,$M$1,$G$268,Cons_Region!$J$9,Cons_Region!$B288,$K$1)</f>
        <v>0</v>
      </c>
      <c r="D288" s="21">
        <f>_xll.DBRW($D$2,Cons_Region!$D$9,Cons_Region!D$11,$M$1,$G$268,Cons_Region!$J$9,Cons_Region!$B288,$K$1)</f>
        <v>0</v>
      </c>
      <c r="E288" s="21">
        <f>_xll.DBRW($D$2,Cons_Region!$D$9,Cons_Region!E$11,$M$1,$G$268,Cons_Region!$J$9,Cons_Region!$B288,$K$1)</f>
        <v>0</v>
      </c>
      <c r="F288" s="21">
        <f>_xll.DBRW($D$2,Cons_Region!$D$9,Cons_Region!F$11,$M$1,$G$268,Cons_Region!$J$9,Cons_Region!$B288,$K$1)</f>
        <v>0</v>
      </c>
      <c r="G288" s="21">
        <f>_xll.DBRW($D$2,Cons_Region!$D$9,Cons_Region!G$11,$M$1,$G$268,Cons_Region!$J$9,Cons_Region!$B288,$K$1)</f>
        <v>0</v>
      </c>
      <c r="H288" s="21">
        <f>_xll.DBRW($D$2,Cons_Region!$D$9,Cons_Region!H$11,$M$1,$G$268,Cons_Region!$J$9,Cons_Region!$B288,$K$1)</f>
        <v>0</v>
      </c>
      <c r="I288" s="21">
        <f>_xll.DBRW($D$2,Cons_Region!$D$9,Cons_Region!I$11,$M$1,$G$268,Cons_Region!$J$9,Cons_Region!$B288,$K$1)</f>
        <v>0</v>
      </c>
      <c r="J288" s="21">
        <f>_xll.DBRW($D$2,Cons_Region!$D$9,Cons_Region!J$11,$M$1,$G$268,Cons_Region!$J$9,Cons_Region!$B288,$K$1)</f>
        <v>0</v>
      </c>
      <c r="K288" s="21">
        <f>_xll.DBRW($D$2,Cons_Region!$D$9,Cons_Region!K$11,$M$1,$G$268,Cons_Region!$J$9,Cons_Region!$B288,$K$1)</f>
        <v>0</v>
      </c>
      <c r="L288" s="21">
        <f>_xll.DBRW($D$2,Cons_Region!$D$9,Cons_Region!L$11,$M$1,$G$268,Cons_Region!$J$9,Cons_Region!$B288,$K$1)</f>
        <v>0</v>
      </c>
      <c r="M288" s="21">
        <f>_xll.DBRW($D$2,Cons_Region!$D$9,Cons_Region!M$11,$M$1,$G$268,Cons_Region!$J$9,Cons_Region!$B288,$K$1)</f>
        <v>0</v>
      </c>
      <c r="N288" s="21">
        <f>_xll.DBRW($D$2,Cons_Region!$D$9,Cons_Region!N$11,$M$1,$G$268,Cons_Region!$J$9,Cons_Region!$B288,$K$1)</f>
        <v>0</v>
      </c>
    </row>
    <row r="289" spans="2:14" ht="15.75" customHeight="1" x14ac:dyDescent="0.25">
      <c r="B289" s="17" t="s">
        <v>154</v>
      </c>
      <c r="C289" s="26">
        <f>_xll.DBRW($C$1,Cons_Region!$D$9,Cons_Region!C$11,$M$1,Cons_Region!$J$9,Cons_Region!$B289,$K$1)</f>
        <v>0</v>
      </c>
      <c r="D289" s="26">
        <f>_xll.DBRW($C$1,Cons_Region!$D$9,Cons_Region!D$11,$M$1,Cons_Region!$J$9,Cons_Region!$B289,$K$1)</f>
        <v>0</v>
      </c>
      <c r="E289" s="26">
        <f>_xll.DBRW($C$1,Cons_Region!$D$9,Cons_Region!E$11,$M$1,Cons_Region!$J$9,Cons_Region!$B289,$K$1)</f>
        <v>0</v>
      </c>
      <c r="F289" s="26">
        <f>_xll.DBRW($C$1,Cons_Region!$D$9,Cons_Region!F$11,$M$1,Cons_Region!$J$9,Cons_Region!$B289,$K$1)</f>
        <v>0</v>
      </c>
      <c r="G289" s="26">
        <f>_xll.DBRW($C$1,Cons_Region!$D$9,Cons_Region!G$11,$M$1,Cons_Region!$J$9,Cons_Region!$B289,$K$1)</f>
        <v>0</v>
      </c>
      <c r="H289" s="26">
        <f>_xll.DBRW($C$1,Cons_Region!$D$9,Cons_Region!H$11,$M$1,Cons_Region!$J$9,Cons_Region!$B289,$K$1)</f>
        <v>0</v>
      </c>
      <c r="I289" s="26">
        <f>_xll.DBRW($C$1,Cons_Region!$D$9,Cons_Region!I$11,$M$1,Cons_Region!$J$9,Cons_Region!$B289,$K$1)</f>
        <v>0</v>
      </c>
      <c r="J289" s="26">
        <f>_xll.DBRW($C$1,Cons_Region!$D$9,Cons_Region!J$11,$M$1,Cons_Region!$J$9,Cons_Region!$B289,$K$1)</f>
        <v>0</v>
      </c>
      <c r="K289" s="26">
        <f>_xll.DBRW($C$1,Cons_Region!$D$9,Cons_Region!K$11,$M$1,Cons_Region!$J$9,Cons_Region!$B289,$K$1)</f>
        <v>0</v>
      </c>
      <c r="L289" s="26">
        <f>_xll.DBRW($C$1,Cons_Region!$D$9,Cons_Region!L$11,$M$1,Cons_Region!$J$9,Cons_Region!$B289,$K$1)</f>
        <v>0</v>
      </c>
      <c r="M289" s="26">
        <f>_xll.DBRW($C$1,Cons_Region!$D$9,Cons_Region!M$11,$M$1,Cons_Region!$J$9,Cons_Region!$B289,$K$1)</f>
        <v>0</v>
      </c>
      <c r="N289" s="26">
        <f>_xll.DBRW($C$1,Cons_Region!$D$9,Cons_Region!N$11,$M$1,Cons_Region!$J$9,Cons_Region!$B289,$K$1)</f>
        <v>0</v>
      </c>
    </row>
    <row r="290" spans="2:14" ht="15.75" customHeight="1" x14ac:dyDescent="0.25">
      <c r="B290" s="17" t="s">
        <v>155</v>
      </c>
      <c r="C290" s="26">
        <f>_xll.DBRW($C$1,Cons_Region!$D$9,Cons_Region!C$11,$M$1,Cons_Region!$J$9,Cons_Region!$B290,$K$1)</f>
        <v>0</v>
      </c>
      <c r="D290" s="26">
        <f>_xll.DBRW($C$1,Cons_Region!$D$9,Cons_Region!D$11,$M$1,Cons_Region!$J$9,Cons_Region!$B290,$K$1)</f>
        <v>0</v>
      </c>
      <c r="E290" s="26">
        <f>_xll.DBRW($C$1,Cons_Region!$D$9,Cons_Region!E$11,$M$1,Cons_Region!$J$9,Cons_Region!$B290,$K$1)</f>
        <v>0</v>
      </c>
      <c r="F290" s="26">
        <f>_xll.DBRW($C$1,Cons_Region!$D$9,Cons_Region!F$11,$M$1,Cons_Region!$J$9,Cons_Region!$B290,$K$1)</f>
        <v>0</v>
      </c>
      <c r="G290" s="26">
        <f>_xll.DBRW($C$1,Cons_Region!$D$9,Cons_Region!G$11,$M$1,Cons_Region!$J$9,Cons_Region!$B290,$K$1)</f>
        <v>0</v>
      </c>
      <c r="H290" s="26">
        <f>_xll.DBRW($C$1,Cons_Region!$D$9,Cons_Region!H$11,$M$1,Cons_Region!$J$9,Cons_Region!$B290,$K$1)</f>
        <v>0</v>
      </c>
      <c r="I290" s="26">
        <f>_xll.DBRW($C$1,Cons_Region!$D$9,Cons_Region!I$11,$M$1,Cons_Region!$J$9,Cons_Region!$B290,$K$1)</f>
        <v>0</v>
      </c>
      <c r="J290" s="26">
        <f>_xll.DBRW($C$1,Cons_Region!$D$9,Cons_Region!J$11,$M$1,Cons_Region!$J$9,Cons_Region!$B290,$K$1)</f>
        <v>0</v>
      </c>
      <c r="K290" s="26">
        <f>_xll.DBRW($C$1,Cons_Region!$D$9,Cons_Region!K$11,$M$1,Cons_Region!$J$9,Cons_Region!$B290,$K$1)</f>
        <v>0</v>
      </c>
      <c r="L290" s="26">
        <f>_xll.DBRW($C$1,Cons_Region!$D$9,Cons_Region!L$11,$M$1,Cons_Region!$J$9,Cons_Region!$B290,$K$1)</f>
        <v>0</v>
      </c>
      <c r="M290" s="26">
        <f>_xll.DBRW($C$1,Cons_Region!$D$9,Cons_Region!M$11,$M$1,Cons_Region!$J$9,Cons_Region!$B290,$K$1)</f>
        <v>0</v>
      </c>
      <c r="N290" s="26">
        <f>_xll.DBRW($C$1,Cons_Region!$D$9,Cons_Region!N$11,$M$1,Cons_Region!$J$9,Cons_Region!$B290,$K$1)</f>
        <v>0</v>
      </c>
    </row>
    <row r="291" spans="2:14" ht="15.75" customHeight="1" x14ac:dyDescent="0.25">
      <c r="B291" s="17" t="s">
        <v>156</v>
      </c>
      <c r="C291" s="16">
        <f>_xll.DBRW($B$1,Cons_Region!$D$9,Cons_Region!C$11,$M$1,$G$259,Cons_Region!$J$9,$N$1,Cons_Region!$B291,$L$1,$K$1)</f>
        <v>0</v>
      </c>
      <c r="D291" s="16">
        <f>_xll.DBRW($B$1,Cons_Region!$D$9,Cons_Region!D$11,$M$1,$G$259,Cons_Region!$J$9,$N$1,Cons_Region!$B291,$L$1,$K$1)</f>
        <v>0</v>
      </c>
      <c r="E291" s="16">
        <f>_xll.DBRW($B$1,Cons_Region!$D$9,Cons_Region!E$11,$M$1,$G$259,Cons_Region!$J$9,$N$1,Cons_Region!$B291,$L$1,$K$1)</f>
        <v>0</v>
      </c>
      <c r="F291" s="16">
        <f>_xll.DBRW($B$1,Cons_Region!$D$9,Cons_Region!F$11,$M$1,$G$259,Cons_Region!$J$9,$N$1,Cons_Region!$B291,$L$1,$K$1)</f>
        <v>0</v>
      </c>
      <c r="G291" s="16">
        <f>_xll.DBRW($B$1,Cons_Region!$D$9,Cons_Region!G$11,$M$1,$G$259,Cons_Region!$J$9,$N$1,Cons_Region!$B291,$L$1,$K$1)</f>
        <v>0</v>
      </c>
      <c r="H291" s="16">
        <f>_xll.DBRW($B$1,Cons_Region!$D$9,Cons_Region!H$11,$M$1,$G$259,Cons_Region!$J$9,$N$1,Cons_Region!$B291,$L$1,$K$1)</f>
        <v>0</v>
      </c>
      <c r="I291" s="16">
        <f>_xll.DBRW($B$1,Cons_Region!$D$9,Cons_Region!I$11,$M$1,$G$259,Cons_Region!$J$9,$N$1,Cons_Region!$B291,$L$1,$K$1)</f>
        <v>0</v>
      </c>
      <c r="J291" s="16">
        <f>_xll.DBRW($B$1,Cons_Region!$D$9,Cons_Region!J$11,$M$1,$G$259,Cons_Region!$J$9,$N$1,Cons_Region!$B291,$L$1,$K$1)</f>
        <v>0</v>
      </c>
      <c r="K291" s="16">
        <f>_xll.DBRW($B$1,Cons_Region!$D$9,Cons_Region!K$11,$M$1,$G$259,Cons_Region!$J$9,$N$1,Cons_Region!$B291,$L$1,$K$1)</f>
        <v>0</v>
      </c>
      <c r="L291" s="16">
        <f>_xll.DBRW($B$1,Cons_Region!$D$9,Cons_Region!L$11,$M$1,$G$259,Cons_Region!$J$9,$N$1,Cons_Region!$B291,$L$1,$K$1)</f>
        <v>0</v>
      </c>
      <c r="M291" s="16">
        <f>_xll.DBRW($B$1,Cons_Region!$D$9,Cons_Region!M$11,$M$1,$G$259,Cons_Region!$J$9,$N$1,Cons_Region!$B291,$L$1,$K$1)</f>
        <v>0</v>
      </c>
      <c r="N291" s="16">
        <f>_xll.DBRW($B$1,Cons_Region!$D$9,Cons_Region!N$11,$M$1,$G$259,Cons_Region!$J$9,$N$1,Cons_Region!$B291,$L$1,$K$1)</f>
        <v>0</v>
      </c>
    </row>
    <row r="292" spans="2:14" ht="15.75" customHeight="1" x14ac:dyDescent="0.25">
      <c r="B292" s="24" t="s">
        <v>157</v>
      </c>
      <c r="C292" s="21">
        <f>_xll.DBRW($D$2,Cons_Region!$D$9,Cons_Region!C$11,$M$1,$G$268,Cons_Region!$J$9,Cons_Region!$B292,$K$1)</f>
        <v>0</v>
      </c>
      <c r="D292" s="21">
        <f>_xll.DBRW($D$2,Cons_Region!$D$9,Cons_Region!D$11,$M$1,$G$268,Cons_Region!$J$9,Cons_Region!$B292,$K$1)</f>
        <v>0</v>
      </c>
      <c r="E292" s="21">
        <f>_xll.DBRW($D$2,Cons_Region!$D$9,Cons_Region!E$11,$M$1,$G$268,Cons_Region!$J$9,Cons_Region!$B292,$K$1)</f>
        <v>0</v>
      </c>
      <c r="F292" s="21">
        <f>_xll.DBRW($D$2,Cons_Region!$D$9,Cons_Region!F$11,$M$1,$G$268,Cons_Region!$J$9,Cons_Region!$B292,$K$1)</f>
        <v>0</v>
      </c>
      <c r="G292" s="21">
        <f>_xll.DBRW($D$2,Cons_Region!$D$9,Cons_Region!G$11,$M$1,$G$268,Cons_Region!$J$9,Cons_Region!$B292,$K$1)</f>
        <v>0</v>
      </c>
      <c r="H292" s="21">
        <f>_xll.DBRW($D$2,Cons_Region!$D$9,Cons_Region!H$11,$M$1,$G$268,Cons_Region!$J$9,Cons_Region!$B292,$K$1)</f>
        <v>0</v>
      </c>
      <c r="I292" s="21">
        <f>_xll.DBRW($D$2,Cons_Region!$D$9,Cons_Region!I$11,$M$1,$G$268,Cons_Region!$J$9,Cons_Region!$B292,$K$1)</f>
        <v>0</v>
      </c>
      <c r="J292" s="21">
        <f>_xll.DBRW($D$2,Cons_Region!$D$9,Cons_Region!J$11,$M$1,$G$268,Cons_Region!$J$9,Cons_Region!$B292,$K$1)</f>
        <v>0</v>
      </c>
      <c r="K292" s="21">
        <f>_xll.DBRW($D$2,Cons_Region!$D$9,Cons_Region!K$11,$M$1,$G$268,Cons_Region!$J$9,Cons_Region!$B292,$K$1)</f>
        <v>0</v>
      </c>
      <c r="L292" s="21">
        <f>_xll.DBRW($D$2,Cons_Region!$D$9,Cons_Region!L$11,$M$1,$G$268,Cons_Region!$J$9,Cons_Region!$B292,$K$1)</f>
        <v>0</v>
      </c>
      <c r="M292" s="21">
        <f>_xll.DBRW($D$2,Cons_Region!$D$9,Cons_Region!M$11,$M$1,$G$268,Cons_Region!$J$9,Cons_Region!$B292,$K$1)</f>
        <v>0</v>
      </c>
      <c r="N292" s="21">
        <f>_xll.DBRW($D$2,Cons_Region!$D$9,Cons_Region!N$11,$M$1,$G$268,Cons_Region!$J$9,Cons_Region!$B292,$K$1)</f>
        <v>0</v>
      </c>
    </row>
    <row r="293" spans="2:14" ht="15.75" customHeight="1" x14ac:dyDescent="0.25">
      <c r="B293" s="24" t="s">
        <v>158</v>
      </c>
      <c r="C293" s="21">
        <f>_xll.DBRW($D$2,Cons_Region!$D$9,Cons_Region!C$11,$M$1,$G$268,Cons_Region!$J$9,Cons_Region!$B293,$K$1)</f>
        <v>0</v>
      </c>
      <c r="D293" s="21">
        <f>_xll.DBRW($D$2,Cons_Region!$D$9,Cons_Region!D$11,$M$1,$G$268,Cons_Region!$J$9,Cons_Region!$B293,$K$1)</f>
        <v>0</v>
      </c>
      <c r="E293" s="21">
        <f>_xll.DBRW($D$2,Cons_Region!$D$9,Cons_Region!E$11,$M$1,$G$268,Cons_Region!$J$9,Cons_Region!$B293,$K$1)</f>
        <v>0</v>
      </c>
      <c r="F293" s="21">
        <f>_xll.DBRW($D$2,Cons_Region!$D$9,Cons_Region!F$11,$M$1,$G$268,Cons_Region!$J$9,Cons_Region!$B293,$K$1)</f>
        <v>0</v>
      </c>
      <c r="G293" s="21">
        <f>_xll.DBRW($D$2,Cons_Region!$D$9,Cons_Region!G$11,$M$1,$G$268,Cons_Region!$J$9,Cons_Region!$B293,$K$1)</f>
        <v>0</v>
      </c>
      <c r="H293" s="21">
        <f>_xll.DBRW($D$2,Cons_Region!$D$9,Cons_Region!H$11,$M$1,$G$268,Cons_Region!$J$9,Cons_Region!$B293,$K$1)</f>
        <v>0</v>
      </c>
      <c r="I293" s="21">
        <f>_xll.DBRW($D$2,Cons_Region!$D$9,Cons_Region!I$11,$M$1,$G$268,Cons_Region!$J$9,Cons_Region!$B293,$K$1)</f>
        <v>0</v>
      </c>
      <c r="J293" s="21">
        <f>_xll.DBRW($D$2,Cons_Region!$D$9,Cons_Region!J$11,$M$1,$G$268,Cons_Region!$J$9,Cons_Region!$B293,$K$1)</f>
        <v>0</v>
      </c>
      <c r="K293" s="21">
        <f>_xll.DBRW($D$2,Cons_Region!$D$9,Cons_Region!K$11,$M$1,$G$268,Cons_Region!$J$9,Cons_Region!$B293,$K$1)</f>
        <v>0</v>
      </c>
      <c r="L293" s="21">
        <f>_xll.DBRW($D$2,Cons_Region!$D$9,Cons_Region!L$11,$M$1,$G$268,Cons_Region!$J$9,Cons_Region!$B293,$K$1)</f>
        <v>0</v>
      </c>
      <c r="M293" s="21">
        <f>_xll.DBRW($D$2,Cons_Region!$D$9,Cons_Region!M$11,$M$1,$G$268,Cons_Region!$J$9,Cons_Region!$B293,$K$1)</f>
        <v>0</v>
      </c>
      <c r="N293" s="21">
        <f>_xll.DBRW($D$2,Cons_Region!$D$9,Cons_Region!N$11,$M$1,$G$268,Cons_Region!$J$9,Cons_Region!$B293,$K$1)</f>
        <v>0</v>
      </c>
    </row>
    <row r="294" spans="2:14" ht="15.75" customHeight="1" x14ac:dyDescent="0.25">
      <c r="B294" s="24" t="s">
        <v>159</v>
      </c>
      <c r="C294" s="21">
        <f>_xll.DBRW($D$2,Cons_Region!$D$9,Cons_Region!C$11,$M$1,$G$268,Cons_Region!$J$9,Cons_Region!$B294,$K$1)</f>
        <v>0</v>
      </c>
      <c r="D294" s="21">
        <f>_xll.DBRW($D$2,Cons_Region!$D$9,Cons_Region!D$11,$M$1,$G$268,Cons_Region!$J$9,Cons_Region!$B294,$K$1)</f>
        <v>0</v>
      </c>
      <c r="E294" s="21">
        <f>_xll.DBRW($D$2,Cons_Region!$D$9,Cons_Region!E$11,$M$1,$G$268,Cons_Region!$J$9,Cons_Region!$B294,$K$1)</f>
        <v>0</v>
      </c>
      <c r="F294" s="21">
        <f>_xll.DBRW($D$2,Cons_Region!$D$9,Cons_Region!F$11,$M$1,$G$268,Cons_Region!$J$9,Cons_Region!$B294,$K$1)</f>
        <v>0</v>
      </c>
      <c r="G294" s="21">
        <f>_xll.DBRW($D$2,Cons_Region!$D$9,Cons_Region!G$11,$M$1,$G$268,Cons_Region!$J$9,Cons_Region!$B294,$K$1)</f>
        <v>0</v>
      </c>
      <c r="H294" s="21">
        <f>_xll.DBRW($D$2,Cons_Region!$D$9,Cons_Region!H$11,$M$1,$G$268,Cons_Region!$J$9,Cons_Region!$B294,$K$1)</f>
        <v>0</v>
      </c>
      <c r="I294" s="21">
        <f>_xll.DBRW($D$2,Cons_Region!$D$9,Cons_Region!I$11,$M$1,$G$268,Cons_Region!$J$9,Cons_Region!$B294,$K$1)</f>
        <v>0</v>
      </c>
      <c r="J294" s="21">
        <f>_xll.DBRW($D$2,Cons_Region!$D$9,Cons_Region!J$11,$M$1,$G$268,Cons_Region!$J$9,Cons_Region!$B294,$K$1)</f>
        <v>0</v>
      </c>
      <c r="K294" s="21">
        <f>_xll.DBRW($D$2,Cons_Region!$D$9,Cons_Region!K$11,$M$1,$G$268,Cons_Region!$J$9,Cons_Region!$B294,$K$1)</f>
        <v>0</v>
      </c>
      <c r="L294" s="21">
        <f>_xll.DBRW($D$2,Cons_Region!$D$9,Cons_Region!L$11,$M$1,$G$268,Cons_Region!$J$9,Cons_Region!$B294,$K$1)</f>
        <v>0</v>
      </c>
      <c r="M294" s="21">
        <f>_xll.DBRW($D$2,Cons_Region!$D$9,Cons_Region!M$11,$M$1,$G$268,Cons_Region!$J$9,Cons_Region!$B294,$K$1)</f>
        <v>0</v>
      </c>
      <c r="N294" s="21">
        <f>_xll.DBRW($D$2,Cons_Region!$D$9,Cons_Region!N$11,$M$1,$G$268,Cons_Region!$J$9,Cons_Region!$B294,$K$1)</f>
        <v>0</v>
      </c>
    </row>
    <row r="295" spans="2:14" ht="15.75" customHeight="1" x14ac:dyDescent="0.25">
      <c r="B295" s="17" t="s">
        <v>160</v>
      </c>
      <c r="C295" s="16">
        <f>_xll.DBRW($B$1,Cons_Region!$D$9,Cons_Region!C$11,$M$1,$G$259,Cons_Region!$J$9,$N$1,Cons_Region!$B295,$L$1,$K$1)</f>
        <v>0</v>
      </c>
      <c r="D295" s="16">
        <f>_xll.DBRW($B$1,Cons_Region!$D$9,Cons_Region!D$11,$M$1,$G$259,Cons_Region!$J$9,$N$1,Cons_Region!$B295,$L$1,$K$1)</f>
        <v>0</v>
      </c>
      <c r="E295" s="16">
        <f>_xll.DBRW($B$1,Cons_Region!$D$9,Cons_Region!E$11,$M$1,$G$259,Cons_Region!$J$9,$N$1,Cons_Region!$B295,$L$1,$K$1)</f>
        <v>0</v>
      </c>
      <c r="F295" s="16">
        <f>_xll.DBRW($B$1,Cons_Region!$D$9,Cons_Region!F$11,$M$1,$G$259,Cons_Region!$J$9,$N$1,Cons_Region!$B295,$L$1,$K$1)</f>
        <v>0</v>
      </c>
      <c r="G295" s="16">
        <f>_xll.DBRW($B$1,Cons_Region!$D$9,Cons_Region!G$11,$M$1,$G$259,Cons_Region!$J$9,$N$1,Cons_Region!$B295,$L$1,$K$1)</f>
        <v>0</v>
      </c>
      <c r="H295" s="16">
        <f>_xll.DBRW($B$1,Cons_Region!$D$9,Cons_Region!H$11,$M$1,$G$259,Cons_Region!$J$9,$N$1,Cons_Region!$B295,$L$1,$K$1)</f>
        <v>0</v>
      </c>
      <c r="I295" s="16">
        <f>_xll.DBRW($B$1,Cons_Region!$D$9,Cons_Region!I$11,$M$1,$G$259,Cons_Region!$J$9,$N$1,Cons_Region!$B295,$L$1,$K$1)</f>
        <v>0</v>
      </c>
      <c r="J295" s="16">
        <f>_xll.DBRW($B$1,Cons_Region!$D$9,Cons_Region!J$11,$M$1,$G$259,Cons_Region!$J$9,$N$1,Cons_Region!$B295,$L$1,$K$1)</f>
        <v>0</v>
      </c>
      <c r="K295" s="16">
        <f>_xll.DBRW($B$1,Cons_Region!$D$9,Cons_Region!K$11,$M$1,$G$259,Cons_Region!$J$9,$N$1,Cons_Region!$B295,$L$1,$K$1)</f>
        <v>0</v>
      </c>
      <c r="L295" s="16">
        <f>_xll.DBRW($B$1,Cons_Region!$D$9,Cons_Region!L$11,$M$1,$G$259,Cons_Region!$J$9,$N$1,Cons_Region!$B295,$L$1,$K$1)</f>
        <v>0</v>
      </c>
      <c r="M295" s="16">
        <f>_xll.DBRW($B$1,Cons_Region!$D$9,Cons_Region!M$11,$M$1,$G$259,Cons_Region!$J$9,$N$1,Cons_Region!$B295,$L$1,$K$1)</f>
        <v>0</v>
      </c>
      <c r="N295" s="16">
        <f>_xll.DBRW($B$1,Cons_Region!$D$9,Cons_Region!N$11,$M$1,$G$259,Cons_Region!$J$9,$N$1,Cons_Region!$B295,$L$1,$K$1)</f>
        <v>0</v>
      </c>
    </row>
    <row r="296" spans="2:14" ht="15.75" customHeight="1" x14ac:dyDescent="0.25">
      <c r="B296" s="17" t="s">
        <v>161</v>
      </c>
      <c r="C296" s="26">
        <f>_xll.DBRW($C$1,Cons_Region!$D$9,Cons_Region!C$11,$M$1,Cons_Region!$J$9,Cons_Region!$B296,$K$1)</f>
        <v>0</v>
      </c>
      <c r="D296" s="26">
        <f>_xll.DBRW($C$1,Cons_Region!$D$9,Cons_Region!D$11,$M$1,Cons_Region!$J$9,Cons_Region!$B296,$K$1)</f>
        <v>0</v>
      </c>
      <c r="E296" s="26">
        <f>_xll.DBRW($C$1,Cons_Region!$D$9,Cons_Region!E$11,$M$1,Cons_Region!$J$9,Cons_Region!$B296,$K$1)</f>
        <v>0</v>
      </c>
      <c r="F296" s="26">
        <f>_xll.DBRW($C$1,Cons_Region!$D$9,Cons_Region!F$11,$M$1,Cons_Region!$J$9,Cons_Region!$B296,$K$1)</f>
        <v>0</v>
      </c>
      <c r="G296" s="26">
        <f>_xll.DBRW($C$1,Cons_Region!$D$9,Cons_Region!G$11,$M$1,Cons_Region!$J$9,Cons_Region!$B296,$K$1)</f>
        <v>0</v>
      </c>
      <c r="H296" s="26">
        <f>_xll.DBRW($C$1,Cons_Region!$D$9,Cons_Region!H$11,$M$1,Cons_Region!$J$9,Cons_Region!$B296,$K$1)</f>
        <v>0</v>
      </c>
      <c r="I296" s="26">
        <f>_xll.DBRW($C$1,Cons_Region!$D$9,Cons_Region!I$11,$M$1,Cons_Region!$J$9,Cons_Region!$B296,$K$1)</f>
        <v>0</v>
      </c>
      <c r="J296" s="26">
        <f>_xll.DBRW($C$1,Cons_Region!$D$9,Cons_Region!J$11,$M$1,Cons_Region!$J$9,Cons_Region!$B296,$K$1)</f>
        <v>0</v>
      </c>
      <c r="K296" s="26">
        <f>_xll.DBRW($C$1,Cons_Region!$D$9,Cons_Region!K$11,$M$1,Cons_Region!$J$9,Cons_Region!$B296,$K$1)</f>
        <v>0</v>
      </c>
      <c r="L296" s="26">
        <f>_xll.DBRW($C$1,Cons_Region!$D$9,Cons_Region!L$11,$M$1,Cons_Region!$J$9,Cons_Region!$B296,$K$1)</f>
        <v>0</v>
      </c>
      <c r="M296" s="26">
        <f>_xll.DBRW($C$1,Cons_Region!$D$9,Cons_Region!M$11,$M$1,Cons_Region!$J$9,Cons_Region!$B296,$K$1)</f>
        <v>0</v>
      </c>
      <c r="N296" s="26">
        <f>_xll.DBRW($C$1,Cons_Region!$D$9,Cons_Region!N$11,$M$1,Cons_Region!$J$9,Cons_Region!$B296,$K$1)</f>
        <v>0</v>
      </c>
    </row>
    <row r="298" spans="2:14" ht="15.75" customHeight="1" thickBot="1" x14ac:dyDescent="0.3">
      <c r="B298" s="10"/>
    </row>
    <row r="299" spans="2:14" ht="15.75" customHeight="1" thickTop="1" x14ac:dyDescent="0.25">
      <c r="B299" s="9" t="s">
        <v>162</v>
      </c>
    </row>
    <row r="301" spans="2:14" ht="15.75" customHeight="1" x14ac:dyDescent="0.25">
      <c r="B301" s="5"/>
      <c r="C301" s="18" t="str">
        <f t="shared" ref="C301:N301" si="26">$D$9&amp;"."&amp;C$11</f>
        <v>2026.01</v>
      </c>
      <c r="D301" s="18" t="str">
        <f t="shared" si="26"/>
        <v>2026.02</v>
      </c>
      <c r="E301" s="18" t="str">
        <f t="shared" si="26"/>
        <v>2026.03</v>
      </c>
      <c r="F301" s="18" t="str">
        <f t="shared" si="26"/>
        <v>2026.04</v>
      </c>
      <c r="G301" s="18" t="str">
        <f t="shared" si="26"/>
        <v>2026.05</v>
      </c>
      <c r="H301" s="18" t="str">
        <f t="shared" si="26"/>
        <v>2026.06</v>
      </c>
      <c r="I301" s="18" t="str">
        <f t="shared" si="26"/>
        <v>2026.07</v>
      </c>
      <c r="J301" s="18" t="str">
        <f t="shared" si="26"/>
        <v>2026.08</v>
      </c>
      <c r="K301" s="18" t="str">
        <f t="shared" si="26"/>
        <v>2026.09</v>
      </c>
      <c r="L301" s="18" t="str">
        <f t="shared" si="26"/>
        <v>2026.10</v>
      </c>
      <c r="M301" s="18" t="str">
        <f t="shared" si="26"/>
        <v>2026.11</v>
      </c>
      <c r="N301" s="18" t="str">
        <f t="shared" si="26"/>
        <v>2026.12</v>
      </c>
    </row>
    <row r="302" spans="2:14" ht="15.75" customHeight="1" x14ac:dyDescent="0.25">
      <c r="B302" s="17" t="s">
        <v>163</v>
      </c>
      <c r="C302" s="16">
        <f>_xll.DBRW($B$1,Cons_Region!$D$9,Cons_Region!C$11,$M$1,$G$259,Cons_Region!$J$9,$N$1,Cons_Region!$B302,$L$1,$K$1)</f>
        <v>0</v>
      </c>
      <c r="D302" s="16">
        <f>_xll.DBRW($B$1,Cons_Region!$D$9,Cons_Region!D$11,$M$1,$G$259,Cons_Region!$J$9,$N$1,Cons_Region!$B302,$L$1,$K$1)</f>
        <v>0</v>
      </c>
      <c r="E302" s="16">
        <f>_xll.DBRW($B$1,Cons_Region!$D$9,Cons_Region!E$11,$M$1,$G$259,Cons_Region!$J$9,$N$1,Cons_Region!$B302,$L$1,$K$1)</f>
        <v>0</v>
      </c>
      <c r="F302" s="16">
        <f>_xll.DBRW($B$1,Cons_Region!$D$9,Cons_Region!F$11,$M$1,$G$259,Cons_Region!$J$9,$N$1,Cons_Region!$B302,$L$1,$K$1)</f>
        <v>0</v>
      </c>
      <c r="G302" s="16">
        <f>_xll.DBRW($B$1,Cons_Region!$D$9,Cons_Region!G$11,$M$1,$G$259,Cons_Region!$J$9,$N$1,Cons_Region!$B302,$L$1,$K$1)</f>
        <v>0</v>
      </c>
      <c r="H302" s="16">
        <f>_xll.DBRW($B$1,Cons_Region!$D$9,Cons_Region!H$11,$M$1,$G$259,Cons_Region!$J$9,$N$1,Cons_Region!$B302,$L$1,$K$1)</f>
        <v>0</v>
      </c>
      <c r="I302" s="16">
        <f>_xll.DBRW($B$1,Cons_Region!$D$9,Cons_Region!I$11,$M$1,$G$259,Cons_Region!$J$9,$N$1,Cons_Region!$B302,$L$1,$K$1)</f>
        <v>0</v>
      </c>
      <c r="J302" s="16">
        <f>_xll.DBRW($B$1,Cons_Region!$D$9,Cons_Region!J$11,$M$1,$G$259,Cons_Region!$J$9,$N$1,Cons_Region!$B302,$L$1,$K$1)</f>
        <v>0</v>
      </c>
      <c r="K302" s="16">
        <f>_xll.DBRW($B$1,Cons_Region!$D$9,Cons_Region!K$11,$M$1,$G$259,Cons_Region!$J$9,$N$1,Cons_Region!$B302,$L$1,$K$1)</f>
        <v>0</v>
      </c>
      <c r="L302" s="16">
        <f>_xll.DBRW($B$1,Cons_Region!$D$9,Cons_Region!L$11,$M$1,$G$259,Cons_Region!$J$9,$N$1,Cons_Region!$B302,$L$1,$K$1)</f>
        <v>0</v>
      </c>
      <c r="M302" s="16">
        <f>_xll.DBRW($B$1,Cons_Region!$D$9,Cons_Region!M$11,$M$1,$G$259,Cons_Region!$J$9,$N$1,Cons_Region!$B302,$L$1,$K$1)</f>
        <v>0</v>
      </c>
      <c r="N302" s="16">
        <f>_xll.DBRW($B$1,Cons_Region!$D$9,Cons_Region!N$11,$M$1,$G$259,Cons_Region!$J$9,$N$1,Cons_Region!$B302,$L$1,$K$1)</f>
        <v>0</v>
      </c>
    </row>
    <row r="303" spans="2:14" ht="15.75" customHeight="1" x14ac:dyDescent="0.25">
      <c r="B303" s="17" t="s">
        <v>164</v>
      </c>
      <c r="C303" s="16">
        <f>_xll.DBRW($B$1,Cons_Region!$D$9,Cons_Region!C$11,$M$1,$G$259,Cons_Region!$J$9,$N$1,Cons_Region!$B303,$L$1,$K$1)</f>
        <v>0</v>
      </c>
      <c r="D303" s="16">
        <f>_xll.DBRW($B$1,Cons_Region!$D$9,Cons_Region!D$11,$M$1,$G$259,Cons_Region!$J$9,$N$1,Cons_Region!$B303,$L$1,$K$1)</f>
        <v>0</v>
      </c>
      <c r="E303" s="16">
        <f>_xll.DBRW($B$1,Cons_Region!$D$9,Cons_Region!E$11,$M$1,$G$259,Cons_Region!$J$9,$N$1,Cons_Region!$B303,$L$1,$K$1)</f>
        <v>0</v>
      </c>
      <c r="F303" s="16">
        <f>_xll.DBRW($B$1,Cons_Region!$D$9,Cons_Region!F$11,$M$1,$G$259,Cons_Region!$J$9,$N$1,Cons_Region!$B303,$L$1,$K$1)</f>
        <v>0</v>
      </c>
      <c r="G303" s="16">
        <f>_xll.DBRW($B$1,Cons_Region!$D$9,Cons_Region!G$11,$M$1,$G$259,Cons_Region!$J$9,$N$1,Cons_Region!$B303,$L$1,$K$1)</f>
        <v>0</v>
      </c>
      <c r="H303" s="16">
        <f>_xll.DBRW($B$1,Cons_Region!$D$9,Cons_Region!H$11,$M$1,$G$259,Cons_Region!$J$9,$N$1,Cons_Region!$B303,$L$1,$K$1)</f>
        <v>0</v>
      </c>
      <c r="I303" s="16">
        <f>_xll.DBRW($B$1,Cons_Region!$D$9,Cons_Region!I$11,$M$1,$G$259,Cons_Region!$J$9,$N$1,Cons_Region!$B303,$L$1,$K$1)</f>
        <v>0</v>
      </c>
      <c r="J303" s="16">
        <f>_xll.DBRW($B$1,Cons_Region!$D$9,Cons_Region!J$11,$M$1,$G$259,Cons_Region!$J$9,$N$1,Cons_Region!$B303,$L$1,$K$1)</f>
        <v>0</v>
      </c>
      <c r="K303" s="16">
        <f>_xll.DBRW($B$1,Cons_Region!$D$9,Cons_Region!K$11,$M$1,$G$259,Cons_Region!$J$9,$N$1,Cons_Region!$B303,$L$1,$K$1)</f>
        <v>0</v>
      </c>
      <c r="L303" s="16">
        <f>_xll.DBRW($B$1,Cons_Region!$D$9,Cons_Region!L$11,$M$1,$G$259,Cons_Region!$J$9,$N$1,Cons_Region!$B303,$L$1,$K$1)</f>
        <v>0</v>
      </c>
      <c r="M303" s="16">
        <f>_xll.DBRW($B$1,Cons_Region!$D$9,Cons_Region!M$11,$M$1,$G$259,Cons_Region!$J$9,$N$1,Cons_Region!$B303,$L$1,$K$1)</f>
        <v>0</v>
      </c>
      <c r="N303" s="16">
        <f>_xll.DBRW($B$1,Cons_Region!$D$9,Cons_Region!N$11,$M$1,$G$259,Cons_Region!$J$9,$N$1,Cons_Region!$B303,$L$1,$K$1)</f>
        <v>0</v>
      </c>
    </row>
    <row r="305" spans="2:14" ht="15.75" customHeight="1" thickBot="1" x14ac:dyDescent="0.3">
      <c r="B305" s="10"/>
    </row>
    <row r="306" spans="2:14" ht="15.75" customHeight="1" thickTop="1" x14ac:dyDescent="0.25">
      <c r="B306" s="9" t="s">
        <v>165</v>
      </c>
    </row>
    <row r="308" spans="2:14" ht="15.75" customHeight="1" x14ac:dyDescent="0.25">
      <c r="B308" s="5"/>
      <c r="C308" s="18" t="str">
        <f t="shared" ref="C308:N308" si="27">$D$9&amp;"."&amp;C$11</f>
        <v>2026.01</v>
      </c>
      <c r="D308" s="18" t="str">
        <f t="shared" si="27"/>
        <v>2026.02</v>
      </c>
      <c r="E308" s="18" t="str">
        <f t="shared" si="27"/>
        <v>2026.03</v>
      </c>
      <c r="F308" s="18" t="str">
        <f t="shared" si="27"/>
        <v>2026.04</v>
      </c>
      <c r="G308" s="18" t="str">
        <f t="shared" si="27"/>
        <v>2026.05</v>
      </c>
      <c r="H308" s="18" t="str">
        <f t="shared" si="27"/>
        <v>2026.06</v>
      </c>
      <c r="I308" s="18" t="str">
        <f t="shared" si="27"/>
        <v>2026.07</v>
      </c>
      <c r="J308" s="18" t="str">
        <f t="shared" si="27"/>
        <v>2026.08</v>
      </c>
      <c r="K308" s="18" t="str">
        <f t="shared" si="27"/>
        <v>2026.09</v>
      </c>
      <c r="L308" s="18" t="str">
        <f t="shared" si="27"/>
        <v>2026.10</v>
      </c>
      <c r="M308" s="18" t="str">
        <f t="shared" si="27"/>
        <v>2026.11</v>
      </c>
      <c r="N308" s="18" t="str">
        <f t="shared" si="27"/>
        <v>2026.12</v>
      </c>
    </row>
    <row r="309" spans="2:14" ht="15.75" customHeight="1" x14ac:dyDescent="0.25">
      <c r="B309" s="24" t="s">
        <v>166</v>
      </c>
      <c r="C309" s="21">
        <f>_xll.DBRW($D$2,Cons_Region!$D$9,Cons_Region!C$11,$M$1,$G$268,Cons_Region!$J$9,Cons_Region!$B309,$K$1)</f>
        <v>-201.97440947157958</v>
      </c>
      <c r="D309" s="21">
        <f>_xll.DBRW($D$2,Cons_Region!$D$9,Cons_Region!D$11,$M$1,$G$268,Cons_Region!$J$9,Cons_Region!$B309,$K$1)</f>
        <v>29.784005091081649</v>
      </c>
      <c r="E309" s="21">
        <f>_xll.DBRW($D$2,Cons_Region!$D$9,Cons_Region!E$11,$M$1,$G$268,Cons_Region!$J$9,Cons_Region!$B309,$K$1)</f>
        <v>-16.215246570925196</v>
      </c>
      <c r="F309" s="21">
        <f>_xll.DBRW($D$2,Cons_Region!$D$9,Cons_Region!F$11,$M$1,$G$268,Cons_Region!$J$9,Cons_Region!$B309,$K$1)</f>
        <v>4.3016689340043186</v>
      </c>
      <c r="G309" s="21">
        <f>_xll.DBRW($D$2,Cons_Region!$D$9,Cons_Region!G$11,$M$1,$G$268,Cons_Region!$J$9,Cons_Region!$B309,$K$1)</f>
        <v>19.876587403454174</v>
      </c>
      <c r="H309" s="21">
        <f>_xll.DBRW($D$2,Cons_Region!$D$9,Cons_Region!H$11,$M$1,$G$268,Cons_Region!$J$9,Cons_Region!$B309,$K$1)</f>
        <v>43.703253776546127</v>
      </c>
      <c r="I309" s="21">
        <f>_xll.DBRW($D$2,Cons_Region!$D$9,Cons_Region!I$11,$M$1,$G$268,Cons_Region!$J$9,Cons_Region!$B309,$K$1)</f>
        <v>48.83501275388879</v>
      </c>
      <c r="J309" s="21">
        <f>_xll.DBRW($D$2,Cons_Region!$D$9,Cons_Region!J$11,$M$1,$G$268,Cons_Region!$J$9,Cons_Region!$B309,$K$1)</f>
        <v>84.027636751386851</v>
      </c>
      <c r="K309" s="21">
        <f>_xll.DBRW($D$2,Cons_Region!$D$9,Cons_Region!K$11,$M$1,$G$268,Cons_Region!$J$9,Cons_Region!$B309,$K$1)</f>
        <v>52.944058818949649</v>
      </c>
      <c r="L309" s="21">
        <f>_xll.DBRW($D$2,Cons_Region!$D$9,Cons_Region!L$11,$M$1,$G$268,Cons_Region!$J$9,Cons_Region!$B309,$K$1)</f>
        <v>77.599900932256375</v>
      </c>
      <c r="M309" s="21">
        <f>_xll.DBRW($D$2,Cons_Region!$D$9,Cons_Region!M$11,$M$1,$G$268,Cons_Region!$J$9,Cons_Region!$B309,$K$1)</f>
        <v>41.27321400985106</v>
      </c>
      <c r="N309" s="21">
        <f>_xll.DBRW($D$2,Cons_Region!$D$9,Cons_Region!N$11,$M$1,$G$268,Cons_Region!$J$9,Cons_Region!$B309,$K$1)</f>
        <v>-2.6758824814585016</v>
      </c>
    </row>
    <row r="310" spans="2:14" ht="15.75" customHeight="1" x14ac:dyDescent="0.25">
      <c r="B310" s="17" t="s">
        <v>167</v>
      </c>
      <c r="C310" s="16">
        <f>_xll.DBRW($B$1,Cons_Region!$D$9,Cons_Region!C$11,$M$1,$G$259,Cons_Region!$J$9,$N$1,Cons_Region!$B310,$L$1,$K$1)</f>
        <v>0</v>
      </c>
      <c r="D310" s="16">
        <f>_xll.DBRW($B$1,Cons_Region!$D$9,Cons_Region!D$11,$M$1,$G$259,Cons_Region!$J$9,$N$1,Cons_Region!$B310,$L$1,$K$1)</f>
        <v>0</v>
      </c>
      <c r="E310" s="16">
        <f>_xll.DBRW($B$1,Cons_Region!$D$9,Cons_Region!E$11,$M$1,$G$259,Cons_Region!$J$9,$N$1,Cons_Region!$B310,$L$1,$K$1)</f>
        <v>0</v>
      </c>
      <c r="F310" s="16">
        <f>_xll.DBRW($B$1,Cons_Region!$D$9,Cons_Region!F$11,$M$1,$G$259,Cons_Region!$J$9,$N$1,Cons_Region!$B310,$L$1,$K$1)</f>
        <v>0</v>
      </c>
      <c r="G310" s="16">
        <f>_xll.DBRW($B$1,Cons_Region!$D$9,Cons_Region!G$11,$M$1,$G$259,Cons_Region!$J$9,$N$1,Cons_Region!$B310,$L$1,$K$1)</f>
        <v>0</v>
      </c>
      <c r="H310" s="16">
        <f>_xll.DBRW($B$1,Cons_Region!$D$9,Cons_Region!H$11,$M$1,$G$259,Cons_Region!$J$9,$N$1,Cons_Region!$B310,$L$1,$K$1)</f>
        <v>0</v>
      </c>
      <c r="I310" s="16">
        <f>_xll.DBRW($B$1,Cons_Region!$D$9,Cons_Region!I$11,$M$1,$G$259,Cons_Region!$J$9,$N$1,Cons_Region!$B310,$L$1,$K$1)</f>
        <v>0</v>
      </c>
      <c r="J310" s="16">
        <f>_xll.DBRW($B$1,Cons_Region!$D$9,Cons_Region!J$11,$M$1,$G$259,Cons_Region!$J$9,$N$1,Cons_Region!$B310,$L$1,$K$1)</f>
        <v>0</v>
      </c>
      <c r="K310" s="16">
        <f>_xll.DBRW($B$1,Cons_Region!$D$9,Cons_Region!K$11,$M$1,$G$259,Cons_Region!$J$9,$N$1,Cons_Region!$B310,$L$1,$K$1)</f>
        <v>0</v>
      </c>
      <c r="L310" s="16">
        <f>_xll.DBRW($B$1,Cons_Region!$D$9,Cons_Region!L$11,$M$1,$G$259,Cons_Region!$J$9,$N$1,Cons_Region!$B310,$L$1,$K$1)</f>
        <v>0</v>
      </c>
      <c r="M310" s="16">
        <f>_xll.DBRW($B$1,Cons_Region!$D$9,Cons_Region!M$11,$M$1,$G$259,Cons_Region!$J$9,$N$1,Cons_Region!$B310,$L$1,$K$1)</f>
        <v>0</v>
      </c>
      <c r="N310" s="16">
        <f>_xll.DBRW($B$1,Cons_Region!$D$9,Cons_Region!N$11,$M$1,$G$259,Cons_Region!$J$9,$N$1,Cons_Region!$B310,$L$1,$K$1)</f>
        <v>0</v>
      </c>
    </row>
    <row r="311" spans="2:14" ht="15.75" customHeight="1" x14ac:dyDescent="0.25">
      <c r="B311" s="17" t="s">
        <v>168</v>
      </c>
      <c r="C311" s="16">
        <f>_xll.DBRW($B$1,Cons_Region!$D$9,Cons_Region!C$11,$M$1,$G$259,Cons_Region!$J$9,$N$1,Cons_Region!$B311,$L$1,$K$1)</f>
        <v>0</v>
      </c>
      <c r="D311" s="16">
        <f>_xll.DBRW($B$1,Cons_Region!$D$9,Cons_Region!D$11,$M$1,$G$259,Cons_Region!$J$9,$N$1,Cons_Region!$B311,$L$1,$K$1)</f>
        <v>0</v>
      </c>
      <c r="E311" s="16">
        <f>_xll.DBRW($B$1,Cons_Region!$D$9,Cons_Region!E$11,$M$1,$G$259,Cons_Region!$J$9,$N$1,Cons_Region!$B311,$L$1,$K$1)</f>
        <v>0</v>
      </c>
      <c r="F311" s="16">
        <f>_xll.DBRW($B$1,Cons_Region!$D$9,Cons_Region!F$11,$M$1,$G$259,Cons_Region!$J$9,$N$1,Cons_Region!$B311,$L$1,$K$1)</f>
        <v>0</v>
      </c>
      <c r="G311" s="16">
        <f>_xll.DBRW($B$1,Cons_Region!$D$9,Cons_Region!G$11,$M$1,$G$259,Cons_Region!$J$9,$N$1,Cons_Region!$B311,$L$1,$K$1)</f>
        <v>0</v>
      </c>
      <c r="H311" s="16">
        <f>_xll.DBRW($B$1,Cons_Region!$D$9,Cons_Region!H$11,$M$1,$G$259,Cons_Region!$J$9,$N$1,Cons_Region!$B311,$L$1,$K$1)</f>
        <v>0</v>
      </c>
      <c r="I311" s="16">
        <f>_xll.DBRW($B$1,Cons_Region!$D$9,Cons_Region!I$11,$M$1,$G$259,Cons_Region!$J$9,$N$1,Cons_Region!$B311,$L$1,$K$1)</f>
        <v>0</v>
      </c>
      <c r="J311" s="16">
        <f>_xll.DBRW($B$1,Cons_Region!$D$9,Cons_Region!J$11,$M$1,$G$259,Cons_Region!$J$9,$N$1,Cons_Region!$B311,$L$1,$K$1)</f>
        <v>0</v>
      </c>
      <c r="K311" s="16">
        <f>_xll.DBRW($B$1,Cons_Region!$D$9,Cons_Region!K$11,$M$1,$G$259,Cons_Region!$J$9,$N$1,Cons_Region!$B311,$L$1,$K$1)</f>
        <v>0</v>
      </c>
      <c r="L311" s="16">
        <f>_xll.DBRW($B$1,Cons_Region!$D$9,Cons_Region!L$11,$M$1,$G$259,Cons_Region!$J$9,$N$1,Cons_Region!$B311,$L$1,$K$1)</f>
        <v>0</v>
      </c>
      <c r="M311" s="16">
        <f>_xll.DBRW($B$1,Cons_Region!$D$9,Cons_Region!M$11,$M$1,$G$259,Cons_Region!$J$9,$N$1,Cons_Region!$B311,$L$1,$K$1)</f>
        <v>0</v>
      </c>
      <c r="N311" s="16">
        <f>_xll.DBRW($B$1,Cons_Region!$D$9,Cons_Region!N$11,$M$1,$G$259,Cons_Region!$J$9,$N$1,Cons_Region!$B311,$L$1,$K$1)</f>
        <v>0</v>
      </c>
    </row>
    <row r="313" spans="2:14" ht="15.75" customHeight="1" thickBot="1" x14ac:dyDescent="0.3">
      <c r="B313" s="10"/>
    </row>
    <row r="314" spans="2:14" ht="15.75" customHeight="1" thickTop="1" x14ac:dyDescent="0.25">
      <c r="B314" s="9" t="s">
        <v>170</v>
      </c>
    </row>
    <row r="316" spans="2:14" ht="15.75" customHeight="1" x14ac:dyDescent="0.25">
      <c r="B316" s="5"/>
      <c r="C316" s="18" t="str">
        <f t="shared" ref="C316:N316" si="28">$D$9&amp;"."&amp;C$11</f>
        <v>2026.01</v>
      </c>
      <c r="D316" s="18" t="str">
        <f t="shared" si="28"/>
        <v>2026.02</v>
      </c>
      <c r="E316" s="18" t="str">
        <f t="shared" si="28"/>
        <v>2026.03</v>
      </c>
      <c r="F316" s="18" t="str">
        <f t="shared" si="28"/>
        <v>2026.04</v>
      </c>
      <c r="G316" s="18" t="str">
        <f t="shared" si="28"/>
        <v>2026.05</v>
      </c>
      <c r="H316" s="18" t="str">
        <f t="shared" si="28"/>
        <v>2026.06</v>
      </c>
      <c r="I316" s="18" t="str">
        <f t="shared" si="28"/>
        <v>2026.07</v>
      </c>
      <c r="J316" s="18" t="str">
        <f t="shared" si="28"/>
        <v>2026.08</v>
      </c>
      <c r="K316" s="18" t="str">
        <f t="shared" si="28"/>
        <v>2026.09</v>
      </c>
      <c r="L316" s="18" t="str">
        <f t="shared" si="28"/>
        <v>2026.10</v>
      </c>
      <c r="M316" s="18" t="str">
        <f t="shared" si="28"/>
        <v>2026.11</v>
      </c>
      <c r="N316" s="18" t="str">
        <f t="shared" si="28"/>
        <v>2026.12</v>
      </c>
    </row>
    <row r="317" spans="2:14" ht="15.75" customHeight="1" x14ac:dyDescent="0.25">
      <c r="B317" s="24" t="s">
        <v>169</v>
      </c>
      <c r="C317" s="21">
        <f>_xll.DBRW($D$2,Cons_Region!$D$9,Cons_Region!C$11,$M$1,$G$268,Cons_Region!$J$9,Cons_Region!$B317,$K$1)</f>
        <v>-201.97440947157958</v>
      </c>
      <c r="D317" s="21">
        <f>_xll.DBRW($D$2,Cons_Region!$D$9,Cons_Region!D$11,$M$1,$G$268,Cons_Region!$J$9,Cons_Region!$B317,$K$1)</f>
        <v>29.784005091081649</v>
      </c>
      <c r="E317" s="21">
        <f>_xll.DBRW($D$2,Cons_Region!$D$9,Cons_Region!E$11,$M$1,$G$268,Cons_Region!$J$9,Cons_Region!$B317,$K$1)</f>
        <v>-16.215246570925196</v>
      </c>
      <c r="F317" s="21">
        <f>_xll.DBRW($D$2,Cons_Region!$D$9,Cons_Region!F$11,$M$1,$G$268,Cons_Region!$J$9,Cons_Region!$B317,$K$1)</f>
        <v>4.3016689340043186</v>
      </c>
      <c r="G317" s="21">
        <f>_xll.DBRW($D$2,Cons_Region!$D$9,Cons_Region!G$11,$M$1,$G$268,Cons_Region!$J$9,Cons_Region!$B317,$K$1)</f>
        <v>19.876587403454174</v>
      </c>
      <c r="H317" s="21">
        <f>_xll.DBRW($D$2,Cons_Region!$D$9,Cons_Region!H$11,$M$1,$G$268,Cons_Region!$J$9,Cons_Region!$B317,$K$1)</f>
        <v>43.703253776546127</v>
      </c>
      <c r="I317" s="21">
        <f>_xll.DBRW($D$2,Cons_Region!$D$9,Cons_Region!I$11,$M$1,$G$268,Cons_Region!$J$9,Cons_Region!$B317,$K$1)</f>
        <v>48.83501275388879</v>
      </c>
      <c r="J317" s="21">
        <f>_xll.DBRW($D$2,Cons_Region!$D$9,Cons_Region!J$11,$M$1,$G$268,Cons_Region!$J$9,Cons_Region!$B317,$K$1)</f>
        <v>84.027636751386851</v>
      </c>
      <c r="K317" s="21">
        <f>_xll.DBRW($D$2,Cons_Region!$D$9,Cons_Region!K$11,$M$1,$G$268,Cons_Region!$J$9,Cons_Region!$B317,$K$1)</f>
        <v>52.944058818949649</v>
      </c>
      <c r="L317" s="21">
        <f>_xll.DBRW($D$2,Cons_Region!$D$9,Cons_Region!L$11,$M$1,$G$268,Cons_Region!$J$9,Cons_Region!$B317,$K$1)</f>
        <v>77.599900932256375</v>
      </c>
      <c r="M317" s="21">
        <f>_xll.DBRW($D$2,Cons_Region!$D$9,Cons_Region!M$11,$M$1,$G$268,Cons_Region!$J$9,Cons_Region!$B317,$K$1)</f>
        <v>41.27321400985106</v>
      </c>
      <c r="N317" s="21">
        <f>_xll.DBRW($D$2,Cons_Region!$D$9,Cons_Region!N$11,$M$1,$G$268,Cons_Region!$J$9,Cons_Region!$B317,$K$1)</f>
        <v>-2.6758824814585016</v>
      </c>
    </row>
    <row r="318" spans="2:14" ht="15.75" customHeight="1" x14ac:dyDescent="0.25">
      <c r="B318" s="17" t="s">
        <v>171</v>
      </c>
      <c r="C318" s="16">
        <f>_xll.DBRW($B$1,Cons_Region!$D$9,Cons_Region!C$11,$M$1,$G$259,Cons_Region!$J$9,$N$1,Cons_Region!$B318,$L$1,$K$1)</f>
        <v>0</v>
      </c>
      <c r="D318" s="16">
        <f>_xll.DBRW($B$1,Cons_Region!$D$9,Cons_Region!D$11,$M$1,$G$259,Cons_Region!$J$9,$N$1,Cons_Region!$B318,$L$1,$K$1)</f>
        <v>0</v>
      </c>
      <c r="E318" s="16">
        <f>_xll.DBRW($B$1,Cons_Region!$D$9,Cons_Region!E$11,$M$1,$G$259,Cons_Region!$J$9,$N$1,Cons_Region!$B318,$L$1,$K$1)</f>
        <v>0</v>
      </c>
      <c r="F318" s="16">
        <f>_xll.DBRW($B$1,Cons_Region!$D$9,Cons_Region!F$11,$M$1,$G$259,Cons_Region!$J$9,$N$1,Cons_Region!$B318,$L$1,$K$1)</f>
        <v>0</v>
      </c>
      <c r="G318" s="16">
        <f>_xll.DBRW($B$1,Cons_Region!$D$9,Cons_Region!G$11,$M$1,$G$259,Cons_Region!$J$9,$N$1,Cons_Region!$B318,$L$1,$K$1)</f>
        <v>0</v>
      </c>
      <c r="H318" s="16">
        <f>_xll.DBRW($B$1,Cons_Region!$D$9,Cons_Region!H$11,$M$1,$G$259,Cons_Region!$J$9,$N$1,Cons_Region!$B318,$L$1,$K$1)</f>
        <v>0</v>
      </c>
      <c r="I318" s="16">
        <f>_xll.DBRW($B$1,Cons_Region!$D$9,Cons_Region!I$11,$M$1,$G$259,Cons_Region!$J$9,$N$1,Cons_Region!$B318,$L$1,$K$1)</f>
        <v>0</v>
      </c>
      <c r="J318" s="16">
        <f>_xll.DBRW($B$1,Cons_Region!$D$9,Cons_Region!J$11,$M$1,$G$259,Cons_Region!$J$9,$N$1,Cons_Region!$B318,$L$1,$K$1)</f>
        <v>0</v>
      </c>
      <c r="K318" s="16">
        <f>_xll.DBRW($B$1,Cons_Region!$D$9,Cons_Region!K$11,$M$1,$G$259,Cons_Region!$J$9,$N$1,Cons_Region!$B318,$L$1,$K$1)</f>
        <v>0</v>
      </c>
      <c r="L318" s="16">
        <f>_xll.DBRW($B$1,Cons_Region!$D$9,Cons_Region!L$11,$M$1,$G$259,Cons_Region!$J$9,$N$1,Cons_Region!$B318,$L$1,$K$1)</f>
        <v>0</v>
      </c>
      <c r="M318" s="16">
        <f>_xll.DBRW($B$1,Cons_Region!$D$9,Cons_Region!M$11,$M$1,$G$259,Cons_Region!$J$9,$N$1,Cons_Region!$B318,$L$1,$K$1)</f>
        <v>0</v>
      </c>
      <c r="N318" s="16">
        <f>_xll.DBRW($B$1,Cons_Region!$D$9,Cons_Region!N$11,$M$1,$G$259,Cons_Region!$J$9,$N$1,Cons_Region!$B318,$L$1,$K$1)</f>
        <v>0</v>
      </c>
    </row>
    <row r="319" spans="2:14" ht="15.75" customHeight="1" x14ac:dyDescent="0.25">
      <c r="B319" s="17" t="s">
        <v>172</v>
      </c>
      <c r="C319" s="16">
        <f>_xll.DBRW($B$1,Cons_Region!$D$9,Cons_Region!C$11,$M$1,$G$259,Cons_Region!$J$9,$N$1,Cons_Region!$B319,$L$1,$K$1)</f>
        <v>0</v>
      </c>
      <c r="D319" s="16">
        <f>_xll.DBRW($B$1,Cons_Region!$D$9,Cons_Region!D$11,$M$1,$G$259,Cons_Region!$J$9,$N$1,Cons_Region!$B319,$L$1,$K$1)</f>
        <v>0</v>
      </c>
      <c r="E319" s="16">
        <f>_xll.DBRW($B$1,Cons_Region!$D$9,Cons_Region!E$11,$M$1,$G$259,Cons_Region!$J$9,$N$1,Cons_Region!$B319,$L$1,$K$1)</f>
        <v>0</v>
      </c>
      <c r="F319" s="16">
        <f>_xll.DBRW($B$1,Cons_Region!$D$9,Cons_Region!F$11,$M$1,$G$259,Cons_Region!$J$9,$N$1,Cons_Region!$B319,$L$1,$K$1)</f>
        <v>0</v>
      </c>
      <c r="G319" s="16">
        <f>_xll.DBRW($B$1,Cons_Region!$D$9,Cons_Region!G$11,$M$1,$G$259,Cons_Region!$J$9,$N$1,Cons_Region!$B319,$L$1,$K$1)</f>
        <v>0</v>
      </c>
      <c r="H319" s="16">
        <f>_xll.DBRW($B$1,Cons_Region!$D$9,Cons_Region!H$11,$M$1,$G$259,Cons_Region!$J$9,$N$1,Cons_Region!$B319,$L$1,$K$1)</f>
        <v>0</v>
      </c>
      <c r="I319" s="16">
        <f>_xll.DBRW($B$1,Cons_Region!$D$9,Cons_Region!I$11,$M$1,$G$259,Cons_Region!$J$9,$N$1,Cons_Region!$B319,$L$1,$K$1)</f>
        <v>0</v>
      </c>
      <c r="J319" s="16">
        <f>_xll.DBRW($B$1,Cons_Region!$D$9,Cons_Region!J$11,$M$1,$G$259,Cons_Region!$J$9,$N$1,Cons_Region!$B319,$L$1,$K$1)</f>
        <v>0</v>
      </c>
      <c r="K319" s="16">
        <f>_xll.DBRW($B$1,Cons_Region!$D$9,Cons_Region!K$11,$M$1,$G$259,Cons_Region!$J$9,$N$1,Cons_Region!$B319,$L$1,$K$1)</f>
        <v>0</v>
      </c>
      <c r="L319" s="16">
        <f>_xll.DBRW($B$1,Cons_Region!$D$9,Cons_Region!L$11,$M$1,$G$259,Cons_Region!$J$9,$N$1,Cons_Region!$B319,$L$1,$K$1)</f>
        <v>0</v>
      </c>
      <c r="M319" s="16">
        <f>_xll.DBRW($B$1,Cons_Region!$D$9,Cons_Region!M$11,$M$1,$G$259,Cons_Region!$J$9,$N$1,Cons_Region!$B319,$L$1,$K$1)</f>
        <v>0</v>
      </c>
      <c r="N319" s="16">
        <f>_xll.DBRW($B$1,Cons_Region!$D$9,Cons_Region!N$11,$M$1,$G$259,Cons_Region!$J$9,$N$1,Cons_Region!$B319,$L$1,$K$1)</f>
        <v>0</v>
      </c>
    </row>
    <row r="320" spans="2:14" ht="15.75" customHeight="1" x14ac:dyDescent="0.25">
      <c r="B320" s="17" t="s">
        <v>173</v>
      </c>
      <c r="C320" s="16">
        <f>_xll.DBRW($B$1,Cons_Region!$D$9,Cons_Region!C$11,$M$1,$G$259,Cons_Region!$J$9,$N$1,Cons_Region!$B320,$L$1,$K$1)</f>
        <v>0</v>
      </c>
      <c r="D320" s="16">
        <f>_xll.DBRW($B$1,Cons_Region!$D$9,Cons_Region!D$11,$M$1,$G$259,Cons_Region!$J$9,$N$1,Cons_Region!$B320,$L$1,$K$1)</f>
        <v>0</v>
      </c>
      <c r="E320" s="16">
        <f>_xll.DBRW($B$1,Cons_Region!$D$9,Cons_Region!E$11,$M$1,$G$259,Cons_Region!$J$9,$N$1,Cons_Region!$B320,$L$1,$K$1)</f>
        <v>0</v>
      </c>
      <c r="F320" s="16">
        <f>_xll.DBRW($B$1,Cons_Region!$D$9,Cons_Region!F$11,$M$1,$G$259,Cons_Region!$J$9,$N$1,Cons_Region!$B320,$L$1,$K$1)</f>
        <v>0</v>
      </c>
      <c r="G320" s="16">
        <f>_xll.DBRW($B$1,Cons_Region!$D$9,Cons_Region!G$11,$M$1,$G$259,Cons_Region!$J$9,$N$1,Cons_Region!$B320,$L$1,$K$1)</f>
        <v>0</v>
      </c>
      <c r="H320" s="16">
        <f>_xll.DBRW($B$1,Cons_Region!$D$9,Cons_Region!H$11,$M$1,$G$259,Cons_Region!$J$9,$N$1,Cons_Region!$B320,$L$1,$K$1)</f>
        <v>0</v>
      </c>
      <c r="I320" s="16">
        <f>_xll.DBRW($B$1,Cons_Region!$D$9,Cons_Region!I$11,$M$1,$G$259,Cons_Region!$J$9,$N$1,Cons_Region!$B320,$L$1,$K$1)</f>
        <v>0</v>
      </c>
      <c r="J320" s="16">
        <f>_xll.DBRW($B$1,Cons_Region!$D$9,Cons_Region!J$11,$M$1,$G$259,Cons_Region!$J$9,$N$1,Cons_Region!$B320,$L$1,$K$1)</f>
        <v>0</v>
      </c>
      <c r="K320" s="16">
        <f>_xll.DBRW($B$1,Cons_Region!$D$9,Cons_Region!K$11,$M$1,$G$259,Cons_Region!$J$9,$N$1,Cons_Region!$B320,$L$1,$K$1)</f>
        <v>0</v>
      </c>
      <c r="L320" s="16">
        <f>_xll.DBRW($B$1,Cons_Region!$D$9,Cons_Region!L$11,$M$1,$G$259,Cons_Region!$J$9,$N$1,Cons_Region!$B320,$L$1,$K$1)</f>
        <v>0</v>
      </c>
      <c r="M320" s="16">
        <f>_xll.DBRW($B$1,Cons_Region!$D$9,Cons_Region!M$11,$M$1,$G$259,Cons_Region!$J$9,$N$1,Cons_Region!$B320,$L$1,$K$1)</f>
        <v>0</v>
      </c>
      <c r="N320" s="16">
        <f>_xll.DBRW($B$1,Cons_Region!$D$9,Cons_Region!N$11,$M$1,$G$259,Cons_Region!$J$9,$N$1,Cons_Region!$B320,$L$1,$K$1)</f>
        <v>0</v>
      </c>
    </row>
    <row r="321" spans="2:14" ht="15.75" customHeight="1" x14ac:dyDescent="0.25">
      <c r="B321" s="17" t="s">
        <v>175</v>
      </c>
      <c r="C321" s="16">
        <f>_xll.DBRW($B$1,Cons_Region!$D$9,Cons_Region!C$11,$M$1,$G$259,Cons_Region!$J$9,$N$1,Cons_Region!$B321,$L$1,$K$1)</f>
        <v>0</v>
      </c>
      <c r="D321" s="16">
        <f>_xll.DBRW($B$1,Cons_Region!$D$9,Cons_Region!D$11,$M$1,$G$259,Cons_Region!$J$9,$N$1,Cons_Region!$B321,$L$1,$K$1)</f>
        <v>0</v>
      </c>
      <c r="E321" s="16">
        <f>_xll.DBRW($B$1,Cons_Region!$D$9,Cons_Region!E$11,$M$1,$G$259,Cons_Region!$J$9,$N$1,Cons_Region!$B321,$L$1,$K$1)</f>
        <v>0</v>
      </c>
      <c r="F321" s="16">
        <f>_xll.DBRW($B$1,Cons_Region!$D$9,Cons_Region!F$11,$M$1,$G$259,Cons_Region!$J$9,$N$1,Cons_Region!$B321,$L$1,$K$1)</f>
        <v>0</v>
      </c>
      <c r="G321" s="16">
        <f>_xll.DBRW($B$1,Cons_Region!$D$9,Cons_Region!G$11,$M$1,$G$259,Cons_Region!$J$9,$N$1,Cons_Region!$B321,$L$1,$K$1)</f>
        <v>0</v>
      </c>
      <c r="H321" s="16">
        <f>_xll.DBRW($B$1,Cons_Region!$D$9,Cons_Region!H$11,$M$1,$G$259,Cons_Region!$J$9,$N$1,Cons_Region!$B321,$L$1,$K$1)</f>
        <v>0</v>
      </c>
      <c r="I321" s="16">
        <f>_xll.DBRW($B$1,Cons_Region!$D$9,Cons_Region!I$11,$M$1,$G$259,Cons_Region!$J$9,$N$1,Cons_Region!$B321,$L$1,$K$1)</f>
        <v>0</v>
      </c>
      <c r="J321" s="16">
        <f>_xll.DBRW($B$1,Cons_Region!$D$9,Cons_Region!J$11,$M$1,$G$259,Cons_Region!$J$9,$N$1,Cons_Region!$B321,$L$1,$K$1)</f>
        <v>0</v>
      </c>
      <c r="K321" s="16">
        <f>_xll.DBRW($B$1,Cons_Region!$D$9,Cons_Region!K$11,$M$1,$G$259,Cons_Region!$J$9,$N$1,Cons_Region!$B321,$L$1,$K$1)</f>
        <v>0</v>
      </c>
      <c r="L321" s="16">
        <f>_xll.DBRW($B$1,Cons_Region!$D$9,Cons_Region!L$11,$M$1,$G$259,Cons_Region!$J$9,$N$1,Cons_Region!$B321,$L$1,$K$1)</f>
        <v>0</v>
      </c>
      <c r="M321" s="16">
        <f>_xll.DBRW($B$1,Cons_Region!$D$9,Cons_Region!M$11,$M$1,$G$259,Cons_Region!$J$9,$N$1,Cons_Region!$B321,$L$1,$K$1)</f>
        <v>0</v>
      </c>
      <c r="N321" s="16">
        <f>_xll.DBRW($B$1,Cons_Region!$D$9,Cons_Region!N$11,$M$1,$G$259,Cons_Region!$J$9,$N$1,Cons_Region!$B321,$L$1,$K$1)</f>
        <v>0</v>
      </c>
    </row>
    <row r="322" spans="2:14" ht="15.75" customHeight="1" x14ac:dyDescent="0.25">
      <c r="B322" s="17" t="s">
        <v>176</v>
      </c>
      <c r="C322" s="16">
        <f>_xll.DBRW($B$1,Cons_Region!$D$9,Cons_Region!C$11,$M$1,$G$259,Cons_Region!$J$9,$N$1,Cons_Region!$B322,$L$1,$K$1)</f>
        <v>0</v>
      </c>
      <c r="D322" s="16">
        <f>_xll.DBRW($B$1,Cons_Region!$D$9,Cons_Region!D$11,$M$1,$G$259,Cons_Region!$J$9,$N$1,Cons_Region!$B322,$L$1,$K$1)</f>
        <v>0</v>
      </c>
      <c r="E322" s="16">
        <f>_xll.DBRW($B$1,Cons_Region!$D$9,Cons_Region!E$11,$M$1,$G$259,Cons_Region!$J$9,$N$1,Cons_Region!$B322,$L$1,$K$1)</f>
        <v>0</v>
      </c>
      <c r="F322" s="16">
        <f>_xll.DBRW($B$1,Cons_Region!$D$9,Cons_Region!F$11,$M$1,$G$259,Cons_Region!$J$9,$N$1,Cons_Region!$B322,$L$1,$K$1)</f>
        <v>0</v>
      </c>
      <c r="G322" s="16">
        <f>_xll.DBRW($B$1,Cons_Region!$D$9,Cons_Region!G$11,$M$1,$G$259,Cons_Region!$J$9,$N$1,Cons_Region!$B322,$L$1,$K$1)</f>
        <v>0</v>
      </c>
      <c r="H322" s="16">
        <f>_xll.DBRW($B$1,Cons_Region!$D$9,Cons_Region!H$11,$M$1,$G$259,Cons_Region!$J$9,$N$1,Cons_Region!$B322,$L$1,$K$1)</f>
        <v>0</v>
      </c>
      <c r="I322" s="16">
        <f>_xll.DBRW($B$1,Cons_Region!$D$9,Cons_Region!I$11,$M$1,$G$259,Cons_Region!$J$9,$N$1,Cons_Region!$B322,$L$1,$K$1)</f>
        <v>0</v>
      </c>
      <c r="J322" s="16">
        <f>_xll.DBRW($B$1,Cons_Region!$D$9,Cons_Region!J$11,$M$1,$G$259,Cons_Region!$J$9,$N$1,Cons_Region!$B322,$L$1,$K$1)</f>
        <v>0</v>
      </c>
      <c r="K322" s="16">
        <f>_xll.DBRW($B$1,Cons_Region!$D$9,Cons_Region!K$11,$M$1,$G$259,Cons_Region!$J$9,$N$1,Cons_Region!$B322,$L$1,$K$1)</f>
        <v>0</v>
      </c>
      <c r="L322" s="16">
        <f>_xll.DBRW($B$1,Cons_Region!$D$9,Cons_Region!L$11,$M$1,$G$259,Cons_Region!$J$9,$N$1,Cons_Region!$B322,$L$1,$K$1)</f>
        <v>0</v>
      </c>
      <c r="M322" s="16">
        <f>_xll.DBRW($B$1,Cons_Region!$D$9,Cons_Region!M$11,$M$1,$G$259,Cons_Region!$J$9,$N$1,Cons_Region!$B322,$L$1,$K$1)</f>
        <v>0</v>
      </c>
      <c r="N322" s="16">
        <f>_xll.DBRW($B$1,Cons_Region!$D$9,Cons_Region!N$11,$M$1,$G$259,Cons_Region!$J$9,$N$1,Cons_Region!$B322,$L$1,$K$1)</f>
        <v>0</v>
      </c>
    </row>
    <row r="323" spans="2:14" ht="15.75" customHeight="1" x14ac:dyDescent="0.25">
      <c r="B323" s="24" t="s">
        <v>174</v>
      </c>
      <c r="C323" s="21">
        <f>_xll.DBRW($D$2,Cons_Region!$D$9,Cons_Region!C$11,$M$1,$G$268,Cons_Region!$J$9,Cons_Region!$B323,$K$1)</f>
        <v>0</v>
      </c>
      <c r="D323" s="21">
        <f>_xll.DBRW($D$2,Cons_Region!$D$9,Cons_Region!D$11,$M$1,$G$268,Cons_Region!$J$9,Cons_Region!$B323,$K$1)</f>
        <v>0</v>
      </c>
      <c r="E323" s="21">
        <f>_xll.DBRW($D$2,Cons_Region!$D$9,Cons_Region!E$11,$M$1,$G$268,Cons_Region!$J$9,Cons_Region!$B323,$K$1)</f>
        <v>0</v>
      </c>
      <c r="F323" s="21">
        <f>_xll.DBRW($D$2,Cons_Region!$D$9,Cons_Region!F$11,$M$1,$G$268,Cons_Region!$J$9,Cons_Region!$B323,$K$1)</f>
        <v>0</v>
      </c>
      <c r="G323" s="21">
        <f>_xll.DBRW($D$2,Cons_Region!$D$9,Cons_Region!G$11,$M$1,$G$268,Cons_Region!$J$9,Cons_Region!$B323,$K$1)</f>
        <v>0</v>
      </c>
      <c r="H323" s="21">
        <f>_xll.DBRW($D$2,Cons_Region!$D$9,Cons_Region!H$11,$M$1,$G$268,Cons_Region!$J$9,Cons_Region!$B323,$K$1)</f>
        <v>0</v>
      </c>
      <c r="I323" s="21">
        <f>_xll.DBRW($D$2,Cons_Region!$D$9,Cons_Region!I$11,$M$1,$G$268,Cons_Region!$J$9,Cons_Region!$B323,$K$1)</f>
        <v>0</v>
      </c>
      <c r="J323" s="21">
        <f>_xll.DBRW($D$2,Cons_Region!$D$9,Cons_Region!J$11,$M$1,$G$268,Cons_Region!$J$9,Cons_Region!$B323,$K$1)</f>
        <v>0</v>
      </c>
      <c r="K323" s="21">
        <f>_xll.DBRW($D$2,Cons_Region!$D$9,Cons_Region!K$11,$M$1,$G$268,Cons_Region!$J$9,Cons_Region!$B323,$K$1)</f>
        <v>0</v>
      </c>
      <c r="L323" s="21">
        <f>_xll.DBRW($D$2,Cons_Region!$D$9,Cons_Region!L$11,$M$1,$G$268,Cons_Region!$J$9,Cons_Region!$B323,$K$1)</f>
        <v>0</v>
      </c>
      <c r="M323" s="21">
        <f>_xll.DBRW($D$2,Cons_Region!$D$9,Cons_Region!M$11,$M$1,$G$268,Cons_Region!$J$9,Cons_Region!$B323,$K$1)</f>
        <v>0</v>
      </c>
      <c r="N323" s="21">
        <f>_xll.DBRW($D$2,Cons_Region!$D$9,Cons_Region!N$11,$M$1,$G$268,Cons_Region!$J$9,Cons_Region!$B323,$K$1)</f>
        <v>0</v>
      </c>
    </row>
    <row r="325" spans="2:14" ht="15.75" customHeight="1" thickBot="1" x14ac:dyDescent="0.3">
      <c r="B325" s="10"/>
    </row>
    <row r="326" spans="2:14" ht="15.75" customHeight="1" thickTop="1" x14ac:dyDescent="0.25">
      <c r="B326" s="9" t="s">
        <v>178</v>
      </c>
    </row>
    <row r="328" spans="2:14" ht="15.75" customHeight="1" x14ac:dyDescent="0.25">
      <c r="B328" s="5"/>
      <c r="C328" s="18" t="str">
        <f t="shared" ref="C328:N328" si="29">$D$9&amp;"."&amp;C$11</f>
        <v>2026.01</v>
      </c>
      <c r="D328" s="18" t="str">
        <f t="shared" si="29"/>
        <v>2026.02</v>
      </c>
      <c r="E328" s="18" t="str">
        <f t="shared" si="29"/>
        <v>2026.03</v>
      </c>
      <c r="F328" s="18" t="str">
        <f t="shared" si="29"/>
        <v>2026.04</v>
      </c>
      <c r="G328" s="18" t="str">
        <f t="shared" si="29"/>
        <v>2026.05</v>
      </c>
      <c r="H328" s="18" t="str">
        <f t="shared" si="29"/>
        <v>2026.06</v>
      </c>
      <c r="I328" s="18" t="str">
        <f t="shared" si="29"/>
        <v>2026.07</v>
      </c>
      <c r="J328" s="18" t="str">
        <f t="shared" si="29"/>
        <v>2026.08</v>
      </c>
      <c r="K328" s="18" t="str">
        <f t="shared" si="29"/>
        <v>2026.09</v>
      </c>
      <c r="L328" s="18" t="str">
        <f t="shared" si="29"/>
        <v>2026.10</v>
      </c>
      <c r="M328" s="18" t="str">
        <f t="shared" si="29"/>
        <v>2026.11</v>
      </c>
      <c r="N328" s="18" t="str">
        <f t="shared" si="29"/>
        <v>2026.12</v>
      </c>
    </row>
    <row r="329" spans="2:14" ht="15.75" customHeight="1" x14ac:dyDescent="0.25">
      <c r="B329" s="24" t="s">
        <v>177</v>
      </c>
      <c r="C329" s="21">
        <f>_xll.DBRW($D$2,Cons_Region!$D$9,Cons_Region!C$11,$M$1,$G$268,Cons_Region!$J$9,Cons_Region!$B329,$K$1)</f>
        <v>-201.97440947157958</v>
      </c>
      <c r="D329" s="21">
        <f>_xll.DBRW($D$2,Cons_Region!$D$9,Cons_Region!D$11,$M$1,$G$268,Cons_Region!$J$9,Cons_Region!$B329,$K$1)</f>
        <v>29.784005091081649</v>
      </c>
      <c r="E329" s="21">
        <f>_xll.DBRW($D$2,Cons_Region!$D$9,Cons_Region!E$11,$M$1,$G$268,Cons_Region!$J$9,Cons_Region!$B329,$K$1)</f>
        <v>-16.215246570925196</v>
      </c>
      <c r="F329" s="21">
        <f>_xll.DBRW($D$2,Cons_Region!$D$9,Cons_Region!F$11,$M$1,$G$268,Cons_Region!$J$9,Cons_Region!$B329,$K$1)</f>
        <v>4.3016689340043186</v>
      </c>
      <c r="G329" s="21">
        <f>_xll.DBRW($D$2,Cons_Region!$D$9,Cons_Region!G$11,$M$1,$G$268,Cons_Region!$J$9,Cons_Region!$B329,$K$1)</f>
        <v>19.876587403454174</v>
      </c>
      <c r="H329" s="21">
        <f>_xll.DBRW($D$2,Cons_Region!$D$9,Cons_Region!H$11,$M$1,$G$268,Cons_Region!$J$9,Cons_Region!$B329,$K$1)</f>
        <v>43.703253776546127</v>
      </c>
      <c r="I329" s="21">
        <f>_xll.DBRW($D$2,Cons_Region!$D$9,Cons_Region!I$11,$M$1,$G$268,Cons_Region!$J$9,Cons_Region!$B329,$K$1)</f>
        <v>48.83501275388879</v>
      </c>
      <c r="J329" s="21">
        <f>_xll.DBRW($D$2,Cons_Region!$D$9,Cons_Region!J$11,$M$1,$G$268,Cons_Region!$J$9,Cons_Region!$B329,$K$1)</f>
        <v>84.027636751386851</v>
      </c>
      <c r="K329" s="21">
        <f>_xll.DBRW($D$2,Cons_Region!$D$9,Cons_Region!K$11,$M$1,$G$268,Cons_Region!$J$9,Cons_Region!$B329,$K$1)</f>
        <v>52.944058818949649</v>
      </c>
      <c r="L329" s="21">
        <f>_xll.DBRW($D$2,Cons_Region!$D$9,Cons_Region!L$11,$M$1,$G$268,Cons_Region!$J$9,Cons_Region!$B329,$K$1)</f>
        <v>77.599900932256375</v>
      </c>
      <c r="M329" s="21">
        <f>_xll.DBRW($D$2,Cons_Region!$D$9,Cons_Region!M$11,$M$1,$G$268,Cons_Region!$J$9,Cons_Region!$B329,$K$1)</f>
        <v>41.27321400985106</v>
      </c>
      <c r="N329" s="21">
        <f>_xll.DBRW($D$2,Cons_Region!$D$9,Cons_Region!N$11,$M$1,$G$268,Cons_Region!$J$9,Cons_Region!$B329,$K$1)</f>
        <v>-2.6758824814585016</v>
      </c>
    </row>
    <row r="330" spans="2:14" ht="15.75" customHeight="1" x14ac:dyDescent="0.25">
      <c r="B330" s="17" t="s">
        <v>179</v>
      </c>
      <c r="C330" s="16">
        <f>_xll.DBRW($B$1,Cons_Region!$D$9,Cons_Region!C$11,$M$1,$G$259,Cons_Region!$J$9,$N$1,Cons_Region!$B330,$L$1,$K$1)</f>
        <v>0</v>
      </c>
      <c r="D330" s="16">
        <f>_xll.DBRW($B$1,Cons_Region!$D$9,Cons_Region!D$11,$M$1,$G$259,Cons_Region!$J$9,$N$1,Cons_Region!$B330,$L$1,$K$1)</f>
        <v>0</v>
      </c>
      <c r="E330" s="16">
        <f>_xll.DBRW($B$1,Cons_Region!$D$9,Cons_Region!E$11,$M$1,$G$259,Cons_Region!$J$9,$N$1,Cons_Region!$B330,$L$1,$K$1)</f>
        <v>0</v>
      </c>
      <c r="F330" s="16">
        <f>_xll.DBRW($B$1,Cons_Region!$D$9,Cons_Region!F$11,$M$1,$G$259,Cons_Region!$J$9,$N$1,Cons_Region!$B330,$L$1,$K$1)</f>
        <v>0</v>
      </c>
      <c r="G330" s="16">
        <f>_xll.DBRW($B$1,Cons_Region!$D$9,Cons_Region!G$11,$M$1,$G$259,Cons_Region!$J$9,$N$1,Cons_Region!$B330,$L$1,$K$1)</f>
        <v>0</v>
      </c>
      <c r="H330" s="16">
        <f>_xll.DBRW($B$1,Cons_Region!$D$9,Cons_Region!H$11,$M$1,$G$259,Cons_Region!$J$9,$N$1,Cons_Region!$B330,$L$1,$K$1)</f>
        <v>0</v>
      </c>
      <c r="I330" s="16">
        <f>_xll.DBRW($B$1,Cons_Region!$D$9,Cons_Region!I$11,$M$1,$G$259,Cons_Region!$J$9,$N$1,Cons_Region!$B330,$L$1,$K$1)</f>
        <v>0</v>
      </c>
      <c r="J330" s="16">
        <f>_xll.DBRW($B$1,Cons_Region!$D$9,Cons_Region!J$11,$M$1,$G$259,Cons_Region!$J$9,$N$1,Cons_Region!$B330,$L$1,$K$1)</f>
        <v>0</v>
      </c>
      <c r="K330" s="16">
        <f>_xll.DBRW($B$1,Cons_Region!$D$9,Cons_Region!K$11,$M$1,$G$259,Cons_Region!$J$9,$N$1,Cons_Region!$B330,$L$1,$K$1)</f>
        <v>0</v>
      </c>
      <c r="L330" s="16">
        <f>_xll.DBRW($B$1,Cons_Region!$D$9,Cons_Region!L$11,$M$1,$G$259,Cons_Region!$J$9,$N$1,Cons_Region!$B330,$L$1,$K$1)</f>
        <v>0</v>
      </c>
      <c r="M330" s="16">
        <f>_xll.DBRW($B$1,Cons_Region!$D$9,Cons_Region!M$11,$M$1,$G$259,Cons_Region!$J$9,$N$1,Cons_Region!$B330,$L$1,$K$1)</f>
        <v>0</v>
      </c>
      <c r="N330" s="16">
        <f>_xll.DBRW($B$1,Cons_Region!$D$9,Cons_Region!N$11,$M$1,$G$259,Cons_Region!$J$9,$N$1,Cons_Region!$B330,$L$1,$K$1)</f>
        <v>0</v>
      </c>
    </row>
    <row r="331" spans="2:14" ht="15.75" customHeight="1" x14ac:dyDescent="0.25">
      <c r="B331" s="24" t="s">
        <v>180</v>
      </c>
      <c r="C331" s="21">
        <f>_xll.DBRW($D$2,Cons_Region!$D$9,Cons_Region!C$11,$M$1,$G$268,Cons_Region!$J$9,Cons_Region!$B331,$K$1)</f>
        <v>-24.924497137927201</v>
      </c>
      <c r="D331" s="21">
        <f>_xll.DBRW($D$2,Cons_Region!$D$9,Cons_Region!D$11,$M$1,$G$268,Cons_Region!$J$9,Cons_Region!$B331,$K$1)</f>
        <v>-4.6172399503573596</v>
      </c>
      <c r="E331" s="21">
        <f>_xll.DBRW($D$2,Cons_Region!$D$9,Cons_Region!E$11,$M$1,$G$268,Cons_Region!$J$9,Cons_Region!$B331,$K$1)</f>
        <v>-4.1547888872435497</v>
      </c>
      <c r="F331" s="21">
        <f>_xll.DBRW($D$2,Cons_Region!$D$9,Cons_Region!F$11,$M$1,$G$268,Cons_Region!$J$9,Cons_Region!$B331,$K$1)</f>
        <v>-4.1547888872435497</v>
      </c>
      <c r="G331" s="21">
        <f>_xll.DBRW($D$2,Cons_Region!$D$9,Cons_Region!G$11,$M$1,$G$268,Cons_Region!$J$9,Cons_Region!$B331,$K$1)</f>
        <v>-14.154788887243599</v>
      </c>
      <c r="H331" s="21">
        <f>_xll.DBRW($D$2,Cons_Region!$D$9,Cons_Region!H$11,$M$1,$G$268,Cons_Region!$J$9,Cons_Region!$B331,$K$1)</f>
        <v>-14.154788887243599</v>
      </c>
      <c r="I331" s="21">
        <f>_xll.DBRW($D$2,Cons_Region!$D$9,Cons_Region!I$11,$M$1,$G$268,Cons_Region!$J$9,Cons_Region!$B331,$K$1)</f>
        <v>-34.154788887243598</v>
      </c>
      <c r="J331" s="21">
        <f>_xll.DBRW($D$2,Cons_Region!$D$9,Cons_Region!J$11,$M$1,$G$268,Cons_Region!$J$9,Cons_Region!$B331,$K$1)</f>
        <v>-59.154788887243598</v>
      </c>
      <c r="K331" s="21">
        <f>_xll.DBRW($D$2,Cons_Region!$D$9,Cons_Region!K$11,$M$1,$G$268,Cons_Region!$J$9,Cons_Region!$B331,$K$1)</f>
        <v>-34.154788887243598</v>
      </c>
      <c r="L331" s="21">
        <f>_xll.DBRW($D$2,Cons_Region!$D$9,Cons_Region!L$11,$M$1,$G$268,Cons_Region!$J$9,Cons_Region!$B331,$K$1)</f>
        <v>-34.154788887243598</v>
      </c>
      <c r="M331" s="21">
        <f>_xll.DBRW($D$2,Cons_Region!$D$9,Cons_Region!M$11,$M$1,$G$268,Cons_Region!$J$9,Cons_Region!$B331,$K$1)</f>
        <v>-34.154788887243598</v>
      </c>
      <c r="N331" s="21">
        <f>_xll.DBRW($D$2,Cons_Region!$D$9,Cons_Region!N$11,$M$1,$G$268,Cons_Region!$J$9,Cons_Region!$B331,$K$1)</f>
        <v>-58.8547888872436</v>
      </c>
    </row>
    <row r="332" spans="2:14" ht="15.75" customHeight="1" x14ac:dyDescent="0.25">
      <c r="B332" s="24" t="s">
        <v>119</v>
      </c>
      <c r="C332" s="21">
        <f>_xll.DBRW($D$2,Cons_Region!$D$9,Cons_Region!C$11,$M$1,$G$268,Cons_Region!$J$9,Cons_Region!$B332,$K$1)</f>
        <v>-30</v>
      </c>
      <c r="D332" s="21">
        <f>_xll.DBRW($D$2,Cons_Region!$D$9,Cons_Region!D$11,$M$1,$G$268,Cons_Region!$J$9,Cons_Region!$B332,$K$1)</f>
        <v>52.165202108963101</v>
      </c>
      <c r="E332" s="21">
        <f>_xll.DBRW($D$2,Cons_Region!$D$9,Cons_Region!E$11,$M$1,$G$268,Cons_Region!$J$9,Cons_Region!$B332,$K$1)</f>
        <v>65</v>
      </c>
      <c r="F332" s="21">
        <f>_xll.DBRW($D$2,Cons_Region!$D$9,Cons_Region!F$11,$M$1,$G$268,Cons_Region!$J$9,Cons_Region!$B332,$K$1)</f>
        <v>0</v>
      </c>
      <c r="G332" s="21">
        <f>_xll.DBRW($D$2,Cons_Region!$D$9,Cons_Region!G$11,$M$1,$G$268,Cons_Region!$J$9,Cons_Region!$B332,$K$1)</f>
        <v>0</v>
      </c>
      <c r="H332" s="21">
        <f>_xll.DBRW($D$2,Cons_Region!$D$9,Cons_Region!H$11,$M$1,$G$268,Cons_Region!$J$9,Cons_Region!$B332,$K$1)</f>
        <v>0</v>
      </c>
      <c r="I332" s="21">
        <f>_xll.DBRW($D$2,Cons_Region!$D$9,Cons_Region!I$11,$M$1,$G$268,Cons_Region!$J$9,Cons_Region!$B332,$K$1)</f>
        <v>0</v>
      </c>
      <c r="J332" s="21">
        <f>_xll.DBRW($D$2,Cons_Region!$D$9,Cons_Region!J$11,$M$1,$G$268,Cons_Region!$J$9,Cons_Region!$B332,$K$1)</f>
        <v>0</v>
      </c>
      <c r="K332" s="21">
        <f>_xll.DBRW($D$2,Cons_Region!$D$9,Cons_Region!K$11,$M$1,$G$268,Cons_Region!$J$9,Cons_Region!$B332,$K$1)</f>
        <v>0</v>
      </c>
      <c r="L332" s="21">
        <f>_xll.DBRW($D$2,Cons_Region!$D$9,Cons_Region!L$11,$M$1,$G$268,Cons_Region!$J$9,Cons_Region!$B332,$K$1)</f>
        <v>0</v>
      </c>
      <c r="M332" s="21">
        <f>_xll.DBRW($D$2,Cons_Region!$D$9,Cons_Region!M$11,$M$1,$G$268,Cons_Region!$J$9,Cons_Region!$B332,$K$1)</f>
        <v>0</v>
      </c>
      <c r="N332" s="21">
        <f>_xll.DBRW($D$2,Cons_Region!$D$9,Cons_Region!N$11,$M$1,$G$268,Cons_Region!$J$9,Cons_Region!$B332,$K$1)</f>
        <v>100</v>
      </c>
    </row>
    <row r="334" spans="2:14" ht="15.75" customHeight="1" thickBot="1" x14ac:dyDescent="0.3">
      <c r="B334" s="10"/>
    </row>
    <row r="335" spans="2:14" ht="15.75" customHeight="1" thickTop="1" x14ac:dyDescent="0.25">
      <c r="B335" s="9" t="s">
        <v>146</v>
      </c>
    </row>
    <row r="337" spans="2:14" ht="15.75" customHeight="1" x14ac:dyDescent="0.25">
      <c r="B337" s="5"/>
      <c r="C337" s="18" t="str">
        <f t="shared" ref="C337:N337" si="30">$D$9&amp;"."&amp;C$11</f>
        <v>2026.01</v>
      </c>
      <c r="D337" s="18" t="str">
        <f t="shared" si="30"/>
        <v>2026.02</v>
      </c>
      <c r="E337" s="18" t="str">
        <f t="shared" si="30"/>
        <v>2026.03</v>
      </c>
      <c r="F337" s="18" t="str">
        <f t="shared" si="30"/>
        <v>2026.04</v>
      </c>
      <c r="G337" s="18" t="str">
        <f t="shared" si="30"/>
        <v>2026.05</v>
      </c>
      <c r="H337" s="18" t="str">
        <f t="shared" si="30"/>
        <v>2026.06</v>
      </c>
      <c r="I337" s="18" t="str">
        <f t="shared" si="30"/>
        <v>2026.07</v>
      </c>
      <c r="J337" s="18" t="str">
        <f t="shared" si="30"/>
        <v>2026.08</v>
      </c>
      <c r="K337" s="18" t="str">
        <f t="shared" si="30"/>
        <v>2026.09</v>
      </c>
      <c r="L337" s="18" t="str">
        <f t="shared" si="30"/>
        <v>2026.10</v>
      </c>
      <c r="M337" s="18" t="str">
        <f t="shared" si="30"/>
        <v>2026.11</v>
      </c>
      <c r="N337" s="18" t="str">
        <f t="shared" si="30"/>
        <v>2026.12</v>
      </c>
    </row>
    <row r="338" spans="2:14" ht="15.75" customHeight="1" x14ac:dyDescent="0.25">
      <c r="B338" s="24" t="s">
        <v>181</v>
      </c>
      <c r="C338" s="21">
        <f>_xll.DBRW($D$2,Cons_Region!$D$9,Cons_Region!C$11,$M$1,$G$268,Cons_Region!$J$9,Cons_Region!$B338,$K$1)</f>
        <v>-256.89890660950675</v>
      </c>
      <c r="D338" s="21">
        <f>_xll.DBRW($D$2,Cons_Region!$D$9,Cons_Region!D$11,$M$1,$G$268,Cons_Region!$J$9,Cons_Region!$B338,$K$1)</f>
        <v>77.331967249687395</v>
      </c>
      <c r="E338" s="21">
        <f>_xll.DBRW($D$2,Cons_Region!$D$9,Cons_Region!E$11,$M$1,$G$268,Cons_Region!$J$9,Cons_Region!$B338,$K$1)</f>
        <v>44.629964541831256</v>
      </c>
      <c r="F338" s="21">
        <f>_xll.DBRW($D$2,Cons_Region!$D$9,Cons_Region!F$11,$M$1,$G$268,Cons_Region!$J$9,Cons_Region!$B338,$K$1)</f>
        <v>0.14688004676076893</v>
      </c>
      <c r="G338" s="21">
        <f>_xll.DBRW($D$2,Cons_Region!$D$9,Cons_Region!G$11,$M$1,$G$268,Cons_Region!$J$9,Cons_Region!$B338,$K$1)</f>
        <v>5.7217985162105744</v>
      </c>
      <c r="H338" s="21">
        <f>_xll.DBRW($D$2,Cons_Region!$D$9,Cons_Region!H$11,$M$1,$G$268,Cons_Region!$J$9,Cons_Region!$B338,$K$1)</f>
        <v>29.548464889302529</v>
      </c>
      <c r="I338" s="21">
        <f>_xll.DBRW($D$2,Cons_Region!$D$9,Cons_Region!I$11,$M$1,$G$268,Cons_Region!$J$9,Cons_Region!$B338,$K$1)</f>
        <v>14.680223866645193</v>
      </c>
      <c r="J338" s="21">
        <f>_xll.DBRW($D$2,Cons_Region!$D$9,Cons_Region!J$11,$M$1,$G$268,Cons_Region!$J$9,Cons_Region!$B338,$K$1)</f>
        <v>24.872847864143253</v>
      </c>
      <c r="K338" s="21">
        <f>_xll.DBRW($D$2,Cons_Region!$D$9,Cons_Region!K$11,$M$1,$G$268,Cons_Region!$J$9,Cons_Region!$B338,$K$1)</f>
        <v>18.789269931706052</v>
      </c>
      <c r="L338" s="21">
        <f>_xll.DBRW($D$2,Cons_Region!$D$9,Cons_Region!L$11,$M$1,$G$268,Cons_Region!$J$9,Cons_Region!$B338,$K$1)</f>
        <v>43.445112045012777</v>
      </c>
      <c r="M338" s="21">
        <f>_xll.DBRW($D$2,Cons_Region!$D$9,Cons_Region!M$11,$M$1,$G$268,Cons_Region!$J$9,Cons_Region!$B338,$K$1)</f>
        <v>7.1184251226074622</v>
      </c>
      <c r="N338" s="21">
        <f>_xll.DBRW($D$2,Cons_Region!$D$9,Cons_Region!N$11,$M$1,$G$268,Cons_Region!$J$9,Cons_Region!$B338,$K$1)</f>
        <v>38.469328631297898</v>
      </c>
    </row>
    <row r="339" spans="2:14" ht="15.75" customHeight="1" x14ac:dyDescent="0.25">
      <c r="B339" s="17" t="s">
        <v>147</v>
      </c>
      <c r="C339" s="16">
        <f>_xll.DBRW($B$1,Cons_Region!$D$9,Cons_Region!C$11,$M$1,$G$259,Cons_Region!$J$9,$N$1,Cons_Region!$B339,$L$1,$K$1)</f>
        <v>0</v>
      </c>
      <c r="D339" s="16">
        <f>_xll.DBRW($B$1,Cons_Region!$D$9,Cons_Region!D$11,$M$1,$G$259,Cons_Region!$J$9,$N$1,Cons_Region!$B339,$L$1,$K$1)</f>
        <v>0</v>
      </c>
      <c r="E339" s="16">
        <f>_xll.DBRW($B$1,Cons_Region!$D$9,Cons_Region!E$11,$M$1,$G$259,Cons_Region!$J$9,$N$1,Cons_Region!$B339,$L$1,$K$1)</f>
        <v>0</v>
      </c>
      <c r="F339" s="16">
        <f>_xll.DBRW($B$1,Cons_Region!$D$9,Cons_Region!F$11,$M$1,$G$259,Cons_Region!$J$9,$N$1,Cons_Region!$B339,$L$1,$K$1)</f>
        <v>0</v>
      </c>
      <c r="G339" s="16">
        <f>_xll.DBRW($B$1,Cons_Region!$D$9,Cons_Region!G$11,$M$1,$G$259,Cons_Region!$J$9,$N$1,Cons_Region!$B339,$L$1,$K$1)</f>
        <v>0</v>
      </c>
      <c r="H339" s="16">
        <f>_xll.DBRW($B$1,Cons_Region!$D$9,Cons_Region!H$11,$M$1,$G$259,Cons_Region!$J$9,$N$1,Cons_Region!$B339,$L$1,$K$1)</f>
        <v>0</v>
      </c>
      <c r="I339" s="16">
        <f>_xll.DBRW($B$1,Cons_Region!$D$9,Cons_Region!I$11,$M$1,$G$259,Cons_Region!$J$9,$N$1,Cons_Region!$B339,$L$1,$K$1)</f>
        <v>0</v>
      </c>
      <c r="J339" s="16">
        <f>_xll.DBRW($B$1,Cons_Region!$D$9,Cons_Region!J$11,$M$1,$G$259,Cons_Region!$J$9,$N$1,Cons_Region!$B339,$L$1,$K$1)</f>
        <v>0</v>
      </c>
      <c r="K339" s="16">
        <f>_xll.DBRW($B$1,Cons_Region!$D$9,Cons_Region!K$11,$M$1,$G$259,Cons_Region!$J$9,$N$1,Cons_Region!$B339,$L$1,$K$1)</f>
        <v>0</v>
      </c>
      <c r="L339" s="16">
        <f>_xll.DBRW($B$1,Cons_Region!$D$9,Cons_Region!L$11,$M$1,$G$259,Cons_Region!$J$9,$N$1,Cons_Region!$B339,$L$1,$K$1)</f>
        <v>0</v>
      </c>
      <c r="M339" s="16">
        <f>_xll.DBRW($B$1,Cons_Region!$D$9,Cons_Region!M$11,$M$1,$G$259,Cons_Region!$J$9,$N$1,Cons_Region!$B339,$L$1,$K$1)</f>
        <v>0</v>
      </c>
      <c r="N339" s="16">
        <f>_xll.DBRW($B$1,Cons_Region!$D$9,Cons_Region!N$11,$M$1,$G$259,Cons_Region!$J$9,$N$1,Cons_Region!$B339,$L$1,$K$1)</f>
        <v>0</v>
      </c>
    </row>
    <row r="340" spans="2:14" ht="15.75" customHeight="1" x14ac:dyDescent="0.25">
      <c r="B340" s="24" t="s">
        <v>182</v>
      </c>
      <c r="C340" s="21">
        <f>_xll.DBRW($D$2,Cons_Region!$D$9,Cons_Region!C$11,$M$1,$G$268,Cons_Region!$J$9,Cons_Region!$B340,$K$1)</f>
        <v>0</v>
      </c>
      <c r="D340" s="21">
        <f>_xll.DBRW($D$2,Cons_Region!$D$9,Cons_Region!D$11,$M$1,$G$268,Cons_Region!$J$9,Cons_Region!$B340,$K$1)</f>
        <v>-256.89890660950675</v>
      </c>
      <c r="E340" s="21">
        <f>_xll.DBRW($D$2,Cons_Region!$D$9,Cons_Region!E$11,$M$1,$G$268,Cons_Region!$J$9,Cons_Region!$B340,$K$1)</f>
        <v>-179.56693935981934</v>
      </c>
      <c r="F340" s="21">
        <f>_xll.DBRW($D$2,Cons_Region!$D$9,Cons_Region!F$11,$M$1,$G$268,Cons_Region!$J$9,Cons_Region!$B340,$K$1)</f>
        <v>-134.93697481798807</v>
      </c>
      <c r="G340" s="21">
        <f>_xll.DBRW($D$2,Cons_Region!$D$9,Cons_Region!G$11,$M$1,$G$268,Cons_Region!$J$9,Cons_Region!$B340,$K$1)</f>
        <v>-134.7900947712273</v>
      </c>
      <c r="H340" s="21">
        <f>_xll.DBRW($D$2,Cons_Region!$D$9,Cons_Region!H$11,$M$1,$G$268,Cons_Region!$J$9,Cons_Region!$B340,$K$1)</f>
        <v>-129.06829625501672</v>
      </c>
      <c r="I340" s="21">
        <f>_xll.DBRW($D$2,Cons_Region!$D$9,Cons_Region!I$11,$M$1,$G$268,Cons_Region!$J$9,Cons_Region!$B340,$K$1)</f>
        <v>-99.519831365714197</v>
      </c>
      <c r="J340" s="21">
        <f>_xll.DBRW($D$2,Cons_Region!$D$9,Cons_Region!J$11,$M$1,$G$268,Cons_Region!$J$9,Cons_Region!$B340,$K$1)</f>
        <v>-84.839607499069004</v>
      </c>
      <c r="K340" s="21">
        <f>_xll.DBRW($D$2,Cons_Region!$D$9,Cons_Region!K$11,$M$1,$G$268,Cons_Region!$J$9,Cons_Region!$B340,$K$1)</f>
        <v>-59.966759634925751</v>
      </c>
      <c r="L340" s="21">
        <f>_xll.DBRW($D$2,Cons_Region!$D$9,Cons_Region!L$11,$M$1,$G$268,Cons_Region!$J$9,Cons_Region!$B340,$K$1)</f>
        <v>-41.177489703219699</v>
      </c>
      <c r="M340" s="21">
        <f>_xll.DBRW($D$2,Cons_Region!$D$9,Cons_Region!M$11,$M$1,$G$268,Cons_Region!$J$9,Cons_Region!$B340,$K$1)</f>
        <v>2.2676223417930785</v>
      </c>
      <c r="N340" s="21">
        <f>_xll.DBRW($D$2,Cons_Region!$D$9,Cons_Region!N$11,$M$1,$G$268,Cons_Region!$J$9,Cons_Region!$B340,$K$1)</f>
        <v>9.3860474644005407</v>
      </c>
    </row>
    <row r="341" spans="2:14" ht="15.75" customHeight="1" x14ac:dyDescent="0.25">
      <c r="B341" s="24" t="s">
        <v>183</v>
      </c>
      <c r="C341" s="21">
        <f>_xll.DBRW($D$2,Cons_Region!$D$9,Cons_Region!C$11,$M$1,$G$268,Cons_Region!$J$9,Cons_Region!$B341,$K$1)</f>
        <v>-256.89890660950675</v>
      </c>
      <c r="D341" s="21">
        <f>_xll.DBRW($D$2,Cons_Region!$D$9,Cons_Region!D$11,$M$1,$G$268,Cons_Region!$J$9,Cons_Region!$B341,$K$1)</f>
        <v>-179.56693935981934</v>
      </c>
      <c r="E341" s="21">
        <f>_xll.DBRW($D$2,Cons_Region!$D$9,Cons_Region!E$11,$M$1,$G$268,Cons_Region!$J$9,Cons_Region!$B341,$K$1)</f>
        <v>-134.93697481798807</v>
      </c>
      <c r="F341" s="21">
        <f>_xll.DBRW($D$2,Cons_Region!$D$9,Cons_Region!F$11,$M$1,$G$268,Cons_Region!$J$9,Cons_Region!$B341,$K$1)</f>
        <v>-134.7900947712273</v>
      </c>
      <c r="G341" s="21">
        <f>_xll.DBRW($D$2,Cons_Region!$D$9,Cons_Region!G$11,$M$1,$G$268,Cons_Region!$J$9,Cons_Region!$B341,$K$1)</f>
        <v>-129.06829625501672</v>
      </c>
      <c r="H341" s="21">
        <f>_xll.DBRW($D$2,Cons_Region!$D$9,Cons_Region!H$11,$M$1,$G$268,Cons_Region!$J$9,Cons_Region!$B341,$K$1)</f>
        <v>-99.519831365714197</v>
      </c>
      <c r="I341" s="21">
        <f>_xll.DBRW($D$2,Cons_Region!$D$9,Cons_Region!I$11,$M$1,$G$268,Cons_Region!$J$9,Cons_Region!$B341,$K$1)</f>
        <v>-84.839607499069004</v>
      </c>
      <c r="J341" s="21">
        <f>_xll.DBRW($D$2,Cons_Region!$D$9,Cons_Region!J$11,$M$1,$G$268,Cons_Region!$J$9,Cons_Region!$B341,$K$1)</f>
        <v>-59.966759634925751</v>
      </c>
      <c r="K341" s="21">
        <f>_xll.DBRW($D$2,Cons_Region!$D$9,Cons_Region!K$11,$M$1,$G$268,Cons_Region!$J$9,Cons_Region!$B341,$K$1)</f>
        <v>-41.177489703219699</v>
      </c>
      <c r="L341" s="21">
        <f>_xll.DBRW($D$2,Cons_Region!$D$9,Cons_Region!L$11,$M$1,$G$268,Cons_Region!$J$9,Cons_Region!$B341,$K$1)</f>
        <v>2.2676223417930785</v>
      </c>
      <c r="M341" s="21">
        <f>_xll.DBRW($D$2,Cons_Region!$D$9,Cons_Region!M$11,$M$1,$G$268,Cons_Region!$J$9,Cons_Region!$B341,$K$1)</f>
        <v>9.3860474644005407</v>
      </c>
      <c r="N341" s="21">
        <f>_xll.DBRW($D$2,Cons_Region!$D$9,Cons_Region!N$11,$M$1,$G$268,Cons_Region!$J$9,Cons_Region!$B341,$K$1)</f>
        <v>47.855376095698439</v>
      </c>
    </row>
    <row r="342" spans="2:14" ht="15.75" customHeight="1" x14ac:dyDescent="0.25">
      <c r="B342" s="24" t="s">
        <v>184</v>
      </c>
      <c r="C342" s="21">
        <f>_xll.DBRW($D$2,Cons_Region!$D$9,Cons_Region!C$11,$M$1,$G$268,Cons_Region!$J$9,Cons_Region!$B342,$K$1)</f>
        <v>-256.89890660950675</v>
      </c>
      <c r="D342" s="21">
        <f>_xll.DBRW($D$2,Cons_Region!$D$9,Cons_Region!D$11,$M$1,$G$268,Cons_Region!$J$9,Cons_Region!$B342,$K$1)</f>
        <v>-179.56693935981934</v>
      </c>
      <c r="E342" s="21">
        <f>_xll.DBRW($D$2,Cons_Region!$D$9,Cons_Region!E$11,$M$1,$G$268,Cons_Region!$J$9,Cons_Region!$B342,$K$1)</f>
        <v>-134.93697481798807</v>
      </c>
      <c r="F342" s="21">
        <f>_xll.DBRW($D$2,Cons_Region!$D$9,Cons_Region!F$11,$M$1,$G$268,Cons_Region!$J$9,Cons_Region!$B342,$K$1)</f>
        <v>-134.7900947712273</v>
      </c>
      <c r="G342" s="21">
        <f>_xll.DBRW($D$2,Cons_Region!$D$9,Cons_Region!G$11,$M$1,$G$268,Cons_Region!$J$9,Cons_Region!$B342,$K$1)</f>
        <v>-129.06829625501672</v>
      </c>
      <c r="H342" s="21">
        <f>_xll.DBRW($D$2,Cons_Region!$D$9,Cons_Region!H$11,$M$1,$G$268,Cons_Region!$J$9,Cons_Region!$B342,$K$1)</f>
        <v>-99.519831365714197</v>
      </c>
      <c r="I342" s="21">
        <f>_xll.DBRW($D$2,Cons_Region!$D$9,Cons_Region!I$11,$M$1,$G$268,Cons_Region!$J$9,Cons_Region!$B342,$K$1)</f>
        <v>-84.839607499069004</v>
      </c>
      <c r="J342" s="21">
        <f>_xll.DBRW($D$2,Cons_Region!$D$9,Cons_Region!J$11,$M$1,$G$268,Cons_Region!$J$9,Cons_Region!$B342,$K$1)</f>
        <v>-59.966759634925751</v>
      </c>
      <c r="K342" s="21">
        <f>_xll.DBRW($D$2,Cons_Region!$D$9,Cons_Region!K$11,$M$1,$G$268,Cons_Region!$J$9,Cons_Region!$B342,$K$1)</f>
        <v>-41.177489703219699</v>
      </c>
      <c r="L342" s="21">
        <f>_xll.DBRW($D$2,Cons_Region!$D$9,Cons_Region!L$11,$M$1,$G$268,Cons_Region!$J$9,Cons_Region!$B342,$K$1)</f>
        <v>2.2676223417930785</v>
      </c>
      <c r="M342" s="21">
        <f>_xll.DBRW($D$2,Cons_Region!$D$9,Cons_Region!M$11,$M$1,$G$268,Cons_Region!$J$9,Cons_Region!$B342,$K$1)</f>
        <v>9.3860474644005407</v>
      </c>
      <c r="N342" s="21">
        <f>_xll.DBRW($D$2,Cons_Region!$D$9,Cons_Region!N$11,$M$1,$G$268,Cons_Region!$J$9,Cons_Region!$B342,$K$1)</f>
        <v>47.855376095698439</v>
      </c>
    </row>
    <row r="343" spans="2:14" ht="15.75" customHeight="1" x14ac:dyDescent="0.25">
      <c r="B343" s="24" t="s">
        <v>185</v>
      </c>
      <c r="C343" s="21">
        <f>_xll.DBRW($D$2,Cons_Region!$D$9,Cons_Region!C$11,$M$1,$G$268,Cons_Region!$J$9,Cons_Region!$B343,$K$1)</f>
        <v>-917.26721466671211</v>
      </c>
      <c r="D343" s="21">
        <f>_xll.DBRW($D$2,Cons_Region!$D$9,Cons_Region!D$11,$M$1,$G$268,Cons_Region!$J$9,Cons_Region!$B343,$K$1)</f>
        <v>-970.14824078028892</v>
      </c>
      <c r="E343" s="21">
        <f>_xll.DBRW($D$2,Cons_Region!$D$9,Cons_Region!E$11,$M$1,$G$268,Cons_Region!$J$9,Cons_Region!$B343,$K$1)</f>
        <v>-1033.2021498925092</v>
      </c>
      <c r="F343" s="21">
        <f>_xll.DBRW($D$2,Cons_Region!$D$9,Cons_Region!F$11,$M$1,$G$268,Cons_Region!$J$9,Cons_Region!$B343,$K$1)</f>
        <v>-1019.4661829562569</v>
      </c>
      <c r="G343" s="21">
        <f>_xll.DBRW($D$2,Cons_Region!$D$9,Cons_Region!G$11,$M$1,$G$268,Cons_Region!$J$9,Cons_Region!$B343,$K$1)</f>
        <v>-1009.0907233734024</v>
      </c>
      <c r="H343" s="21">
        <f>_xll.DBRW($D$2,Cons_Region!$D$9,Cons_Region!H$11,$M$1,$G$268,Cons_Region!$J$9,Cons_Region!$B343,$K$1)</f>
        <v>-997.14436179464656</v>
      </c>
      <c r="I343" s="21">
        <f>_xll.DBRW($D$2,Cons_Region!$D$9,Cons_Region!I$11,$M$1,$G$268,Cons_Region!$J$9,Cons_Region!$B343,$K$1)</f>
        <v>-967.62003302507128</v>
      </c>
      <c r="J343" s="21">
        <f>_xll.DBRW($D$2,Cons_Region!$D$9,Cons_Region!J$11,$M$1,$G$268,Cons_Region!$J$9,Cons_Region!$B343,$K$1)</f>
        <v>-913.09605936031642</v>
      </c>
      <c r="K343" s="21">
        <f>_xll.DBRW($D$2,Cons_Region!$D$9,Cons_Region!K$11,$M$1,$G$268,Cons_Region!$J$9,Cons_Region!$B343,$K$1)</f>
        <v>-888.37067748331469</v>
      </c>
      <c r="L343" s="21">
        <f>_xll.DBRW($D$2,Cons_Region!$D$9,Cons_Region!L$11,$M$1,$G$268,Cons_Region!$J$9,Cons_Region!$B343,$K$1)</f>
        <v>-844.45085779357441</v>
      </c>
      <c r="M343" s="21">
        <f>_xll.DBRW($D$2,Cons_Region!$D$9,Cons_Region!M$11,$M$1,$G$268,Cons_Region!$J$9,Cons_Region!$B343,$K$1)</f>
        <v>-814.8816504743063</v>
      </c>
      <c r="N343" s="21">
        <f>_xll.DBRW($D$2,Cons_Region!$D$9,Cons_Region!N$11,$M$1,$G$268,Cons_Region!$J$9,Cons_Region!$B343,$K$1)</f>
        <v>-858.36340775748465</v>
      </c>
    </row>
    <row r="344" spans="2:14" ht="15.75" customHeight="1" x14ac:dyDescent="0.25">
      <c r="B344" s="17" t="s">
        <v>193</v>
      </c>
      <c r="C344" s="16">
        <f>_xll.DBRW($B$1,Cons_Region!$D$9,Cons_Region!C$11,$M$1,$G$259,Cons_Region!$J$9,$N$1,Cons_Region!$B344,$L$1,$K$1)</f>
        <v>0</v>
      </c>
      <c r="D344" s="16">
        <f>_xll.DBRW($B$1,Cons_Region!$D$9,Cons_Region!D$11,$M$1,$G$259,Cons_Region!$J$9,$N$1,Cons_Region!$B344,$L$1,$K$1)</f>
        <v>0</v>
      </c>
      <c r="E344" s="16">
        <f>_xll.DBRW($B$1,Cons_Region!$D$9,Cons_Region!E$11,$M$1,$G$259,Cons_Region!$J$9,$N$1,Cons_Region!$B344,$L$1,$K$1)</f>
        <v>0</v>
      </c>
      <c r="F344" s="16">
        <f>_xll.DBRW($B$1,Cons_Region!$D$9,Cons_Region!F$11,$M$1,$G$259,Cons_Region!$J$9,$N$1,Cons_Region!$B344,$L$1,$K$1)</f>
        <v>0</v>
      </c>
      <c r="G344" s="16">
        <f>_xll.DBRW($B$1,Cons_Region!$D$9,Cons_Region!G$11,$M$1,$G$259,Cons_Region!$J$9,$N$1,Cons_Region!$B344,$L$1,$K$1)</f>
        <v>0</v>
      </c>
      <c r="H344" s="16">
        <f>_xll.DBRW($B$1,Cons_Region!$D$9,Cons_Region!H$11,$M$1,$G$259,Cons_Region!$J$9,$N$1,Cons_Region!$B344,$L$1,$K$1)</f>
        <v>0</v>
      </c>
      <c r="I344" s="16">
        <f>_xll.DBRW($B$1,Cons_Region!$D$9,Cons_Region!I$11,$M$1,$G$259,Cons_Region!$J$9,$N$1,Cons_Region!$B344,$L$1,$K$1)</f>
        <v>0</v>
      </c>
      <c r="J344" s="16">
        <f>_xll.DBRW($B$1,Cons_Region!$D$9,Cons_Region!J$11,$M$1,$G$259,Cons_Region!$J$9,$N$1,Cons_Region!$B344,$L$1,$K$1)</f>
        <v>0</v>
      </c>
      <c r="K344" s="16">
        <f>_xll.DBRW($B$1,Cons_Region!$D$9,Cons_Region!K$11,$M$1,$G$259,Cons_Region!$J$9,$N$1,Cons_Region!$B344,$L$1,$K$1)</f>
        <v>0</v>
      </c>
      <c r="L344" s="16">
        <f>_xll.DBRW($B$1,Cons_Region!$D$9,Cons_Region!L$11,$M$1,$G$259,Cons_Region!$J$9,$N$1,Cons_Region!$B344,$L$1,$K$1)</f>
        <v>0</v>
      </c>
      <c r="M344" s="16">
        <f>_xll.DBRW($B$1,Cons_Region!$D$9,Cons_Region!M$11,$M$1,$G$259,Cons_Region!$J$9,$N$1,Cons_Region!$B344,$L$1,$K$1)</f>
        <v>0</v>
      </c>
      <c r="N344" s="16">
        <f>_xll.DBRW($B$1,Cons_Region!$D$9,Cons_Region!N$11,$M$1,$G$259,Cons_Region!$J$9,$N$1,Cons_Region!$B344,$L$1,$K$1)</f>
        <v>0</v>
      </c>
    </row>
    <row r="345" spans="2:14" ht="15.75" customHeight="1" x14ac:dyDescent="0.25">
      <c r="B345" s="24" t="s">
        <v>186</v>
      </c>
      <c r="C345" s="21">
        <f>_xll.DBRW($D$2,Cons_Region!$D$9,Cons_Region!C$11,$M$1,$G$268,Cons_Region!$J$9,Cons_Region!$B345,$K$1)</f>
        <v>-1174.1661212762187</v>
      </c>
      <c r="D345" s="21">
        <f>_xll.DBRW($D$2,Cons_Region!$D$9,Cons_Region!D$11,$M$1,$G$268,Cons_Region!$J$9,Cons_Region!$B345,$K$1)</f>
        <v>-1149.7151801401083</v>
      </c>
      <c r="E345" s="21">
        <f>_xll.DBRW($D$2,Cons_Region!$D$9,Cons_Region!E$11,$M$1,$G$268,Cons_Region!$J$9,Cons_Region!$B345,$K$1)</f>
        <v>-1168.1391247104973</v>
      </c>
      <c r="F345" s="21">
        <f>_xll.DBRW($D$2,Cons_Region!$D$9,Cons_Region!F$11,$M$1,$G$268,Cons_Region!$J$9,Cons_Region!$B345,$K$1)</f>
        <v>-1154.2562777274843</v>
      </c>
      <c r="G345" s="21">
        <f>_xll.DBRW($D$2,Cons_Region!$D$9,Cons_Region!G$11,$M$1,$G$268,Cons_Region!$J$9,Cons_Region!$B345,$K$1)</f>
        <v>-1138.1590196284192</v>
      </c>
      <c r="H345" s="21">
        <f>_xll.DBRW($D$2,Cons_Region!$D$9,Cons_Region!H$11,$M$1,$G$268,Cons_Region!$J$9,Cons_Region!$B345,$K$1)</f>
        <v>-1096.6641931603608</v>
      </c>
      <c r="I345" s="21">
        <f>_xll.DBRW($D$2,Cons_Region!$D$9,Cons_Region!I$11,$M$1,$G$268,Cons_Region!$J$9,Cons_Region!$B345,$K$1)</f>
        <v>-1052.4596405241402</v>
      </c>
      <c r="J345" s="21">
        <f>_xll.DBRW($D$2,Cons_Region!$D$9,Cons_Region!J$11,$M$1,$G$268,Cons_Region!$J$9,Cons_Region!$B345,$K$1)</f>
        <v>-973.0628189952422</v>
      </c>
      <c r="K345" s="21">
        <f>_xll.DBRW($D$2,Cons_Region!$D$9,Cons_Region!K$11,$M$1,$G$268,Cons_Region!$J$9,Cons_Region!$B345,$K$1)</f>
        <v>-929.54816718653444</v>
      </c>
      <c r="L345" s="21">
        <f>_xll.DBRW($D$2,Cons_Region!$D$9,Cons_Region!L$11,$M$1,$G$268,Cons_Region!$J$9,Cons_Region!$B345,$K$1)</f>
        <v>-842.18323545178134</v>
      </c>
      <c r="M345" s="21">
        <f>_xll.DBRW($D$2,Cons_Region!$D$9,Cons_Region!M$11,$M$1,$G$268,Cons_Region!$J$9,Cons_Region!$B345,$K$1)</f>
        <v>-805.49560300990572</v>
      </c>
      <c r="N345" s="21">
        <f>_xll.DBRW($D$2,Cons_Region!$D$9,Cons_Region!N$11,$M$1,$G$268,Cons_Region!$J$9,Cons_Region!$B345,$K$1)</f>
        <v>-810.50803166178616</v>
      </c>
    </row>
    <row r="346" spans="2:14" ht="15.75" customHeight="1" x14ac:dyDescent="0.25">
      <c r="B346" s="24" t="s">
        <v>187</v>
      </c>
      <c r="C346" s="21">
        <f>_xll.DBRW($D$2,Cons_Region!$D$9,Cons_Region!C$11,$M$1,$G$268,Cons_Region!$J$9,Cons_Region!$B346,$K$1)</f>
        <v>-20.517267265660891</v>
      </c>
      <c r="D346" s="21">
        <f>_xll.DBRW($D$2,Cons_Region!$D$9,Cons_Region!D$11,$M$1,$G$268,Cons_Region!$J$9,Cons_Region!$B346,$K$1)</f>
        <v>-40.091966037464516</v>
      </c>
      <c r="E346" s="21">
        <f>_xll.DBRW($D$2,Cons_Region!$D$9,Cons_Region!E$11,$M$1,$G$268,Cons_Region!$J$9,Cons_Region!$B346,$K$1)</f>
        <v>-37.713054591515046</v>
      </c>
      <c r="F346" s="21">
        <f>_xll.DBRW($D$2,Cons_Region!$D$9,Cons_Region!F$11,$M$1,$G$268,Cons_Region!$J$9,Cons_Region!$B346,$K$1)</f>
        <v>-10.014143399812941</v>
      </c>
      <c r="G346" s="21">
        <f>_xll.DBRW($D$2,Cons_Region!$D$9,Cons_Region!G$11,$M$1,$G$268,Cons_Region!$J$9,Cons_Region!$B346,$K$1)</f>
        <v>44.652388031344046</v>
      </c>
      <c r="H346" s="21">
        <f>_xll.DBRW($D$2,Cons_Region!$D$9,Cons_Region!H$11,$M$1,$G$268,Cons_Region!$J$9,Cons_Region!$B346,$K$1)</f>
        <v>108.93923251269889</v>
      </c>
      <c r="I346" s="21">
        <f>_xll.DBRW($D$2,Cons_Region!$D$9,Cons_Region!I$11,$M$1,$G$268,Cons_Region!$J$9,Cons_Region!$B346,$K$1)</f>
        <v>174.30517825624241</v>
      </c>
      <c r="J346" s="21">
        <f>_xll.DBRW($D$2,Cons_Region!$D$9,Cons_Region!J$11,$M$1,$G$268,Cons_Region!$J$9,Cons_Region!$B346,$K$1)</f>
        <v>238.40608912904722</v>
      </c>
      <c r="K346" s="21">
        <f>_xll.DBRW($D$2,Cons_Region!$D$9,Cons_Region!K$11,$M$1,$G$268,Cons_Region!$J$9,Cons_Region!$B346,$K$1)</f>
        <v>298.23375668282767</v>
      </c>
      <c r="L346" s="21">
        <f>_xll.DBRW($D$2,Cons_Region!$D$9,Cons_Region!L$11,$M$1,$G$268,Cons_Region!$J$9,Cons_Region!$B346,$K$1)</f>
        <v>358.42283635102245</v>
      </c>
      <c r="M346" s="21">
        <f>_xll.DBRW($D$2,Cons_Region!$D$9,Cons_Region!M$11,$M$1,$G$268,Cons_Region!$J$9,Cons_Region!$B346,$K$1)</f>
        <v>405.96396003185146</v>
      </c>
      <c r="N346" s="21">
        <f>_xll.DBRW($D$2,Cons_Region!$D$9,Cons_Region!N$11,$M$1,$G$268,Cons_Region!$J$9,Cons_Region!$B346,$K$1)</f>
        <v>426.18540312984248</v>
      </c>
    </row>
    <row r="347" spans="2:14" ht="15.75" customHeight="1" x14ac:dyDescent="0.25">
      <c r="B347" s="24" t="s">
        <v>188</v>
      </c>
      <c r="C347" s="21">
        <f>_xll.DBRW($D$2,Cons_Region!$D$9,Cons_Region!C$11,$M$1,$G$268,Cons_Region!$J$9,Cons_Region!$B347,$K$1)</f>
        <v>0</v>
      </c>
      <c r="D347" s="21">
        <f>_xll.DBRW($D$2,Cons_Region!$D$9,Cons_Region!D$11,$M$1,$G$268,Cons_Region!$J$9,Cons_Region!$B347,$K$1)</f>
        <v>0</v>
      </c>
      <c r="E347" s="21">
        <f>_xll.DBRW($D$2,Cons_Region!$D$9,Cons_Region!E$11,$M$1,$G$268,Cons_Region!$J$9,Cons_Region!$B347,$K$1)</f>
        <v>0</v>
      </c>
      <c r="F347" s="21">
        <f>_xll.DBRW($D$2,Cons_Region!$D$9,Cons_Region!F$11,$M$1,$G$268,Cons_Region!$J$9,Cons_Region!$B347,$K$1)</f>
        <v>0</v>
      </c>
      <c r="G347" s="21">
        <f>_xll.DBRW($D$2,Cons_Region!$D$9,Cons_Region!G$11,$M$1,$G$268,Cons_Region!$J$9,Cons_Region!$B347,$K$1)</f>
        <v>0</v>
      </c>
      <c r="H347" s="21">
        <f>_xll.DBRW($D$2,Cons_Region!$D$9,Cons_Region!H$11,$M$1,$G$268,Cons_Region!$J$9,Cons_Region!$B347,$K$1)</f>
        <v>0</v>
      </c>
      <c r="I347" s="21">
        <f>_xll.DBRW($D$2,Cons_Region!$D$9,Cons_Region!I$11,$M$1,$G$268,Cons_Region!$J$9,Cons_Region!$B347,$K$1)</f>
        <v>0</v>
      </c>
      <c r="J347" s="21">
        <f>_xll.DBRW($D$2,Cons_Region!$D$9,Cons_Region!J$11,$M$1,$G$268,Cons_Region!$J$9,Cons_Region!$B347,$K$1)</f>
        <v>0</v>
      </c>
      <c r="K347" s="21">
        <f>_xll.DBRW($D$2,Cons_Region!$D$9,Cons_Region!K$11,$M$1,$G$268,Cons_Region!$J$9,Cons_Region!$B347,$K$1)</f>
        <v>0</v>
      </c>
      <c r="L347" s="21">
        <f>_xll.DBRW($D$2,Cons_Region!$D$9,Cons_Region!L$11,$M$1,$G$268,Cons_Region!$J$9,Cons_Region!$B347,$K$1)</f>
        <v>0</v>
      </c>
      <c r="M347" s="21">
        <f>_xll.DBRW($D$2,Cons_Region!$D$9,Cons_Region!M$11,$M$1,$G$268,Cons_Region!$J$9,Cons_Region!$B347,$K$1)</f>
        <v>0</v>
      </c>
      <c r="N347" s="21">
        <f>_xll.DBRW($D$2,Cons_Region!$D$9,Cons_Region!N$11,$M$1,$G$268,Cons_Region!$J$9,Cons_Region!$B347,$K$1)</f>
        <v>0</v>
      </c>
    </row>
    <row r="348" spans="2:14" ht="15.75" customHeight="1" x14ac:dyDescent="0.25">
      <c r="B348" s="24" t="s">
        <v>189</v>
      </c>
      <c r="C348" s="30">
        <f>_xll.DBRW($D$2,Cons_Region!$D$9,Cons_Region!C$11,$M$1,$G$268,Cons_Region!$J$9,Cons_Region!$B348,$K$1)</f>
        <v>57.228192530366066</v>
      </c>
      <c r="D348" s="30">
        <f>_xll.DBRW($D$2,Cons_Region!$D$9,Cons_Region!D$11,$M$1,$G$268,Cons_Region!$J$9,Cons_Region!$B348,$K$1)</f>
        <v>28.676946874237604</v>
      </c>
      <c r="E348" s="30">
        <f>_xll.DBRW($D$2,Cons_Region!$D$9,Cons_Region!E$11,$M$1,$G$268,Cons_Region!$J$9,Cons_Region!$B348,$K$1)</f>
        <v>30.974396992316649</v>
      </c>
      <c r="F348" s="30">
        <f>_xll.DBRW($D$2,Cons_Region!$D$9,Cons_Region!F$11,$M$1,$G$268,Cons_Region!$J$9,Cons_Region!$B348,$K$1)</f>
        <v>115.26260725895389</v>
      </c>
      <c r="G348" s="30">
        <f>_xll.DBRW($D$2,Cons_Region!$D$9,Cons_Region!G$11,$M$1,$G$268,Cons_Region!$J$9,Cons_Region!$B348,$K$1)</f>
        <v>-25.489320276207415</v>
      </c>
      <c r="H348" s="30">
        <f>_xll.DBRW($D$2,Cons_Region!$D$9,Cons_Region!H$11,$M$1,$G$268,Cons_Region!$J$9,Cons_Region!$B348,$K$1)</f>
        <v>-10.066751599636286</v>
      </c>
      <c r="I348" s="30">
        <f>_xll.DBRW($D$2,Cons_Region!$D$9,Cons_Region!I$11,$M$1,$G$268,Cons_Region!$J$9,Cons_Region!$B348,$K$1)</f>
        <v>-6.0380285373790858</v>
      </c>
      <c r="J348" s="30">
        <f>_xll.DBRW($D$2,Cons_Region!$D$9,Cons_Region!J$11,$M$1,$G$268,Cons_Region!$J$9,Cons_Region!$B348,$K$1)</f>
        <v>-4.0815350922875613</v>
      </c>
      <c r="K348" s="30">
        <f>_xll.DBRW($D$2,Cons_Region!$D$9,Cons_Region!K$11,$M$1,$G$268,Cons_Region!$J$9,Cons_Region!$B348,$K$1)</f>
        <v>-3.1168442416634652</v>
      </c>
      <c r="L348" s="30">
        <f>_xll.DBRW($D$2,Cons_Region!$D$9,Cons_Region!L$11,$M$1,$G$268,Cons_Region!$J$9,Cons_Region!$B348,$K$1)</f>
        <v>-2.3496919002866958</v>
      </c>
      <c r="M348" s="30">
        <f>_xll.DBRW($D$2,Cons_Region!$D$9,Cons_Region!M$11,$M$1,$G$268,Cons_Region!$J$9,Cons_Region!$B348,$K$1)</f>
        <v>-1.9841554480518602</v>
      </c>
      <c r="N348" s="30">
        <f>_xll.DBRW($D$2,Cons_Region!$D$9,Cons_Region!N$11,$M$1,$G$268,Cons_Region!$J$9,Cons_Region!$B348,$K$1)</f>
        <v>-1.9017733261381906</v>
      </c>
    </row>
    <row r="349" spans="2:14" ht="15.75" customHeight="1" x14ac:dyDescent="0.25">
      <c r="B349" s="24" t="s">
        <v>190</v>
      </c>
      <c r="C349" s="21">
        <f>_xll.DBRW($D$2,Cons_Region!$D$9,Cons_Region!C$11,$M$1,$G$268,Cons_Region!$J$9,Cons_Region!$B349,$K$1)</f>
        <v>0</v>
      </c>
      <c r="D349" s="21">
        <f>_xll.DBRW($D$2,Cons_Region!$D$9,Cons_Region!D$11,$M$1,$G$268,Cons_Region!$J$9,Cons_Region!$B349,$K$1)</f>
        <v>0</v>
      </c>
      <c r="E349" s="21">
        <f>_xll.DBRW($D$2,Cons_Region!$D$9,Cons_Region!E$11,$M$1,$G$268,Cons_Region!$J$9,Cons_Region!$B349,$K$1)</f>
        <v>0</v>
      </c>
      <c r="F349" s="21">
        <f>_xll.DBRW($D$2,Cons_Region!$D$9,Cons_Region!F$11,$M$1,$G$268,Cons_Region!$J$9,Cons_Region!$B349,$K$1)</f>
        <v>0</v>
      </c>
      <c r="G349" s="21">
        <f>_xll.DBRW($D$2,Cons_Region!$D$9,Cons_Region!G$11,$M$1,$G$268,Cons_Region!$J$9,Cons_Region!$B349,$K$1)</f>
        <v>0</v>
      </c>
      <c r="H349" s="21">
        <f>_xll.DBRW($D$2,Cons_Region!$D$9,Cons_Region!H$11,$M$1,$G$268,Cons_Region!$J$9,Cons_Region!$B349,$K$1)</f>
        <v>0</v>
      </c>
      <c r="I349" s="21">
        <f>_xll.DBRW($D$2,Cons_Region!$D$9,Cons_Region!I$11,$M$1,$G$268,Cons_Region!$J$9,Cons_Region!$B349,$K$1)</f>
        <v>0</v>
      </c>
      <c r="J349" s="21">
        <f>_xll.DBRW($D$2,Cons_Region!$D$9,Cons_Region!J$11,$M$1,$G$268,Cons_Region!$J$9,Cons_Region!$B349,$K$1)</f>
        <v>0</v>
      </c>
      <c r="K349" s="21">
        <f>_xll.DBRW($D$2,Cons_Region!$D$9,Cons_Region!K$11,$M$1,$G$268,Cons_Region!$J$9,Cons_Region!$B349,$K$1)</f>
        <v>0</v>
      </c>
      <c r="L349" s="21">
        <f>_xll.DBRW($D$2,Cons_Region!$D$9,Cons_Region!L$11,$M$1,$G$268,Cons_Region!$J$9,Cons_Region!$B349,$K$1)</f>
        <v>0</v>
      </c>
      <c r="M349" s="21">
        <f>_xll.DBRW($D$2,Cons_Region!$D$9,Cons_Region!M$11,$M$1,$G$268,Cons_Region!$J$9,Cons_Region!$B349,$K$1)</f>
        <v>0</v>
      </c>
      <c r="N349" s="21">
        <f>_xll.DBRW($D$2,Cons_Region!$D$9,Cons_Region!N$11,$M$1,$G$268,Cons_Region!$J$9,Cons_Region!$B349,$K$1)</f>
        <v>0</v>
      </c>
    </row>
    <row r="350" spans="2:14" ht="15.75" customHeight="1" x14ac:dyDescent="0.25">
      <c r="B350" s="24" t="s">
        <v>191</v>
      </c>
      <c r="C350" s="21">
        <f>_xll.DBRW($D$2,Cons_Region!$D$9,Cons_Region!C$11,$M$1,$G$268,Cons_Region!$J$9,Cons_Region!$B350,$K$1)</f>
        <v>0</v>
      </c>
      <c r="D350" s="21">
        <f>_xll.DBRW($D$2,Cons_Region!$D$9,Cons_Region!D$11,$M$1,$G$268,Cons_Region!$J$9,Cons_Region!$B350,$K$1)</f>
        <v>0</v>
      </c>
      <c r="E350" s="21">
        <f>_xll.DBRW($D$2,Cons_Region!$D$9,Cons_Region!E$11,$M$1,$G$268,Cons_Region!$J$9,Cons_Region!$B350,$K$1)</f>
        <v>0</v>
      </c>
      <c r="F350" s="21">
        <f>_xll.DBRW($D$2,Cons_Region!$D$9,Cons_Region!F$11,$M$1,$G$268,Cons_Region!$J$9,Cons_Region!$B350,$K$1)</f>
        <v>0</v>
      </c>
      <c r="G350" s="21">
        <f>_xll.DBRW($D$2,Cons_Region!$D$9,Cons_Region!G$11,$M$1,$G$268,Cons_Region!$J$9,Cons_Region!$B350,$K$1)</f>
        <v>0</v>
      </c>
      <c r="H350" s="21">
        <f>_xll.DBRW($D$2,Cons_Region!$D$9,Cons_Region!H$11,$M$1,$G$268,Cons_Region!$J$9,Cons_Region!$B350,$K$1)</f>
        <v>0</v>
      </c>
      <c r="I350" s="21">
        <f>_xll.DBRW($D$2,Cons_Region!$D$9,Cons_Region!I$11,$M$1,$G$268,Cons_Region!$J$9,Cons_Region!$B350,$K$1)</f>
        <v>0</v>
      </c>
      <c r="J350" s="21">
        <f>_xll.DBRW($D$2,Cons_Region!$D$9,Cons_Region!J$11,$M$1,$G$268,Cons_Region!$J$9,Cons_Region!$B350,$K$1)</f>
        <v>0</v>
      </c>
      <c r="K350" s="21">
        <f>_xll.DBRW($D$2,Cons_Region!$D$9,Cons_Region!K$11,$M$1,$G$268,Cons_Region!$J$9,Cons_Region!$B350,$K$1)</f>
        <v>0</v>
      </c>
      <c r="L350" s="21">
        <f>_xll.DBRW($D$2,Cons_Region!$D$9,Cons_Region!L$11,$M$1,$G$268,Cons_Region!$J$9,Cons_Region!$B350,$K$1)</f>
        <v>0</v>
      </c>
      <c r="M350" s="21">
        <f>_xll.DBRW($D$2,Cons_Region!$D$9,Cons_Region!M$11,$M$1,$G$268,Cons_Region!$J$9,Cons_Region!$B350,$K$1)</f>
        <v>0</v>
      </c>
      <c r="N350" s="21">
        <f>_xll.DBRW($D$2,Cons_Region!$D$9,Cons_Region!N$11,$M$1,$G$268,Cons_Region!$J$9,Cons_Region!$B350,$K$1)</f>
        <v>0</v>
      </c>
    </row>
    <row r="351" spans="2:14" ht="15.75" customHeight="1" x14ac:dyDescent="0.25">
      <c r="B351" s="17" t="s">
        <v>194</v>
      </c>
      <c r="C351" s="26">
        <f>_xll.DBRW($C$1,Cons_Region!$D$9,Cons_Region!C$11,$M$1,Cons_Region!$J$9,Cons_Region!$B351,$K$1)</f>
        <v>0</v>
      </c>
      <c r="D351" s="26">
        <f>_xll.DBRW($C$1,Cons_Region!$D$9,Cons_Region!D$11,$M$1,Cons_Region!$J$9,Cons_Region!$B351,$K$1)</f>
        <v>0</v>
      </c>
      <c r="E351" s="26">
        <f>_xll.DBRW($C$1,Cons_Region!$D$9,Cons_Region!E$11,$M$1,Cons_Region!$J$9,Cons_Region!$B351,$K$1)</f>
        <v>0</v>
      </c>
      <c r="F351" s="26">
        <f>_xll.DBRW($C$1,Cons_Region!$D$9,Cons_Region!F$11,$M$1,Cons_Region!$J$9,Cons_Region!$B351,$K$1)</f>
        <v>0</v>
      </c>
      <c r="G351" s="26">
        <f>_xll.DBRW($C$1,Cons_Region!$D$9,Cons_Region!G$11,$M$1,Cons_Region!$J$9,Cons_Region!$B351,$K$1)</f>
        <v>0</v>
      </c>
      <c r="H351" s="26">
        <f>_xll.DBRW($C$1,Cons_Region!$D$9,Cons_Region!H$11,$M$1,Cons_Region!$J$9,Cons_Region!$B351,$K$1)</f>
        <v>0</v>
      </c>
      <c r="I351" s="26">
        <f>_xll.DBRW($C$1,Cons_Region!$D$9,Cons_Region!I$11,$M$1,Cons_Region!$J$9,Cons_Region!$B351,$K$1)</f>
        <v>0</v>
      </c>
      <c r="J351" s="26">
        <f>_xll.DBRW($C$1,Cons_Region!$D$9,Cons_Region!J$11,$M$1,Cons_Region!$J$9,Cons_Region!$B351,$K$1)</f>
        <v>0</v>
      </c>
      <c r="K351" s="26">
        <f>_xll.DBRW($C$1,Cons_Region!$D$9,Cons_Region!K$11,$M$1,Cons_Region!$J$9,Cons_Region!$B351,$K$1)</f>
        <v>0</v>
      </c>
      <c r="L351" s="26">
        <f>_xll.DBRW($C$1,Cons_Region!$D$9,Cons_Region!L$11,$M$1,Cons_Region!$J$9,Cons_Region!$B351,$K$1)</f>
        <v>0</v>
      </c>
      <c r="M351" s="26">
        <f>_xll.DBRW($C$1,Cons_Region!$D$9,Cons_Region!M$11,$M$1,Cons_Region!$J$9,Cons_Region!$B351,$K$1)</f>
        <v>0</v>
      </c>
      <c r="N351" s="26">
        <f>_xll.DBRW($C$1,Cons_Region!$D$9,Cons_Region!N$11,$M$1,Cons_Region!$J$9,Cons_Region!$B351,$K$1)</f>
        <v>0</v>
      </c>
    </row>
    <row r="352" spans="2:14" ht="15.75" customHeight="1" x14ac:dyDescent="0.25">
      <c r="B352" s="24" t="s">
        <v>192</v>
      </c>
      <c r="C352" s="21">
        <f>_xll.DBRW($D$2,Cons_Region!$D$9,Cons_Region!C$11,$M$1,$G$268,Cons_Region!$J$9,Cons_Region!$B352,$K$1)</f>
        <v>0</v>
      </c>
      <c r="D352" s="21">
        <f>_xll.DBRW($D$2,Cons_Region!$D$9,Cons_Region!D$11,$M$1,$G$268,Cons_Region!$J$9,Cons_Region!$B352,$K$1)</f>
        <v>0</v>
      </c>
      <c r="E352" s="21">
        <f>_xll.DBRW($D$2,Cons_Region!$D$9,Cons_Region!E$11,$M$1,$G$268,Cons_Region!$J$9,Cons_Region!$B352,$K$1)</f>
        <v>0</v>
      </c>
      <c r="F352" s="21">
        <f>_xll.DBRW($D$2,Cons_Region!$D$9,Cons_Region!F$11,$M$1,$G$268,Cons_Region!$J$9,Cons_Region!$B352,$K$1)</f>
        <v>0</v>
      </c>
      <c r="G352" s="21">
        <f>_xll.DBRW($D$2,Cons_Region!$D$9,Cons_Region!G$11,$M$1,$G$268,Cons_Region!$J$9,Cons_Region!$B352,$K$1)</f>
        <v>0</v>
      </c>
      <c r="H352" s="21">
        <f>_xll.DBRW($D$2,Cons_Region!$D$9,Cons_Region!H$11,$M$1,$G$268,Cons_Region!$J$9,Cons_Region!$B352,$K$1)</f>
        <v>0</v>
      </c>
      <c r="I352" s="21">
        <f>_xll.DBRW($D$2,Cons_Region!$D$9,Cons_Region!I$11,$M$1,$G$268,Cons_Region!$J$9,Cons_Region!$B352,$K$1)</f>
        <v>0</v>
      </c>
      <c r="J352" s="21">
        <f>_xll.DBRW($D$2,Cons_Region!$D$9,Cons_Region!J$11,$M$1,$G$268,Cons_Region!$J$9,Cons_Region!$B352,$K$1)</f>
        <v>0</v>
      </c>
      <c r="K352" s="21">
        <f>_xll.DBRW($D$2,Cons_Region!$D$9,Cons_Region!K$11,$M$1,$G$268,Cons_Region!$J$9,Cons_Region!$B352,$K$1)</f>
        <v>0</v>
      </c>
      <c r="L352" s="21">
        <f>_xll.DBRW($D$2,Cons_Region!$D$9,Cons_Region!L$11,$M$1,$G$268,Cons_Region!$J$9,Cons_Region!$B352,$K$1)</f>
        <v>0</v>
      </c>
      <c r="M352" s="21">
        <f>_xll.DBRW($D$2,Cons_Region!$D$9,Cons_Region!M$11,$M$1,$G$268,Cons_Region!$J$9,Cons_Region!$B352,$K$1)</f>
        <v>0</v>
      </c>
      <c r="N352" s="21">
        <f>_xll.DBRW($D$2,Cons_Region!$D$9,Cons_Region!N$11,$M$1,$G$268,Cons_Region!$J$9,Cons_Region!$B352,$K$1)</f>
        <v>0</v>
      </c>
    </row>
  </sheetData>
  <mergeCells count="1">
    <mergeCell ref="L7:M7"/>
  </mergeCells>
  <conditionalFormatting sqref="C133 C89:N96">
    <cfRule type="expression" dxfId="87" priority="8">
      <formula>C$5="ACTUAL"</formula>
    </cfRule>
  </conditionalFormatting>
  <conditionalFormatting sqref="C34:N34">
    <cfRule type="expression" dxfId="86" priority="65">
      <formula>C$5="ACTUAL"</formula>
    </cfRule>
  </conditionalFormatting>
  <conditionalFormatting sqref="C44:N44 C46:N47">
    <cfRule type="expression" dxfId="85" priority="64">
      <formula>C$5="ACTUAL"</formula>
    </cfRule>
  </conditionalFormatting>
  <conditionalFormatting sqref="C63:N63">
    <cfRule type="expression" dxfId="84" priority="62">
      <formula>C$5="ACTUAL"</formula>
    </cfRule>
  </conditionalFormatting>
  <conditionalFormatting sqref="C72:N72">
    <cfRule type="expression" dxfId="83" priority="61">
      <formula>C$5="ACTUAL"</formula>
    </cfRule>
  </conditionalFormatting>
  <conditionalFormatting sqref="C74:N74">
    <cfRule type="expression" dxfId="82" priority="9">
      <formula>C$5="ACTUAL"</formula>
    </cfRule>
  </conditionalFormatting>
  <conditionalFormatting sqref="C81:N81">
    <cfRule type="expression" dxfId="81" priority="60">
      <formula>C$5="ACTUAL"</formula>
    </cfRule>
  </conditionalFormatting>
  <conditionalFormatting sqref="C101:N104">
    <cfRule type="expression" dxfId="80" priority="34">
      <formula>C$5="ACTUAL"</formula>
    </cfRule>
  </conditionalFormatting>
  <conditionalFormatting sqref="C112:N116">
    <cfRule type="expression" dxfId="79" priority="33">
      <formula>C$5="ACTUAL"</formula>
    </cfRule>
  </conditionalFormatting>
  <conditionalFormatting sqref="C135:N135">
    <cfRule type="expression" dxfId="78" priority="32">
      <formula>C$5="ACTUAL"</formula>
    </cfRule>
  </conditionalFormatting>
  <conditionalFormatting sqref="C225:N226">
    <cfRule type="expression" dxfId="76" priority="30">
      <formula>C$5="ACTUAL"</formula>
    </cfRule>
  </conditionalFormatting>
  <conditionalFormatting sqref="C232:N233">
    <cfRule type="expression" dxfId="75" priority="29">
      <formula>C$5="ACTUAL"</formula>
    </cfRule>
  </conditionalFormatting>
  <conditionalFormatting sqref="C235:N236">
    <cfRule type="expression" dxfId="74" priority="28">
      <formula>C$5="ACTUAL"</formula>
    </cfRule>
  </conditionalFormatting>
  <conditionalFormatting sqref="C242:N247">
    <cfRule type="expression" dxfId="73" priority="27">
      <formula>C$5="ACTUAL"</formula>
    </cfRule>
  </conditionalFormatting>
  <conditionalFormatting sqref="C254:N256">
    <cfRule type="expression" dxfId="72" priority="26">
      <formula>C$5="ACTUAL"</formula>
    </cfRule>
  </conditionalFormatting>
  <conditionalFormatting sqref="C262:N265">
    <cfRule type="expression" dxfId="71" priority="25">
      <formula>C$5="ACTUAL"</formula>
    </cfRule>
  </conditionalFormatting>
  <conditionalFormatting sqref="C271:N271">
    <cfRule type="expression" dxfId="70" priority="24">
      <formula>C$5="ACTUAL"</formula>
    </cfRule>
  </conditionalFormatting>
  <conditionalFormatting sqref="C278:N278">
    <cfRule type="expression" dxfId="69" priority="45">
      <formula>C$5="ACTUAL"</formula>
    </cfRule>
  </conditionalFormatting>
  <conditionalFormatting sqref="C280:N281">
    <cfRule type="expression" dxfId="68" priority="23">
      <formula>C$5="ACTUAL"</formula>
    </cfRule>
  </conditionalFormatting>
  <conditionalFormatting sqref="C289:N291">
    <cfRule type="expression" dxfId="67" priority="22">
      <formula>C$5="ACTUAL"</formula>
    </cfRule>
  </conditionalFormatting>
  <conditionalFormatting sqref="C295:N296">
    <cfRule type="expression" dxfId="66" priority="16">
      <formula>C$5="ACTUAL"</formula>
    </cfRule>
  </conditionalFormatting>
  <conditionalFormatting sqref="C302:N303">
    <cfRule type="expression" dxfId="65" priority="15">
      <formula>C$5="ACTUAL"</formula>
    </cfRule>
  </conditionalFormatting>
  <conditionalFormatting sqref="C310:N311">
    <cfRule type="expression" dxfId="64" priority="14">
      <formula>C$5="ACTUAL"</formula>
    </cfRule>
  </conditionalFormatting>
  <conditionalFormatting sqref="C318:N322">
    <cfRule type="expression" dxfId="63" priority="13">
      <formula>C$5="ACTUAL"</formula>
    </cfRule>
  </conditionalFormatting>
  <conditionalFormatting sqref="C330:N330">
    <cfRule type="expression" dxfId="62" priority="12">
      <formula>C$5="ACTUAL"</formula>
    </cfRule>
  </conditionalFormatting>
  <conditionalFormatting sqref="C339:N339">
    <cfRule type="expression" dxfId="61" priority="11">
      <formula>C$5="ACTUAL"</formula>
    </cfRule>
  </conditionalFormatting>
  <conditionalFormatting sqref="C344:N344">
    <cfRule type="expression" dxfId="60" priority="10">
      <formula>C$5="ACTUAL"</formula>
    </cfRule>
  </conditionalFormatting>
  <conditionalFormatting sqref="C351:N351">
    <cfRule type="expression" dxfId="59" priority="35">
      <formula>C$5="ACTUAL"</formula>
    </cfRule>
  </conditionalFormatting>
  <conditionalFormatting sqref="N7">
    <cfRule type="cellIs" dxfId="58" priority="46" operator="equal">
      <formula>"Open"</formula>
    </cfRule>
    <cfRule type="cellIs" dxfId="57" priority="47" operator="equal">
      <formula>"Closed"</formula>
    </cfRule>
  </conditionalFormatting>
  <conditionalFormatting sqref="C157:N164">
    <cfRule type="expression" dxfId="55" priority="7">
      <formula>C$5="ACTUAL"</formula>
    </cfRule>
  </conditionalFormatting>
  <conditionalFormatting sqref="C172:N178 D171:N171">
    <cfRule type="expression" dxfId="54" priority="6">
      <formula>C$5="ACTUAL"</formula>
    </cfRule>
  </conditionalFormatting>
  <conditionalFormatting sqref="C186:N192 D185:N185">
    <cfRule type="expression" dxfId="53" priority="5">
      <formula>C$5="ACTUAL"</formula>
    </cfRule>
  </conditionalFormatting>
  <conditionalFormatting sqref="C199:N206">
    <cfRule type="expression" dxfId="52" priority="4">
      <formula>C$5="ACTUAL"</formula>
    </cfRule>
  </conditionalFormatting>
  <conditionalFormatting sqref="C171:N178">
    <cfRule type="expression" dxfId="51" priority="3">
      <formula>C$5="ACTUAL"</formula>
    </cfRule>
  </conditionalFormatting>
  <conditionalFormatting sqref="C185:N192">
    <cfRule type="expression" dxfId="50" priority="2">
      <formula>C$5="ACTUAL"</formula>
    </cfRule>
  </conditionalFormatting>
  <conditionalFormatting sqref="C214:N218">
    <cfRule type="expression" dxfId="49" priority="1">
      <formula>C$5="ACTUAL"</formula>
    </cfRule>
  </conditionalFormatting>
  <dataValidations disablePrompts="1" count="1">
    <dataValidation type="list" errorStyle="information" allowBlank="1" showInputMessage="1" sqref="D5:N5" xr:uid="{7290FE4E-6B61-4093-9CAA-6482D0122A1A}">
      <formula1>cafe_validation_temp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38824-364E-48B1-8C06-51AC7BA20691}">
  <dimension ref="A1:X81"/>
  <sheetViews>
    <sheetView showGridLines="0" topLeftCell="A6" zoomScaleNormal="100" workbookViewId="0">
      <selection activeCell="C55" sqref="C55"/>
    </sheetView>
  </sheetViews>
  <sheetFormatPr defaultColWidth="12.42578125" defaultRowHeight="15.75" customHeight="1" x14ac:dyDescent="0.25"/>
  <cols>
    <col min="1" max="1" width="3.28515625" style="1" customWidth="1"/>
    <col min="2" max="2" width="49.140625" style="1" customWidth="1"/>
    <col min="3" max="3" width="14.140625" style="1" customWidth="1"/>
    <col min="4" max="4" width="16.42578125" style="1" bestFit="1" customWidth="1"/>
    <col min="5" max="10" width="16.7109375" style="1" bestFit="1" customWidth="1"/>
    <col min="11" max="11" width="18.5703125" style="1" bestFit="1" customWidth="1"/>
    <col min="12" max="13" width="16.7109375" style="1" bestFit="1" customWidth="1"/>
    <col min="14" max="14" width="16.5703125" style="1" customWidth="1"/>
    <col min="15" max="24" width="12.42578125" style="1"/>
  </cols>
  <sheetData>
    <row r="1" spans="2:14" s="1" customFormat="1" ht="19.5" hidden="1" customHeight="1" x14ac:dyDescent="0.25">
      <c r="B1" s="1" t="str">
        <f>_xll.VIEW("CONS_VC:STG.100.DataBase_Uploads",D9)</f>
        <v>CONS_VC:STG.100.DataBase_Uploads:-7526985492024324052</v>
      </c>
      <c r="C1" s="1" t="str">
        <f>_xll.VIEW("CONS_VC:ALL.015.Region_Assumptions")</f>
        <v>CONS_VC:ALL.015.Region_Assumptions:-752698549-1942758411</v>
      </c>
      <c r="D1" s="1" t="str">
        <f>_xll.VIEW("CONS_VC:DFS.120.Financial_Results")</f>
        <v>CONS_VC:DFS.120.Financial_Results:-752698549-1075501928</v>
      </c>
      <c r="K1" s="1" t="s">
        <v>72</v>
      </c>
      <c r="L1" s="1" t="s">
        <v>66</v>
      </c>
      <c r="M1" s="12" t="str">
        <f>_xll.SUBNM("CONS_VC:ALL.D.Version","","T4")</f>
        <v>T4</v>
      </c>
      <c r="N1" s="1" t="s">
        <v>73</v>
      </c>
    </row>
    <row r="2" spans="2:14" s="1" customFormat="1" ht="33" hidden="1" customHeight="1" x14ac:dyDescent="0.25">
      <c r="B2" s="1" t="str">
        <f>_xll.VIEW("CONS_VC:REV.100.Revenue_Consolidated")</f>
        <v>CONS_VC:REV.100.Revenue_Consolidated:-752698549333326983</v>
      </c>
      <c r="C2" s="1" t="str">
        <f>_xll.VIEW("CONS_VC:ALL.010.Economic_Assumptions")</f>
        <v>CONS_VC:ALL.010.Economic_Assumptions:-752698549-1273320382</v>
      </c>
      <c r="D2" s="1" t="str">
        <f>_xll.VIEW("CONS_VC:DFS.140.Indirect_Cash_Flow")</f>
        <v>CONS_VC:DFS.140.Indirect_Cash_Flow:-752698549946636930</v>
      </c>
      <c r="K2" s="1" t="s">
        <v>71</v>
      </c>
      <c r="N2" s="1" t="s">
        <v>74</v>
      </c>
    </row>
    <row r="3" spans="2:14" s="1" customFormat="1" ht="29.25" hidden="1" customHeight="1" x14ac:dyDescent="0.25">
      <c r="B3" s="1" t="str">
        <f>_xll.VIEW("CONS_VC:DFS.100.Profit_and_Loss")</f>
        <v>CONS_VC:DFS.100.Profit_and_Loss:-752698549611332035</v>
      </c>
      <c r="C3" s="1" t="str">
        <f>_xll.VIEW("CONS_VC:DFS.160.Working_Capital")</f>
        <v>CONS_VC:DFS.160.Working_Capital:-752698549-1218331026</v>
      </c>
      <c r="D3" s="1" t="str">
        <f>_xll.VIEW("CONS_VC:ALL.004.Uploads_Status_Planning")</f>
        <v>CONS_VC:ALL.004.Uploads_Status_Planning:-7526985491996989984</v>
      </c>
      <c r="G3" s="1" t="s">
        <v>82</v>
      </c>
    </row>
    <row r="4" spans="2:14" s="1" customFormat="1" ht="33" hidden="1" customHeight="1" x14ac:dyDescent="0.25">
      <c r="B4" s="1" t="str">
        <f>_xll.VIEW("CONS_VC:ALL.001.Actual_Control")</f>
        <v>CONS_VC:ALL.001.Actual_Control:-7526985491439511960</v>
      </c>
      <c r="C4" s="1" t="str">
        <f>_xll.VIEW("CONS_VC:DFS.180.Gross_Debt")</f>
        <v>CONS_VC:DFS.180.Gross_Debt:-752698549-1828767557</v>
      </c>
    </row>
    <row r="5" spans="2:14" s="1" customFormat="1" ht="30" hidden="1" customHeight="1" x14ac:dyDescent="0.25">
      <c r="C5" s="11" t="str">
        <f>_xll.DBRW(Input_Prod_01!$B$4,Input_Prod_01!$D$9,Input_Prod_01!C11,$M$1,$G$3)</f>
        <v>PLAN</v>
      </c>
      <c r="D5" s="11" t="str">
        <f>_xll.DBRW(Input_Prod_01!$B$4,Input_Prod_01!$D$9,Input_Prod_01!D11,$M$1,$G$3)</f>
        <v>PLAN</v>
      </c>
      <c r="E5" s="11" t="str">
        <f>_xll.DBRW(Input_Prod_01!$B$4,Input_Prod_01!$D$9,Input_Prod_01!E11,$M$1,$G$3)</f>
        <v>PLAN</v>
      </c>
      <c r="F5" s="11" t="str">
        <f>_xll.DBRW(Input_Prod_01!$B$4,Input_Prod_01!$D$9,Input_Prod_01!F11,$M$1,$G$3)</f>
        <v>PLAN</v>
      </c>
      <c r="G5" s="11" t="str">
        <f>_xll.DBRW(Input_Prod_01!$B$4,Input_Prod_01!$D$9,Input_Prod_01!G11,$M$1,$G$3)</f>
        <v>PLAN</v>
      </c>
      <c r="H5" s="11" t="str">
        <f>_xll.DBRW(Input_Prod_01!$B$4,Input_Prod_01!$D$9,Input_Prod_01!H11,$M$1,$G$3)</f>
        <v>PLAN</v>
      </c>
      <c r="I5" s="11" t="str">
        <f>_xll.DBRW(Input_Prod_01!$B$4,Input_Prod_01!$D$9,Input_Prod_01!I11,$M$1,$G$3)</f>
        <v>PLAN</v>
      </c>
      <c r="J5" s="11" t="str">
        <f>_xll.DBRW(Input_Prod_01!$B$4,Input_Prod_01!$D$9,Input_Prod_01!J11,$M$1,$G$3)</f>
        <v>PLAN</v>
      </c>
      <c r="K5" s="11" t="str">
        <f>_xll.DBRW(Input_Prod_01!$B$4,Input_Prod_01!$D$9,Input_Prod_01!K11,$M$1,$G$3)</f>
        <v>PLAN</v>
      </c>
      <c r="L5" s="11" t="str">
        <f>_xll.DBRW(Input_Prod_01!$B$4,Input_Prod_01!$D$9,Input_Prod_01!L11,$M$1,$G$3)</f>
        <v>PLAN</v>
      </c>
      <c r="M5" s="11" t="str">
        <f>_xll.DBRW(Input_Prod_01!$B$4,Input_Prod_01!$D$9,Input_Prod_01!M11,$M$1,$G$3)</f>
        <v>PLAN</v>
      </c>
      <c r="N5" s="11" t="str">
        <f>_xll.DBRW(Input_Prod_01!$B$4,Input_Prod_01!$D$9,Input_Prod_01!N11,$M$1,$G$3)</f>
        <v>PLAN</v>
      </c>
    </row>
    <row r="6" spans="2:14" s="1" customFormat="1" ht="19.5" customHeight="1" x14ac:dyDescent="0.25"/>
    <row r="7" spans="2:14" s="1" customFormat="1" ht="24" customHeight="1" thickBot="1" x14ac:dyDescent="0.3">
      <c r="B7" s="10"/>
      <c r="L7" s="49" t="s">
        <v>145</v>
      </c>
      <c r="M7" s="49"/>
      <c r="N7" s="29" t="str">
        <f>_xll.DBRW($D$3,$M$1,$J$9,"Status")</f>
        <v>Closed</v>
      </c>
    </row>
    <row r="8" spans="2:14" s="1" customFormat="1" ht="15.75" customHeight="1" thickTop="1" x14ac:dyDescent="0.25">
      <c r="B8" s="9" t="s">
        <v>0</v>
      </c>
      <c r="M8" s="28"/>
    </row>
    <row r="9" spans="2:14" s="1" customFormat="1" ht="15.75" customHeight="1" thickBot="1" x14ac:dyDescent="0.3">
      <c r="C9" s="19" t="s">
        <v>67</v>
      </c>
      <c r="D9" s="35" t="str">
        <f>_xll.SUBNM("CONS_VC:ALL.D.Year","SYS_Picklist","2026","MEMBER_NAME")</f>
        <v>2026</v>
      </c>
      <c r="F9" s="19" t="s">
        <v>68</v>
      </c>
      <c r="G9" s="35" t="str">
        <f>_xll.SUBNM("CONS_VC:ALL.D.Currency","PAX","USD","Nome alternativo")</f>
        <v>USD</v>
      </c>
      <c r="I9" s="28" t="s">
        <v>69</v>
      </c>
      <c r="J9" s="35" t="str">
        <f>_xll.SUBNM("CONS_VC:ALL.D.Region","Nível 0","VCNA","MEMBER_NAME")</f>
        <v>VCNA</v>
      </c>
    </row>
    <row r="10" spans="2:14" s="1" customFormat="1" ht="15.75" customHeight="1" thickTop="1" x14ac:dyDescent="0.25">
      <c r="B10" s="9"/>
      <c r="C10" s="13"/>
      <c r="D10" s="14"/>
    </row>
    <row r="11" spans="2:14" s="1" customFormat="1" ht="45" hidden="1" customHeight="1" x14ac:dyDescent="0.25">
      <c r="C11" s="15" t="s">
        <v>46</v>
      </c>
      <c r="D11" s="15" t="s">
        <v>47</v>
      </c>
      <c r="E11" s="15" t="s">
        <v>48</v>
      </c>
      <c r="F11" s="15" t="s">
        <v>49</v>
      </c>
      <c r="G11" s="15" t="s">
        <v>50</v>
      </c>
      <c r="H11" s="15" t="s">
        <v>51</v>
      </c>
      <c r="I11" s="15" t="s">
        <v>52</v>
      </c>
      <c r="J11" s="15" t="s">
        <v>53</v>
      </c>
      <c r="K11" s="15" t="s">
        <v>54</v>
      </c>
      <c r="L11" s="15" t="s">
        <v>55</v>
      </c>
      <c r="M11" s="15" t="s">
        <v>56</v>
      </c>
      <c r="N11" s="15" t="s">
        <v>57</v>
      </c>
    </row>
    <row r="12" spans="2:14" s="4" customFormat="1" ht="15.75" customHeight="1" x14ac:dyDescent="0.25">
      <c r="B12" s="5"/>
      <c r="C12" s="18" t="str">
        <f>$D$9&amp;"."&amp;C11</f>
        <v>2026.01</v>
      </c>
      <c r="D12" s="18" t="str">
        <f t="shared" ref="D12:N12" si="0">$D$9&amp;"."&amp;D11</f>
        <v>2026.02</v>
      </c>
      <c r="E12" s="18" t="str">
        <f t="shared" si="0"/>
        <v>2026.03</v>
      </c>
      <c r="F12" s="18" t="str">
        <f t="shared" si="0"/>
        <v>2026.04</v>
      </c>
      <c r="G12" s="18" t="str">
        <f t="shared" si="0"/>
        <v>2026.05</v>
      </c>
      <c r="H12" s="18" t="str">
        <f t="shared" si="0"/>
        <v>2026.06</v>
      </c>
      <c r="I12" s="18" t="str">
        <f t="shared" si="0"/>
        <v>2026.07</v>
      </c>
      <c r="J12" s="18" t="str">
        <f t="shared" si="0"/>
        <v>2026.08</v>
      </c>
      <c r="K12" s="18" t="str">
        <f t="shared" si="0"/>
        <v>2026.09</v>
      </c>
      <c r="L12" s="18" t="str">
        <f t="shared" si="0"/>
        <v>2026.10</v>
      </c>
      <c r="M12" s="18" t="str">
        <f t="shared" si="0"/>
        <v>2026.11</v>
      </c>
      <c r="N12" s="18" t="str">
        <f t="shared" si="0"/>
        <v>2026.12</v>
      </c>
    </row>
    <row r="13" spans="2:14" s="1" customFormat="1" ht="15.75" customHeight="1" x14ac:dyDescent="0.25">
      <c r="B13" s="38" t="s">
        <v>1</v>
      </c>
      <c r="C13" s="21">
        <f>_xll.DBRW($C$2,Input_Prod_01!$D$9,Input_Prod_01!$C$11,$M$1,$B13,$K$1)</f>
        <v>0</v>
      </c>
      <c r="D13" s="21">
        <f>_xll.DBRW($C$2,Input_Prod_01!$D$9,Input_Prod_01!$C$11,$M$1,$B13,$K$1)</f>
        <v>0</v>
      </c>
      <c r="E13" s="21">
        <f>_xll.DBRW($C$2,Input_Prod_01!$D$9,Input_Prod_01!$C$11,$M$1,$B13,$K$1)</f>
        <v>0</v>
      </c>
      <c r="F13" s="21">
        <f>_xll.DBRW($C$2,Input_Prod_01!$D$9,Input_Prod_01!$C$11,$M$1,$B13,$K$1)</f>
        <v>0</v>
      </c>
      <c r="G13" s="21">
        <f>_xll.DBRW($C$2,Input_Prod_01!$D$9,Input_Prod_01!$C$11,$M$1,$B13,$K$1)</f>
        <v>0</v>
      </c>
      <c r="H13" s="21">
        <f>_xll.DBRW($C$2,Input_Prod_01!$D$9,Input_Prod_01!$C$11,$M$1,$B13,$K$1)</f>
        <v>0</v>
      </c>
      <c r="I13" s="21">
        <f>_xll.DBRW($C$2,Input_Prod_01!$D$9,Input_Prod_01!$C$11,$M$1,$B13,$K$1)</f>
        <v>0</v>
      </c>
      <c r="J13" s="21">
        <f>_xll.DBRW($C$2,Input_Prod_01!$D$9,Input_Prod_01!$C$11,$M$1,$B13,$K$1)</f>
        <v>0</v>
      </c>
      <c r="K13" s="21">
        <f>_xll.DBRW($C$2,Input_Prod_01!$D$9,Input_Prod_01!$C$11,$M$1,$B13,$K$1)</f>
        <v>0</v>
      </c>
      <c r="L13" s="21">
        <f>_xll.DBRW($C$2,Input_Prod_01!$D$9,Input_Prod_01!$C$11,$M$1,$B13,$K$1)</f>
        <v>0</v>
      </c>
      <c r="M13" s="21">
        <f>_xll.DBRW($C$2,Input_Prod_01!$D$9,Input_Prod_01!$C$11,$M$1,$B13,$K$1)</f>
        <v>0</v>
      </c>
      <c r="N13" s="21">
        <f>_xll.DBRW($C$2,Input_Prod_01!$D$9,Input_Prod_01!$C$11,$M$1,$B13,$K$1)</f>
        <v>0</v>
      </c>
    </row>
    <row r="14" spans="2:14" s="1" customFormat="1" ht="15.75" customHeight="1" x14ac:dyDescent="0.25">
      <c r="B14" s="38" t="s">
        <v>2</v>
      </c>
      <c r="C14" s="21">
        <f>_xll.DBRW($C$2,Input_Prod_01!$D$9,Input_Prod_01!$C$11,$M$1,$B14,$K$1)</f>
        <v>0</v>
      </c>
      <c r="D14" s="21">
        <f>_xll.DBRW($C$2,Input_Prod_01!$D$9,Input_Prod_01!$C$11,$M$1,$B14,$K$1)</f>
        <v>0</v>
      </c>
      <c r="E14" s="21">
        <f>_xll.DBRW($C$2,Input_Prod_01!$D$9,Input_Prod_01!$C$11,$M$1,$B14,$K$1)</f>
        <v>0</v>
      </c>
      <c r="F14" s="21">
        <f>_xll.DBRW($C$2,Input_Prod_01!$D$9,Input_Prod_01!$C$11,$M$1,$B14,$K$1)</f>
        <v>0</v>
      </c>
      <c r="G14" s="21">
        <f>_xll.DBRW($C$2,Input_Prod_01!$D$9,Input_Prod_01!$C$11,$M$1,$B14,$K$1)</f>
        <v>0</v>
      </c>
      <c r="H14" s="21">
        <f>_xll.DBRW($C$2,Input_Prod_01!$D$9,Input_Prod_01!$C$11,$M$1,$B14,$K$1)</f>
        <v>0</v>
      </c>
      <c r="I14" s="21">
        <f>_xll.DBRW($C$2,Input_Prod_01!$D$9,Input_Prod_01!$C$11,$M$1,$B14,$K$1)</f>
        <v>0</v>
      </c>
      <c r="J14" s="21">
        <f>_xll.DBRW($C$2,Input_Prod_01!$D$9,Input_Prod_01!$C$11,$M$1,$B14,$K$1)</f>
        <v>0</v>
      </c>
      <c r="K14" s="21">
        <f>_xll.DBRW($C$2,Input_Prod_01!$D$9,Input_Prod_01!$C$11,$M$1,$B14,$K$1)</f>
        <v>0</v>
      </c>
      <c r="L14" s="21">
        <f>_xll.DBRW($C$2,Input_Prod_01!$D$9,Input_Prod_01!$C$11,$M$1,$B14,$K$1)</f>
        <v>0</v>
      </c>
      <c r="M14" s="21">
        <f>_xll.DBRW($C$2,Input_Prod_01!$D$9,Input_Prod_01!$C$11,$M$1,$B14,$K$1)</f>
        <v>0</v>
      </c>
      <c r="N14" s="21">
        <f>_xll.DBRW($C$2,Input_Prod_01!$D$9,Input_Prod_01!$C$11,$M$1,$B14,$K$1)</f>
        <v>0</v>
      </c>
    </row>
    <row r="15" spans="2:14" s="1" customFormat="1" ht="15.75" customHeight="1" x14ac:dyDescent="0.25">
      <c r="B15" s="38" t="s">
        <v>3</v>
      </c>
      <c r="C15" s="21">
        <f>_xll.DBRW($C$2,Input_Prod_01!$D$9,Input_Prod_01!$C$11,$M$1,$B15,$K$1)</f>
        <v>0</v>
      </c>
      <c r="D15" s="21">
        <f>_xll.DBRW($C$2,Input_Prod_01!$D$9,Input_Prod_01!$C$11,$M$1,$B15,$K$1)</f>
        <v>0</v>
      </c>
      <c r="E15" s="21">
        <f>_xll.DBRW($C$2,Input_Prod_01!$D$9,Input_Prod_01!$C$11,$M$1,$B15,$K$1)</f>
        <v>0</v>
      </c>
      <c r="F15" s="21">
        <f>_xll.DBRW($C$2,Input_Prod_01!$D$9,Input_Prod_01!$C$11,$M$1,$B15,$K$1)</f>
        <v>0</v>
      </c>
      <c r="G15" s="21">
        <f>_xll.DBRW($C$2,Input_Prod_01!$D$9,Input_Prod_01!$C$11,$M$1,$B15,$K$1)</f>
        <v>0</v>
      </c>
      <c r="H15" s="21">
        <f>_xll.DBRW($C$2,Input_Prod_01!$D$9,Input_Prod_01!$C$11,$M$1,$B15,$K$1)</f>
        <v>0</v>
      </c>
      <c r="I15" s="21">
        <f>_xll.DBRW($C$2,Input_Prod_01!$D$9,Input_Prod_01!$C$11,$M$1,$B15,$K$1)</f>
        <v>0</v>
      </c>
      <c r="J15" s="21">
        <f>_xll.DBRW($C$2,Input_Prod_01!$D$9,Input_Prod_01!$C$11,$M$1,$B15,$K$1)</f>
        <v>0</v>
      </c>
      <c r="K15" s="21">
        <f>_xll.DBRW($C$2,Input_Prod_01!$D$9,Input_Prod_01!$C$11,$M$1,$B15,$K$1)</f>
        <v>0</v>
      </c>
      <c r="L15" s="21">
        <f>_xll.DBRW($C$2,Input_Prod_01!$D$9,Input_Prod_01!$C$11,$M$1,$B15,$K$1)</f>
        <v>0</v>
      </c>
      <c r="M15" s="21">
        <f>_xll.DBRW($C$2,Input_Prod_01!$D$9,Input_Prod_01!$C$11,$M$1,$B15,$K$1)</f>
        <v>0</v>
      </c>
      <c r="N15" s="21">
        <f>_xll.DBRW($C$2,Input_Prod_01!$D$9,Input_Prod_01!$C$11,$M$1,$B15,$K$1)</f>
        <v>0</v>
      </c>
    </row>
    <row r="16" spans="2:14" s="1" customFormat="1" ht="15.75" customHeight="1" x14ac:dyDescent="0.25">
      <c r="B16" s="38" t="s">
        <v>4</v>
      </c>
      <c r="C16" s="21">
        <f>_xll.DBRW($C$2,Input_Prod_01!$D$9,Input_Prod_01!$C$11,$M$1,$B16,$K$1)</f>
        <v>0</v>
      </c>
      <c r="D16" s="21">
        <f>_xll.DBRW($C$2,Input_Prod_01!$D$9,Input_Prod_01!$C$11,$M$1,$B16,$K$1)</f>
        <v>0</v>
      </c>
      <c r="E16" s="21">
        <f>_xll.DBRW($C$2,Input_Prod_01!$D$9,Input_Prod_01!$C$11,$M$1,$B16,$K$1)</f>
        <v>0</v>
      </c>
      <c r="F16" s="21">
        <f>_xll.DBRW($C$2,Input_Prod_01!$D$9,Input_Prod_01!$C$11,$M$1,$B16,$K$1)</f>
        <v>0</v>
      </c>
      <c r="G16" s="21">
        <f>_xll.DBRW($C$2,Input_Prod_01!$D$9,Input_Prod_01!$C$11,$M$1,$B16,$K$1)</f>
        <v>0</v>
      </c>
      <c r="H16" s="21">
        <f>_xll.DBRW($C$2,Input_Prod_01!$D$9,Input_Prod_01!$C$11,$M$1,$B16,$K$1)</f>
        <v>0</v>
      </c>
      <c r="I16" s="21">
        <f>_xll.DBRW($C$2,Input_Prod_01!$D$9,Input_Prod_01!$C$11,$M$1,$B16,$K$1)</f>
        <v>0</v>
      </c>
      <c r="J16" s="21">
        <f>_xll.DBRW($C$2,Input_Prod_01!$D$9,Input_Prod_01!$C$11,$M$1,$B16,$K$1)</f>
        <v>0</v>
      </c>
      <c r="K16" s="21">
        <f>_xll.DBRW($C$2,Input_Prod_01!$D$9,Input_Prod_01!$C$11,$M$1,$B16,$K$1)</f>
        <v>0</v>
      </c>
      <c r="L16" s="21">
        <f>_xll.DBRW($C$2,Input_Prod_01!$D$9,Input_Prod_01!$C$11,$M$1,$B16,$K$1)</f>
        <v>0</v>
      </c>
      <c r="M16" s="21">
        <f>_xll.DBRW($C$2,Input_Prod_01!$D$9,Input_Prod_01!$C$11,$M$1,$B16,$K$1)</f>
        <v>0</v>
      </c>
      <c r="N16" s="21">
        <f>_xll.DBRW($C$2,Input_Prod_01!$D$9,Input_Prod_01!$C$11,$M$1,$B16,$K$1)</f>
        <v>0</v>
      </c>
    </row>
    <row r="17" spans="2:14" s="1" customFormat="1" ht="15.75" customHeight="1" x14ac:dyDescent="0.25">
      <c r="B17" s="38" t="s">
        <v>5</v>
      </c>
      <c r="C17" s="21">
        <f>_xll.DBRW($C$2,Input_Prod_01!$D$9,Input_Prod_01!$C$11,$M$1,$B17,$K$1)</f>
        <v>5</v>
      </c>
      <c r="D17" s="21">
        <f>_xll.DBRW($C$2,Input_Prod_01!$D$9,Input_Prod_01!$C$11,$M$1,$B17,$K$1)</f>
        <v>5</v>
      </c>
      <c r="E17" s="21">
        <f>_xll.DBRW($C$2,Input_Prod_01!$D$9,Input_Prod_01!$C$11,$M$1,$B17,$K$1)</f>
        <v>5</v>
      </c>
      <c r="F17" s="21">
        <f>_xll.DBRW($C$2,Input_Prod_01!$D$9,Input_Prod_01!$C$11,$M$1,$B17,$K$1)</f>
        <v>5</v>
      </c>
      <c r="G17" s="21">
        <f>_xll.DBRW($C$2,Input_Prod_01!$D$9,Input_Prod_01!$C$11,$M$1,$B17,$K$1)</f>
        <v>5</v>
      </c>
      <c r="H17" s="21">
        <f>_xll.DBRW($C$2,Input_Prod_01!$D$9,Input_Prod_01!$C$11,$M$1,$B17,$K$1)</f>
        <v>5</v>
      </c>
      <c r="I17" s="21">
        <f>_xll.DBRW($C$2,Input_Prod_01!$D$9,Input_Prod_01!$C$11,$M$1,$B17,$K$1)</f>
        <v>5</v>
      </c>
      <c r="J17" s="21">
        <f>_xll.DBRW($C$2,Input_Prod_01!$D$9,Input_Prod_01!$C$11,$M$1,$B17,$K$1)</f>
        <v>5</v>
      </c>
      <c r="K17" s="21">
        <f>_xll.DBRW($C$2,Input_Prod_01!$D$9,Input_Prod_01!$C$11,$M$1,$B17,$K$1)</f>
        <v>5</v>
      </c>
      <c r="L17" s="21">
        <f>_xll.DBRW($C$2,Input_Prod_01!$D$9,Input_Prod_01!$C$11,$M$1,$B17,$K$1)</f>
        <v>5</v>
      </c>
      <c r="M17" s="21">
        <f>_xll.DBRW($C$2,Input_Prod_01!$D$9,Input_Prod_01!$C$11,$M$1,$B17,$K$1)</f>
        <v>5</v>
      </c>
      <c r="N17" s="21">
        <f>_xll.DBRW($C$2,Input_Prod_01!$D$9,Input_Prod_01!$C$11,$M$1,$B17,$K$1)</f>
        <v>5</v>
      </c>
    </row>
    <row r="18" spans="2:14" s="1" customFormat="1" ht="15.75" customHeight="1" x14ac:dyDescent="0.25">
      <c r="B18" s="38" t="s">
        <v>6</v>
      </c>
      <c r="C18" s="21">
        <f>_xll.DBRW($C$2,Input_Prod_01!$D$9,Input_Prod_01!$C$11,$M$1,$B18,$K$1)</f>
        <v>0</v>
      </c>
      <c r="D18" s="21">
        <f>_xll.DBRW($C$2,Input_Prod_01!$D$9,Input_Prod_01!$C$11,$M$1,$B18,$K$1)</f>
        <v>0</v>
      </c>
      <c r="E18" s="21">
        <f>_xll.DBRW($C$2,Input_Prod_01!$D$9,Input_Prod_01!$C$11,$M$1,$B18,$K$1)</f>
        <v>0</v>
      </c>
      <c r="F18" s="21">
        <f>_xll.DBRW($C$2,Input_Prod_01!$D$9,Input_Prod_01!$C$11,$M$1,$B18,$K$1)</f>
        <v>0</v>
      </c>
      <c r="G18" s="21">
        <f>_xll.DBRW($C$2,Input_Prod_01!$D$9,Input_Prod_01!$C$11,$M$1,$B18,$K$1)</f>
        <v>0</v>
      </c>
      <c r="H18" s="21">
        <f>_xll.DBRW($C$2,Input_Prod_01!$D$9,Input_Prod_01!$C$11,$M$1,$B18,$K$1)</f>
        <v>0</v>
      </c>
      <c r="I18" s="21">
        <f>_xll.DBRW($C$2,Input_Prod_01!$D$9,Input_Prod_01!$C$11,$M$1,$B18,$K$1)</f>
        <v>0</v>
      </c>
      <c r="J18" s="21">
        <f>_xll.DBRW($C$2,Input_Prod_01!$D$9,Input_Prod_01!$C$11,$M$1,$B18,$K$1)</f>
        <v>0</v>
      </c>
      <c r="K18" s="21">
        <f>_xll.DBRW($C$2,Input_Prod_01!$D$9,Input_Prod_01!$C$11,$M$1,$B18,$K$1)</f>
        <v>0</v>
      </c>
      <c r="L18" s="21">
        <f>_xll.DBRW($C$2,Input_Prod_01!$D$9,Input_Prod_01!$C$11,$M$1,$B18,$K$1)</f>
        <v>0</v>
      </c>
      <c r="M18" s="21">
        <f>_xll.DBRW($C$2,Input_Prod_01!$D$9,Input_Prod_01!$C$11,$M$1,$B18,$K$1)</f>
        <v>0</v>
      </c>
      <c r="N18" s="21">
        <f>_xll.DBRW($C$2,Input_Prod_01!$D$9,Input_Prod_01!$C$11,$M$1,$B18,$K$1)</f>
        <v>0</v>
      </c>
    </row>
    <row r="19" spans="2:14" s="1" customFormat="1" ht="15.75" customHeight="1" x14ac:dyDescent="0.25">
      <c r="B19" s="38" t="s">
        <v>7</v>
      </c>
      <c r="C19" s="21">
        <f>_xll.DBRW($C$2,Input_Prod_01!$D$9,Input_Prod_01!$C$11,$M$1,$B19,$K$1)</f>
        <v>0</v>
      </c>
      <c r="D19" s="21">
        <f>_xll.DBRW($C$2,Input_Prod_01!$D$9,Input_Prod_01!$C$11,$M$1,$B19,$K$1)</f>
        <v>0</v>
      </c>
      <c r="E19" s="21">
        <f>_xll.DBRW($C$2,Input_Prod_01!$D$9,Input_Prod_01!$C$11,$M$1,$B19,$K$1)</f>
        <v>0</v>
      </c>
      <c r="F19" s="21">
        <f>_xll.DBRW($C$2,Input_Prod_01!$D$9,Input_Prod_01!$C$11,$M$1,$B19,$K$1)</f>
        <v>0</v>
      </c>
      <c r="G19" s="21">
        <f>_xll.DBRW($C$2,Input_Prod_01!$D$9,Input_Prod_01!$C$11,$M$1,$B19,$K$1)</f>
        <v>0</v>
      </c>
      <c r="H19" s="21">
        <f>_xll.DBRW($C$2,Input_Prod_01!$D$9,Input_Prod_01!$C$11,$M$1,$B19,$K$1)</f>
        <v>0</v>
      </c>
      <c r="I19" s="21">
        <f>_xll.DBRW($C$2,Input_Prod_01!$D$9,Input_Prod_01!$C$11,$M$1,$B19,$K$1)</f>
        <v>0</v>
      </c>
      <c r="J19" s="21">
        <f>_xll.DBRW($C$2,Input_Prod_01!$D$9,Input_Prod_01!$C$11,$M$1,$B19,$K$1)</f>
        <v>0</v>
      </c>
      <c r="K19" s="21">
        <f>_xll.DBRW($C$2,Input_Prod_01!$D$9,Input_Prod_01!$C$11,$M$1,$B19,$K$1)</f>
        <v>0</v>
      </c>
      <c r="L19" s="21">
        <f>_xll.DBRW($C$2,Input_Prod_01!$D$9,Input_Prod_01!$C$11,$M$1,$B19,$K$1)</f>
        <v>0</v>
      </c>
      <c r="M19" s="21">
        <f>_xll.DBRW($C$2,Input_Prod_01!$D$9,Input_Prod_01!$C$11,$M$1,$B19,$K$1)</f>
        <v>0</v>
      </c>
      <c r="N19" s="21">
        <f>_xll.DBRW($C$2,Input_Prod_01!$D$9,Input_Prod_01!$C$11,$M$1,$B19,$K$1)</f>
        <v>0</v>
      </c>
    </row>
    <row r="20" spans="2:14" s="1" customFormat="1" ht="15.75" customHeight="1" x14ac:dyDescent="0.25">
      <c r="B20" s="38" t="s">
        <v>8</v>
      </c>
      <c r="C20" s="21">
        <f>_xll.DBRW($C$2,Input_Prod_01!$D$9,Input_Prod_01!$C$11,$M$1,$B20,$K$1)</f>
        <v>0</v>
      </c>
      <c r="D20" s="21">
        <f>_xll.DBRW($C$2,Input_Prod_01!$D$9,Input_Prod_01!$C$11,$M$1,$B20,$K$1)</f>
        <v>0</v>
      </c>
      <c r="E20" s="21">
        <f>_xll.DBRW($C$2,Input_Prod_01!$D$9,Input_Prod_01!$C$11,$M$1,$B20,$K$1)</f>
        <v>0</v>
      </c>
      <c r="F20" s="21">
        <f>_xll.DBRW($C$2,Input_Prod_01!$D$9,Input_Prod_01!$C$11,$M$1,$B20,$K$1)</f>
        <v>0</v>
      </c>
      <c r="G20" s="21">
        <f>_xll.DBRW($C$2,Input_Prod_01!$D$9,Input_Prod_01!$C$11,$M$1,$B20,$K$1)</f>
        <v>0</v>
      </c>
      <c r="H20" s="21">
        <f>_xll.DBRW($C$2,Input_Prod_01!$D$9,Input_Prod_01!$C$11,$M$1,$B20,$K$1)</f>
        <v>0</v>
      </c>
      <c r="I20" s="21">
        <f>_xll.DBRW($C$2,Input_Prod_01!$D$9,Input_Prod_01!$C$11,$M$1,$B20,$K$1)</f>
        <v>0</v>
      </c>
      <c r="J20" s="21">
        <f>_xll.DBRW($C$2,Input_Prod_01!$D$9,Input_Prod_01!$C$11,$M$1,$B20,$K$1)</f>
        <v>0</v>
      </c>
      <c r="K20" s="21">
        <f>_xll.DBRW($C$2,Input_Prod_01!$D$9,Input_Prod_01!$C$11,$M$1,$B20,$K$1)</f>
        <v>0</v>
      </c>
      <c r="L20" s="21">
        <f>_xll.DBRW($C$2,Input_Prod_01!$D$9,Input_Prod_01!$C$11,$M$1,$B20,$K$1)</f>
        <v>0</v>
      </c>
      <c r="M20" s="21">
        <f>_xll.DBRW($C$2,Input_Prod_01!$D$9,Input_Prod_01!$C$11,$M$1,$B20,$K$1)</f>
        <v>0</v>
      </c>
      <c r="N20" s="21">
        <f>_xll.DBRW($C$2,Input_Prod_01!$D$9,Input_Prod_01!$C$11,$M$1,$B20,$K$1)</f>
        <v>0</v>
      </c>
    </row>
    <row r="21" spans="2:14" s="1" customFormat="1" ht="15.75" customHeight="1" x14ac:dyDescent="0.25">
      <c r="B21" s="38" t="s">
        <v>9</v>
      </c>
      <c r="C21" s="21">
        <f>_xll.DBRW($C$2,Input_Prod_01!$D$9,Input_Prod_01!$C$11,$M$1,$B21,$K$1)</f>
        <v>0</v>
      </c>
      <c r="D21" s="21">
        <f>_xll.DBRW($C$2,Input_Prod_01!$D$9,Input_Prod_01!$C$11,$M$1,$B21,$K$1)</f>
        <v>0</v>
      </c>
      <c r="E21" s="21">
        <f>_xll.DBRW($C$2,Input_Prod_01!$D$9,Input_Prod_01!$C$11,$M$1,$B21,$K$1)</f>
        <v>0</v>
      </c>
      <c r="F21" s="21">
        <f>_xll.DBRW($C$2,Input_Prod_01!$D$9,Input_Prod_01!$C$11,$M$1,$B21,$K$1)</f>
        <v>0</v>
      </c>
      <c r="G21" s="21">
        <f>_xll.DBRW($C$2,Input_Prod_01!$D$9,Input_Prod_01!$C$11,$M$1,$B21,$K$1)</f>
        <v>0</v>
      </c>
      <c r="H21" s="21">
        <f>_xll.DBRW($C$2,Input_Prod_01!$D$9,Input_Prod_01!$C$11,$M$1,$B21,$K$1)</f>
        <v>0</v>
      </c>
      <c r="I21" s="21">
        <f>_xll.DBRW($C$2,Input_Prod_01!$D$9,Input_Prod_01!$C$11,$M$1,$B21,$K$1)</f>
        <v>0</v>
      </c>
      <c r="J21" s="21">
        <f>_xll.DBRW($C$2,Input_Prod_01!$D$9,Input_Prod_01!$C$11,$M$1,$B21,$K$1)</f>
        <v>0</v>
      </c>
      <c r="K21" s="21">
        <f>_xll.DBRW($C$2,Input_Prod_01!$D$9,Input_Prod_01!$C$11,$M$1,$B21,$K$1)</f>
        <v>0</v>
      </c>
      <c r="L21" s="21">
        <f>_xll.DBRW($C$2,Input_Prod_01!$D$9,Input_Prod_01!$C$11,$M$1,$B21,$K$1)</f>
        <v>0</v>
      </c>
      <c r="M21" s="21">
        <f>_xll.DBRW($C$2,Input_Prod_01!$D$9,Input_Prod_01!$C$11,$M$1,$B21,$K$1)</f>
        <v>0</v>
      </c>
      <c r="N21" s="21">
        <f>_xll.DBRW($C$2,Input_Prod_01!$D$9,Input_Prod_01!$C$11,$M$1,$B21,$K$1)</f>
        <v>0</v>
      </c>
    </row>
    <row r="22" spans="2:14" s="1" customFormat="1" ht="15.75" customHeight="1" x14ac:dyDescent="0.25">
      <c r="B22" s="38" t="s">
        <v>10</v>
      </c>
      <c r="C22" s="21">
        <f>_xll.DBRW($C$2,Input_Prod_01!$D$9,Input_Prod_01!$C$11,$M$1,$B22,$K$1)</f>
        <v>0</v>
      </c>
      <c r="D22" s="21">
        <f>_xll.DBRW($C$2,Input_Prod_01!$D$9,Input_Prod_01!$C$11,$M$1,$B22,$K$1)</f>
        <v>0</v>
      </c>
      <c r="E22" s="21">
        <f>_xll.DBRW($C$2,Input_Prod_01!$D$9,Input_Prod_01!$C$11,$M$1,$B22,$K$1)</f>
        <v>0</v>
      </c>
      <c r="F22" s="21">
        <f>_xll.DBRW($C$2,Input_Prod_01!$D$9,Input_Prod_01!$C$11,$M$1,$B22,$K$1)</f>
        <v>0</v>
      </c>
      <c r="G22" s="21">
        <f>_xll.DBRW($C$2,Input_Prod_01!$D$9,Input_Prod_01!$C$11,$M$1,$B22,$K$1)</f>
        <v>0</v>
      </c>
      <c r="H22" s="21">
        <f>_xll.DBRW($C$2,Input_Prod_01!$D$9,Input_Prod_01!$C$11,$M$1,$B22,$K$1)</f>
        <v>0</v>
      </c>
      <c r="I22" s="21">
        <f>_xll.DBRW($C$2,Input_Prod_01!$D$9,Input_Prod_01!$C$11,$M$1,$B22,$K$1)</f>
        <v>0</v>
      </c>
      <c r="J22" s="21">
        <f>_xll.DBRW($C$2,Input_Prod_01!$D$9,Input_Prod_01!$C$11,$M$1,$B22,$K$1)</f>
        <v>0</v>
      </c>
      <c r="K22" s="21">
        <f>_xll.DBRW($C$2,Input_Prod_01!$D$9,Input_Prod_01!$C$11,$M$1,$B22,$K$1)</f>
        <v>0</v>
      </c>
      <c r="L22" s="21">
        <f>_xll.DBRW($C$2,Input_Prod_01!$D$9,Input_Prod_01!$C$11,$M$1,$B22,$K$1)</f>
        <v>0</v>
      </c>
      <c r="M22" s="21">
        <f>_xll.DBRW($C$2,Input_Prod_01!$D$9,Input_Prod_01!$C$11,$M$1,$B22,$K$1)</f>
        <v>0</v>
      </c>
      <c r="N22" s="21">
        <f>_xll.DBRW($C$2,Input_Prod_01!$D$9,Input_Prod_01!$C$11,$M$1,$B22,$K$1)</f>
        <v>0</v>
      </c>
    </row>
    <row r="23" spans="2:14" s="1" customFormat="1" ht="15.75" customHeight="1" x14ac:dyDescent="0.25">
      <c r="B23" s="38" t="s">
        <v>11</v>
      </c>
      <c r="C23" s="21">
        <f>_xll.DBRW($C$2,Input_Prod_01!$D$9,Input_Prod_01!$C$11,$M$1,$B23,$K$1)</f>
        <v>0</v>
      </c>
      <c r="D23" s="21">
        <f>_xll.DBRW($C$2,Input_Prod_01!$D$9,Input_Prod_01!$C$11,$M$1,$B23,$K$1)</f>
        <v>0</v>
      </c>
      <c r="E23" s="21">
        <f>_xll.DBRW($C$2,Input_Prod_01!$D$9,Input_Prod_01!$C$11,$M$1,$B23,$K$1)</f>
        <v>0</v>
      </c>
      <c r="F23" s="21">
        <f>_xll.DBRW($C$2,Input_Prod_01!$D$9,Input_Prod_01!$C$11,$M$1,$B23,$K$1)</f>
        <v>0</v>
      </c>
      <c r="G23" s="21">
        <f>_xll.DBRW($C$2,Input_Prod_01!$D$9,Input_Prod_01!$C$11,$M$1,$B23,$K$1)</f>
        <v>0</v>
      </c>
      <c r="H23" s="21">
        <f>_xll.DBRW($C$2,Input_Prod_01!$D$9,Input_Prod_01!$C$11,$M$1,$B23,$K$1)</f>
        <v>0</v>
      </c>
      <c r="I23" s="21">
        <f>_xll.DBRW($C$2,Input_Prod_01!$D$9,Input_Prod_01!$C$11,$M$1,$B23,$K$1)</f>
        <v>0</v>
      </c>
      <c r="J23" s="21">
        <f>_xll.DBRW($C$2,Input_Prod_01!$D$9,Input_Prod_01!$C$11,$M$1,$B23,$K$1)</f>
        <v>0</v>
      </c>
      <c r="K23" s="21">
        <f>_xll.DBRW($C$2,Input_Prod_01!$D$9,Input_Prod_01!$C$11,$M$1,$B23,$K$1)</f>
        <v>0</v>
      </c>
      <c r="L23" s="21">
        <f>_xll.DBRW($C$2,Input_Prod_01!$D$9,Input_Prod_01!$C$11,$M$1,$B23,$K$1)</f>
        <v>0</v>
      </c>
      <c r="M23" s="21">
        <f>_xll.DBRW($C$2,Input_Prod_01!$D$9,Input_Prod_01!$C$11,$M$1,$B23,$K$1)</f>
        <v>0</v>
      </c>
      <c r="N23" s="21">
        <f>_xll.DBRW($C$2,Input_Prod_01!$D$9,Input_Prod_01!$C$11,$M$1,$B23,$K$1)</f>
        <v>0</v>
      </c>
    </row>
    <row r="24" spans="2:14" s="1" customFormat="1" ht="15.75" customHeight="1" x14ac:dyDescent="0.25">
      <c r="B24" s="38" t="s">
        <v>12</v>
      </c>
      <c r="C24" s="21">
        <f>_xll.DBRW($C$2,Input_Prod_01!$D$9,Input_Prod_01!$C$11,$M$1,$B24,$K$1)</f>
        <v>0</v>
      </c>
      <c r="D24" s="21">
        <f>_xll.DBRW($C$2,Input_Prod_01!$D$9,Input_Prod_01!$C$11,$M$1,$B24,$K$1)</f>
        <v>0</v>
      </c>
      <c r="E24" s="21">
        <f>_xll.DBRW($C$2,Input_Prod_01!$D$9,Input_Prod_01!$C$11,$M$1,$B24,$K$1)</f>
        <v>0</v>
      </c>
      <c r="F24" s="21">
        <f>_xll.DBRW($C$2,Input_Prod_01!$D$9,Input_Prod_01!$C$11,$M$1,$B24,$K$1)</f>
        <v>0</v>
      </c>
      <c r="G24" s="21">
        <f>_xll.DBRW($C$2,Input_Prod_01!$D$9,Input_Prod_01!$C$11,$M$1,$B24,$K$1)</f>
        <v>0</v>
      </c>
      <c r="H24" s="21">
        <f>_xll.DBRW($C$2,Input_Prod_01!$D$9,Input_Prod_01!$C$11,$M$1,$B24,$K$1)</f>
        <v>0</v>
      </c>
      <c r="I24" s="21">
        <f>_xll.DBRW($C$2,Input_Prod_01!$D$9,Input_Prod_01!$C$11,$M$1,$B24,$K$1)</f>
        <v>0</v>
      </c>
      <c r="J24" s="21">
        <f>_xll.DBRW($C$2,Input_Prod_01!$D$9,Input_Prod_01!$C$11,$M$1,$B24,$K$1)</f>
        <v>0</v>
      </c>
      <c r="K24" s="21">
        <f>_xll.DBRW($C$2,Input_Prod_01!$D$9,Input_Prod_01!$C$11,$M$1,$B24,$K$1)</f>
        <v>0</v>
      </c>
      <c r="L24" s="21">
        <f>_xll.DBRW($C$2,Input_Prod_01!$D$9,Input_Prod_01!$C$11,$M$1,$B24,$K$1)</f>
        <v>0</v>
      </c>
      <c r="M24" s="21">
        <f>_xll.DBRW($C$2,Input_Prod_01!$D$9,Input_Prod_01!$C$11,$M$1,$B24,$K$1)</f>
        <v>0</v>
      </c>
      <c r="N24" s="21">
        <f>_xll.DBRW($C$2,Input_Prod_01!$D$9,Input_Prod_01!$C$11,$M$1,$B24,$K$1)</f>
        <v>0</v>
      </c>
    </row>
    <row r="25" spans="2:14" s="1" customFormat="1" ht="15.75" customHeight="1" x14ac:dyDescent="0.25">
      <c r="B25" s="38" t="s">
        <v>13</v>
      </c>
      <c r="C25" s="21">
        <f>_xll.DBRW($C$2,Input_Prod_01!$D$9,Input_Prod_01!$C$11,$M$1,$B25,$K$1)</f>
        <v>0</v>
      </c>
      <c r="D25" s="21">
        <f>_xll.DBRW($C$2,Input_Prod_01!$D$9,Input_Prod_01!$C$11,$M$1,$B25,$K$1)</f>
        <v>0</v>
      </c>
      <c r="E25" s="21">
        <f>_xll.DBRW($C$2,Input_Prod_01!$D$9,Input_Prod_01!$C$11,$M$1,$B25,$K$1)</f>
        <v>0</v>
      </c>
      <c r="F25" s="21">
        <f>_xll.DBRW($C$2,Input_Prod_01!$D$9,Input_Prod_01!$C$11,$M$1,$B25,$K$1)</f>
        <v>0</v>
      </c>
      <c r="G25" s="21">
        <f>_xll.DBRW($C$2,Input_Prod_01!$D$9,Input_Prod_01!$C$11,$M$1,$B25,$K$1)</f>
        <v>0</v>
      </c>
      <c r="H25" s="21">
        <f>_xll.DBRW($C$2,Input_Prod_01!$D$9,Input_Prod_01!$C$11,$M$1,$B25,$K$1)</f>
        <v>0</v>
      </c>
      <c r="I25" s="21">
        <f>_xll.DBRW($C$2,Input_Prod_01!$D$9,Input_Prod_01!$C$11,$M$1,$B25,$K$1)</f>
        <v>0</v>
      </c>
      <c r="J25" s="21">
        <f>_xll.DBRW($C$2,Input_Prod_01!$D$9,Input_Prod_01!$C$11,$M$1,$B25,$K$1)</f>
        <v>0</v>
      </c>
      <c r="K25" s="21">
        <f>_xll.DBRW($C$2,Input_Prod_01!$D$9,Input_Prod_01!$C$11,$M$1,$B25,$K$1)</f>
        <v>0</v>
      </c>
      <c r="L25" s="21">
        <f>_xll.DBRW($C$2,Input_Prod_01!$D$9,Input_Prod_01!$C$11,$M$1,$B25,$K$1)</f>
        <v>0</v>
      </c>
      <c r="M25" s="21">
        <f>_xll.DBRW($C$2,Input_Prod_01!$D$9,Input_Prod_01!$C$11,$M$1,$B25,$K$1)</f>
        <v>0</v>
      </c>
      <c r="N25" s="21">
        <f>_xll.DBRW($C$2,Input_Prod_01!$D$9,Input_Prod_01!$C$11,$M$1,$B25,$K$1)</f>
        <v>0</v>
      </c>
    </row>
    <row r="26" spans="2:14" s="1" customFormat="1" ht="15.75" customHeight="1" x14ac:dyDescent="0.25">
      <c r="B26" s="38" t="s">
        <v>14</v>
      </c>
      <c r="C26" s="21">
        <f>_xll.DBRW($C$2,Input_Prod_01!$D$9,Input_Prod_01!$C$11,$M$1,$B26,$K$1)</f>
        <v>0</v>
      </c>
      <c r="D26" s="21">
        <f>_xll.DBRW($C$2,Input_Prod_01!$D$9,Input_Prod_01!$C$11,$M$1,$B26,$K$1)</f>
        <v>0</v>
      </c>
      <c r="E26" s="21">
        <f>_xll.DBRW($C$2,Input_Prod_01!$D$9,Input_Prod_01!$C$11,$M$1,$B26,$K$1)</f>
        <v>0</v>
      </c>
      <c r="F26" s="21">
        <f>_xll.DBRW($C$2,Input_Prod_01!$D$9,Input_Prod_01!$C$11,$M$1,$B26,$K$1)</f>
        <v>0</v>
      </c>
      <c r="G26" s="21">
        <f>_xll.DBRW($C$2,Input_Prod_01!$D$9,Input_Prod_01!$C$11,$M$1,$B26,$K$1)</f>
        <v>0</v>
      </c>
      <c r="H26" s="21">
        <f>_xll.DBRW($C$2,Input_Prod_01!$D$9,Input_Prod_01!$C$11,$M$1,$B26,$K$1)</f>
        <v>0</v>
      </c>
      <c r="I26" s="21">
        <f>_xll.DBRW($C$2,Input_Prod_01!$D$9,Input_Prod_01!$C$11,$M$1,$B26,$K$1)</f>
        <v>0</v>
      </c>
      <c r="J26" s="21">
        <f>_xll.DBRW($C$2,Input_Prod_01!$D$9,Input_Prod_01!$C$11,$M$1,$B26,$K$1)</f>
        <v>0</v>
      </c>
      <c r="K26" s="21">
        <f>_xll.DBRW($C$2,Input_Prod_01!$D$9,Input_Prod_01!$C$11,$M$1,$B26,$K$1)</f>
        <v>0</v>
      </c>
      <c r="L26" s="21">
        <f>_xll.DBRW($C$2,Input_Prod_01!$D$9,Input_Prod_01!$C$11,$M$1,$B26,$K$1)</f>
        <v>0</v>
      </c>
      <c r="M26" s="21">
        <f>_xll.DBRW($C$2,Input_Prod_01!$D$9,Input_Prod_01!$C$11,$M$1,$B26,$K$1)</f>
        <v>0</v>
      </c>
      <c r="N26" s="21">
        <f>_xll.DBRW($C$2,Input_Prod_01!$D$9,Input_Prod_01!$C$11,$M$1,$B26,$K$1)</f>
        <v>0</v>
      </c>
    </row>
    <row r="27" spans="2:14" s="1" customFormat="1" ht="15.75" customHeight="1" x14ac:dyDescent="0.25">
      <c r="B27" s="38" t="s">
        <v>15</v>
      </c>
      <c r="C27" s="21">
        <f>_xll.DBRW($C$2,Input_Prod_01!$D$9,Input_Prod_01!$C$11,$M$1,$B27,$K$1)</f>
        <v>31</v>
      </c>
      <c r="D27" s="21">
        <f>_xll.DBRW($C$2,Input_Prod_01!$D$9,Input_Prod_01!$C$11,$M$1,$B27,$K$1)</f>
        <v>31</v>
      </c>
      <c r="E27" s="21">
        <f>_xll.DBRW($C$2,Input_Prod_01!$D$9,Input_Prod_01!$C$11,$M$1,$B27,$K$1)</f>
        <v>31</v>
      </c>
      <c r="F27" s="21">
        <f>_xll.DBRW($C$2,Input_Prod_01!$D$9,Input_Prod_01!$C$11,$M$1,$B27,$K$1)</f>
        <v>31</v>
      </c>
      <c r="G27" s="21">
        <f>_xll.DBRW($C$2,Input_Prod_01!$D$9,Input_Prod_01!$C$11,$M$1,$B27,$K$1)</f>
        <v>31</v>
      </c>
      <c r="H27" s="21">
        <f>_xll.DBRW($C$2,Input_Prod_01!$D$9,Input_Prod_01!$C$11,$M$1,$B27,$K$1)</f>
        <v>31</v>
      </c>
      <c r="I27" s="21">
        <f>_xll.DBRW($C$2,Input_Prod_01!$D$9,Input_Prod_01!$C$11,$M$1,$B27,$K$1)</f>
        <v>31</v>
      </c>
      <c r="J27" s="21">
        <f>_xll.DBRW($C$2,Input_Prod_01!$D$9,Input_Prod_01!$C$11,$M$1,$B27,$K$1)</f>
        <v>31</v>
      </c>
      <c r="K27" s="21">
        <f>_xll.DBRW($C$2,Input_Prod_01!$D$9,Input_Prod_01!$C$11,$M$1,$B27,$K$1)</f>
        <v>31</v>
      </c>
      <c r="L27" s="21">
        <f>_xll.DBRW($C$2,Input_Prod_01!$D$9,Input_Prod_01!$C$11,$M$1,$B27,$K$1)</f>
        <v>31</v>
      </c>
      <c r="M27" s="21">
        <f>_xll.DBRW($C$2,Input_Prod_01!$D$9,Input_Prod_01!$C$11,$M$1,$B27,$K$1)</f>
        <v>31</v>
      </c>
      <c r="N27" s="21">
        <f>_xll.DBRW($C$2,Input_Prod_01!$D$9,Input_Prod_01!$C$11,$M$1,$B27,$K$1)</f>
        <v>31</v>
      </c>
    </row>
    <row r="29" spans="2:14" s="1" customFormat="1" ht="15.75" customHeight="1" thickBot="1" x14ac:dyDescent="0.3">
      <c r="B29" s="10"/>
    </row>
    <row r="30" spans="2:14" s="1" customFormat="1" ht="15.75" customHeight="1" thickTop="1" thickBot="1" x14ac:dyDescent="0.3">
      <c r="B30" s="9" t="s">
        <v>64</v>
      </c>
      <c r="D30" s="19" t="s">
        <v>65</v>
      </c>
      <c r="E30" s="50" t="str">
        <f>_xll.SUBNM("CONS_VC:ALL.D.Products","Nivel_0","PRODCE010 - Cement","Código e Descrição")</f>
        <v>PRODCE010 - Cement</v>
      </c>
      <c r="F30" s="50"/>
      <c r="G30" s="50"/>
    </row>
    <row r="31" spans="2:14" s="1" customFormat="1" ht="15.75" customHeight="1" thickTop="1" x14ac:dyDescent="0.25">
      <c r="B31" s="9"/>
    </row>
    <row r="33" spans="2:14" s="1" customFormat="1" ht="15.75" customHeight="1" x14ac:dyDescent="0.25">
      <c r="B33" s="5"/>
      <c r="C33" s="18" t="str">
        <f>$D$9&amp;"."&amp;C11</f>
        <v>2026.01</v>
      </c>
      <c r="D33" s="18" t="str">
        <f t="shared" ref="D33:N33" si="1">$D$9&amp;"."&amp;D11</f>
        <v>2026.02</v>
      </c>
      <c r="E33" s="18" t="str">
        <f t="shared" si="1"/>
        <v>2026.03</v>
      </c>
      <c r="F33" s="18" t="str">
        <f t="shared" si="1"/>
        <v>2026.04</v>
      </c>
      <c r="G33" s="18" t="str">
        <f t="shared" si="1"/>
        <v>2026.05</v>
      </c>
      <c r="H33" s="18" t="str">
        <f t="shared" si="1"/>
        <v>2026.06</v>
      </c>
      <c r="I33" s="18" t="str">
        <f t="shared" si="1"/>
        <v>2026.07</v>
      </c>
      <c r="J33" s="18" t="str">
        <f t="shared" si="1"/>
        <v>2026.08</v>
      </c>
      <c r="K33" s="18" t="str">
        <f t="shared" si="1"/>
        <v>2026.09</v>
      </c>
      <c r="L33" s="18" t="str">
        <f t="shared" si="1"/>
        <v>2026.10</v>
      </c>
      <c r="M33" s="18" t="str">
        <f t="shared" si="1"/>
        <v>2026.11</v>
      </c>
      <c r="N33" s="18" t="str">
        <f t="shared" si="1"/>
        <v>2026.12</v>
      </c>
    </row>
    <row r="34" spans="2:14" s="1" customFormat="1" ht="15.75" customHeight="1" x14ac:dyDescent="0.25">
      <c r="B34" s="53" t="s">
        <v>58</v>
      </c>
      <c r="C34" s="34">
        <f>_xll.DBRW($B$1,Input_Prod_01!$D$9,Input_Prod_01!C$11,$M$1,Input_Prod_01!$G$9,$J$9,Input_Prod_01!$E$30,Input_Prod_01!$B34,$L$1,$K$1)</f>
        <v>0</v>
      </c>
      <c r="D34" s="34">
        <f>_xll.DBRW($B$1,Input_Prod_01!$D$9,Input_Prod_01!D$11,$M$1,Input_Prod_01!$G$9,$J$9,Input_Prod_01!$E$30,Input_Prod_01!$B34,$L$1,$K$1)</f>
        <v>0</v>
      </c>
      <c r="E34" s="34">
        <f>_xll.DBRW($B$1,Input_Prod_01!$D$9,Input_Prod_01!E$11,$M$1,Input_Prod_01!$G$9,$J$9,Input_Prod_01!$E$30,Input_Prod_01!$B34,$L$1,$K$1)</f>
        <v>0</v>
      </c>
      <c r="F34" s="34">
        <f>_xll.DBRW($B$1,Input_Prod_01!$D$9,Input_Prod_01!F$11,$M$1,Input_Prod_01!$G$9,$J$9,Input_Prod_01!$E$30,Input_Prod_01!$B34,$L$1,$K$1)</f>
        <v>0</v>
      </c>
      <c r="G34" s="34">
        <f>_xll.DBRW($B$1,Input_Prod_01!$D$9,Input_Prod_01!G$11,$M$1,Input_Prod_01!$G$9,$J$9,Input_Prod_01!$E$30,Input_Prod_01!$B34,$L$1,$K$1)</f>
        <v>0</v>
      </c>
      <c r="H34" s="34">
        <f>_xll.DBRW($B$1,Input_Prod_01!$D$9,Input_Prod_01!H$11,$M$1,Input_Prod_01!$G$9,$J$9,Input_Prod_01!$E$30,Input_Prod_01!$B34,$L$1,$K$1)</f>
        <v>0</v>
      </c>
      <c r="I34" s="34">
        <f>_xll.DBRW($B$1,Input_Prod_01!$D$9,Input_Prod_01!I$11,$M$1,Input_Prod_01!$G$9,$J$9,Input_Prod_01!$E$30,Input_Prod_01!$B34,$L$1,$K$1)</f>
        <v>0</v>
      </c>
      <c r="J34" s="34">
        <f>_xll.DBRW($B$1,Input_Prod_01!$D$9,Input_Prod_01!J$11,$M$1,Input_Prod_01!$G$9,$J$9,Input_Prod_01!$E$30,Input_Prod_01!$B34,$L$1,$K$1)</f>
        <v>0</v>
      </c>
      <c r="K34" s="34">
        <f>_xll.DBRW($B$1,Input_Prod_01!$D$9,Input_Prod_01!K$11,$M$1,Input_Prod_01!$G$9,$J$9,Input_Prod_01!$E$30,Input_Prod_01!$B34,$L$1,$K$1)</f>
        <v>0</v>
      </c>
      <c r="L34" s="34">
        <f>_xll.DBRW($B$1,Input_Prod_01!$D$9,Input_Prod_01!L$11,$M$1,Input_Prod_01!$G$9,$J$9,Input_Prod_01!$E$30,Input_Prod_01!$B34,$L$1,$K$1)</f>
        <v>0</v>
      </c>
      <c r="M34" s="34">
        <f>_xll.DBRW($B$1,Input_Prod_01!$D$9,Input_Prod_01!M$11,$M$1,Input_Prod_01!$G$9,$J$9,Input_Prod_01!$E$30,Input_Prod_01!$B34,$L$1,$K$1)</f>
        <v>0</v>
      </c>
      <c r="N34" s="34">
        <f>_xll.DBRW($B$1,Input_Prod_01!$D$9,Input_Prod_01!N$11,$M$1,Input_Prod_01!$G$9,$J$9,Input_Prod_01!$E$30,Input_Prod_01!$B34,$L$1,$K$1)</f>
        <v>0</v>
      </c>
    </row>
    <row r="35" spans="2:14" s="1" customFormat="1" ht="15.75" customHeight="1" x14ac:dyDescent="0.25">
      <c r="B35" s="53" t="s">
        <v>16</v>
      </c>
      <c r="C35" s="34">
        <f>_xll.DBRW($B$1,Input_Prod_01!$D$9,Input_Prod_01!C$11,$M$1,Input_Prod_01!$G$9,$J$9,Input_Prod_01!$E$30,Input_Prod_01!$B35,$L$1,$K$1)</f>
        <v>0</v>
      </c>
      <c r="D35" s="34">
        <f>_xll.DBRW($B$1,Input_Prod_01!$D$9,Input_Prod_01!D$11,$M$1,Input_Prod_01!$G$9,$J$9,Input_Prod_01!$E$30,Input_Prod_01!$B35,$L$1,$K$1)</f>
        <v>0</v>
      </c>
      <c r="E35" s="34">
        <f>_xll.DBRW($B$1,Input_Prod_01!$D$9,Input_Prod_01!E$11,$M$1,Input_Prod_01!$G$9,$J$9,Input_Prod_01!$E$30,Input_Prod_01!$B35,$L$1,$K$1)</f>
        <v>0</v>
      </c>
      <c r="F35" s="34">
        <f>_xll.DBRW($B$1,Input_Prod_01!$D$9,Input_Prod_01!F$11,$M$1,Input_Prod_01!$G$9,$J$9,Input_Prod_01!$E$30,Input_Prod_01!$B35,$L$1,$K$1)</f>
        <v>0</v>
      </c>
      <c r="G35" s="34">
        <f>_xll.DBRW($B$1,Input_Prod_01!$D$9,Input_Prod_01!G$11,$M$1,Input_Prod_01!$G$9,$J$9,Input_Prod_01!$E$30,Input_Prod_01!$B35,$L$1,$K$1)</f>
        <v>0</v>
      </c>
      <c r="H35" s="34">
        <f>_xll.DBRW($B$1,Input_Prod_01!$D$9,Input_Prod_01!H$11,$M$1,Input_Prod_01!$G$9,$J$9,Input_Prod_01!$E$30,Input_Prod_01!$B35,$L$1,$K$1)</f>
        <v>0</v>
      </c>
      <c r="I35" s="34">
        <f>_xll.DBRW($B$1,Input_Prod_01!$D$9,Input_Prod_01!I$11,$M$1,Input_Prod_01!$G$9,$J$9,Input_Prod_01!$E$30,Input_Prod_01!$B35,$L$1,$K$1)</f>
        <v>0</v>
      </c>
      <c r="J35" s="34">
        <f>_xll.DBRW($B$1,Input_Prod_01!$D$9,Input_Prod_01!J$11,$M$1,Input_Prod_01!$G$9,$J$9,Input_Prod_01!$E$30,Input_Prod_01!$B35,$L$1,$K$1)</f>
        <v>0</v>
      </c>
      <c r="K35" s="34">
        <f>_xll.DBRW($B$1,Input_Prod_01!$D$9,Input_Prod_01!K$11,$M$1,Input_Prod_01!$G$9,$J$9,Input_Prod_01!$E$30,Input_Prod_01!$B35,$L$1,$K$1)</f>
        <v>0</v>
      </c>
      <c r="L35" s="34">
        <f>_xll.DBRW($B$1,Input_Prod_01!$D$9,Input_Prod_01!L$11,$M$1,Input_Prod_01!$G$9,$J$9,Input_Prod_01!$E$30,Input_Prod_01!$B35,$L$1,$K$1)</f>
        <v>0</v>
      </c>
      <c r="M35" s="34">
        <f>_xll.DBRW($B$1,Input_Prod_01!$D$9,Input_Prod_01!M$11,$M$1,Input_Prod_01!$G$9,$J$9,Input_Prod_01!$E$30,Input_Prod_01!$B35,$L$1,$K$1)</f>
        <v>0</v>
      </c>
      <c r="N35" s="34">
        <f>_xll.DBRW($B$1,Input_Prod_01!$D$9,Input_Prod_01!N$11,$M$1,Input_Prod_01!$G$9,$J$9,Input_Prod_01!$E$30,Input_Prod_01!$B35,$L$1,$K$1)</f>
        <v>0</v>
      </c>
    </row>
    <row r="36" spans="2:14" s="1" customFormat="1" ht="15.75" customHeight="1" x14ac:dyDescent="0.25">
      <c r="B36" s="53" t="s">
        <v>17</v>
      </c>
      <c r="C36" s="34">
        <f>_xll.DBRW($B$1,Input_Prod_01!$D$9,Input_Prod_01!C$11,$M$1,Input_Prod_01!$G$9,$J$9,Input_Prod_01!$E$30,Input_Prod_01!$B36,$L$1,$K$1)</f>
        <v>207.21655306034401</v>
      </c>
      <c r="D36" s="34">
        <f>_xll.DBRW($B$1,Input_Prod_01!$D$9,Input_Prod_01!D$11,$M$1,Input_Prod_01!$G$9,$J$9,Input_Prod_01!$E$30,Input_Prod_01!$B36,$L$1,$K$1)</f>
        <v>244.64193599166299</v>
      </c>
      <c r="E36" s="34">
        <f>_xll.DBRW($B$1,Input_Prod_01!$D$9,Input_Prod_01!E$11,$M$1,Input_Prod_01!$G$9,$J$9,Input_Prod_01!$E$30,Input_Prod_01!$B36,$L$1,$K$1)</f>
        <v>362.20049732120401</v>
      </c>
      <c r="F36" s="34">
        <f>_xll.DBRW($B$1,Input_Prod_01!$D$9,Input_Prod_01!F$11,$M$1,Input_Prod_01!$G$9,$J$9,Input_Prod_01!$E$30,Input_Prod_01!$B36,$L$1,$K$1)</f>
        <v>503.21173643017897</v>
      </c>
      <c r="G36" s="34">
        <f>_xll.DBRW($B$1,Input_Prod_01!$D$9,Input_Prod_01!G$11,$M$1,Input_Prod_01!$G$9,$J$9,Input_Prod_01!$E$30,Input_Prod_01!$B36,$L$1,$K$1)</f>
        <v>603.05327991508602</v>
      </c>
      <c r="H36" s="34">
        <f>_xll.DBRW($B$1,Input_Prod_01!$D$9,Input_Prod_01!H$11,$M$1,Input_Prod_01!$G$9,$J$9,Input_Prod_01!$E$30,Input_Prod_01!$B36,$L$1,$K$1)</f>
        <v>680.11962921788302</v>
      </c>
      <c r="I36" s="34">
        <f>_xll.DBRW($B$1,Input_Prod_01!$D$9,Input_Prod_01!I$11,$M$1,Input_Prod_01!$G$9,$J$9,Input_Prod_01!$E$30,Input_Prod_01!$B36,$L$1,$K$1)</f>
        <v>655.73707874535501</v>
      </c>
      <c r="J36" s="34">
        <f>_xll.DBRW($B$1,Input_Prod_01!$D$9,Input_Prod_01!J$11,$M$1,Input_Prod_01!$G$9,$J$9,Input_Prod_01!$E$30,Input_Prod_01!$B36,$L$1,$K$1)</f>
        <v>619.07454459571102</v>
      </c>
      <c r="K36" s="34">
        <f>_xll.DBRW($B$1,Input_Prod_01!$D$9,Input_Prod_01!K$11,$M$1,Input_Prod_01!$G$9,$J$9,Input_Prod_01!$E$30,Input_Prod_01!$B36,$L$1,$K$1)</f>
        <v>656.06191768167196</v>
      </c>
      <c r="L36" s="34">
        <f>_xll.DBRW($B$1,Input_Prod_01!$D$9,Input_Prod_01!L$11,$M$1,Input_Prod_01!$G$9,$J$9,Input_Prod_01!$E$30,Input_Prod_01!$B36,$L$1,$K$1)</f>
        <v>649.15650021283602</v>
      </c>
      <c r="M36" s="34">
        <f>_xll.DBRW($B$1,Input_Prod_01!$D$9,Input_Prod_01!M$11,$M$1,Input_Prod_01!$G$9,$J$9,Input_Prod_01!$E$30,Input_Prod_01!$B36,$L$1,$K$1)</f>
        <v>464.56511398493501</v>
      </c>
      <c r="N36" s="34">
        <f>_xll.DBRW($B$1,Input_Prod_01!$D$9,Input_Prod_01!N$11,$M$1,Input_Prod_01!$G$9,$J$9,Input_Prod_01!$E$30,Input_Prod_01!$B36,$L$1,$K$1)</f>
        <v>329.92946803865101</v>
      </c>
    </row>
    <row r="37" spans="2:14" s="1" customFormat="1" ht="15.75" customHeight="1" x14ac:dyDescent="0.25">
      <c r="B37" s="53" t="s">
        <v>19</v>
      </c>
      <c r="C37" s="34">
        <f>_xll.DBRW($B$1,Input_Prod_01!$D$9,Input_Prod_01!C$11,$M$1,Input_Prod_01!$G$9,$J$9,Input_Prod_01!$E$30,Input_Prod_01!$B37,$L$1,$K$1)</f>
        <v>0</v>
      </c>
      <c r="D37" s="34">
        <f>_xll.DBRW($B$1,Input_Prod_01!$D$9,Input_Prod_01!D$11,$M$1,Input_Prod_01!$G$9,$J$9,Input_Prod_01!$E$30,Input_Prod_01!$B37,$L$1,$K$1)</f>
        <v>0</v>
      </c>
      <c r="E37" s="34">
        <f>_xll.DBRW($B$1,Input_Prod_01!$D$9,Input_Prod_01!E$11,$M$1,Input_Prod_01!$G$9,$J$9,Input_Prod_01!$E$30,Input_Prod_01!$B37,$L$1,$K$1)</f>
        <v>0</v>
      </c>
      <c r="F37" s="34">
        <f>_xll.DBRW($B$1,Input_Prod_01!$D$9,Input_Prod_01!F$11,$M$1,Input_Prod_01!$G$9,$J$9,Input_Prod_01!$E$30,Input_Prod_01!$B37,$L$1,$K$1)</f>
        <v>0</v>
      </c>
      <c r="G37" s="34">
        <f>_xll.DBRW($B$1,Input_Prod_01!$D$9,Input_Prod_01!G$11,$M$1,Input_Prod_01!$G$9,$J$9,Input_Prod_01!$E$30,Input_Prod_01!$B37,$L$1,$K$1)</f>
        <v>0</v>
      </c>
      <c r="H37" s="34">
        <f>_xll.DBRW($B$1,Input_Prod_01!$D$9,Input_Prod_01!H$11,$M$1,Input_Prod_01!$G$9,$J$9,Input_Prod_01!$E$30,Input_Prod_01!$B37,$L$1,$K$1)</f>
        <v>0</v>
      </c>
      <c r="I37" s="34">
        <f>_xll.DBRW($B$1,Input_Prod_01!$D$9,Input_Prod_01!I$11,$M$1,Input_Prod_01!$G$9,$J$9,Input_Prod_01!$E$30,Input_Prod_01!$B37,$L$1,$K$1)</f>
        <v>0</v>
      </c>
      <c r="J37" s="34">
        <f>_xll.DBRW($B$1,Input_Prod_01!$D$9,Input_Prod_01!J$11,$M$1,Input_Prod_01!$G$9,$J$9,Input_Prod_01!$E$30,Input_Prod_01!$B37,$L$1,$K$1)</f>
        <v>0</v>
      </c>
      <c r="K37" s="34">
        <f>_xll.DBRW($B$1,Input_Prod_01!$D$9,Input_Prod_01!K$11,$M$1,Input_Prod_01!$G$9,$J$9,Input_Prod_01!$E$30,Input_Prod_01!$B37,$L$1,$K$1)</f>
        <v>0</v>
      </c>
      <c r="L37" s="34">
        <f>_xll.DBRW($B$1,Input_Prod_01!$D$9,Input_Prod_01!L$11,$M$1,Input_Prod_01!$G$9,$J$9,Input_Prod_01!$E$30,Input_Prod_01!$B37,$L$1,$K$1)</f>
        <v>0</v>
      </c>
      <c r="M37" s="34">
        <f>_xll.DBRW($B$1,Input_Prod_01!$D$9,Input_Prod_01!M$11,$M$1,Input_Prod_01!$G$9,$J$9,Input_Prod_01!$E$30,Input_Prod_01!$B37,$L$1,$K$1)</f>
        <v>0</v>
      </c>
      <c r="N37" s="34">
        <f>_xll.DBRW($B$1,Input_Prod_01!$D$9,Input_Prod_01!N$11,$M$1,Input_Prod_01!$G$9,$J$9,Input_Prod_01!$E$30,Input_Prod_01!$B37,$L$1,$K$1)</f>
        <v>0</v>
      </c>
    </row>
    <row r="38" spans="2:14" s="1" customFormat="1" ht="15.75" customHeight="1" x14ac:dyDescent="0.25">
      <c r="B38" s="53" t="s">
        <v>59</v>
      </c>
      <c r="C38" s="34">
        <f>_xll.DBRW($B$1,Input_Prod_01!$D$9,Input_Prod_01!C$11,$M$1,Input_Prod_01!$G$9,$J$9,Input_Prod_01!$E$30,Input_Prod_01!$B38,$L$1,$K$1)</f>
        <v>0</v>
      </c>
      <c r="D38" s="34">
        <f>_xll.DBRW($B$1,Input_Prod_01!$D$9,Input_Prod_01!D$11,$M$1,Input_Prod_01!$G$9,$J$9,Input_Prod_01!$E$30,Input_Prod_01!$B38,$L$1,$K$1)</f>
        <v>0</v>
      </c>
      <c r="E38" s="34">
        <f>_xll.DBRW($B$1,Input_Prod_01!$D$9,Input_Prod_01!E$11,$M$1,Input_Prod_01!$G$9,$J$9,Input_Prod_01!$E$30,Input_Prod_01!$B38,$L$1,$K$1)</f>
        <v>0</v>
      </c>
      <c r="F38" s="34">
        <f>_xll.DBRW($B$1,Input_Prod_01!$D$9,Input_Prod_01!F$11,$M$1,Input_Prod_01!$G$9,$J$9,Input_Prod_01!$E$30,Input_Prod_01!$B38,$L$1,$K$1)</f>
        <v>0</v>
      </c>
      <c r="G38" s="34">
        <f>_xll.DBRW($B$1,Input_Prod_01!$D$9,Input_Prod_01!G$11,$M$1,Input_Prod_01!$G$9,$J$9,Input_Prod_01!$E$30,Input_Prod_01!$B38,$L$1,$K$1)</f>
        <v>0</v>
      </c>
      <c r="H38" s="34">
        <f>_xll.DBRW($B$1,Input_Prod_01!$D$9,Input_Prod_01!H$11,$M$1,Input_Prod_01!$G$9,$J$9,Input_Prod_01!$E$30,Input_Prod_01!$B38,$L$1,$K$1)</f>
        <v>0</v>
      </c>
      <c r="I38" s="34">
        <f>_xll.DBRW($B$1,Input_Prod_01!$D$9,Input_Prod_01!I$11,$M$1,Input_Prod_01!$G$9,$J$9,Input_Prod_01!$E$30,Input_Prod_01!$B38,$L$1,$K$1)</f>
        <v>0</v>
      </c>
      <c r="J38" s="34">
        <f>_xll.DBRW($B$1,Input_Prod_01!$D$9,Input_Prod_01!J$11,$M$1,Input_Prod_01!$G$9,$J$9,Input_Prod_01!$E$30,Input_Prod_01!$B38,$L$1,$K$1)</f>
        <v>0</v>
      </c>
      <c r="K38" s="34">
        <f>_xll.DBRW($B$1,Input_Prod_01!$D$9,Input_Prod_01!K$11,$M$1,Input_Prod_01!$G$9,$J$9,Input_Prod_01!$E$30,Input_Prod_01!$B38,$L$1,$K$1)</f>
        <v>0</v>
      </c>
      <c r="L38" s="34">
        <f>_xll.DBRW($B$1,Input_Prod_01!$D$9,Input_Prod_01!L$11,$M$1,Input_Prod_01!$G$9,$J$9,Input_Prod_01!$E$30,Input_Prod_01!$B38,$L$1,$K$1)</f>
        <v>0</v>
      </c>
      <c r="M38" s="34">
        <f>_xll.DBRW($B$1,Input_Prod_01!$D$9,Input_Prod_01!M$11,$M$1,Input_Prod_01!$G$9,$J$9,Input_Prod_01!$E$30,Input_Prod_01!$B38,$L$1,$K$1)</f>
        <v>0</v>
      </c>
      <c r="N38" s="34">
        <f>_xll.DBRW($B$1,Input_Prod_01!$D$9,Input_Prod_01!N$11,$M$1,Input_Prod_01!$G$9,$J$9,Input_Prod_01!$E$30,Input_Prod_01!$B38,$L$1,$K$1)</f>
        <v>0</v>
      </c>
    </row>
    <row r="39" spans="2:14" s="1" customFormat="1" ht="15.75" customHeight="1" x14ac:dyDescent="0.25">
      <c r="B39" s="53" t="s">
        <v>60</v>
      </c>
      <c r="C39" s="34">
        <f>_xll.DBRW($B$1,Input_Prod_01!$D$9,Input_Prod_01!C$11,$M$1,Input_Prod_01!$G$9,$J$9,Input_Prod_01!$E$30,Input_Prod_01!$B39,$L$1,$K$1)</f>
        <v>155.325006594537</v>
      </c>
      <c r="D39" s="34">
        <f>_xll.DBRW($B$1,Input_Prod_01!$D$9,Input_Prod_01!D$11,$M$1,Input_Prod_01!$G$9,$J$9,Input_Prod_01!$E$30,Input_Prod_01!$B39,$L$1,$K$1)</f>
        <v>155.54341044375801</v>
      </c>
      <c r="E39" s="34">
        <f>_xll.DBRW($B$1,Input_Prod_01!$D$9,Input_Prod_01!E$11,$M$1,Input_Prod_01!$G$9,$J$9,Input_Prod_01!$E$30,Input_Prod_01!$B39,$L$1,$K$1)</f>
        <v>154.10349224481701</v>
      </c>
      <c r="F39" s="34">
        <f>_xll.DBRW($B$1,Input_Prod_01!$D$9,Input_Prod_01!F$11,$M$1,Input_Prod_01!$G$9,$J$9,Input_Prod_01!$E$30,Input_Prod_01!$B39,$L$1,$K$1)</f>
        <v>156.283606045152</v>
      </c>
      <c r="G39" s="34">
        <f>_xll.DBRW($B$1,Input_Prod_01!$D$9,Input_Prod_01!G$11,$M$1,Input_Prod_01!$G$9,$J$9,Input_Prod_01!$E$30,Input_Prod_01!$B39,$L$1,$K$1)</f>
        <v>155.938019845578</v>
      </c>
      <c r="H39" s="34">
        <f>_xll.DBRW($B$1,Input_Prod_01!$D$9,Input_Prod_01!H$11,$M$1,Input_Prod_01!$G$9,$J$9,Input_Prod_01!$E$30,Input_Prod_01!$B39,$L$1,$K$1)</f>
        <v>157.38036141978799</v>
      </c>
      <c r="I39" s="34">
        <f>_xll.DBRW($B$1,Input_Prod_01!$D$9,Input_Prod_01!I$11,$M$1,Input_Prod_01!$G$9,$J$9,Input_Prod_01!$E$30,Input_Prod_01!$B39,$L$1,$K$1)</f>
        <v>156.82383480668599</v>
      </c>
      <c r="J39" s="34">
        <f>_xll.DBRW($B$1,Input_Prod_01!$D$9,Input_Prod_01!J$11,$M$1,Input_Prod_01!$G$9,$J$9,Input_Prod_01!$E$30,Input_Prod_01!$B39,$L$1,$K$1)</f>
        <v>158.55053921061801</v>
      </c>
      <c r="K39" s="34">
        <f>_xll.DBRW($B$1,Input_Prod_01!$D$9,Input_Prod_01!K$11,$M$1,Input_Prod_01!$G$9,$J$9,Input_Prod_01!$E$30,Input_Prod_01!$B39,$L$1,$K$1)</f>
        <v>156.71165346311199</v>
      </c>
      <c r="L39" s="34">
        <f>_xll.DBRW($B$1,Input_Prod_01!$D$9,Input_Prod_01!L$11,$M$1,Input_Prod_01!$G$9,$J$9,Input_Prod_01!$E$30,Input_Prod_01!$B39,$L$1,$K$1)</f>
        <v>155.95619725714201</v>
      </c>
      <c r="M39" s="34">
        <f>_xll.DBRW($B$1,Input_Prod_01!$D$9,Input_Prod_01!M$11,$M$1,Input_Prod_01!$G$9,$J$9,Input_Prod_01!$E$30,Input_Prod_01!$B39,$L$1,$K$1)</f>
        <v>155.403343283818</v>
      </c>
      <c r="N39" s="34">
        <f>_xll.DBRW($B$1,Input_Prod_01!$D$9,Input_Prod_01!N$11,$M$1,Input_Prod_01!$G$9,$J$9,Input_Prod_01!$E$30,Input_Prod_01!$B39,$L$1,$K$1)</f>
        <v>153.02143362148499</v>
      </c>
    </row>
    <row r="40" spans="2:14" s="1" customFormat="1" ht="15.75" customHeight="1" x14ac:dyDescent="0.25">
      <c r="B40" s="54" t="s">
        <v>61</v>
      </c>
      <c r="C40" s="47">
        <f>_xll.DBRW($B$1,Input_Prod_01!$D$9,Input_Prod_01!C$11,$M$1,Input_Prod_01!$G$9,$J$9,Input_Prod_01!$E$30,Input_Prod_01!$B40,$L$1,$K$1)</f>
        <v>0</v>
      </c>
      <c r="D40" s="47">
        <f>_xll.DBRW($B$1,Input_Prod_01!$D$9,Input_Prod_01!D$11,$M$1,Input_Prod_01!$G$9,$J$9,Input_Prod_01!$E$30,Input_Prod_01!$B40,$L$1,$K$1)</f>
        <v>0</v>
      </c>
      <c r="E40" s="47">
        <f>_xll.DBRW($B$1,Input_Prod_01!$D$9,Input_Prod_01!E$11,$M$1,Input_Prod_01!$G$9,$J$9,Input_Prod_01!$E$30,Input_Prod_01!$B40,$L$1,$K$1)</f>
        <v>0</v>
      </c>
      <c r="F40" s="47">
        <f>_xll.DBRW($B$1,Input_Prod_01!$D$9,Input_Prod_01!F$11,$M$1,Input_Prod_01!$G$9,$J$9,Input_Prod_01!$E$30,Input_Prod_01!$B40,$L$1,$K$1)</f>
        <v>0</v>
      </c>
      <c r="G40" s="47">
        <f>_xll.DBRW($B$1,Input_Prod_01!$D$9,Input_Prod_01!G$11,$M$1,Input_Prod_01!$G$9,$J$9,Input_Prod_01!$E$30,Input_Prod_01!$B40,$L$1,$K$1)</f>
        <v>0</v>
      </c>
      <c r="H40" s="47">
        <f>_xll.DBRW($B$1,Input_Prod_01!$D$9,Input_Prod_01!H$11,$M$1,Input_Prod_01!$G$9,$J$9,Input_Prod_01!$E$30,Input_Prod_01!$B40,$L$1,$K$1)</f>
        <v>0</v>
      </c>
      <c r="I40" s="47">
        <f>_xll.DBRW($B$1,Input_Prod_01!$D$9,Input_Prod_01!I$11,$M$1,Input_Prod_01!$G$9,$J$9,Input_Prod_01!$E$30,Input_Prod_01!$B40,$L$1,$K$1)</f>
        <v>0</v>
      </c>
      <c r="J40" s="47">
        <f>_xll.DBRW($B$1,Input_Prod_01!$D$9,Input_Prod_01!J$11,$M$1,Input_Prod_01!$G$9,$J$9,Input_Prod_01!$E$30,Input_Prod_01!$B40,$L$1,$K$1)</f>
        <v>0</v>
      </c>
      <c r="K40" s="47">
        <f>_xll.DBRW($B$1,Input_Prod_01!$D$9,Input_Prod_01!K$11,$M$1,Input_Prod_01!$G$9,$J$9,Input_Prod_01!$E$30,Input_Prod_01!$B40,$L$1,$K$1)</f>
        <v>0</v>
      </c>
      <c r="L40" s="47">
        <f>_xll.DBRW($B$1,Input_Prod_01!$D$9,Input_Prod_01!L$11,$M$1,Input_Prod_01!$G$9,$J$9,Input_Prod_01!$E$30,Input_Prod_01!$B40,$L$1,$K$1)</f>
        <v>0</v>
      </c>
      <c r="M40" s="47">
        <f>_xll.DBRW($B$1,Input_Prod_01!$D$9,Input_Prod_01!M$11,$M$1,Input_Prod_01!$G$9,$J$9,Input_Prod_01!$E$30,Input_Prod_01!$B40,$L$1,$K$1)</f>
        <v>0</v>
      </c>
      <c r="N40" s="47">
        <f>_xll.DBRW($B$1,Input_Prod_01!$D$9,Input_Prod_01!N$11,$M$1,Input_Prod_01!$G$9,$J$9,Input_Prod_01!$E$30,Input_Prod_01!$B40,$L$1,$K$1)</f>
        <v>0</v>
      </c>
    </row>
    <row r="41" spans="2:14" s="1" customFormat="1" ht="15.75" customHeight="1" x14ac:dyDescent="0.25">
      <c r="B41" s="55" t="s">
        <v>18</v>
      </c>
      <c r="C41" s="41">
        <f>_xll.DBRW($B$2,Input_Prod_01!$D$9,Input_Prod_01!C$11,$M$1,Input_Prod_01!$G$9,$J$9,$E$30,$K$2,$B$41)</f>
        <v>32.185912470595163</v>
      </c>
      <c r="D41" s="41">
        <f>_xll.DBRW($B$2,Input_Prod_01!$D$9,Input_Prod_01!D$11,$M$1,Input_Prod_01!$G$9,$J$9,$E$30,$K$2,$B$41)</f>
        <v>38.052441061706816</v>
      </c>
      <c r="E41" s="41">
        <f>_xll.DBRW($B$2,Input_Prod_01!$D$9,Input_Prod_01!E$11,$M$1,Input_Prod_01!$G$9,$J$9,$E$30,$K$2,$B$41)</f>
        <v>55.816361530007022</v>
      </c>
      <c r="F41" s="41">
        <f>_xll.DBRW($B$2,Input_Prod_01!$D$9,Input_Prod_01!F$11,$M$1,Input_Prod_01!$G$9,$J$9,$E$30,$K$2,$B$41)</f>
        <v>78.643744773550949</v>
      </c>
      <c r="G41" s="41">
        <f>_xll.DBRW($B$2,Input_Prod_01!$D$9,Input_Prod_01!G$11,$M$1,Input_Prod_01!$G$9,$J$9,$E$30,$K$2,$B$41)</f>
        <v>94.038934331339576</v>
      </c>
      <c r="H41" s="41">
        <f>_xll.DBRW($B$2,Input_Prod_01!$D$9,Input_Prod_01!H$11,$M$1,Input_Prod_01!$G$9,$J$9,$E$30,$K$2,$B$41)</f>
        <v>107.03747305500264</v>
      </c>
      <c r="I41" s="41">
        <f>_xll.DBRW($B$2,Input_Prod_01!$D$9,Input_Prod_01!I$11,$M$1,Input_Prod_01!$G$9,$J$9,$E$30,$K$2,$B$41)</f>
        <v>102.8352033137804</v>
      </c>
      <c r="J41" s="41">
        <f>_xll.DBRW($B$2,Input_Prod_01!$D$9,Input_Prod_01!J$11,$M$1,Input_Prod_01!$G$9,$J$9,$E$30,$K$2,$B$41)</f>
        <v>98.154602857217782</v>
      </c>
      <c r="K41" s="41">
        <f>_xll.DBRW($B$2,Input_Prod_01!$D$9,Input_Prod_01!K$11,$M$1,Input_Prod_01!$G$9,$J$9,$E$30,$K$2,$B$41)</f>
        <v>102.81254789407487</v>
      </c>
      <c r="L41" s="41">
        <f>_xll.DBRW($B$2,Input_Prod_01!$D$9,Input_Prod_01!L$11,$M$1,Input_Prod_01!$G$9,$J$9,$E$30,$K$2,$B$41)</f>
        <v>101.239979197949</v>
      </c>
      <c r="M41" s="41">
        <f>_xll.DBRW($B$2,Input_Prod_01!$D$9,Input_Prod_01!M$11,$M$1,Input_Prod_01!$G$9,$J$9,$E$30,$K$2,$B$41)</f>
        <v>72.194971886286893</v>
      </c>
      <c r="N41" s="41">
        <f>_xll.DBRW($B$2,Input_Prod_01!$D$9,Input_Prod_01!N$11,$M$1,Input_Prod_01!$G$9,$J$9,$E$30,$K$2,$B$41)</f>
        <v>50.486280193248291</v>
      </c>
    </row>
    <row r="42" spans="2:14" s="1" customFormat="1" ht="15.75" customHeight="1" x14ac:dyDescent="0.25">
      <c r="B42" s="56" t="s">
        <v>70</v>
      </c>
      <c r="C42" s="23">
        <f>_xll.DBRW($B$2,Input_Prod_01!$D$9,Input_Prod_01!C$11,$M$1,Input_Prod_01!$G$9,$J$9,$E$30,$K$2,$B$42)</f>
        <v>32.185912470595163</v>
      </c>
      <c r="D42" s="23">
        <f>_xll.DBRW($B$2,Input_Prod_01!$D$9,Input_Prod_01!D$11,$M$1,Input_Prod_01!$G$9,$J$9,$E$30,$K$2,$B$42)</f>
        <v>38.052441061706816</v>
      </c>
      <c r="E42" s="23">
        <f>_xll.DBRW($B$2,Input_Prod_01!$D$9,Input_Prod_01!E$11,$M$1,Input_Prod_01!$G$9,$J$9,$E$30,$K$2,$B$42)</f>
        <v>55.816361530007022</v>
      </c>
      <c r="F42" s="23">
        <f>_xll.DBRW($B$2,Input_Prod_01!$D$9,Input_Prod_01!F$11,$M$1,Input_Prod_01!$G$9,$J$9,$E$30,$K$2,$B$42)</f>
        <v>78.643744773550949</v>
      </c>
      <c r="G42" s="23">
        <f>_xll.DBRW($B$2,Input_Prod_01!$D$9,Input_Prod_01!G$11,$M$1,Input_Prod_01!$G$9,$J$9,$E$30,$K$2,$B$42)</f>
        <v>94.038934331339576</v>
      </c>
      <c r="H42" s="23">
        <f>_xll.DBRW($B$2,Input_Prod_01!$D$9,Input_Prod_01!H$11,$M$1,Input_Prod_01!$G$9,$J$9,$E$30,$K$2,$B$42)</f>
        <v>107.03747305500264</v>
      </c>
      <c r="I42" s="23">
        <f>_xll.DBRW($B$2,Input_Prod_01!$D$9,Input_Prod_01!I$11,$M$1,Input_Prod_01!$G$9,$J$9,$E$30,$K$2,$B$42)</f>
        <v>102.8352033137804</v>
      </c>
      <c r="J42" s="23">
        <f>_xll.DBRW($B$2,Input_Prod_01!$D$9,Input_Prod_01!J$11,$M$1,Input_Prod_01!$G$9,$J$9,$E$30,$K$2,$B$42)</f>
        <v>98.154602857217782</v>
      </c>
      <c r="K42" s="23">
        <f>_xll.DBRW($B$2,Input_Prod_01!$D$9,Input_Prod_01!K$11,$M$1,Input_Prod_01!$G$9,$J$9,$E$30,$K$2,$B$42)</f>
        <v>102.81254789407487</v>
      </c>
      <c r="L42" s="23">
        <f>_xll.DBRW($B$2,Input_Prod_01!$D$9,Input_Prod_01!L$11,$M$1,Input_Prod_01!$G$9,$J$9,$E$30,$K$2,$B$42)</f>
        <v>101.239979197949</v>
      </c>
      <c r="M42" s="23">
        <f>_xll.DBRW($B$2,Input_Prod_01!$D$9,Input_Prod_01!M$11,$M$1,Input_Prod_01!$G$9,$J$9,$E$30,$K$2,$B$42)</f>
        <v>72.194971886286893</v>
      </c>
      <c r="N42" s="23">
        <f>_xll.DBRW($B$2,Input_Prod_01!$D$9,Input_Prod_01!N$11,$M$1,Input_Prod_01!$G$9,$J$9,$E$30,$K$2,$B$42)</f>
        <v>50.486280193248291</v>
      </c>
    </row>
    <row r="45" spans="2:14" s="1" customFormat="1" ht="15.75" customHeight="1" thickBot="1" x14ac:dyDescent="0.3">
      <c r="B45" s="10"/>
    </row>
    <row r="46" spans="2:14" s="1" customFormat="1" ht="15.75" customHeight="1" thickTop="1" x14ac:dyDescent="0.25">
      <c r="B46" s="9" t="s">
        <v>30</v>
      </c>
    </row>
    <row r="47" spans="2:14" s="1" customFormat="1" ht="15.75" customHeight="1" x14ac:dyDescent="0.25"/>
    <row r="48" spans="2:14" s="1" customFormat="1" ht="15.75" customHeight="1" x14ac:dyDescent="0.25"/>
    <row r="49" spans="2:14" s="1" customFormat="1" ht="15.75" customHeight="1" x14ac:dyDescent="0.25">
      <c r="B49" s="5"/>
      <c r="C49" s="18" t="str">
        <f>$D$9&amp;"."&amp;C$11</f>
        <v>2026.01</v>
      </c>
      <c r="D49" s="18" t="str">
        <f t="shared" ref="D49:N49" si="2">$D$9&amp;"."&amp;D$11</f>
        <v>2026.02</v>
      </c>
      <c r="E49" s="18" t="str">
        <f t="shared" si="2"/>
        <v>2026.03</v>
      </c>
      <c r="F49" s="18" t="str">
        <f t="shared" si="2"/>
        <v>2026.04</v>
      </c>
      <c r="G49" s="18" t="str">
        <f t="shared" si="2"/>
        <v>2026.05</v>
      </c>
      <c r="H49" s="18" t="str">
        <f t="shared" si="2"/>
        <v>2026.06</v>
      </c>
      <c r="I49" s="18" t="str">
        <f t="shared" si="2"/>
        <v>2026.07</v>
      </c>
      <c r="J49" s="18" t="str">
        <f t="shared" si="2"/>
        <v>2026.08</v>
      </c>
      <c r="K49" s="18" t="str">
        <f t="shared" si="2"/>
        <v>2026.09</v>
      </c>
      <c r="L49" s="18" t="str">
        <f t="shared" si="2"/>
        <v>2026.10</v>
      </c>
      <c r="M49" s="18" t="str">
        <f t="shared" si="2"/>
        <v>2026.11</v>
      </c>
      <c r="N49" s="18" t="str">
        <f t="shared" si="2"/>
        <v>2026.12</v>
      </c>
    </row>
    <row r="50" spans="2:14" s="1" customFormat="1" ht="15.75" customHeight="1" x14ac:dyDescent="0.25">
      <c r="B50" s="53" t="s">
        <v>20</v>
      </c>
      <c r="C50" s="16">
        <f>_xll.DBRW($B$1,Input_Prod_01!$D$9,Input_Prod_01!C$11,$M$1,Input_Prod_01!$G$9,$J$9,$E$30,Input_Prod_01!$B50,$L$1,$K$1)</f>
        <v>0</v>
      </c>
      <c r="D50" s="16">
        <f>_xll.DBRW($B$1,Input_Prod_01!$D$9,Input_Prod_01!D$11,$M$1,Input_Prod_01!$G$9,$J$9,$E$30,Input_Prod_01!$B50,$L$1,$K$1)</f>
        <v>0</v>
      </c>
      <c r="E50" s="16">
        <f>_xll.DBRW($B$1,Input_Prod_01!$D$9,Input_Prod_01!E$11,$M$1,Input_Prod_01!$G$9,$J$9,$E$30,Input_Prod_01!$B50,$L$1,$K$1)</f>
        <v>0</v>
      </c>
      <c r="F50" s="16">
        <f>_xll.DBRW($B$1,Input_Prod_01!$D$9,Input_Prod_01!F$11,$M$1,Input_Prod_01!$G$9,$J$9,$E$30,Input_Prod_01!$B50,$L$1,$K$1)</f>
        <v>0</v>
      </c>
      <c r="G50" s="16">
        <f>_xll.DBRW($B$1,Input_Prod_01!$D$9,Input_Prod_01!G$11,$M$1,Input_Prod_01!$G$9,$J$9,$E$30,Input_Prod_01!$B50,$L$1,$K$1)</f>
        <v>0</v>
      </c>
      <c r="H50" s="16">
        <f>_xll.DBRW($B$1,Input_Prod_01!$D$9,Input_Prod_01!H$11,$M$1,Input_Prod_01!$G$9,$J$9,$E$30,Input_Prod_01!$B50,$L$1,$K$1)</f>
        <v>0</v>
      </c>
      <c r="I50" s="16">
        <f>_xll.DBRW($B$1,Input_Prod_01!$D$9,Input_Prod_01!I$11,$M$1,Input_Prod_01!$G$9,$J$9,$E$30,Input_Prod_01!$B50,$L$1,$K$1)</f>
        <v>0</v>
      </c>
      <c r="J50" s="16">
        <f>_xll.DBRW($B$1,Input_Prod_01!$D$9,Input_Prod_01!J$11,$M$1,Input_Prod_01!$G$9,$J$9,$E$30,Input_Prod_01!$B50,$L$1,$K$1)</f>
        <v>0</v>
      </c>
      <c r="K50" s="16">
        <f>_xll.DBRW($B$1,Input_Prod_01!$D$9,Input_Prod_01!K$11,$M$1,Input_Prod_01!$G$9,$J$9,$E$30,Input_Prod_01!$B50,$L$1,$K$1)</f>
        <v>0</v>
      </c>
      <c r="L50" s="16">
        <f>_xll.DBRW($B$1,Input_Prod_01!$D$9,Input_Prod_01!L$11,$M$1,Input_Prod_01!$G$9,$J$9,$E$30,Input_Prod_01!$B50,$L$1,$K$1)</f>
        <v>0</v>
      </c>
      <c r="M50" s="16">
        <f>_xll.DBRW($B$1,Input_Prod_01!$D$9,Input_Prod_01!M$11,$M$1,Input_Prod_01!$G$9,$J$9,$E$30,Input_Prod_01!$B50,$L$1,$K$1)</f>
        <v>0</v>
      </c>
      <c r="N50" s="16">
        <f>_xll.DBRW($B$1,Input_Prod_01!$D$9,Input_Prod_01!N$11,$M$1,Input_Prod_01!$G$9,$J$9,$E$30,Input_Prod_01!$B50,$L$1,$K$1)</f>
        <v>0</v>
      </c>
    </row>
    <row r="51" spans="2:14" s="1" customFormat="1" ht="15.75" customHeight="1" x14ac:dyDescent="0.25">
      <c r="B51" s="53" t="s">
        <v>21</v>
      </c>
      <c r="C51" s="34">
        <f>_xll.DBRW($B$1,Input_Prod_01!$D$9,Input_Prod_01!C$11,$M$1,Input_Prod_01!$G$9,$J$9,$E$30,Input_Prod_01!$B51,$L$1,$K$1)</f>
        <v>9.9428447635784494</v>
      </c>
      <c r="D51" s="34">
        <f>_xll.DBRW($B$1,Input_Prod_01!$D$9,Input_Prod_01!D$11,$M$1,Input_Prod_01!$G$9,$J$9,$E$30,Input_Prod_01!$B51,$L$1,$K$1)</f>
        <v>18.330326721137801</v>
      </c>
      <c r="E51" s="34">
        <f>_xll.DBRW($B$1,Input_Prod_01!$D$9,Input_Prod_01!E$11,$M$1,Input_Prod_01!$G$9,$J$9,$E$30,Input_Prod_01!$B51,$L$1,$K$1)</f>
        <v>16.901681116670002</v>
      </c>
      <c r="F51" s="34">
        <f>_xll.DBRW($B$1,Input_Prod_01!$D$9,Input_Prod_01!F$11,$M$1,Input_Prod_01!$G$9,$J$9,$E$30,Input_Prod_01!$B51,$L$1,$K$1)</f>
        <v>21.671895478275399</v>
      </c>
      <c r="G51" s="34">
        <f>_xll.DBRW($B$1,Input_Prod_01!$D$9,Input_Prod_01!G$11,$M$1,Input_Prod_01!$G$9,$J$9,$E$30,Input_Prod_01!$B51,$L$1,$K$1)</f>
        <v>21.517253393508501</v>
      </c>
      <c r="H51" s="34">
        <f>_xll.DBRW($B$1,Input_Prod_01!$D$9,Input_Prod_01!H$11,$M$1,Input_Prod_01!$G$9,$J$9,$E$30,Input_Prod_01!$B51,$L$1,$K$1)</f>
        <v>24.832390210335401</v>
      </c>
      <c r="I51" s="34">
        <f>_xll.DBRW($B$1,Input_Prod_01!$D$9,Input_Prod_01!I$11,$M$1,Input_Prod_01!$G$9,$J$9,$E$30,Input_Prod_01!$B51,$L$1,$K$1)</f>
        <v>23.3118508682225</v>
      </c>
      <c r="J51" s="34">
        <f>_xll.DBRW($B$1,Input_Prod_01!$D$9,Input_Prod_01!J$11,$M$1,Input_Prod_01!$G$9,$J$9,$E$30,Input_Prod_01!$B51,$L$1,$K$1)</f>
        <v>22.717522215844799</v>
      </c>
      <c r="K51" s="34">
        <f>_xll.DBRW($B$1,Input_Prod_01!$D$9,Input_Prod_01!K$11,$M$1,Input_Prod_01!$G$9,$J$9,$E$30,Input_Prod_01!$B51,$L$1,$K$1)</f>
        <v>25.779261790938602</v>
      </c>
      <c r="L51" s="34">
        <f>_xll.DBRW($B$1,Input_Prod_01!$D$9,Input_Prod_01!L$11,$M$1,Input_Prod_01!$G$9,$J$9,$E$30,Input_Prod_01!$B51,$L$1,$K$1)</f>
        <v>26.2698321559402</v>
      </c>
      <c r="M51" s="34">
        <f>_xll.DBRW($B$1,Input_Prod_01!$D$9,Input_Prod_01!M$11,$M$1,Input_Prod_01!$G$9,$J$9,$E$30,Input_Prod_01!$B51,$L$1,$K$1)</f>
        <v>15.5191620312685</v>
      </c>
      <c r="N51" s="34">
        <f>_xll.DBRW($B$1,Input_Prod_01!$D$9,Input_Prod_01!N$11,$M$1,Input_Prod_01!$G$9,$J$9,$E$30,Input_Prod_01!$B51,$L$1,$K$1)</f>
        <v>9.8084706787049907</v>
      </c>
    </row>
    <row r="52" spans="2:14" s="1" customFormat="1" ht="15.75" customHeight="1" x14ac:dyDescent="0.25">
      <c r="B52" s="53" t="s">
        <v>22</v>
      </c>
      <c r="C52" s="16">
        <f>_xll.DBRW($B$1,Input_Prod_01!$D$9,Input_Prod_01!C$11,$M$1,Input_Prod_01!$G$9,$J$9,$E$30,Input_Prod_01!$B52,$L$1,$K$1)</f>
        <v>0</v>
      </c>
      <c r="D52" s="16">
        <f>_xll.DBRW($B$1,Input_Prod_01!$D$9,Input_Prod_01!D$11,$M$1,Input_Prod_01!$G$9,$J$9,$E$30,Input_Prod_01!$B52,$L$1,$K$1)</f>
        <v>0</v>
      </c>
      <c r="E52" s="16">
        <f>_xll.DBRW($B$1,Input_Prod_01!$D$9,Input_Prod_01!E$11,$M$1,Input_Prod_01!$G$9,$J$9,$E$30,Input_Prod_01!$B52,$L$1,$K$1)</f>
        <v>0</v>
      </c>
      <c r="F52" s="16">
        <f>_xll.DBRW($B$1,Input_Prod_01!$D$9,Input_Prod_01!F$11,$M$1,Input_Prod_01!$G$9,$J$9,$E$30,Input_Prod_01!$B52,$L$1,$K$1)</f>
        <v>0</v>
      </c>
      <c r="G52" s="16">
        <f>_xll.DBRW($B$1,Input_Prod_01!$D$9,Input_Prod_01!G$11,$M$1,Input_Prod_01!$G$9,$J$9,$E$30,Input_Prod_01!$B52,$L$1,$K$1)</f>
        <v>0</v>
      </c>
      <c r="H52" s="16">
        <f>_xll.DBRW($B$1,Input_Prod_01!$D$9,Input_Prod_01!H$11,$M$1,Input_Prod_01!$G$9,$J$9,$E$30,Input_Prod_01!$B52,$L$1,$K$1)</f>
        <v>0</v>
      </c>
      <c r="I52" s="16">
        <f>_xll.DBRW($B$1,Input_Prod_01!$D$9,Input_Prod_01!I$11,$M$1,Input_Prod_01!$G$9,$J$9,$E$30,Input_Prod_01!$B52,$L$1,$K$1)</f>
        <v>0</v>
      </c>
      <c r="J52" s="16">
        <f>_xll.DBRW($B$1,Input_Prod_01!$D$9,Input_Prod_01!J$11,$M$1,Input_Prod_01!$G$9,$J$9,$E$30,Input_Prod_01!$B52,$L$1,$K$1)</f>
        <v>0</v>
      </c>
      <c r="K52" s="16">
        <f>_xll.DBRW($B$1,Input_Prod_01!$D$9,Input_Prod_01!K$11,$M$1,Input_Prod_01!$G$9,$J$9,$E$30,Input_Prod_01!$B52,$L$1,$K$1)</f>
        <v>0</v>
      </c>
      <c r="L52" s="16">
        <f>_xll.DBRW($B$1,Input_Prod_01!$D$9,Input_Prod_01!L$11,$M$1,Input_Prod_01!$G$9,$J$9,$E$30,Input_Prod_01!$B52,$L$1,$K$1)</f>
        <v>0</v>
      </c>
      <c r="M52" s="16">
        <f>_xll.DBRW($B$1,Input_Prod_01!$D$9,Input_Prod_01!M$11,$M$1,Input_Prod_01!$G$9,$J$9,$E$30,Input_Prod_01!$B52,$L$1,$K$1)</f>
        <v>0</v>
      </c>
      <c r="N52" s="16">
        <f>_xll.DBRW($B$1,Input_Prod_01!$D$9,Input_Prod_01!N$11,$M$1,Input_Prod_01!$G$9,$J$9,$E$30,Input_Prod_01!$B52,$L$1,$K$1)</f>
        <v>0</v>
      </c>
    </row>
    <row r="53" spans="2:14" s="1" customFormat="1" ht="15.75" customHeight="1" x14ac:dyDescent="0.25">
      <c r="B53" s="53" t="s">
        <v>23</v>
      </c>
      <c r="C53" s="16">
        <f>_xll.DBRW($B$1,Input_Prod_01!$D$9,Input_Prod_01!C$11,$M$1,Input_Prod_01!$G$9,$J$9,$E$30,Input_Prod_01!$B53,$L$1,$K$1)</f>
        <v>0</v>
      </c>
      <c r="D53" s="16">
        <f>_xll.DBRW($B$1,Input_Prod_01!$D$9,Input_Prod_01!D$11,$M$1,Input_Prod_01!$G$9,$J$9,$E$30,Input_Prod_01!$B53,$L$1,$K$1)</f>
        <v>0</v>
      </c>
      <c r="E53" s="16">
        <f>_xll.DBRW($B$1,Input_Prod_01!$D$9,Input_Prod_01!E$11,$M$1,Input_Prod_01!$G$9,$J$9,$E$30,Input_Prod_01!$B53,$L$1,$K$1)</f>
        <v>0</v>
      </c>
      <c r="F53" s="16">
        <f>_xll.DBRW($B$1,Input_Prod_01!$D$9,Input_Prod_01!F$11,$M$1,Input_Prod_01!$G$9,$J$9,$E$30,Input_Prod_01!$B53,$L$1,$K$1)</f>
        <v>0</v>
      </c>
      <c r="G53" s="16">
        <f>_xll.DBRW($B$1,Input_Prod_01!$D$9,Input_Prod_01!G$11,$M$1,Input_Prod_01!$G$9,$J$9,$E$30,Input_Prod_01!$B53,$L$1,$K$1)</f>
        <v>0</v>
      </c>
      <c r="H53" s="16">
        <f>_xll.DBRW($B$1,Input_Prod_01!$D$9,Input_Prod_01!H$11,$M$1,Input_Prod_01!$G$9,$J$9,$E$30,Input_Prod_01!$B53,$L$1,$K$1)</f>
        <v>0</v>
      </c>
      <c r="I53" s="16">
        <f>_xll.DBRW($B$1,Input_Prod_01!$D$9,Input_Prod_01!I$11,$M$1,Input_Prod_01!$G$9,$J$9,$E$30,Input_Prod_01!$B53,$L$1,$K$1)</f>
        <v>0</v>
      </c>
      <c r="J53" s="16">
        <f>_xll.DBRW($B$1,Input_Prod_01!$D$9,Input_Prod_01!J$11,$M$1,Input_Prod_01!$G$9,$J$9,$E$30,Input_Prod_01!$B53,$L$1,$K$1)</f>
        <v>0</v>
      </c>
      <c r="K53" s="16">
        <f>_xll.DBRW($B$1,Input_Prod_01!$D$9,Input_Prod_01!K$11,$M$1,Input_Prod_01!$G$9,$J$9,$E$30,Input_Prod_01!$B53,$L$1,$K$1)</f>
        <v>0</v>
      </c>
      <c r="L53" s="16">
        <f>_xll.DBRW($B$1,Input_Prod_01!$D$9,Input_Prod_01!L$11,$M$1,Input_Prod_01!$G$9,$J$9,$E$30,Input_Prod_01!$B53,$L$1,$K$1)</f>
        <v>0</v>
      </c>
      <c r="M53" s="16">
        <f>_xll.DBRW($B$1,Input_Prod_01!$D$9,Input_Prod_01!M$11,$M$1,Input_Prod_01!$G$9,$J$9,$E$30,Input_Prod_01!$B53,$L$1,$K$1)</f>
        <v>0</v>
      </c>
      <c r="N53" s="16">
        <f>_xll.DBRW($B$1,Input_Prod_01!$D$9,Input_Prod_01!N$11,$M$1,Input_Prod_01!$G$9,$J$9,$E$30,Input_Prod_01!$B53,$L$1,$K$1)</f>
        <v>0</v>
      </c>
    </row>
    <row r="54" spans="2:14" s="1" customFormat="1" ht="15.75" customHeight="1" x14ac:dyDescent="0.25">
      <c r="B54" s="39" t="s">
        <v>24</v>
      </c>
      <c r="C54" s="41">
        <f>_xll.DBRW($B$1,Input_Prod_01!$D$9,Input_Prod_01!C$11,$M$1,Input_Prod_01!$G$9,$J$9,$E$30,$B$54,"Total Accounts Line",$K$1)</f>
        <v>0</v>
      </c>
      <c r="D54" s="41">
        <f>_xll.DBRW($B$1,Input_Prod_01!$D$9,Input_Prod_01!D$11,$M$1,Input_Prod_01!$G$9,$J$9,$E$30,$B$54,"Total Accounts Line",$K$1)</f>
        <v>0</v>
      </c>
      <c r="E54" s="41">
        <f>_xll.DBRW($B$1,Input_Prod_01!$D$9,Input_Prod_01!E$11,$M$1,Input_Prod_01!$G$9,$J$9,$E$30,$B$54,"Total Accounts Line",$K$1)</f>
        <v>0</v>
      </c>
      <c r="F54" s="41">
        <f>_xll.DBRW($B$1,Input_Prod_01!$D$9,Input_Prod_01!F$11,$M$1,Input_Prod_01!$G$9,$J$9,$E$30,$B$54,"Total Accounts Line",$K$1)</f>
        <v>0</v>
      </c>
      <c r="G54" s="41">
        <f>_xll.DBRW($B$1,Input_Prod_01!$D$9,Input_Prod_01!G$11,$M$1,Input_Prod_01!$G$9,$J$9,$E$30,$B$54,"Total Accounts Line",$K$1)</f>
        <v>0</v>
      </c>
      <c r="H54" s="41">
        <f>_xll.DBRW($B$1,Input_Prod_01!$D$9,Input_Prod_01!H$11,$M$1,Input_Prod_01!$G$9,$J$9,$E$30,$B$54,"Total Accounts Line",$K$1)</f>
        <v>0</v>
      </c>
      <c r="I54" s="41">
        <f>_xll.DBRW($B$1,Input_Prod_01!$D$9,Input_Prod_01!I$11,$M$1,Input_Prod_01!$G$9,$J$9,$E$30,$B$54,"Total Accounts Line",$K$1)</f>
        <v>0</v>
      </c>
      <c r="J54" s="41">
        <f>_xll.DBRW($B$1,Input_Prod_01!$D$9,Input_Prod_01!J$11,$M$1,Input_Prod_01!$G$9,$J$9,$E$30,$B$54,"Total Accounts Line",$K$1)</f>
        <v>0</v>
      </c>
      <c r="K54" s="41">
        <f>_xll.DBRW($B$1,Input_Prod_01!$D$9,Input_Prod_01!K$11,$M$1,Input_Prod_01!$G$9,$J$9,$E$30,$B$54,"Total Accounts Line",$K$1)</f>
        <v>0</v>
      </c>
      <c r="L54" s="41">
        <f>_xll.DBRW($B$1,Input_Prod_01!$D$9,Input_Prod_01!L$11,$M$1,Input_Prod_01!$G$9,$J$9,$E$30,$B$54,"Total Accounts Line",$K$1)</f>
        <v>0</v>
      </c>
      <c r="M54" s="41">
        <f>_xll.DBRW($B$1,Input_Prod_01!$D$9,Input_Prod_01!M$11,$M$1,Input_Prod_01!$G$9,$J$9,$E$30,$B$54,"Total Accounts Line",$K$1)</f>
        <v>0</v>
      </c>
      <c r="N54" s="41">
        <f>_xll.DBRW($B$1,Input_Prod_01!$D$9,Input_Prod_01!N$11,$M$1,Input_Prod_01!$G$9,$J$9,$E$30,$B$54,"Total Accounts Line",$K$1)</f>
        <v>0</v>
      </c>
    </row>
    <row r="55" spans="2:14" s="1" customFormat="1" ht="15.75" customHeight="1" x14ac:dyDescent="0.25">
      <c r="B55" s="40" t="s">
        <v>195</v>
      </c>
      <c r="C55" s="16">
        <f>_xll.DBRW($B$1,Input_Prod_01!$D$9,Input_Prod_01!C$11,$M$1,Input_Prod_01!$G$9,$J$9,$E$30,$B$54,$B55,$K$1)</f>
        <v>0</v>
      </c>
      <c r="D55" s="16">
        <f>_xll.DBRW($B$1,Input_Prod_01!$D$9,Input_Prod_01!D$11,$M$1,Input_Prod_01!$G$9,$J$9,$E$30,$B$54,$B55,$K$1)</f>
        <v>0</v>
      </c>
      <c r="E55" s="16">
        <f>_xll.DBRW($B$1,Input_Prod_01!$D$9,Input_Prod_01!E$11,$M$1,Input_Prod_01!$G$9,$J$9,$E$30,$B$54,$B55,$K$1)</f>
        <v>0</v>
      </c>
      <c r="F55" s="16">
        <f>_xll.DBRW($B$1,Input_Prod_01!$D$9,Input_Prod_01!F$11,$M$1,Input_Prod_01!$G$9,$J$9,$E$30,$B$54,$B55,$K$1)</f>
        <v>0</v>
      </c>
      <c r="G55" s="16">
        <f>_xll.DBRW($B$1,Input_Prod_01!$D$9,Input_Prod_01!G$11,$M$1,Input_Prod_01!$G$9,$J$9,$E$30,$B$54,$B55,$K$1)</f>
        <v>0</v>
      </c>
      <c r="H55" s="16">
        <f>_xll.DBRW($B$1,Input_Prod_01!$D$9,Input_Prod_01!H$11,$M$1,Input_Prod_01!$G$9,$J$9,$E$30,$B$54,$B55,$K$1)</f>
        <v>0</v>
      </c>
      <c r="I55" s="16">
        <f>_xll.DBRW($B$1,Input_Prod_01!$D$9,Input_Prod_01!I$11,$M$1,Input_Prod_01!$G$9,$J$9,$E$30,$B$54,$B55,$K$1)</f>
        <v>0</v>
      </c>
      <c r="J55" s="16">
        <f>_xll.DBRW($B$1,Input_Prod_01!$D$9,Input_Prod_01!J$11,$M$1,Input_Prod_01!$G$9,$J$9,$E$30,$B$54,$B55,$K$1)</f>
        <v>0</v>
      </c>
      <c r="K55" s="16">
        <f>_xll.DBRW($B$1,Input_Prod_01!$D$9,Input_Prod_01!K$11,$M$1,Input_Prod_01!$G$9,$J$9,$E$30,$B$54,$B55,$K$1)</f>
        <v>0</v>
      </c>
      <c r="L55" s="16">
        <f>_xll.DBRW($B$1,Input_Prod_01!$D$9,Input_Prod_01!L$11,$M$1,Input_Prod_01!$G$9,$J$9,$E$30,$B$54,$B55,$K$1)</f>
        <v>0</v>
      </c>
      <c r="M55" s="16">
        <f>_xll.DBRW($B$1,Input_Prod_01!$D$9,Input_Prod_01!M$11,$M$1,Input_Prod_01!$G$9,$J$9,$E$30,$B$54,$B55,$K$1)</f>
        <v>0</v>
      </c>
      <c r="N55" s="16">
        <f>_xll.DBRW($B$1,Input_Prod_01!$D$9,Input_Prod_01!N$11,$M$1,Input_Prod_01!$G$9,$J$9,$E$30,$B$54,$B55,$K$1)</f>
        <v>0</v>
      </c>
    </row>
    <row r="56" spans="2:14" s="1" customFormat="1" ht="15.75" customHeight="1" x14ac:dyDescent="0.25">
      <c r="B56" s="40" t="s">
        <v>196</v>
      </c>
      <c r="C56" s="16">
        <f>_xll.DBRW($B$1,Input_Prod_01!$D$9,Input_Prod_01!C$11,$M$1,Input_Prod_01!$G$9,$J$9,$E$30,$B$54,$B56,$K$1)</f>
        <v>0</v>
      </c>
      <c r="D56" s="16">
        <f>_xll.DBRW($B$1,Input_Prod_01!$D$9,Input_Prod_01!D$11,$M$1,Input_Prod_01!$G$9,$J$9,$E$30,$B$54,$B56,$K$1)</f>
        <v>0</v>
      </c>
      <c r="E56" s="16">
        <f>_xll.DBRW($B$1,Input_Prod_01!$D$9,Input_Prod_01!E$11,$M$1,Input_Prod_01!$G$9,$J$9,$E$30,$B$54,$B56,$K$1)</f>
        <v>0</v>
      </c>
      <c r="F56" s="16">
        <f>_xll.DBRW($B$1,Input_Prod_01!$D$9,Input_Prod_01!F$11,$M$1,Input_Prod_01!$G$9,$J$9,$E$30,$B$54,$B56,$K$1)</f>
        <v>0</v>
      </c>
      <c r="G56" s="16">
        <f>_xll.DBRW($B$1,Input_Prod_01!$D$9,Input_Prod_01!G$11,$M$1,Input_Prod_01!$G$9,$J$9,$E$30,$B$54,$B56,$K$1)</f>
        <v>0</v>
      </c>
      <c r="H56" s="16">
        <f>_xll.DBRW($B$1,Input_Prod_01!$D$9,Input_Prod_01!H$11,$M$1,Input_Prod_01!$G$9,$J$9,$E$30,$B$54,$B56,$K$1)</f>
        <v>0</v>
      </c>
      <c r="I56" s="16">
        <f>_xll.DBRW($B$1,Input_Prod_01!$D$9,Input_Prod_01!I$11,$M$1,Input_Prod_01!$G$9,$J$9,$E$30,$B$54,$B56,$K$1)</f>
        <v>0</v>
      </c>
      <c r="J56" s="16">
        <f>_xll.DBRW($B$1,Input_Prod_01!$D$9,Input_Prod_01!J$11,$M$1,Input_Prod_01!$G$9,$J$9,$E$30,$B$54,$B56,$K$1)</f>
        <v>0</v>
      </c>
      <c r="K56" s="16">
        <f>_xll.DBRW($B$1,Input_Prod_01!$D$9,Input_Prod_01!K$11,$M$1,Input_Prod_01!$G$9,$J$9,$E$30,$B$54,$B56,$K$1)</f>
        <v>0</v>
      </c>
      <c r="L56" s="16">
        <f>_xll.DBRW($B$1,Input_Prod_01!$D$9,Input_Prod_01!L$11,$M$1,Input_Prod_01!$G$9,$J$9,$E$30,$B$54,$B56,$K$1)</f>
        <v>0</v>
      </c>
      <c r="M56" s="16">
        <f>_xll.DBRW($B$1,Input_Prod_01!$D$9,Input_Prod_01!M$11,$M$1,Input_Prod_01!$G$9,$J$9,$E$30,$B$54,$B56,$K$1)</f>
        <v>0</v>
      </c>
      <c r="N56" s="16">
        <f>_xll.DBRW($B$1,Input_Prod_01!$D$9,Input_Prod_01!N$11,$M$1,Input_Prod_01!$G$9,$J$9,$E$30,$B$54,$B56,$K$1)</f>
        <v>0</v>
      </c>
    </row>
    <row r="57" spans="2:14" s="1" customFormat="1" ht="15.75" customHeight="1" x14ac:dyDescent="0.25">
      <c r="B57" s="40" t="s">
        <v>197</v>
      </c>
      <c r="C57" s="16">
        <f>_xll.DBRW($B$1,Input_Prod_01!$D$9,Input_Prod_01!C$11,$M$1,Input_Prod_01!$G$9,$J$9,$E$30,$B$54,$B57,$K$1)</f>
        <v>0</v>
      </c>
      <c r="D57" s="16">
        <f>_xll.DBRW($B$1,Input_Prod_01!$D$9,Input_Prod_01!D$11,$M$1,Input_Prod_01!$G$9,$J$9,$E$30,$B$54,$B57,$K$1)</f>
        <v>0</v>
      </c>
      <c r="E57" s="16">
        <f>_xll.DBRW($B$1,Input_Prod_01!$D$9,Input_Prod_01!E$11,$M$1,Input_Prod_01!$G$9,$J$9,$E$30,$B$54,$B57,$K$1)</f>
        <v>0</v>
      </c>
      <c r="F57" s="16">
        <f>_xll.DBRW($B$1,Input_Prod_01!$D$9,Input_Prod_01!F$11,$M$1,Input_Prod_01!$G$9,$J$9,$E$30,$B$54,$B57,$K$1)</f>
        <v>0</v>
      </c>
      <c r="G57" s="16">
        <f>_xll.DBRW($B$1,Input_Prod_01!$D$9,Input_Prod_01!G$11,$M$1,Input_Prod_01!$G$9,$J$9,$E$30,$B$54,$B57,$K$1)</f>
        <v>0</v>
      </c>
      <c r="H57" s="16">
        <f>_xll.DBRW($B$1,Input_Prod_01!$D$9,Input_Prod_01!H$11,$M$1,Input_Prod_01!$G$9,$J$9,$E$30,$B$54,$B57,$K$1)</f>
        <v>0</v>
      </c>
      <c r="I57" s="16">
        <f>_xll.DBRW($B$1,Input_Prod_01!$D$9,Input_Prod_01!I$11,$M$1,Input_Prod_01!$G$9,$J$9,$E$30,$B$54,$B57,$K$1)</f>
        <v>0</v>
      </c>
      <c r="J57" s="16">
        <f>_xll.DBRW($B$1,Input_Prod_01!$D$9,Input_Prod_01!J$11,$M$1,Input_Prod_01!$G$9,$J$9,$E$30,$B$54,$B57,$K$1)</f>
        <v>0</v>
      </c>
      <c r="K57" s="16">
        <f>_xll.DBRW($B$1,Input_Prod_01!$D$9,Input_Prod_01!K$11,$M$1,Input_Prod_01!$G$9,$J$9,$E$30,$B$54,$B57,$K$1)</f>
        <v>0</v>
      </c>
      <c r="L57" s="16">
        <f>_xll.DBRW($B$1,Input_Prod_01!$D$9,Input_Prod_01!L$11,$M$1,Input_Prod_01!$G$9,$J$9,$E$30,$B$54,$B57,$K$1)</f>
        <v>0</v>
      </c>
      <c r="M57" s="16">
        <f>_xll.DBRW($B$1,Input_Prod_01!$D$9,Input_Prod_01!M$11,$M$1,Input_Prod_01!$G$9,$J$9,$E$30,$B$54,$B57,$K$1)</f>
        <v>0</v>
      </c>
      <c r="N57" s="16">
        <f>_xll.DBRW($B$1,Input_Prod_01!$D$9,Input_Prod_01!N$11,$M$1,Input_Prod_01!$G$9,$J$9,$E$30,$B$54,$B57,$K$1)</f>
        <v>0</v>
      </c>
    </row>
    <row r="58" spans="2:14" s="1" customFormat="1" ht="15.75" customHeight="1" x14ac:dyDescent="0.25">
      <c r="B58" s="40" t="s">
        <v>198</v>
      </c>
      <c r="C58" s="16">
        <f>_xll.DBRW($B$1,Input_Prod_01!$D$9,Input_Prod_01!C$11,$M$1,Input_Prod_01!$G$9,$J$9,$E$30,$B$54,$B58,$K$1)</f>
        <v>0</v>
      </c>
      <c r="D58" s="16">
        <f>_xll.DBRW($B$1,Input_Prod_01!$D$9,Input_Prod_01!D$11,$M$1,Input_Prod_01!$G$9,$J$9,$E$30,$B$54,$B58,$K$1)</f>
        <v>0</v>
      </c>
      <c r="E58" s="16">
        <f>_xll.DBRW($B$1,Input_Prod_01!$D$9,Input_Prod_01!E$11,$M$1,Input_Prod_01!$G$9,$J$9,$E$30,$B$54,$B58,$K$1)</f>
        <v>0</v>
      </c>
      <c r="F58" s="16">
        <f>_xll.DBRW($B$1,Input_Prod_01!$D$9,Input_Prod_01!F$11,$M$1,Input_Prod_01!$G$9,$J$9,$E$30,$B$54,$B58,$K$1)</f>
        <v>0</v>
      </c>
      <c r="G58" s="16">
        <f>_xll.DBRW($B$1,Input_Prod_01!$D$9,Input_Prod_01!G$11,$M$1,Input_Prod_01!$G$9,$J$9,$E$30,$B$54,$B58,$K$1)</f>
        <v>0</v>
      </c>
      <c r="H58" s="16">
        <f>_xll.DBRW($B$1,Input_Prod_01!$D$9,Input_Prod_01!H$11,$M$1,Input_Prod_01!$G$9,$J$9,$E$30,$B$54,$B58,$K$1)</f>
        <v>0</v>
      </c>
      <c r="I58" s="16">
        <f>_xll.DBRW($B$1,Input_Prod_01!$D$9,Input_Prod_01!I$11,$M$1,Input_Prod_01!$G$9,$J$9,$E$30,$B$54,$B58,$K$1)</f>
        <v>0</v>
      </c>
      <c r="J58" s="16">
        <f>_xll.DBRW($B$1,Input_Prod_01!$D$9,Input_Prod_01!J$11,$M$1,Input_Prod_01!$G$9,$J$9,$E$30,$B$54,$B58,$K$1)</f>
        <v>0</v>
      </c>
      <c r="K58" s="16">
        <f>_xll.DBRW($B$1,Input_Prod_01!$D$9,Input_Prod_01!K$11,$M$1,Input_Prod_01!$G$9,$J$9,$E$30,$B$54,$B58,$K$1)</f>
        <v>0</v>
      </c>
      <c r="L58" s="16">
        <f>_xll.DBRW($B$1,Input_Prod_01!$D$9,Input_Prod_01!L$11,$M$1,Input_Prod_01!$G$9,$J$9,$E$30,$B$54,$B58,$K$1)</f>
        <v>0</v>
      </c>
      <c r="M58" s="16">
        <f>_xll.DBRW($B$1,Input_Prod_01!$D$9,Input_Prod_01!M$11,$M$1,Input_Prod_01!$G$9,$J$9,$E$30,$B$54,$B58,$K$1)</f>
        <v>0</v>
      </c>
      <c r="N58" s="16">
        <f>_xll.DBRW($B$1,Input_Prod_01!$D$9,Input_Prod_01!N$11,$M$1,Input_Prod_01!$G$9,$J$9,$E$30,$B$54,$B58,$K$1)</f>
        <v>0</v>
      </c>
    </row>
    <row r="59" spans="2:14" s="1" customFormat="1" ht="15.75" customHeight="1" x14ac:dyDescent="0.25">
      <c r="B59" s="40" t="s">
        <v>199</v>
      </c>
      <c r="C59" s="16">
        <f>_xll.DBRW($B$1,Input_Prod_01!$D$9,Input_Prod_01!C$11,$M$1,Input_Prod_01!$G$9,$J$9,$E$30,$B$54,$B59,$K$1)</f>
        <v>0</v>
      </c>
      <c r="D59" s="16">
        <f>_xll.DBRW($B$1,Input_Prod_01!$D$9,Input_Prod_01!D$11,$M$1,Input_Prod_01!$G$9,$J$9,$E$30,$B$54,$B59,$K$1)</f>
        <v>0</v>
      </c>
      <c r="E59" s="16">
        <f>_xll.DBRW($B$1,Input_Prod_01!$D$9,Input_Prod_01!E$11,$M$1,Input_Prod_01!$G$9,$J$9,$E$30,$B$54,$B59,$K$1)</f>
        <v>0</v>
      </c>
      <c r="F59" s="16">
        <f>_xll.DBRW($B$1,Input_Prod_01!$D$9,Input_Prod_01!F$11,$M$1,Input_Prod_01!$G$9,$J$9,$E$30,$B$54,$B59,$K$1)</f>
        <v>0</v>
      </c>
      <c r="G59" s="16">
        <f>_xll.DBRW($B$1,Input_Prod_01!$D$9,Input_Prod_01!G$11,$M$1,Input_Prod_01!$G$9,$J$9,$E$30,$B$54,$B59,$K$1)</f>
        <v>0</v>
      </c>
      <c r="H59" s="16">
        <f>_xll.DBRW($B$1,Input_Prod_01!$D$9,Input_Prod_01!H$11,$M$1,Input_Prod_01!$G$9,$J$9,$E$30,$B$54,$B59,$K$1)</f>
        <v>0</v>
      </c>
      <c r="I59" s="16">
        <f>_xll.DBRW($B$1,Input_Prod_01!$D$9,Input_Prod_01!I$11,$M$1,Input_Prod_01!$G$9,$J$9,$E$30,$B$54,$B59,$K$1)</f>
        <v>0</v>
      </c>
      <c r="J59" s="16">
        <f>_xll.DBRW($B$1,Input_Prod_01!$D$9,Input_Prod_01!J$11,$M$1,Input_Prod_01!$G$9,$J$9,$E$30,$B$54,$B59,$K$1)</f>
        <v>0</v>
      </c>
      <c r="K59" s="16">
        <f>_xll.DBRW($B$1,Input_Prod_01!$D$9,Input_Prod_01!K$11,$M$1,Input_Prod_01!$G$9,$J$9,$E$30,$B$54,$B59,$K$1)</f>
        <v>0</v>
      </c>
      <c r="L59" s="16">
        <f>_xll.DBRW($B$1,Input_Prod_01!$D$9,Input_Prod_01!L$11,$M$1,Input_Prod_01!$G$9,$J$9,$E$30,$B$54,$B59,$K$1)</f>
        <v>0</v>
      </c>
      <c r="M59" s="16">
        <f>_xll.DBRW($B$1,Input_Prod_01!$D$9,Input_Prod_01!M$11,$M$1,Input_Prod_01!$G$9,$J$9,$E$30,$B$54,$B59,$K$1)</f>
        <v>0</v>
      </c>
      <c r="N59" s="16">
        <f>_xll.DBRW($B$1,Input_Prod_01!$D$9,Input_Prod_01!N$11,$M$1,Input_Prod_01!$G$9,$J$9,$E$30,$B$54,$B59,$K$1)</f>
        <v>0</v>
      </c>
    </row>
    <row r="60" spans="2:14" s="1" customFormat="1" ht="15.75" customHeight="1" x14ac:dyDescent="0.25">
      <c r="B60" s="40" t="s">
        <v>205</v>
      </c>
      <c r="C60" s="16">
        <f>_xll.DBRW($B$1,Input_Prod_01!$D$9,Input_Prod_01!C$11,$M$1,Input_Prod_01!$G$9,$J$9,$E$30,$B$54,$B60,$K$1)</f>
        <v>0</v>
      </c>
      <c r="D60" s="16">
        <f>_xll.DBRW($B$1,Input_Prod_01!$D$9,Input_Prod_01!D$11,$M$1,Input_Prod_01!$G$9,$J$9,$E$30,$B$54,$B60,$K$1)</f>
        <v>0</v>
      </c>
      <c r="E60" s="16">
        <f>_xll.DBRW($B$1,Input_Prod_01!$D$9,Input_Prod_01!E$11,$M$1,Input_Prod_01!$G$9,$J$9,$E$30,$B$54,$B60,$K$1)</f>
        <v>0</v>
      </c>
      <c r="F60" s="16">
        <f>_xll.DBRW($B$1,Input_Prod_01!$D$9,Input_Prod_01!F$11,$M$1,Input_Prod_01!$G$9,$J$9,$E$30,$B$54,$B60,$K$1)</f>
        <v>0</v>
      </c>
      <c r="G60" s="16">
        <f>_xll.DBRW($B$1,Input_Prod_01!$D$9,Input_Prod_01!G$11,$M$1,Input_Prod_01!$G$9,$J$9,$E$30,$B$54,$B60,$K$1)</f>
        <v>0</v>
      </c>
      <c r="H60" s="16">
        <f>_xll.DBRW($B$1,Input_Prod_01!$D$9,Input_Prod_01!H$11,$M$1,Input_Prod_01!$G$9,$J$9,$E$30,$B$54,$B60,$K$1)</f>
        <v>0</v>
      </c>
      <c r="I60" s="16">
        <f>_xll.DBRW($B$1,Input_Prod_01!$D$9,Input_Prod_01!I$11,$M$1,Input_Prod_01!$G$9,$J$9,$E$30,$B$54,$B60,$K$1)</f>
        <v>0</v>
      </c>
      <c r="J60" s="16">
        <f>_xll.DBRW($B$1,Input_Prod_01!$D$9,Input_Prod_01!J$11,$M$1,Input_Prod_01!$G$9,$J$9,$E$30,$B$54,$B60,$K$1)</f>
        <v>0</v>
      </c>
      <c r="K60" s="16">
        <f>_xll.DBRW($B$1,Input_Prod_01!$D$9,Input_Prod_01!K$11,$M$1,Input_Prod_01!$G$9,$J$9,$E$30,$B$54,$B60,$K$1)</f>
        <v>0</v>
      </c>
      <c r="L60" s="16">
        <f>_xll.DBRW($B$1,Input_Prod_01!$D$9,Input_Prod_01!L$11,$M$1,Input_Prod_01!$G$9,$J$9,$E$30,$B$54,$B60,$K$1)</f>
        <v>0</v>
      </c>
      <c r="M60" s="16">
        <f>_xll.DBRW($B$1,Input_Prod_01!$D$9,Input_Prod_01!M$11,$M$1,Input_Prod_01!$G$9,$J$9,$E$30,$B$54,$B60,$K$1)</f>
        <v>0</v>
      </c>
      <c r="N60" s="16">
        <f>_xll.DBRW($B$1,Input_Prod_01!$D$9,Input_Prod_01!N$11,$M$1,Input_Prod_01!$G$9,$J$9,$E$30,$B$54,$B60,$K$1)</f>
        <v>0</v>
      </c>
    </row>
    <row r="61" spans="2:14" s="1" customFormat="1" ht="15.75" customHeight="1" x14ac:dyDescent="0.25">
      <c r="B61" s="40" t="s">
        <v>206</v>
      </c>
      <c r="C61" s="16">
        <f>_xll.DBRW($B$1,Input_Prod_01!$D$9,Input_Prod_01!C$11,$M$1,Input_Prod_01!$G$9,$J$9,$E$30,$B$54,$B61,$K$1)</f>
        <v>0</v>
      </c>
      <c r="D61" s="16">
        <f>_xll.DBRW($B$1,Input_Prod_01!$D$9,Input_Prod_01!D$11,$M$1,Input_Prod_01!$G$9,$J$9,$E$30,$B$54,$B61,$K$1)</f>
        <v>0</v>
      </c>
      <c r="E61" s="16">
        <f>_xll.DBRW($B$1,Input_Prod_01!$D$9,Input_Prod_01!E$11,$M$1,Input_Prod_01!$G$9,$J$9,$E$30,$B$54,$B61,$K$1)</f>
        <v>0</v>
      </c>
      <c r="F61" s="16">
        <f>_xll.DBRW($B$1,Input_Prod_01!$D$9,Input_Prod_01!F$11,$M$1,Input_Prod_01!$G$9,$J$9,$E$30,$B$54,$B61,$K$1)</f>
        <v>0</v>
      </c>
      <c r="G61" s="16">
        <f>_xll.DBRW($B$1,Input_Prod_01!$D$9,Input_Prod_01!G$11,$M$1,Input_Prod_01!$G$9,$J$9,$E$30,$B$54,$B61,$K$1)</f>
        <v>0</v>
      </c>
      <c r="H61" s="16">
        <f>_xll.DBRW($B$1,Input_Prod_01!$D$9,Input_Prod_01!H$11,$M$1,Input_Prod_01!$G$9,$J$9,$E$30,$B$54,$B61,$K$1)</f>
        <v>0</v>
      </c>
      <c r="I61" s="16">
        <f>_xll.DBRW($B$1,Input_Prod_01!$D$9,Input_Prod_01!I$11,$M$1,Input_Prod_01!$G$9,$J$9,$E$30,$B$54,$B61,$K$1)</f>
        <v>0</v>
      </c>
      <c r="J61" s="16">
        <f>_xll.DBRW($B$1,Input_Prod_01!$D$9,Input_Prod_01!J$11,$M$1,Input_Prod_01!$G$9,$J$9,$E$30,$B$54,$B61,$K$1)</f>
        <v>0</v>
      </c>
      <c r="K61" s="16">
        <f>_xll.DBRW($B$1,Input_Prod_01!$D$9,Input_Prod_01!K$11,$M$1,Input_Prod_01!$G$9,$J$9,$E$30,$B$54,$B61,$K$1)</f>
        <v>0</v>
      </c>
      <c r="L61" s="16">
        <f>_xll.DBRW($B$1,Input_Prod_01!$D$9,Input_Prod_01!L$11,$M$1,Input_Prod_01!$G$9,$J$9,$E$30,$B$54,$B61,$K$1)</f>
        <v>0</v>
      </c>
      <c r="M61" s="16">
        <f>_xll.DBRW($B$1,Input_Prod_01!$D$9,Input_Prod_01!M$11,$M$1,Input_Prod_01!$G$9,$J$9,$E$30,$B$54,$B61,$K$1)</f>
        <v>0</v>
      </c>
      <c r="N61" s="16">
        <f>_xll.DBRW($B$1,Input_Prod_01!$D$9,Input_Prod_01!N$11,$M$1,Input_Prod_01!$G$9,$J$9,$E$30,$B$54,$B61,$K$1)</f>
        <v>0</v>
      </c>
    </row>
    <row r="62" spans="2:14" s="1" customFormat="1" ht="15.75" customHeight="1" x14ac:dyDescent="0.25">
      <c r="B62" s="40" t="s">
        <v>200</v>
      </c>
      <c r="C62" s="16">
        <f>_xll.DBRW($B$1,Input_Prod_01!$D$9,Input_Prod_01!C$11,$M$1,Input_Prod_01!$G$9,$J$9,$E$30,$B$54,$B62,$K$1)</f>
        <v>0</v>
      </c>
      <c r="D62" s="16">
        <f>_xll.DBRW($B$1,Input_Prod_01!$D$9,Input_Prod_01!D$11,$M$1,Input_Prod_01!$G$9,$J$9,$E$30,$B$54,$B62,$K$1)</f>
        <v>0</v>
      </c>
      <c r="E62" s="16">
        <f>_xll.DBRW($B$1,Input_Prod_01!$D$9,Input_Prod_01!E$11,$M$1,Input_Prod_01!$G$9,$J$9,$E$30,$B$54,$B62,$K$1)</f>
        <v>0</v>
      </c>
      <c r="F62" s="16">
        <f>_xll.DBRW($B$1,Input_Prod_01!$D$9,Input_Prod_01!F$11,$M$1,Input_Prod_01!$G$9,$J$9,$E$30,$B$54,$B62,$K$1)</f>
        <v>0</v>
      </c>
      <c r="G62" s="16">
        <f>_xll.DBRW($B$1,Input_Prod_01!$D$9,Input_Prod_01!G$11,$M$1,Input_Prod_01!$G$9,$J$9,$E$30,$B$54,$B62,$K$1)</f>
        <v>0</v>
      </c>
      <c r="H62" s="16">
        <f>_xll.DBRW($B$1,Input_Prod_01!$D$9,Input_Prod_01!H$11,$M$1,Input_Prod_01!$G$9,$J$9,$E$30,$B$54,$B62,$K$1)</f>
        <v>0</v>
      </c>
      <c r="I62" s="16">
        <f>_xll.DBRW($B$1,Input_Prod_01!$D$9,Input_Prod_01!I$11,$M$1,Input_Prod_01!$G$9,$J$9,$E$30,$B$54,$B62,$K$1)</f>
        <v>0</v>
      </c>
      <c r="J62" s="16">
        <f>_xll.DBRW($B$1,Input_Prod_01!$D$9,Input_Prod_01!J$11,$M$1,Input_Prod_01!$G$9,$J$9,$E$30,$B$54,$B62,$K$1)</f>
        <v>0</v>
      </c>
      <c r="K62" s="16">
        <f>_xll.DBRW($B$1,Input_Prod_01!$D$9,Input_Prod_01!K$11,$M$1,Input_Prod_01!$G$9,$J$9,$E$30,$B$54,$B62,$K$1)</f>
        <v>0</v>
      </c>
      <c r="L62" s="16">
        <f>_xll.DBRW($B$1,Input_Prod_01!$D$9,Input_Prod_01!L$11,$M$1,Input_Prod_01!$G$9,$J$9,$E$30,$B$54,$B62,$K$1)</f>
        <v>0</v>
      </c>
      <c r="M62" s="16">
        <f>_xll.DBRW($B$1,Input_Prod_01!$D$9,Input_Prod_01!M$11,$M$1,Input_Prod_01!$G$9,$J$9,$E$30,$B$54,$B62,$K$1)</f>
        <v>0</v>
      </c>
      <c r="N62" s="16">
        <f>_xll.DBRW($B$1,Input_Prod_01!$D$9,Input_Prod_01!N$11,$M$1,Input_Prod_01!$G$9,$J$9,$E$30,$B$54,$B62,$K$1)</f>
        <v>0</v>
      </c>
    </row>
    <row r="63" spans="2:14" s="1" customFormat="1" ht="15.75" customHeight="1" x14ac:dyDescent="0.25">
      <c r="B63" s="40" t="s">
        <v>201</v>
      </c>
      <c r="C63" s="16">
        <f>_xll.DBRW($B$1,Input_Prod_01!$D$9,Input_Prod_01!C$11,$M$1,Input_Prod_01!$G$9,$J$9,$E$30,$B$54,$B63,$K$1)</f>
        <v>0</v>
      </c>
      <c r="D63" s="16">
        <f>_xll.DBRW($B$1,Input_Prod_01!$D$9,Input_Prod_01!D$11,$M$1,Input_Prod_01!$G$9,$J$9,$E$30,$B$54,$B63,$K$1)</f>
        <v>0</v>
      </c>
      <c r="E63" s="16">
        <f>_xll.DBRW($B$1,Input_Prod_01!$D$9,Input_Prod_01!E$11,$M$1,Input_Prod_01!$G$9,$J$9,$E$30,$B$54,$B63,$K$1)</f>
        <v>0</v>
      </c>
      <c r="F63" s="16">
        <f>_xll.DBRW($B$1,Input_Prod_01!$D$9,Input_Prod_01!F$11,$M$1,Input_Prod_01!$G$9,$J$9,$E$30,$B$54,$B63,$K$1)</f>
        <v>0</v>
      </c>
      <c r="G63" s="16">
        <f>_xll.DBRW($B$1,Input_Prod_01!$D$9,Input_Prod_01!G$11,$M$1,Input_Prod_01!$G$9,$J$9,$E$30,$B$54,$B63,$K$1)</f>
        <v>0</v>
      </c>
      <c r="H63" s="16">
        <f>_xll.DBRW($B$1,Input_Prod_01!$D$9,Input_Prod_01!H$11,$M$1,Input_Prod_01!$G$9,$J$9,$E$30,$B$54,$B63,$K$1)</f>
        <v>0</v>
      </c>
      <c r="I63" s="16">
        <f>_xll.DBRW($B$1,Input_Prod_01!$D$9,Input_Prod_01!I$11,$M$1,Input_Prod_01!$G$9,$J$9,$E$30,$B$54,$B63,$K$1)</f>
        <v>0</v>
      </c>
      <c r="J63" s="16">
        <f>_xll.DBRW($B$1,Input_Prod_01!$D$9,Input_Prod_01!J$11,$M$1,Input_Prod_01!$G$9,$J$9,$E$30,$B$54,$B63,$K$1)</f>
        <v>0</v>
      </c>
      <c r="K63" s="16">
        <f>_xll.DBRW($B$1,Input_Prod_01!$D$9,Input_Prod_01!K$11,$M$1,Input_Prod_01!$G$9,$J$9,$E$30,$B$54,$B63,$K$1)</f>
        <v>0</v>
      </c>
      <c r="L63" s="16">
        <f>_xll.DBRW($B$1,Input_Prod_01!$D$9,Input_Prod_01!L$11,$M$1,Input_Prod_01!$G$9,$J$9,$E$30,$B$54,$B63,$K$1)</f>
        <v>0</v>
      </c>
      <c r="M63" s="16">
        <f>_xll.DBRW($B$1,Input_Prod_01!$D$9,Input_Prod_01!M$11,$M$1,Input_Prod_01!$G$9,$J$9,$E$30,$B$54,$B63,$K$1)</f>
        <v>0</v>
      </c>
      <c r="N63" s="16">
        <f>_xll.DBRW($B$1,Input_Prod_01!$D$9,Input_Prod_01!N$11,$M$1,Input_Prod_01!$G$9,$J$9,$E$30,$B$54,$B63,$K$1)</f>
        <v>0</v>
      </c>
    </row>
    <row r="64" spans="2:14" s="1" customFormat="1" ht="15.75" customHeight="1" x14ac:dyDescent="0.25">
      <c r="B64" s="40" t="s">
        <v>207</v>
      </c>
      <c r="C64" s="16">
        <f>_xll.DBRW($B$1,Input_Prod_01!$D$9,Input_Prod_01!C$11,$M$1,Input_Prod_01!$G$9,$J$9,$E$30,$B$54,$B64,$K$1)</f>
        <v>0</v>
      </c>
      <c r="D64" s="16">
        <f>_xll.DBRW($B$1,Input_Prod_01!$D$9,Input_Prod_01!D$11,$M$1,Input_Prod_01!$G$9,$J$9,$E$30,$B$54,$B64,$K$1)</f>
        <v>0</v>
      </c>
      <c r="E64" s="16">
        <f>_xll.DBRW($B$1,Input_Prod_01!$D$9,Input_Prod_01!E$11,$M$1,Input_Prod_01!$G$9,$J$9,$E$30,$B$54,$B64,$K$1)</f>
        <v>0</v>
      </c>
      <c r="F64" s="16">
        <f>_xll.DBRW($B$1,Input_Prod_01!$D$9,Input_Prod_01!F$11,$M$1,Input_Prod_01!$G$9,$J$9,$E$30,$B$54,$B64,$K$1)</f>
        <v>0</v>
      </c>
      <c r="G64" s="16">
        <f>_xll.DBRW($B$1,Input_Prod_01!$D$9,Input_Prod_01!G$11,$M$1,Input_Prod_01!$G$9,$J$9,$E$30,$B$54,$B64,$K$1)</f>
        <v>0</v>
      </c>
      <c r="H64" s="16">
        <f>_xll.DBRW($B$1,Input_Prod_01!$D$9,Input_Prod_01!H$11,$M$1,Input_Prod_01!$G$9,$J$9,$E$30,$B$54,$B64,$K$1)</f>
        <v>0</v>
      </c>
      <c r="I64" s="16">
        <f>_xll.DBRW($B$1,Input_Prod_01!$D$9,Input_Prod_01!I$11,$M$1,Input_Prod_01!$G$9,$J$9,$E$30,$B$54,$B64,$K$1)</f>
        <v>0</v>
      </c>
      <c r="J64" s="16">
        <f>_xll.DBRW($B$1,Input_Prod_01!$D$9,Input_Prod_01!J$11,$M$1,Input_Prod_01!$G$9,$J$9,$E$30,$B$54,$B64,$K$1)</f>
        <v>0</v>
      </c>
      <c r="K64" s="16">
        <f>_xll.DBRW($B$1,Input_Prod_01!$D$9,Input_Prod_01!K$11,$M$1,Input_Prod_01!$G$9,$J$9,$E$30,$B$54,$B64,$K$1)</f>
        <v>0</v>
      </c>
      <c r="L64" s="16">
        <f>_xll.DBRW($B$1,Input_Prod_01!$D$9,Input_Prod_01!L$11,$M$1,Input_Prod_01!$G$9,$J$9,$E$30,$B$54,$B64,$K$1)</f>
        <v>0</v>
      </c>
      <c r="M64" s="16">
        <f>_xll.DBRW($B$1,Input_Prod_01!$D$9,Input_Prod_01!M$11,$M$1,Input_Prod_01!$G$9,$J$9,$E$30,$B$54,$B64,$K$1)</f>
        <v>0</v>
      </c>
      <c r="N64" s="16">
        <f>_xll.DBRW($B$1,Input_Prod_01!$D$9,Input_Prod_01!N$11,$M$1,Input_Prod_01!$G$9,$J$9,$E$30,$B$54,$B64,$K$1)</f>
        <v>0</v>
      </c>
    </row>
    <row r="65" spans="2:14" s="1" customFormat="1" ht="15.75" customHeight="1" x14ac:dyDescent="0.25">
      <c r="B65" s="40" t="s">
        <v>208</v>
      </c>
      <c r="C65" s="16">
        <f>_xll.DBRW($B$1,Input_Prod_01!$D$9,Input_Prod_01!C$11,$M$1,Input_Prod_01!$G$9,$J$9,$E$30,$B$54,$B65,$K$1)</f>
        <v>0</v>
      </c>
      <c r="D65" s="16">
        <f>_xll.DBRW($B$1,Input_Prod_01!$D$9,Input_Prod_01!D$11,$M$1,Input_Prod_01!$G$9,$J$9,$E$30,$B$54,$B65,$K$1)</f>
        <v>0</v>
      </c>
      <c r="E65" s="16">
        <f>_xll.DBRW($B$1,Input_Prod_01!$D$9,Input_Prod_01!E$11,$M$1,Input_Prod_01!$G$9,$J$9,$E$30,$B$54,$B65,$K$1)</f>
        <v>0</v>
      </c>
      <c r="F65" s="16">
        <f>_xll.DBRW($B$1,Input_Prod_01!$D$9,Input_Prod_01!F$11,$M$1,Input_Prod_01!$G$9,$J$9,$E$30,$B$54,$B65,$K$1)</f>
        <v>0</v>
      </c>
      <c r="G65" s="16">
        <f>_xll.DBRW($B$1,Input_Prod_01!$D$9,Input_Prod_01!G$11,$M$1,Input_Prod_01!$G$9,$J$9,$E$30,$B$54,$B65,$K$1)</f>
        <v>0</v>
      </c>
      <c r="H65" s="16">
        <f>_xll.DBRW($B$1,Input_Prod_01!$D$9,Input_Prod_01!H$11,$M$1,Input_Prod_01!$G$9,$J$9,$E$30,$B$54,$B65,$K$1)</f>
        <v>0</v>
      </c>
      <c r="I65" s="16">
        <f>_xll.DBRW($B$1,Input_Prod_01!$D$9,Input_Prod_01!I$11,$M$1,Input_Prod_01!$G$9,$J$9,$E$30,$B$54,$B65,$K$1)</f>
        <v>0</v>
      </c>
      <c r="J65" s="16">
        <f>_xll.DBRW($B$1,Input_Prod_01!$D$9,Input_Prod_01!J$11,$M$1,Input_Prod_01!$G$9,$J$9,$E$30,$B$54,$B65,$K$1)</f>
        <v>0</v>
      </c>
      <c r="K65" s="16">
        <f>_xll.DBRW($B$1,Input_Prod_01!$D$9,Input_Prod_01!K$11,$M$1,Input_Prod_01!$G$9,$J$9,$E$30,$B$54,$B65,$K$1)</f>
        <v>0</v>
      </c>
      <c r="L65" s="16">
        <f>_xll.DBRW($B$1,Input_Prod_01!$D$9,Input_Prod_01!L$11,$M$1,Input_Prod_01!$G$9,$J$9,$E$30,$B$54,$B65,$K$1)</f>
        <v>0</v>
      </c>
      <c r="M65" s="16">
        <f>_xll.DBRW($B$1,Input_Prod_01!$D$9,Input_Prod_01!M$11,$M$1,Input_Prod_01!$G$9,$J$9,$E$30,$B$54,$B65,$K$1)</f>
        <v>0</v>
      </c>
      <c r="N65" s="16">
        <f>_xll.DBRW($B$1,Input_Prod_01!$D$9,Input_Prod_01!N$11,$M$1,Input_Prod_01!$G$9,$J$9,$E$30,$B$54,$B65,$K$1)</f>
        <v>0</v>
      </c>
    </row>
    <row r="66" spans="2:14" s="1" customFormat="1" ht="15.75" customHeight="1" x14ac:dyDescent="0.25">
      <c r="B66" s="40" t="s">
        <v>202</v>
      </c>
      <c r="C66" s="16">
        <f>_xll.DBRW($B$1,Input_Prod_01!$D$9,Input_Prod_01!C$11,$M$1,Input_Prod_01!$G$9,$J$9,$E$30,$B$54,$B66,$K$1)</f>
        <v>0</v>
      </c>
      <c r="D66" s="16">
        <f>_xll.DBRW($B$1,Input_Prod_01!$D$9,Input_Prod_01!D$11,$M$1,Input_Prod_01!$G$9,$J$9,$E$30,$B$54,$B66,$K$1)</f>
        <v>0</v>
      </c>
      <c r="E66" s="16">
        <f>_xll.DBRW($B$1,Input_Prod_01!$D$9,Input_Prod_01!E$11,$M$1,Input_Prod_01!$G$9,$J$9,$E$30,$B$54,$B66,$K$1)</f>
        <v>0</v>
      </c>
      <c r="F66" s="16">
        <f>_xll.DBRW($B$1,Input_Prod_01!$D$9,Input_Prod_01!F$11,$M$1,Input_Prod_01!$G$9,$J$9,$E$30,$B$54,$B66,$K$1)</f>
        <v>0</v>
      </c>
      <c r="G66" s="16">
        <f>_xll.DBRW($B$1,Input_Prod_01!$D$9,Input_Prod_01!G$11,$M$1,Input_Prod_01!$G$9,$J$9,$E$30,$B$54,$B66,$K$1)</f>
        <v>0</v>
      </c>
      <c r="H66" s="16">
        <f>_xll.DBRW($B$1,Input_Prod_01!$D$9,Input_Prod_01!H$11,$M$1,Input_Prod_01!$G$9,$J$9,$E$30,$B$54,$B66,$K$1)</f>
        <v>0</v>
      </c>
      <c r="I66" s="16">
        <f>_xll.DBRW($B$1,Input_Prod_01!$D$9,Input_Prod_01!I$11,$M$1,Input_Prod_01!$G$9,$J$9,$E$30,$B$54,$B66,$K$1)</f>
        <v>0</v>
      </c>
      <c r="J66" s="16">
        <f>_xll.DBRW($B$1,Input_Prod_01!$D$9,Input_Prod_01!J$11,$M$1,Input_Prod_01!$G$9,$J$9,$E$30,$B$54,$B66,$K$1)</f>
        <v>0</v>
      </c>
      <c r="K66" s="16">
        <f>_xll.DBRW($B$1,Input_Prod_01!$D$9,Input_Prod_01!K$11,$M$1,Input_Prod_01!$G$9,$J$9,$E$30,$B$54,$B66,$K$1)</f>
        <v>0</v>
      </c>
      <c r="L66" s="16">
        <f>_xll.DBRW($B$1,Input_Prod_01!$D$9,Input_Prod_01!L$11,$M$1,Input_Prod_01!$G$9,$J$9,$E$30,$B$54,$B66,$K$1)</f>
        <v>0</v>
      </c>
      <c r="M66" s="16">
        <f>_xll.DBRW($B$1,Input_Prod_01!$D$9,Input_Prod_01!M$11,$M$1,Input_Prod_01!$G$9,$J$9,$E$30,$B$54,$B66,$K$1)</f>
        <v>0</v>
      </c>
      <c r="N66" s="16">
        <f>_xll.DBRW($B$1,Input_Prod_01!$D$9,Input_Prod_01!N$11,$M$1,Input_Prod_01!$G$9,$J$9,$E$30,$B$54,$B66,$K$1)</f>
        <v>0</v>
      </c>
    </row>
    <row r="67" spans="2:14" s="1" customFormat="1" ht="15.75" customHeight="1" x14ac:dyDescent="0.25">
      <c r="B67" s="40" t="s">
        <v>209</v>
      </c>
      <c r="C67" s="16">
        <f>_xll.DBRW($B$1,Input_Prod_01!$D$9,Input_Prod_01!C$11,$M$1,Input_Prod_01!$G$9,$J$9,$E$30,$B$54,$B67,$K$1)</f>
        <v>0</v>
      </c>
      <c r="D67" s="16">
        <f>_xll.DBRW($B$1,Input_Prod_01!$D$9,Input_Prod_01!D$11,$M$1,Input_Prod_01!$G$9,$J$9,$E$30,$B$54,$B67,$K$1)</f>
        <v>0</v>
      </c>
      <c r="E67" s="16">
        <f>_xll.DBRW($B$1,Input_Prod_01!$D$9,Input_Prod_01!E$11,$M$1,Input_Prod_01!$G$9,$J$9,$E$30,$B$54,$B67,$K$1)</f>
        <v>0</v>
      </c>
      <c r="F67" s="16">
        <f>_xll.DBRW($B$1,Input_Prod_01!$D$9,Input_Prod_01!F$11,$M$1,Input_Prod_01!$G$9,$J$9,$E$30,$B$54,$B67,$K$1)</f>
        <v>0</v>
      </c>
      <c r="G67" s="16">
        <f>_xll.DBRW($B$1,Input_Prod_01!$D$9,Input_Prod_01!G$11,$M$1,Input_Prod_01!$G$9,$J$9,$E$30,$B$54,$B67,$K$1)</f>
        <v>0</v>
      </c>
      <c r="H67" s="16">
        <f>_xll.DBRW($B$1,Input_Prod_01!$D$9,Input_Prod_01!H$11,$M$1,Input_Prod_01!$G$9,$J$9,$E$30,$B$54,$B67,$K$1)</f>
        <v>0</v>
      </c>
      <c r="I67" s="16">
        <f>_xll.DBRW($B$1,Input_Prod_01!$D$9,Input_Prod_01!I$11,$M$1,Input_Prod_01!$G$9,$J$9,$E$30,$B$54,$B67,$K$1)</f>
        <v>0</v>
      </c>
      <c r="J67" s="16">
        <f>_xll.DBRW($B$1,Input_Prod_01!$D$9,Input_Prod_01!J$11,$M$1,Input_Prod_01!$G$9,$J$9,$E$30,$B$54,$B67,$K$1)</f>
        <v>0</v>
      </c>
      <c r="K67" s="16">
        <f>_xll.DBRW($B$1,Input_Prod_01!$D$9,Input_Prod_01!K$11,$M$1,Input_Prod_01!$G$9,$J$9,$E$30,$B$54,$B67,$K$1)</f>
        <v>0</v>
      </c>
      <c r="L67" s="16">
        <f>_xll.DBRW($B$1,Input_Prod_01!$D$9,Input_Prod_01!L$11,$M$1,Input_Prod_01!$G$9,$J$9,$E$30,$B$54,$B67,$K$1)</f>
        <v>0</v>
      </c>
      <c r="M67" s="16">
        <f>_xll.DBRW($B$1,Input_Prod_01!$D$9,Input_Prod_01!M$11,$M$1,Input_Prod_01!$G$9,$J$9,$E$30,$B$54,$B67,$K$1)</f>
        <v>0</v>
      </c>
      <c r="N67" s="16">
        <f>_xll.DBRW($B$1,Input_Prod_01!$D$9,Input_Prod_01!N$11,$M$1,Input_Prod_01!$G$9,$J$9,$E$30,$B$54,$B67,$K$1)</f>
        <v>0</v>
      </c>
    </row>
    <row r="68" spans="2:14" s="1" customFormat="1" ht="15.75" customHeight="1" x14ac:dyDescent="0.25">
      <c r="B68" s="40" t="s">
        <v>210</v>
      </c>
      <c r="C68" s="16">
        <f>_xll.DBRW($B$1,Input_Prod_01!$D$9,Input_Prod_01!C$11,$M$1,Input_Prod_01!$G$9,$J$9,$E$30,$B$54,$B68,$K$1)</f>
        <v>0</v>
      </c>
      <c r="D68" s="16">
        <f>_xll.DBRW($B$1,Input_Prod_01!$D$9,Input_Prod_01!D$11,$M$1,Input_Prod_01!$G$9,$J$9,$E$30,$B$54,$B68,$K$1)</f>
        <v>0</v>
      </c>
      <c r="E68" s="16">
        <f>_xll.DBRW($B$1,Input_Prod_01!$D$9,Input_Prod_01!E$11,$M$1,Input_Prod_01!$G$9,$J$9,$E$30,$B$54,$B68,$K$1)</f>
        <v>0</v>
      </c>
      <c r="F68" s="16">
        <f>_xll.DBRW($B$1,Input_Prod_01!$D$9,Input_Prod_01!F$11,$M$1,Input_Prod_01!$G$9,$J$9,$E$30,$B$54,$B68,$K$1)</f>
        <v>0</v>
      </c>
      <c r="G68" s="16">
        <f>_xll.DBRW($B$1,Input_Prod_01!$D$9,Input_Prod_01!G$11,$M$1,Input_Prod_01!$G$9,$J$9,$E$30,$B$54,$B68,$K$1)</f>
        <v>0</v>
      </c>
      <c r="H68" s="16">
        <f>_xll.DBRW($B$1,Input_Prod_01!$D$9,Input_Prod_01!H$11,$M$1,Input_Prod_01!$G$9,$J$9,$E$30,$B$54,$B68,$K$1)</f>
        <v>0</v>
      </c>
      <c r="I68" s="16">
        <f>_xll.DBRW($B$1,Input_Prod_01!$D$9,Input_Prod_01!I$11,$M$1,Input_Prod_01!$G$9,$J$9,$E$30,$B$54,$B68,$K$1)</f>
        <v>0</v>
      </c>
      <c r="J68" s="16">
        <f>_xll.DBRW($B$1,Input_Prod_01!$D$9,Input_Prod_01!J$11,$M$1,Input_Prod_01!$G$9,$J$9,$E$30,$B$54,$B68,$K$1)</f>
        <v>0</v>
      </c>
      <c r="K68" s="16">
        <f>_xll.DBRW($B$1,Input_Prod_01!$D$9,Input_Prod_01!K$11,$M$1,Input_Prod_01!$G$9,$J$9,$E$30,$B$54,$B68,$K$1)</f>
        <v>0</v>
      </c>
      <c r="L68" s="16">
        <f>_xll.DBRW($B$1,Input_Prod_01!$D$9,Input_Prod_01!L$11,$M$1,Input_Prod_01!$G$9,$J$9,$E$30,$B$54,$B68,$K$1)</f>
        <v>0</v>
      </c>
      <c r="M68" s="16">
        <f>_xll.DBRW($B$1,Input_Prod_01!$D$9,Input_Prod_01!M$11,$M$1,Input_Prod_01!$G$9,$J$9,$E$30,$B$54,$B68,$K$1)</f>
        <v>0</v>
      </c>
      <c r="N68" s="16">
        <f>_xll.DBRW($B$1,Input_Prod_01!$D$9,Input_Prod_01!N$11,$M$1,Input_Prod_01!$G$9,$J$9,$E$30,$B$54,$B68,$K$1)</f>
        <v>0</v>
      </c>
    </row>
    <row r="69" spans="2:14" s="1" customFormat="1" ht="15.75" customHeight="1" x14ac:dyDescent="0.25">
      <c r="B69" s="40" t="s">
        <v>203</v>
      </c>
      <c r="C69" s="16">
        <f>_xll.DBRW($B$1,Input_Prod_01!$D$9,Input_Prod_01!C$11,$M$1,Input_Prod_01!$G$9,$J$9,$E$30,$B$54,$B69,$K$1)</f>
        <v>0</v>
      </c>
      <c r="D69" s="16">
        <f>_xll.DBRW($B$1,Input_Prod_01!$D$9,Input_Prod_01!D$11,$M$1,Input_Prod_01!$G$9,$J$9,$E$30,$B$54,$B69,$K$1)</f>
        <v>0</v>
      </c>
      <c r="E69" s="16">
        <f>_xll.DBRW($B$1,Input_Prod_01!$D$9,Input_Prod_01!E$11,$M$1,Input_Prod_01!$G$9,$J$9,$E$30,$B$54,$B69,$K$1)</f>
        <v>0</v>
      </c>
      <c r="F69" s="16">
        <f>_xll.DBRW($B$1,Input_Prod_01!$D$9,Input_Prod_01!F$11,$M$1,Input_Prod_01!$G$9,$J$9,$E$30,$B$54,$B69,$K$1)</f>
        <v>0</v>
      </c>
      <c r="G69" s="16">
        <f>_xll.DBRW($B$1,Input_Prod_01!$D$9,Input_Prod_01!G$11,$M$1,Input_Prod_01!$G$9,$J$9,$E$30,$B$54,$B69,$K$1)</f>
        <v>0</v>
      </c>
      <c r="H69" s="16">
        <f>_xll.DBRW($B$1,Input_Prod_01!$D$9,Input_Prod_01!H$11,$M$1,Input_Prod_01!$G$9,$J$9,$E$30,$B$54,$B69,$K$1)</f>
        <v>0</v>
      </c>
      <c r="I69" s="16">
        <f>_xll.DBRW($B$1,Input_Prod_01!$D$9,Input_Prod_01!I$11,$M$1,Input_Prod_01!$G$9,$J$9,$E$30,$B$54,$B69,$K$1)</f>
        <v>0</v>
      </c>
      <c r="J69" s="16">
        <f>_xll.DBRW($B$1,Input_Prod_01!$D$9,Input_Prod_01!J$11,$M$1,Input_Prod_01!$G$9,$J$9,$E$30,$B$54,$B69,$K$1)</f>
        <v>0</v>
      </c>
      <c r="K69" s="16">
        <f>_xll.DBRW($B$1,Input_Prod_01!$D$9,Input_Prod_01!K$11,$M$1,Input_Prod_01!$G$9,$J$9,$E$30,$B$54,$B69,$K$1)</f>
        <v>0</v>
      </c>
      <c r="L69" s="16">
        <f>_xll.DBRW($B$1,Input_Prod_01!$D$9,Input_Prod_01!L$11,$M$1,Input_Prod_01!$G$9,$J$9,$E$30,$B$54,$B69,$K$1)</f>
        <v>0</v>
      </c>
      <c r="M69" s="16">
        <f>_xll.DBRW($B$1,Input_Prod_01!$D$9,Input_Prod_01!M$11,$M$1,Input_Prod_01!$G$9,$J$9,$E$30,$B$54,$B69,$K$1)</f>
        <v>0</v>
      </c>
      <c r="N69" s="16">
        <f>_xll.DBRW($B$1,Input_Prod_01!$D$9,Input_Prod_01!N$11,$M$1,Input_Prod_01!$G$9,$J$9,$E$30,$B$54,$B69,$K$1)</f>
        <v>0</v>
      </c>
    </row>
    <row r="70" spans="2:14" s="1" customFormat="1" ht="15.75" customHeight="1" x14ac:dyDescent="0.25">
      <c r="B70" s="52" t="s">
        <v>66</v>
      </c>
      <c r="C70" s="16">
        <f>_xll.DBRW($B$1,Input_Prod_01!$D$9,Input_Prod_01!C$11,$M$1,Input_Prod_01!$G$9,$J$9,$E$30,$B$54,$B70,$K$1)</f>
        <v>0</v>
      </c>
      <c r="D70" s="16">
        <f>_xll.DBRW($B$1,Input_Prod_01!$D$9,Input_Prod_01!D$11,$M$1,Input_Prod_01!$G$9,$J$9,$E$30,$B$54,$B70,$K$1)</f>
        <v>0</v>
      </c>
      <c r="E70" s="16">
        <f>_xll.DBRW($B$1,Input_Prod_01!$D$9,Input_Prod_01!E$11,$M$1,Input_Prod_01!$G$9,$J$9,$E$30,$B$54,$B70,$K$1)</f>
        <v>0</v>
      </c>
      <c r="F70" s="16">
        <f>_xll.DBRW($B$1,Input_Prod_01!$D$9,Input_Prod_01!F$11,$M$1,Input_Prod_01!$G$9,$J$9,$E$30,$B$54,$B70,$K$1)</f>
        <v>0</v>
      </c>
      <c r="G70" s="16">
        <f>_xll.DBRW($B$1,Input_Prod_01!$D$9,Input_Prod_01!G$11,$M$1,Input_Prod_01!$G$9,$J$9,$E$30,$B$54,$B70,$K$1)</f>
        <v>0</v>
      </c>
      <c r="H70" s="16">
        <f>_xll.DBRW($B$1,Input_Prod_01!$D$9,Input_Prod_01!H$11,$M$1,Input_Prod_01!$G$9,$J$9,$E$30,$B$54,$B70,$K$1)</f>
        <v>0</v>
      </c>
      <c r="I70" s="16">
        <f>_xll.DBRW($B$1,Input_Prod_01!$D$9,Input_Prod_01!I$11,$M$1,Input_Prod_01!$G$9,$J$9,$E$30,$B$54,$B70,$K$1)</f>
        <v>0</v>
      </c>
      <c r="J70" s="16">
        <f>_xll.DBRW($B$1,Input_Prod_01!$D$9,Input_Prod_01!J$11,$M$1,Input_Prod_01!$G$9,$J$9,$E$30,$B$54,$B70,$K$1)</f>
        <v>0</v>
      </c>
      <c r="K70" s="16">
        <f>_xll.DBRW($B$1,Input_Prod_01!$D$9,Input_Prod_01!K$11,$M$1,Input_Prod_01!$G$9,$J$9,$E$30,$B$54,$B70,$K$1)</f>
        <v>0</v>
      </c>
      <c r="L70" s="16">
        <f>_xll.DBRW($B$1,Input_Prod_01!$D$9,Input_Prod_01!L$11,$M$1,Input_Prod_01!$G$9,$J$9,$E$30,$B$54,$B70,$K$1)</f>
        <v>0</v>
      </c>
      <c r="M70" s="16">
        <f>_xll.DBRW($B$1,Input_Prod_01!$D$9,Input_Prod_01!M$11,$M$1,Input_Prod_01!$G$9,$J$9,$E$30,$B$54,$B70,$K$1)</f>
        <v>0</v>
      </c>
      <c r="N70" s="16">
        <f>_xll.DBRW($B$1,Input_Prod_01!$D$9,Input_Prod_01!N$11,$M$1,Input_Prod_01!$G$9,$J$9,$E$30,$B$54,$B70,$K$1)</f>
        <v>0</v>
      </c>
    </row>
    <row r="71" spans="2:14" s="1" customFormat="1" ht="15.75" customHeight="1" x14ac:dyDescent="0.25">
      <c r="B71" s="56" t="s">
        <v>25</v>
      </c>
      <c r="C71" s="41">
        <f>_xll.DBRW($B$3,Input_Prod_01!$D$9,Input_Prod_01!C$11,$M$1,Input_Prod_01!$G$9,$J$9,$E$30,Input_Prod_01!$B71,$K$1)</f>
        <v>22.243067707016714</v>
      </c>
      <c r="D71" s="41">
        <f>_xll.DBRW($B$3,Input_Prod_01!$D$9,Input_Prod_01!D$11,$M$1,Input_Prod_01!$G$9,$J$9,$E$30,Input_Prod_01!$B71,$K$1)</f>
        <v>19.722114340569014</v>
      </c>
      <c r="E71" s="41">
        <f>_xll.DBRW($B$3,Input_Prod_01!$D$9,Input_Prod_01!E$11,$M$1,Input_Prod_01!$G$9,$J$9,$E$30,Input_Prod_01!$B71,$K$1)</f>
        <v>38.914680413337024</v>
      </c>
      <c r="F71" s="41">
        <f>_xll.DBRW($B$3,Input_Prod_01!$D$9,Input_Prod_01!F$11,$M$1,Input_Prod_01!$G$9,$J$9,$E$30,Input_Prod_01!$B71,$K$1)</f>
        <v>56.971849295275547</v>
      </c>
      <c r="G71" s="41">
        <f>_xll.DBRW($B$3,Input_Prod_01!$D$9,Input_Prod_01!G$11,$M$1,Input_Prod_01!$G$9,$J$9,$E$30,Input_Prod_01!$B71,$K$1)</f>
        <v>72.521680937831078</v>
      </c>
      <c r="H71" s="41">
        <f>_xll.DBRW($B$3,Input_Prod_01!$D$9,Input_Prod_01!H$11,$M$1,Input_Prod_01!$G$9,$J$9,$E$30,Input_Prod_01!$B71,$K$1)</f>
        <v>82.205082844667231</v>
      </c>
      <c r="I71" s="41">
        <f>_xll.DBRW($B$3,Input_Prod_01!$D$9,Input_Prod_01!I$11,$M$1,Input_Prod_01!$G$9,$J$9,$E$30,Input_Prod_01!$B71,$K$1)</f>
        <v>79.52335244555789</v>
      </c>
      <c r="J71" s="41">
        <f>_xll.DBRW($B$3,Input_Prod_01!$D$9,Input_Prod_01!J$11,$M$1,Input_Prod_01!$G$9,$J$9,$E$30,Input_Prod_01!$B71,$K$1)</f>
        <v>75.437080641372987</v>
      </c>
      <c r="K71" s="41">
        <f>_xll.DBRW($B$3,Input_Prod_01!$D$9,Input_Prod_01!K$11,$M$1,Input_Prod_01!$G$9,$J$9,$E$30,Input_Prod_01!$B71,$K$1)</f>
        <v>77.033286103136263</v>
      </c>
      <c r="L71" s="41">
        <f>_xll.DBRW($B$3,Input_Prod_01!$D$9,Input_Prod_01!L$11,$M$1,Input_Prod_01!$G$9,$J$9,$E$30,Input_Prod_01!$B71,$K$1)</f>
        <v>74.97014704200879</v>
      </c>
      <c r="M71" s="41">
        <f>_xll.DBRW($B$3,Input_Prod_01!$D$9,Input_Prod_01!M$11,$M$1,Input_Prod_01!$G$9,$J$9,$E$30,Input_Prod_01!$B71,$K$1)</f>
        <v>56.675809855018393</v>
      </c>
      <c r="N71" s="41">
        <f>_xll.DBRW($B$3,Input_Prod_01!$D$9,Input_Prod_01!N$11,$M$1,Input_Prod_01!$G$9,$J$9,$E$30,Input_Prod_01!$B71,$K$1)</f>
        <v>40.677809514543299</v>
      </c>
    </row>
    <row r="73" spans="2:14" s="1" customFormat="1" ht="15.75" customHeight="1" thickBot="1" x14ac:dyDescent="0.3">
      <c r="B73" s="10"/>
    </row>
    <row r="74" spans="2:14" s="1" customFormat="1" ht="21" thickTop="1" x14ac:dyDescent="0.25">
      <c r="B74" s="9" t="s">
        <v>75</v>
      </c>
    </row>
    <row r="76" spans="2:14" s="1" customFormat="1" ht="15.75" customHeight="1" x14ac:dyDescent="0.25">
      <c r="B76" s="5"/>
      <c r="C76" s="18" t="str">
        <f>$D$9&amp;"."&amp;C$11</f>
        <v>2026.01</v>
      </c>
      <c r="D76" s="18" t="str">
        <f t="shared" ref="D76:N76" si="3">$D$9&amp;"."&amp;D$11</f>
        <v>2026.02</v>
      </c>
      <c r="E76" s="18" t="str">
        <f t="shared" si="3"/>
        <v>2026.03</v>
      </c>
      <c r="F76" s="18" t="str">
        <f t="shared" si="3"/>
        <v>2026.04</v>
      </c>
      <c r="G76" s="18" t="str">
        <f t="shared" si="3"/>
        <v>2026.05</v>
      </c>
      <c r="H76" s="18" t="str">
        <f t="shared" si="3"/>
        <v>2026.06</v>
      </c>
      <c r="I76" s="18" t="str">
        <f t="shared" si="3"/>
        <v>2026.07</v>
      </c>
      <c r="J76" s="18" t="str">
        <f t="shared" si="3"/>
        <v>2026.08</v>
      </c>
      <c r="K76" s="18" t="str">
        <f t="shared" si="3"/>
        <v>2026.09</v>
      </c>
      <c r="L76" s="18" t="str">
        <f t="shared" si="3"/>
        <v>2026.10</v>
      </c>
      <c r="M76" s="18" t="str">
        <f t="shared" si="3"/>
        <v>2026.11</v>
      </c>
      <c r="N76" s="18" t="str">
        <f t="shared" si="3"/>
        <v>2026.12</v>
      </c>
    </row>
    <row r="77" spans="2:14" s="1" customFormat="1" ht="20.25" x14ac:dyDescent="0.25">
      <c r="B77" s="53" t="s">
        <v>26</v>
      </c>
      <c r="C77" s="37">
        <f>_xll.DBRW($B$1,Input_Prod_01!$D$9,Input_Prod_01!C$11,$M$1,Input_Prod_01!$G$9,$J$9,$E$30,Input_Prod_01!$B77,$L$1,$K$1)</f>
        <v>0</v>
      </c>
      <c r="D77" s="37">
        <f>_xll.DBRW($B$1,Input_Prod_01!$D$9,Input_Prod_01!D$11,$M$1,Input_Prod_01!$G$9,$J$9,$E$30,Input_Prod_01!$B77,$L$1,$K$1)</f>
        <v>0</v>
      </c>
      <c r="E77" s="37">
        <f>_xll.DBRW($B$1,Input_Prod_01!$D$9,Input_Prod_01!E$11,$M$1,Input_Prod_01!$G$9,$J$9,$E$30,Input_Prod_01!$B77,$L$1,$K$1)</f>
        <v>0</v>
      </c>
      <c r="F77" s="37">
        <f>_xll.DBRW($B$1,Input_Prod_01!$D$9,Input_Prod_01!F$11,$M$1,Input_Prod_01!$G$9,$J$9,$E$30,Input_Prod_01!$B77,$L$1,$K$1)</f>
        <v>0</v>
      </c>
      <c r="G77" s="37">
        <f>_xll.DBRW($B$1,Input_Prod_01!$D$9,Input_Prod_01!G$11,$M$1,Input_Prod_01!$G$9,$J$9,$E$30,Input_Prod_01!$B77,$L$1,$K$1)</f>
        <v>0</v>
      </c>
      <c r="H77" s="37">
        <f>_xll.DBRW($B$1,Input_Prod_01!$D$9,Input_Prod_01!H$11,$M$1,Input_Prod_01!$G$9,$J$9,$E$30,Input_Prod_01!$B77,$L$1,$K$1)</f>
        <v>0</v>
      </c>
      <c r="I77" s="37">
        <f>_xll.DBRW($B$1,Input_Prod_01!$D$9,Input_Prod_01!I$11,$M$1,Input_Prod_01!$G$9,$J$9,$E$30,Input_Prod_01!$B77,$L$1,$K$1)</f>
        <v>0</v>
      </c>
      <c r="J77" s="37">
        <f>_xll.DBRW($B$1,Input_Prod_01!$D$9,Input_Prod_01!J$11,$M$1,Input_Prod_01!$G$9,$J$9,$E$30,Input_Prod_01!$B77,$L$1,$K$1)</f>
        <v>0</v>
      </c>
      <c r="K77" s="37">
        <f>_xll.DBRW($B$1,Input_Prod_01!$D$9,Input_Prod_01!K$11,$M$1,Input_Prod_01!$G$9,$J$9,$E$30,Input_Prod_01!$B77,$L$1,$K$1)</f>
        <v>0</v>
      </c>
      <c r="L77" s="37">
        <f>_xll.DBRW($B$1,Input_Prod_01!$D$9,Input_Prod_01!L$11,$M$1,Input_Prod_01!$G$9,$J$9,$E$30,Input_Prod_01!$B77,$L$1,$K$1)</f>
        <v>0</v>
      </c>
      <c r="M77" s="37">
        <f>_xll.DBRW($B$1,Input_Prod_01!$D$9,Input_Prod_01!M$11,$M$1,Input_Prod_01!$G$9,$J$9,$E$30,Input_Prod_01!$B77,$L$1,$K$1)</f>
        <v>0</v>
      </c>
      <c r="N77" s="37">
        <f>_xll.DBRW($B$1,Input_Prod_01!$D$9,Input_Prod_01!N$11,$M$1,Input_Prod_01!$G$9,$J$9,$E$30,Input_Prod_01!$B77,$L$1,$K$1)</f>
        <v>0</v>
      </c>
    </row>
    <row r="78" spans="2:14" s="1" customFormat="1" ht="15.75" customHeight="1" x14ac:dyDescent="0.25">
      <c r="B78" s="56" t="s">
        <v>25</v>
      </c>
      <c r="C78" s="41">
        <f>_xll.DBRW($B$3,Input_Prod_01!$D$9,Input_Prod_01!C$11,$M$1,Input_Prod_01!$G$9,$J$9,$E$30,Input_Prod_01!$B78,$K$1)</f>
        <v>22.243067707016714</v>
      </c>
      <c r="D78" s="41">
        <f>_xll.DBRW($B$3,Input_Prod_01!$D$9,Input_Prod_01!D$11,$M$1,Input_Prod_01!$G$9,$J$9,$E$30,Input_Prod_01!$B78,$K$1)</f>
        <v>19.722114340569014</v>
      </c>
      <c r="E78" s="41">
        <f>_xll.DBRW($B$3,Input_Prod_01!$D$9,Input_Prod_01!E$11,$M$1,Input_Prod_01!$G$9,$J$9,$E$30,Input_Prod_01!$B78,$K$1)</f>
        <v>38.914680413337024</v>
      </c>
      <c r="F78" s="41">
        <f>_xll.DBRW($B$3,Input_Prod_01!$D$9,Input_Prod_01!F$11,$M$1,Input_Prod_01!$G$9,$J$9,$E$30,Input_Prod_01!$B78,$K$1)</f>
        <v>56.971849295275547</v>
      </c>
      <c r="G78" s="41">
        <f>_xll.DBRW($B$3,Input_Prod_01!$D$9,Input_Prod_01!G$11,$M$1,Input_Prod_01!$G$9,$J$9,$E$30,Input_Prod_01!$B78,$K$1)</f>
        <v>72.521680937831078</v>
      </c>
      <c r="H78" s="41">
        <f>_xll.DBRW($B$3,Input_Prod_01!$D$9,Input_Prod_01!H$11,$M$1,Input_Prod_01!$G$9,$J$9,$E$30,Input_Prod_01!$B78,$K$1)</f>
        <v>82.205082844667231</v>
      </c>
      <c r="I78" s="41">
        <f>_xll.DBRW($B$3,Input_Prod_01!$D$9,Input_Prod_01!I$11,$M$1,Input_Prod_01!$G$9,$J$9,$E$30,Input_Prod_01!$B78,$K$1)</f>
        <v>79.52335244555789</v>
      </c>
      <c r="J78" s="41">
        <f>_xll.DBRW($B$3,Input_Prod_01!$D$9,Input_Prod_01!J$11,$M$1,Input_Prod_01!$G$9,$J$9,$E$30,Input_Prod_01!$B78,$K$1)</f>
        <v>75.437080641372987</v>
      </c>
      <c r="K78" s="41">
        <f>_xll.DBRW($B$3,Input_Prod_01!$D$9,Input_Prod_01!K$11,$M$1,Input_Prod_01!$G$9,$J$9,$E$30,Input_Prod_01!$B78,$K$1)</f>
        <v>77.033286103136263</v>
      </c>
      <c r="L78" s="41">
        <f>_xll.DBRW($B$3,Input_Prod_01!$D$9,Input_Prod_01!L$11,$M$1,Input_Prod_01!$G$9,$J$9,$E$30,Input_Prod_01!$B78,$K$1)</f>
        <v>74.97014704200879</v>
      </c>
      <c r="M78" s="41">
        <f>_xll.DBRW($B$3,Input_Prod_01!$D$9,Input_Prod_01!M$11,$M$1,Input_Prod_01!$G$9,$J$9,$E$30,Input_Prod_01!$B78,$K$1)</f>
        <v>56.675809855018393</v>
      </c>
      <c r="N78" s="41">
        <f>_xll.DBRW($B$3,Input_Prod_01!$D$9,Input_Prod_01!N$11,$M$1,Input_Prod_01!$G$9,$J$9,$E$30,Input_Prod_01!$B78,$K$1)</f>
        <v>40.677809514543299</v>
      </c>
    </row>
    <row r="79" spans="2:14" s="1" customFormat="1" ht="15.75" customHeight="1" x14ac:dyDescent="0.25">
      <c r="B79" s="56" t="s">
        <v>75</v>
      </c>
      <c r="C79" s="21">
        <f>_xll.DBRW($B$3,Input_Prod_01!$D$9,Input_Prod_01!C$11,$M$1,Input_Prod_01!$G$9,Input_Prod_01!$J$9,$E$30,Input_Prod_01!$B79,$K$1)</f>
        <v>22.243067707016714</v>
      </c>
      <c r="D79" s="21">
        <f>_xll.DBRW($B$3,Input_Prod_01!$D$9,Input_Prod_01!D$11,$M$1,Input_Prod_01!$G$9,Input_Prod_01!$J$9,$E$30,Input_Prod_01!$B79,$K$1)</f>
        <v>19.722114340569014</v>
      </c>
      <c r="E79" s="21">
        <f>_xll.DBRW($B$3,Input_Prod_01!$D$9,Input_Prod_01!E$11,$M$1,Input_Prod_01!$G$9,Input_Prod_01!$J$9,$E$30,Input_Prod_01!$B79,$K$1)</f>
        <v>38.914680413337024</v>
      </c>
      <c r="F79" s="21">
        <f>_xll.DBRW($B$3,Input_Prod_01!$D$9,Input_Prod_01!F$11,$M$1,Input_Prod_01!$G$9,Input_Prod_01!$J$9,$E$30,Input_Prod_01!$B79,$K$1)</f>
        <v>56.971849295275547</v>
      </c>
      <c r="G79" s="21">
        <f>_xll.DBRW($B$3,Input_Prod_01!$D$9,Input_Prod_01!G$11,$M$1,Input_Prod_01!$G$9,Input_Prod_01!$J$9,$E$30,Input_Prod_01!$B79,$K$1)</f>
        <v>72.521680937831078</v>
      </c>
      <c r="H79" s="21">
        <f>_xll.DBRW($B$3,Input_Prod_01!$D$9,Input_Prod_01!H$11,$M$1,Input_Prod_01!$G$9,Input_Prod_01!$J$9,$E$30,Input_Prod_01!$B79,$K$1)</f>
        <v>82.205082844667231</v>
      </c>
      <c r="I79" s="21">
        <f>_xll.DBRW($B$3,Input_Prod_01!$D$9,Input_Prod_01!I$11,$M$1,Input_Prod_01!$G$9,Input_Prod_01!$J$9,$E$30,Input_Prod_01!$B79,$K$1)</f>
        <v>79.52335244555789</v>
      </c>
      <c r="J79" s="21">
        <f>_xll.DBRW($B$3,Input_Prod_01!$D$9,Input_Prod_01!J$11,$M$1,Input_Prod_01!$G$9,Input_Prod_01!$J$9,$E$30,Input_Prod_01!$B79,$K$1)</f>
        <v>75.437080641372987</v>
      </c>
      <c r="K79" s="21">
        <f>_xll.DBRW($B$3,Input_Prod_01!$D$9,Input_Prod_01!K$11,$M$1,Input_Prod_01!$G$9,Input_Prod_01!$J$9,$E$30,Input_Prod_01!$B79,$K$1)</f>
        <v>77.033286103136263</v>
      </c>
      <c r="L79" s="21">
        <f>_xll.DBRW($B$3,Input_Prod_01!$D$9,Input_Prod_01!L$11,$M$1,Input_Prod_01!$G$9,Input_Prod_01!$J$9,$E$30,Input_Prod_01!$B79,$K$1)</f>
        <v>74.97014704200879</v>
      </c>
      <c r="M79" s="21">
        <f>_xll.DBRW($B$3,Input_Prod_01!$D$9,Input_Prod_01!M$11,$M$1,Input_Prod_01!$G$9,Input_Prod_01!$J$9,$E$30,Input_Prod_01!$B79,$K$1)</f>
        <v>56.675809855018393</v>
      </c>
      <c r="N79" s="21">
        <f>_xll.DBRW($B$3,Input_Prod_01!$D$9,Input_Prod_01!N$11,$M$1,Input_Prod_01!$G$9,Input_Prod_01!$J$9,$E$30,Input_Prod_01!$B79,$K$1)</f>
        <v>40.677809514543299</v>
      </c>
    </row>
    <row r="80" spans="2:14" s="1" customFormat="1" ht="15.75" customHeight="1" x14ac:dyDescent="0.25">
      <c r="B80"/>
      <c r="C80"/>
      <c r="D80"/>
      <c r="E80"/>
      <c r="F80"/>
      <c r="G80"/>
      <c r="H80"/>
      <c r="I80"/>
      <c r="J80"/>
      <c r="K80"/>
      <c r="L80"/>
      <c r="M80"/>
      <c r="N80"/>
    </row>
    <row r="81" spans="3:14" s="1" customFormat="1" ht="15.75" customHeight="1" x14ac:dyDescent="0.25">
      <c r="C81"/>
      <c r="D81"/>
      <c r="E81"/>
      <c r="F81"/>
      <c r="G81"/>
      <c r="H81"/>
      <c r="I81"/>
      <c r="J81"/>
      <c r="K81"/>
      <c r="L81"/>
      <c r="M81"/>
      <c r="N81"/>
    </row>
  </sheetData>
  <mergeCells count="2">
    <mergeCell ref="E30:G30"/>
    <mergeCell ref="L7:M7"/>
  </mergeCells>
  <phoneticPr fontId="12" type="noConversion"/>
  <conditionalFormatting sqref="C34:N40">
    <cfRule type="expression" dxfId="48" priority="67">
      <formula>C$5="ACTUAL"</formula>
    </cfRule>
  </conditionalFormatting>
  <conditionalFormatting sqref="C50:N53 C55:N70">
    <cfRule type="expression" dxfId="47" priority="65">
      <formula>C$5="ACTUAL"</formula>
    </cfRule>
  </conditionalFormatting>
  <conditionalFormatting sqref="C77:N77">
    <cfRule type="expression" dxfId="46" priority="64">
      <formula>C$5="ACTUAL"</formula>
    </cfRule>
  </conditionalFormatting>
  <conditionalFormatting sqref="N7">
    <cfRule type="cellIs" dxfId="45" priority="47" operator="equal">
      <formula>"Open"</formula>
    </cfRule>
    <cfRule type="cellIs" dxfId="44" priority="48" operator="equal">
      <formula>"Closed"</formula>
    </cfRule>
  </conditionalFormatting>
  <dataValidations disablePrompts="1" count="1">
    <dataValidation type="list" errorStyle="information" allowBlank="1" showInputMessage="1" sqref="D5:N5" xr:uid="{B88A5EB6-4886-440E-848F-AB6769267F0A}">
      <formula1>cafe_validation_temp</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E6F4-0722-4D48-9850-C0ADB9B5B5D9}">
  <dimension ref="A1:X89"/>
  <sheetViews>
    <sheetView showGridLines="0" topLeftCell="A24" zoomScaleNormal="100" workbookViewId="0">
      <selection activeCell="C51" sqref="C51:N51"/>
    </sheetView>
  </sheetViews>
  <sheetFormatPr defaultColWidth="12.42578125" defaultRowHeight="15.75" customHeight="1" x14ac:dyDescent="0.25"/>
  <cols>
    <col min="1" max="1" width="3.28515625" style="1" customWidth="1"/>
    <col min="2" max="2" width="43.42578125" style="1" customWidth="1"/>
    <col min="3" max="3" width="14.140625" style="1" customWidth="1"/>
    <col min="4" max="4" width="16.42578125" style="1" bestFit="1" customWidth="1"/>
    <col min="5" max="10" width="16.7109375" style="1" bestFit="1" customWidth="1"/>
    <col min="11" max="11" width="18.5703125" style="1" bestFit="1" customWidth="1"/>
    <col min="12" max="13" width="16.7109375" style="1" bestFit="1" customWidth="1"/>
    <col min="14" max="14" width="16.5703125" style="1" customWidth="1"/>
    <col min="15" max="24" width="12.42578125" style="1"/>
  </cols>
  <sheetData>
    <row r="1" spans="2:14" s="1" customFormat="1" ht="19.5" hidden="1" customHeight="1" x14ac:dyDescent="0.25">
      <c r="B1" s="1" t="str">
        <f>_xll.VIEW("CONS_VC:STG.100.DataBase_Uploads",D9)</f>
        <v>CONS_VC:STG.100.DataBase_Uploads:-752698549379028367</v>
      </c>
      <c r="C1" s="1" t="str">
        <f>_xll.VIEW("CONS_VC:ALL.015.Region_Assumptions")</f>
        <v>CONS_VC:ALL.015.Region_Assumptions:-752698549-4785970</v>
      </c>
      <c r="D1" s="1" t="str">
        <f>_xll.VIEW("CONS_VC:DFS.120.Financial_Results")</f>
        <v>CONS_VC:DFS.120.Financial_Results:-752698549890993963</v>
      </c>
      <c r="K1" s="1" t="s">
        <v>72</v>
      </c>
      <c r="L1" s="1" t="s">
        <v>66</v>
      </c>
      <c r="M1" s="12" t="str">
        <f>_xll.SUBNM("CONS_VC:ALL.D.Version","","T4")</f>
        <v>T4</v>
      </c>
      <c r="N1" s="1" t="s">
        <v>73</v>
      </c>
    </row>
    <row r="2" spans="2:14" s="1" customFormat="1" ht="33" hidden="1" customHeight="1" x14ac:dyDescent="0.25">
      <c r="B2" s="1" t="str">
        <f>_xll.VIEW("CONS_VC:REV.100.Revenue_Consolidated")</f>
        <v>CONS_VC:REV.100.Revenue_Consolidated:-752698549-1043644815</v>
      </c>
      <c r="C2" s="1" t="str">
        <f>_xll.VIEW("CONS_VC:ALL.010.Economic_Assumptions")</f>
        <v>CONS_VC:ALL.010.Economic_Assumptions:-752698549-1652293987</v>
      </c>
      <c r="D2" s="1" t="str">
        <f>_xll.VIEW("CONS_VC:DFS.140.Indirect_Cash_Flow")</f>
        <v>CONS_VC:DFS.140.Indirect_Cash_Flow:-752698549-767194537</v>
      </c>
      <c r="K2" s="1" t="s">
        <v>71</v>
      </c>
      <c r="N2" s="1" t="s">
        <v>74</v>
      </c>
    </row>
    <row r="3" spans="2:14" s="1" customFormat="1" ht="29.25" hidden="1" customHeight="1" x14ac:dyDescent="0.25">
      <c r="B3" s="1" t="str">
        <f>_xll.VIEW("CONS_VC:DFS.100.Profit_and_Loss")</f>
        <v>CONS_VC:DFS.100.Profit_and_Loss:-7526985491143614695</v>
      </c>
      <c r="C3" s="1" t="str">
        <f>_xll.VIEW("CONS_VC:DFS.160.Working_Capital")</f>
        <v>CONS_VC:DFS.160.Working_Capital:-752698549-1628048918</v>
      </c>
      <c r="D3" s="1" t="str">
        <f>_xll.VIEW("CONS_VC:ALL.004.Uploads_Status_Planning")</f>
        <v>CONS_VC:ALL.004.Uploads_Status_Planning:-752698549-1635088025</v>
      </c>
      <c r="G3" s="1" t="s">
        <v>82</v>
      </c>
    </row>
    <row r="4" spans="2:14" s="1" customFormat="1" ht="33" hidden="1" customHeight="1" x14ac:dyDescent="0.25">
      <c r="B4" s="1" t="str">
        <f>_xll.VIEW("CONS_VC:ALL.001.Actual_Control")</f>
        <v>CONS_VC:ALL.001.Actual_Control:-752698549-938340181</v>
      </c>
      <c r="C4" s="1" t="str">
        <f>_xll.VIEW("CONS_VC:DFS.180.Gross_Debt")</f>
        <v>CONS_VC:DFS.180.Gross_Debt:-7526985491862422329</v>
      </c>
    </row>
    <row r="5" spans="2:14" s="1" customFormat="1" ht="30" hidden="1" customHeight="1" x14ac:dyDescent="0.25">
      <c r="C5" s="11" t="str">
        <f>_xll.DBRW(Input_Prod_02!$B$4,Input_Prod_02!$D$9,Input_Prod_02!C11,$M$1,$G$3)</f>
        <v>PLAN</v>
      </c>
      <c r="D5" s="11" t="str">
        <f>_xll.DBRW(Input_Prod_02!$B$4,Input_Prod_02!$D$9,Input_Prod_02!D11,$M$1,$G$3)</f>
        <v>PLAN</v>
      </c>
      <c r="E5" s="11" t="str">
        <f>_xll.DBRW(Input_Prod_02!$B$4,Input_Prod_02!$D$9,Input_Prod_02!E11,$M$1,$G$3)</f>
        <v>PLAN</v>
      </c>
      <c r="F5" s="11" t="str">
        <f>_xll.DBRW(Input_Prod_02!$B$4,Input_Prod_02!$D$9,Input_Prod_02!F11,$M$1,$G$3)</f>
        <v>PLAN</v>
      </c>
      <c r="G5" s="11" t="str">
        <f>_xll.DBRW(Input_Prod_02!$B$4,Input_Prod_02!$D$9,Input_Prod_02!G11,$M$1,$G$3)</f>
        <v>PLAN</v>
      </c>
      <c r="H5" s="11" t="str">
        <f>_xll.DBRW(Input_Prod_02!$B$4,Input_Prod_02!$D$9,Input_Prod_02!H11,$M$1,$G$3)</f>
        <v>PLAN</v>
      </c>
      <c r="I5" s="11" t="str">
        <f>_xll.DBRW(Input_Prod_02!$B$4,Input_Prod_02!$D$9,Input_Prod_02!I11,$M$1,$G$3)</f>
        <v>PLAN</v>
      </c>
      <c r="J5" s="11" t="str">
        <f>_xll.DBRW(Input_Prod_02!$B$4,Input_Prod_02!$D$9,Input_Prod_02!J11,$M$1,$G$3)</f>
        <v>PLAN</v>
      </c>
      <c r="K5" s="11" t="str">
        <f>_xll.DBRW(Input_Prod_02!$B$4,Input_Prod_02!$D$9,Input_Prod_02!K11,$M$1,$G$3)</f>
        <v>PLAN</v>
      </c>
      <c r="L5" s="11" t="str">
        <f>_xll.DBRW(Input_Prod_02!$B$4,Input_Prod_02!$D$9,Input_Prod_02!L11,$M$1,$G$3)</f>
        <v>PLAN</v>
      </c>
      <c r="M5" s="11" t="str">
        <f>_xll.DBRW(Input_Prod_02!$B$4,Input_Prod_02!$D$9,Input_Prod_02!M11,$M$1,$G$3)</f>
        <v>PLAN</v>
      </c>
      <c r="N5" s="11" t="str">
        <f>_xll.DBRW(Input_Prod_02!$B$4,Input_Prod_02!$D$9,Input_Prod_02!N11,$M$1,$G$3)</f>
        <v>PLAN</v>
      </c>
    </row>
    <row r="6" spans="2:14" s="1" customFormat="1" ht="19.5" customHeight="1" x14ac:dyDescent="0.25"/>
    <row r="7" spans="2:14" s="1" customFormat="1" ht="24" customHeight="1" thickBot="1" x14ac:dyDescent="0.3">
      <c r="B7" s="10"/>
      <c r="L7" s="49" t="s">
        <v>145</v>
      </c>
      <c r="M7" s="49"/>
      <c r="N7" s="29" t="str">
        <f>_xll.DBRW($D$3,$M$1,$J$9,"Status")</f>
        <v>Closed</v>
      </c>
    </row>
    <row r="8" spans="2:14" s="1" customFormat="1" ht="15.75" customHeight="1" thickTop="1" x14ac:dyDescent="0.25">
      <c r="B8" s="9" t="s">
        <v>0</v>
      </c>
      <c r="M8" s="28"/>
    </row>
    <row r="9" spans="2:14" s="1" customFormat="1" ht="15.75" customHeight="1" thickBot="1" x14ac:dyDescent="0.3">
      <c r="C9" s="19" t="s">
        <v>67</v>
      </c>
      <c r="D9" s="35" t="str">
        <f>_xll.SUBNM("CONS_VC:ALL.D.Year","SYS_Picklist","2026","MEMBER_NAME")</f>
        <v>2026</v>
      </c>
      <c r="F9" s="19" t="s">
        <v>68</v>
      </c>
      <c r="G9" s="35" t="str">
        <f>_xll.SUBNM("CONS_VC:ALL.D.Currency","PAX","USD","Nome alternativo")</f>
        <v>USD</v>
      </c>
      <c r="I9" s="28" t="s">
        <v>69</v>
      </c>
      <c r="J9" s="35" t="str">
        <f>_xll.SUBNM("CONS_VC:ALL.D.Region","Nível 0","VCNA","MEMBER_NAME")</f>
        <v>VCNA</v>
      </c>
    </row>
    <row r="10" spans="2:14" s="1" customFormat="1" ht="15.75" customHeight="1" thickTop="1" x14ac:dyDescent="0.25">
      <c r="B10" s="9"/>
      <c r="C10" s="13"/>
      <c r="D10" s="14"/>
    </row>
    <row r="11" spans="2:14" s="1" customFormat="1" ht="45" hidden="1" customHeight="1" x14ac:dyDescent="0.25">
      <c r="C11" s="15" t="s">
        <v>46</v>
      </c>
      <c r="D11" s="15" t="s">
        <v>47</v>
      </c>
      <c r="E11" s="15" t="s">
        <v>48</v>
      </c>
      <c r="F11" s="15" t="s">
        <v>49</v>
      </c>
      <c r="G11" s="15" t="s">
        <v>50</v>
      </c>
      <c r="H11" s="15" t="s">
        <v>51</v>
      </c>
      <c r="I11" s="15" t="s">
        <v>52</v>
      </c>
      <c r="J11" s="15" t="s">
        <v>53</v>
      </c>
      <c r="K11" s="15" t="s">
        <v>54</v>
      </c>
      <c r="L11" s="15" t="s">
        <v>55</v>
      </c>
      <c r="M11" s="15" t="s">
        <v>56</v>
      </c>
      <c r="N11" s="15" t="s">
        <v>57</v>
      </c>
    </row>
    <row r="12" spans="2:14" s="4" customFormat="1" ht="15.75" customHeight="1" x14ac:dyDescent="0.25">
      <c r="B12" s="5"/>
      <c r="C12" s="18" t="str">
        <f>$D$9&amp;"."&amp;C11</f>
        <v>2026.01</v>
      </c>
      <c r="D12" s="18" t="str">
        <f t="shared" ref="D12:N12" si="0">$D$9&amp;"."&amp;D11</f>
        <v>2026.02</v>
      </c>
      <c r="E12" s="18" t="str">
        <f t="shared" si="0"/>
        <v>2026.03</v>
      </c>
      <c r="F12" s="18" t="str">
        <f t="shared" si="0"/>
        <v>2026.04</v>
      </c>
      <c r="G12" s="18" t="str">
        <f t="shared" si="0"/>
        <v>2026.05</v>
      </c>
      <c r="H12" s="18" t="str">
        <f t="shared" si="0"/>
        <v>2026.06</v>
      </c>
      <c r="I12" s="18" t="str">
        <f t="shared" si="0"/>
        <v>2026.07</v>
      </c>
      <c r="J12" s="18" t="str">
        <f t="shared" si="0"/>
        <v>2026.08</v>
      </c>
      <c r="K12" s="18" t="str">
        <f t="shared" si="0"/>
        <v>2026.09</v>
      </c>
      <c r="L12" s="18" t="str">
        <f t="shared" si="0"/>
        <v>2026.10</v>
      </c>
      <c r="M12" s="18" t="str">
        <f t="shared" si="0"/>
        <v>2026.11</v>
      </c>
      <c r="N12" s="18" t="str">
        <f t="shared" si="0"/>
        <v>2026.12</v>
      </c>
    </row>
    <row r="13" spans="2:14" s="1" customFormat="1" ht="15.75" customHeight="1" x14ac:dyDescent="0.25">
      <c r="B13" s="17" t="s">
        <v>1</v>
      </c>
      <c r="C13" s="27">
        <f>_xll.DBRW($C$2,Input_Prod_02!$D$9,Input_Prod_02!$C$11,$M$1,$B13,$K$1)</f>
        <v>0</v>
      </c>
      <c r="D13" s="27">
        <f>_xll.DBRW($C$2,Input_Prod_02!$D$9,Input_Prod_02!$C$11,$M$1,$B13,$K$1)</f>
        <v>0</v>
      </c>
      <c r="E13" s="27">
        <f>_xll.DBRW($C$2,Input_Prod_02!$D$9,Input_Prod_02!$C$11,$M$1,$B13,$K$1)</f>
        <v>0</v>
      </c>
      <c r="F13" s="27">
        <f>_xll.DBRW($C$2,Input_Prod_02!$D$9,Input_Prod_02!$C$11,$M$1,$B13,$K$1)</f>
        <v>0</v>
      </c>
      <c r="G13" s="27">
        <f>_xll.DBRW($C$2,Input_Prod_02!$D$9,Input_Prod_02!$C$11,$M$1,$B13,$K$1)</f>
        <v>0</v>
      </c>
      <c r="H13" s="27">
        <f>_xll.DBRW($C$2,Input_Prod_02!$D$9,Input_Prod_02!$C$11,$M$1,$B13,$K$1)</f>
        <v>0</v>
      </c>
      <c r="I13" s="27">
        <f>_xll.DBRW($C$2,Input_Prod_02!$D$9,Input_Prod_02!$C$11,$M$1,$B13,$K$1)</f>
        <v>0</v>
      </c>
      <c r="J13" s="27">
        <f>_xll.DBRW($C$2,Input_Prod_02!$D$9,Input_Prod_02!$C$11,$M$1,$B13,$K$1)</f>
        <v>0</v>
      </c>
      <c r="K13" s="27">
        <f>_xll.DBRW($C$2,Input_Prod_02!$D$9,Input_Prod_02!$C$11,$M$1,$B13,$K$1)</f>
        <v>0</v>
      </c>
      <c r="L13" s="27">
        <f>_xll.DBRW($C$2,Input_Prod_02!$D$9,Input_Prod_02!$C$11,$M$1,$B13,$K$1)</f>
        <v>0</v>
      </c>
      <c r="M13" s="27">
        <f>_xll.DBRW($C$2,Input_Prod_02!$D$9,Input_Prod_02!$C$11,$M$1,$B13,$K$1)</f>
        <v>0</v>
      </c>
      <c r="N13" s="27">
        <f>_xll.DBRW($C$2,Input_Prod_02!$D$9,Input_Prod_02!$C$11,$M$1,$B13,$K$1)</f>
        <v>0</v>
      </c>
    </row>
    <row r="14" spans="2:14" s="1" customFormat="1" ht="15.75" customHeight="1" x14ac:dyDescent="0.25">
      <c r="B14" s="17" t="s">
        <v>2</v>
      </c>
      <c r="C14" s="27">
        <f>_xll.DBRW($C$2,Input_Prod_02!$D$9,Input_Prod_02!$C$11,$M$1,$B14,$K$1)</f>
        <v>0</v>
      </c>
      <c r="D14" s="27">
        <f>_xll.DBRW($C$2,Input_Prod_02!$D$9,Input_Prod_02!$C$11,$M$1,$B14,$K$1)</f>
        <v>0</v>
      </c>
      <c r="E14" s="27">
        <f>_xll.DBRW($C$2,Input_Prod_02!$D$9,Input_Prod_02!$C$11,$M$1,$B14,$K$1)</f>
        <v>0</v>
      </c>
      <c r="F14" s="27">
        <f>_xll.DBRW($C$2,Input_Prod_02!$D$9,Input_Prod_02!$C$11,$M$1,$B14,$K$1)</f>
        <v>0</v>
      </c>
      <c r="G14" s="27">
        <f>_xll.DBRW($C$2,Input_Prod_02!$D$9,Input_Prod_02!$C$11,$M$1,$B14,$K$1)</f>
        <v>0</v>
      </c>
      <c r="H14" s="27">
        <f>_xll.DBRW($C$2,Input_Prod_02!$D$9,Input_Prod_02!$C$11,$M$1,$B14,$K$1)</f>
        <v>0</v>
      </c>
      <c r="I14" s="27">
        <f>_xll.DBRW($C$2,Input_Prod_02!$D$9,Input_Prod_02!$C$11,$M$1,$B14,$K$1)</f>
        <v>0</v>
      </c>
      <c r="J14" s="27">
        <f>_xll.DBRW($C$2,Input_Prod_02!$D$9,Input_Prod_02!$C$11,$M$1,$B14,$K$1)</f>
        <v>0</v>
      </c>
      <c r="K14" s="27">
        <f>_xll.DBRW($C$2,Input_Prod_02!$D$9,Input_Prod_02!$C$11,$M$1,$B14,$K$1)</f>
        <v>0</v>
      </c>
      <c r="L14" s="27">
        <f>_xll.DBRW($C$2,Input_Prod_02!$D$9,Input_Prod_02!$C$11,$M$1,$B14,$K$1)</f>
        <v>0</v>
      </c>
      <c r="M14" s="27">
        <f>_xll.DBRW($C$2,Input_Prod_02!$D$9,Input_Prod_02!$C$11,$M$1,$B14,$K$1)</f>
        <v>0</v>
      </c>
      <c r="N14" s="27">
        <f>_xll.DBRW($C$2,Input_Prod_02!$D$9,Input_Prod_02!$C$11,$M$1,$B14,$K$1)</f>
        <v>0</v>
      </c>
    </row>
    <row r="15" spans="2:14" s="1" customFormat="1" ht="15.75" customHeight="1" x14ac:dyDescent="0.25">
      <c r="B15" s="17" t="s">
        <v>3</v>
      </c>
      <c r="C15" s="27">
        <f>_xll.DBRW($C$2,Input_Prod_02!$D$9,Input_Prod_02!$C$11,$M$1,$B15,$K$1)</f>
        <v>0</v>
      </c>
      <c r="D15" s="27">
        <f>_xll.DBRW($C$2,Input_Prod_02!$D$9,Input_Prod_02!$C$11,$M$1,$B15,$K$1)</f>
        <v>0</v>
      </c>
      <c r="E15" s="27">
        <f>_xll.DBRW($C$2,Input_Prod_02!$D$9,Input_Prod_02!$C$11,$M$1,$B15,$K$1)</f>
        <v>0</v>
      </c>
      <c r="F15" s="27">
        <f>_xll.DBRW($C$2,Input_Prod_02!$D$9,Input_Prod_02!$C$11,$M$1,$B15,$K$1)</f>
        <v>0</v>
      </c>
      <c r="G15" s="27">
        <f>_xll.DBRW($C$2,Input_Prod_02!$D$9,Input_Prod_02!$C$11,$M$1,$B15,$K$1)</f>
        <v>0</v>
      </c>
      <c r="H15" s="27">
        <f>_xll.DBRW($C$2,Input_Prod_02!$D$9,Input_Prod_02!$C$11,$M$1,$B15,$K$1)</f>
        <v>0</v>
      </c>
      <c r="I15" s="27">
        <f>_xll.DBRW($C$2,Input_Prod_02!$D$9,Input_Prod_02!$C$11,$M$1,$B15,$K$1)</f>
        <v>0</v>
      </c>
      <c r="J15" s="27">
        <f>_xll.DBRW($C$2,Input_Prod_02!$D$9,Input_Prod_02!$C$11,$M$1,$B15,$K$1)</f>
        <v>0</v>
      </c>
      <c r="K15" s="27">
        <f>_xll.DBRW($C$2,Input_Prod_02!$D$9,Input_Prod_02!$C$11,$M$1,$B15,$K$1)</f>
        <v>0</v>
      </c>
      <c r="L15" s="27">
        <f>_xll.DBRW($C$2,Input_Prod_02!$D$9,Input_Prod_02!$C$11,$M$1,$B15,$K$1)</f>
        <v>0</v>
      </c>
      <c r="M15" s="27">
        <f>_xll.DBRW($C$2,Input_Prod_02!$D$9,Input_Prod_02!$C$11,$M$1,$B15,$K$1)</f>
        <v>0</v>
      </c>
      <c r="N15" s="27">
        <f>_xll.DBRW($C$2,Input_Prod_02!$D$9,Input_Prod_02!$C$11,$M$1,$B15,$K$1)</f>
        <v>0</v>
      </c>
    </row>
    <row r="16" spans="2:14" s="1" customFormat="1" ht="15.75" customHeight="1" x14ac:dyDescent="0.25">
      <c r="B16" s="17" t="s">
        <v>4</v>
      </c>
      <c r="C16" s="27">
        <f>_xll.DBRW($C$2,Input_Prod_02!$D$9,Input_Prod_02!$C$11,$M$1,$B16,$K$1)</f>
        <v>0</v>
      </c>
      <c r="D16" s="27">
        <f>_xll.DBRW($C$2,Input_Prod_02!$D$9,Input_Prod_02!$C$11,$M$1,$B16,$K$1)</f>
        <v>0</v>
      </c>
      <c r="E16" s="27">
        <f>_xll.DBRW($C$2,Input_Prod_02!$D$9,Input_Prod_02!$C$11,$M$1,$B16,$K$1)</f>
        <v>0</v>
      </c>
      <c r="F16" s="27">
        <f>_xll.DBRW($C$2,Input_Prod_02!$D$9,Input_Prod_02!$C$11,$M$1,$B16,$K$1)</f>
        <v>0</v>
      </c>
      <c r="G16" s="27">
        <f>_xll.DBRW($C$2,Input_Prod_02!$D$9,Input_Prod_02!$C$11,$M$1,$B16,$K$1)</f>
        <v>0</v>
      </c>
      <c r="H16" s="27">
        <f>_xll.DBRW($C$2,Input_Prod_02!$D$9,Input_Prod_02!$C$11,$M$1,$B16,$K$1)</f>
        <v>0</v>
      </c>
      <c r="I16" s="27">
        <f>_xll.DBRW($C$2,Input_Prod_02!$D$9,Input_Prod_02!$C$11,$M$1,$B16,$K$1)</f>
        <v>0</v>
      </c>
      <c r="J16" s="27">
        <f>_xll.DBRW($C$2,Input_Prod_02!$D$9,Input_Prod_02!$C$11,$M$1,$B16,$K$1)</f>
        <v>0</v>
      </c>
      <c r="K16" s="27">
        <f>_xll.DBRW($C$2,Input_Prod_02!$D$9,Input_Prod_02!$C$11,$M$1,$B16,$K$1)</f>
        <v>0</v>
      </c>
      <c r="L16" s="27">
        <f>_xll.DBRW($C$2,Input_Prod_02!$D$9,Input_Prod_02!$C$11,$M$1,$B16,$K$1)</f>
        <v>0</v>
      </c>
      <c r="M16" s="27">
        <f>_xll.DBRW($C$2,Input_Prod_02!$D$9,Input_Prod_02!$C$11,$M$1,$B16,$K$1)</f>
        <v>0</v>
      </c>
      <c r="N16" s="27">
        <f>_xll.DBRW($C$2,Input_Prod_02!$D$9,Input_Prod_02!$C$11,$M$1,$B16,$K$1)</f>
        <v>0</v>
      </c>
    </row>
    <row r="17" spans="2:14" s="1" customFormat="1" ht="15.75" customHeight="1" x14ac:dyDescent="0.25">
      <c r="B17" s="17" t="s">
        <v>5</v>
      </c>
      <c r="C17" s="27">
        <f>_xll.DBRW($C$2,Input_Prod_02!$D$9,Input_Prod_02!$C$11,$M$1,$B17,$K$1)</f>
        <v>5</v>
      </c>
      <c r="D17" s="27">
        <f>_xll.DBRW($C$2,Input_Prod_02!$D$9,Input_Prod_02!$C$11,$M$1,$B17,$K$1)</f>
        <v>5</v>
      </c>
      <c r="E17" s="27">
        <f>_xll.DBRW($C$2,Input_Prod_02!$D$9,Input_Prod_02!$C$11,$M$1,$B17,$K$1)</f>
        <v>5</v>
      </c>
      <c r="F17" s="27">
        <f>_xll.DBRW($C$2,Input_Prod_02!$D$9,Input_Prod_02!$C$11,$M$1,$B17,$K$1)</f>
        <v>5</v>
      </c>
      <c r="G17" s="27">
        <f>_xll.DBRW($C$2,Input_Prod_02!$D$9,Input_Prod_02!$C$11,$M$1,$B17,$K$1)</f>
        <v>5</v>
      </c>
      <c r="H17" s="27">
        <f>_xll.DBRW($C$2,Input_Prod_02!$D$9,Input_Prod_02!$C$11,$M$1,$B17,$K$1)</f>
        <v>5</v>
      </c>
      <c r="I17" s="27">
        <f>_xll.DBRW($C$2,Input_Prod_02!$D$9,Input_Prod_02!$C$11,$M$1,$B17,$K$1)</f>
        <v>5</v>
      </c>
      <c r="J17" s="27">
        <f>_xll.DBRW($C$2,Input_Prod_02!$D$9,Input_Prod_02!$C$11,$M$1,$B17,$K$1)</f>
        <v>5</v>
      </c>
      <c r="K17" s="27">
        <f>_xll.DBRW($C$2,Input_Prod_02!$D$9,Input_Prod_02!$C$11,$M$1,$B17,$K$1)</f>
        <v>5</v>
      </c>
      <c r="L17" s="27">
        <f>_xll.DBRW($C$2,Input_Prod_02!$D$9,Input_Prod_02!$C$11,$M$1,$B17,$K$1)</f>
        <v>5</v>
      </c>
      <c r="M17" s="27">
        <f>_xll.DBRW($C$2,Input_Prod_02!$D$9,Input_Prod_02!$C$11,$M$1,$B17,$K$1)</f>
        <v>5</v>
      </c>
      <c r="N17" s="27">
        <f>_xll.DBRW($C$2,Input_Prod_02!$D$9,Input_Prod_02!$C$11,$M$1,$B17,$K$1)</f>
        <v>5</v>
      </c>
    </row>
    <row r="18" spans="2:14" s="1" customFormat="1" ht="15.75" customHeight="1" x14ac:dyDescent="0.25">
      <c r="B18" s="17" t="s">
        <v>6</v>
      </c>
      <c r="C18" s="27">
        <f>_xll.DBRW($C$2,Input_Prod_02!$D$9,Input_Prod_02!$C$11,$M$1,$B18,$K$1)</f>
        <v>0</v>
      </c>
      <c r="D18" s="27">
        <f>_xll.DBRW($C$2,Input_Prod_02!$D$9,Input_Prod_02!$C$11,$M$1,$B18,$K$1)</f>
        <v>0</v>
      </c>
      <c r="E18" s="27">
        <f>_xll.DBRW($C$2,Input_Prod_02!$D$9,Input_Prod_02!$C$11,$M$1,$B18,$K$1)</f>
        <v>0</v>
      </c>
      <c r="F18" s="27">
        <f>_xll.DBRW($C$2,Input_Prod_02!$D$9,Input_Prod_02!$C$11,$M$1,$B18,$K$1)</f>
        <v>0</v>
      </c>
      <c r="G18" s="27">
        <f>_xll.DBRW($C$2,Input_Prod_02!$D$9,Input_Prod_02!$C$11,$M$1,$B18,$K$1)</f>
        <v>0</v>
      </c>
      <c r="H18" s="27">
        <f>_xll.DBRW($C$2,Input_Prod_02!$D$9,Input_Prod_02!$C$11,$M$1,$B18,$K$1)</f>
        <v>0</v>
      </c>
      <c r="I18" s="27">
        <f>_xll.DBRW($C$2,Input_Prod_02!$D$9,Input_Prod_02!$C$11,$M$1,$B18,$K$1)</f>
        <v>0</v>
      </c>
      <c r="J18" s="27">
        <f>_xll.DBRW($C$2,Input_Prod_02!$D$9,Input_Prod_02!$C$11,$M$1,$B18,$K$1)</f>
        <v>0</v>
      </c>
      <c r="K18" s="27">
        <f>_xll.DBRW($C$2,Input_Prod_02!$D$9,Input_Prod_02!$C$11,$M$1,$B18,$K$1)</f>
        <v>0</v>
      </c>
      <c r="L18" s="27">
        <f>_xll.DBRW($C$2,Input_Prod_02!$D$9,Input_Prod_02!$C$11,$M$1,$B18,$K$1)</f>
        <v>0</v>
      </c>
      <c r="M18" s="27">
        <f>_xll.DBRW($C$2,Input_Prod_02!$D$9,Input_Prod_02!$C$11,$M$1,$B18,$K$1)</f>
        <v>0</v>
      </c>
      <c r="N18" s="27">
        <f>_xll.DBRW($C$2,Input_Prod_02!$D$9,Input_Prod_02!$C$11,$M$1,$B18,$K$1)</f>
        <v>0</v>
      </c>
    </row>
    <row r="19" spans="2:14" s="1" customFormat="1" ht="15.75" customHeight="1" x14ac:dyDescent="0.25">
      <c r="B19" s="17" t="s">
        <v>7</v>
      </c>
      <c r="C19" s="27">
        <f>_xll.DBRW($C$2,Input_Prod_02!$D$9,Input_Prod_02!$C$11,$M$1,$B19,$K$1)</f>
        <v>0</v>
      </c>
      <c r="D19" s="27">
        <f>_xll.DBRW($C$2,Input_Prod_02!$D$9,Input_Prod_02!$C$11,$M$1,$B19,$K$1)</f>
        <v>0</v>
      </c>
      <c r="E19" s="27">
        <f>_xll.DBRW($C$2,Input_Prod_02!$D$9,Input_Prod_02!$C$11,$M$1,$B19,$K$1)</f>
        <v>0</v>
      </c>
      <c r="F19" s="27">
        <f>_xll.DBRW($C$2,Input_Prod_02!$D$9,Input_Prod_02!$C$11,$M$1,$B19,$K$1)</f>
        <v>0</v>
      </c>
      <c r="G19" s="27">
        <f>_xll.DBRW($C$2,Input_Prod_02!$D$9,Input_Prod_02!$C$11,$M$1,$B19,$K$1)</f>
        <v>0</v>
      </c>
      <c r="H19" s="27">
        <f>_xll.DBRW($C$2,Input_Prod_02!$D$9,Input_Prod_02!$C$11,$M$1,$B19,$K$1)</f>
        <v>0</v>
      </c>
      <c r="I19" s="27">
        <f>_xll.DBRW($C$2,Input_Prod_02!$D$9,Input_Prod_02!$C$11,$M$1,$B19,$K$1)</f>
        <v>0</v>
      </c>
      <c r="J19" s="27">
        <f>_xll.DBRW($C$2,Input_Prod_02!$D$9,Input_Prod_02!$C$11,$M$1,$B19,$K$1)</f>
        <v>0</v>
      </c>
      <c r="K19" s="27">
        <f>_xll.DBRW($C$2,Input_Prod_02!$D$9,Input_Prod_02!$C$11,$M$1,$B19,$K$1)</f>
        <v>0</v>
      </c>
      <c r="L19" s="27">
        <f>_xll.DBRW($C$2,Input_Prod_02!$D$9,Input_Prod_02!$C$11,$M$1,$B19,$K$1)</f>
        <v>0</v>
      </c>
      <c r="M19" s="27">
        <f>_xll.DBRW($C$2,Input_Prod_02!$D$9,Input_Prod_02!$C$11,$M$1,$B19,$K$1)</f>
        <v>0</v>
      </c>
      <c r="N19" s="27">
        <f>_xll.DBRW($C$2,Input_Prod_02!$D$9,Input_Prod_02!$C$11,$M$1,$B19,$K$1)</f>
        <v>0</v>
      </c>
    </row>
    <row r="20" spans="2:14" s="1" customFormat="1" ht="15.75" customHeight="1" x14ac:dyDescent="0.25">
      <c r="B20" s="17" t="s">
        <v>8</v>
      </c>
      <c r="C20" s="27">
        <f>_xll.DBRW($C$2,Input_Prod_02!$D$9,Input_Prod_02!$C$11,$M$1,$B20,$K$1)</f>
        <v>0</v>
      </c>
      <c r="D20" s="27">
        <f>_xll.DBRW($C$2,Input_Prod_02!$D$9,Input_Prod_02!$C$11,$M$1,$B20,$K$1)</f>
        <v>0</v>
      </c>
      <c r="E20" s="27">
        <f>_xll.DBRW($C$2,Input_Prod_02!$D$9,Input_Prod_02!$C$11,$M$1,$B20,$K$1)</f>
        <v>0</v>
      </c>
      <c r="F20" s="27">
        <f>_xll.DBRW($C$2,Input_Prod_02!$D$9,Input_Prod_02!$C$11,$M$1,$B20,$K$1)</f>
        <v>0</v>
      </c>
      <c r="G20" s="27">
        <f>_xll.DBRW($C$2,Input_Prod_02!$D$9,Input_Prod_02!$C$11,$M$1,$B20,$K$1)</f>
        <v>0</v>
      </c>
      <c r="H20" s="27">
        <f>_xll.DBRW($C$2,Input_Prod_02!$D$9,Input_Prod_02!$C$11,$M$1,$B20,$K$1)</f>
        <v>0</v>
      </c>
      <c r="I20" s="27">
        <f>_xll.DBRW($C$2,Input_Prod_02!$D$9,Input_Prod_02!$C$11,$M$1,$B20,$K$1)</f>
        <v>0</v>
      </c>
      <c r="J20" s="27">
        <f>_xll.DBRW($C$2,Input_Prod_02!$D$9,Input_Prod_02!$C$11,$M$1,$B20,$K$1)</f>
        <v>0</v>
      </c>
      <c r="K20" s="27">
        <f>_xll.DBRW($C$2,Input_Prod_02!$D$9,Input_Prod_02!$C$11,$M$1,$B20,$K$1)</f>
        <v>0</v>
      </c>
      <c r="L20" s="27">
        <f>_xll.DBRW($C$2,Input_Prod_02!$D$9,Input_Prod_02!$C$11,$M$1,$B20,$K$1)</f>
        <v>0</v>
      </c>
      <c r="M20" s="27">
        <f>_xll.DBRW($C$2,Input_Prod_02!$D$9,Input_Prod_02!$C$11,$M$1,$B20,$K$1)</f>
        <v>0</v>
      </c>
      <c r="N20" s="27">
        <f>_xll.DBRW($C$2,Input_Prod_02!$D$9,Input_Prod_02!$C$11,$M$1,$B20,$K$1)</f>
        <v>0</v>
      </c>
    </row>
    <row r="21" spans="2:14" s="1" customFormat="1" ht="15.75" customHeight="1" x14ac:dyDescent="0.25">
      <c r="B21" s="17" t="s">
        <v>9</v>
      </c>
      <c r="C21" s="27">
        <f>_xll.DBRW($C$2,Input_Prod_02!$D$9,Input_Prod_02!$C$11,$M$1,$B21,$K$1)</f>
        <v>0</v>
      </c>
      <c r="D21" s="27">
        <f>_xll.DBRW($C$2,Input_Prod_02!$D$9,Input_Prod_02!$C$11,$M$1,$B21,$K$1)</f>
        <v>0</v>
      </c>
      <c r="E21" s="27">
        <f>_xll.DBRW($C$2,Input_Prod_02!$D$9,Input_Prod_02!$C$11,$M$1,$B21,$K$1)</f>
        <v>0</v>
      </c>
      <c r="F21" s="27">
        <f>_xll.DBRW($C$2,Input_Prod_02!$D$9,Input_Prod_02!$C$11,$M$1,$B21,$K$1)</f>
        <v>0</v>
      </c>
      <c r="G21" s="27">
        <f>_xll.DBRW($C$2,Input_Prod_02!$D$9,Input_Prod_02!$C$11,$M$1,$B21,$K$1)</f>
        <v>0</v>
      </c>
      <c r="H21" s="27">
        <f>_xll.DBRW($C$2,Input_Prod_02!$D$9,Input_Prod_02!$C$11,$M$1,$B21,$K$1)</f>
        <v>0</v>
      </c>
      <c r="I21" s="27">
        <f>_xll.DBRW($C$2,Input_Prod_02!$D$9,Input_Prod_02!$C$11,$M$1,$B21,$K$1)</f>
        <v>0</v>
      </c>
      <c r="J21" s="27">
        <f>_xll.DBRW($C$2,Input_Prod_02!$D$9,Input_Prod_02!$C$11,$M$1,$B21,$K$1)</f>
        <v>0</v>
      </c>
      <c r="K21" s="27">
        <f>_xll.DBRW($C$2,Input_Prod_02!$D$9,Input_Prod_02!$C$11,$M$1,$B21,$K$1)</f>
        <v>0</v>
      </c>
      <c r="L21" s="27">
        <f>_xll.DBRW($C$2,Input_Prod_02!$D$9,Input_Prod_02!$C$11,$M$1,$B21,$K$1)</f>
        <v>0</v>
      </c>
      <c r="M21" s="27">
        <f>_xll.DBRW($C$2,Input_Prod_02!$D$9,Input_Prod_02!$C$11,$M$1,$B21,$K$1)</f>
        <v>0</v>
      </c>
      <c r="N21" s="27">
        <f>_xll.DBRW($C$2,Input_Prod_02!$D$9,Input_Prod_02!$C$11,$M$1,$B21,$K$1)</f>
        <v>0</v>
      </c>
    </row>
    <row r="22" spans="2:14" s="1" customFormat="1" ht="15.75" customHeight="1" x14ac:dyDescent="0.25">
      <c r="B22" s="17" t="s">
        <v>10</v>
      </c>
      <c r="C22" s="27">
        <f>_xll.DBRW($C$2,Input_Prod_02!$D$9,Input_Prod_02!$C$11,$M$1,$B22,$K$1)</f>
        <v>0</v>
      </c>
      <c r="D22" s="27">
        <f>_xll.DBRW($C$2,Input_Prod_02!$D$9,Input_Prod_02!$C$11,$M$1,$B22,$K$1)</f>
        <v>0</v>
      </c>
      <c r="E22" s="27">
        <f>_xll.DBRW($C$2,Input_Prod_02!$D$9,Input_Prod_02!$C$11,$M$1,$B22,$K$1)</f>
        <v>0</v>
      </c>
      <c r="F22" s="27">
        <f>_xll.DBRW($C$2,Input_Prod_02!$D$9,Input_Prod_02!$C$11,$M$1,$B22,$K$1)</f>
        <v>0</v>
      </c>
      <c r="G22" s="27">
        <f>_xll.DBRW($C$2,Input_Prod_02!$D$9,Input_Prod_02!$C$11,$M$1,$B22,$K$1)</f>
        <v>0</v>
      </c>
      <c r="H22" s="27">
        <f>_xll.DBRW($C$2,Input_Prod_02!$D$9,Input_Prod_02!$C$11,$M$1,$B22,$K$1)</f>
        <v>0</v>
      </c>
      <c r="I22" s="27">
        <f>_xll.DBRW($C$2,Input_Prod_02!$D$9,Input_Prod_02!$C$11,$M$1,$B22,$K$1)</f>
        <v>0</v>
      </c>
      <c r="J22" s="27">
        <f>_xll.DBRW($C$2,Input_Prod_02!$D$9,Input_Prod_02!$C$11,$M$1,$B22,$K$1)</f>
        <v>0</v>
      </c>
      <c r="K22" s="27">
        <f>_xll.DBRW($C$2,Input_Prod_02!$D$9,Input_Prod_02!$C$11,$M$1,$B22,$K$1)</f>
        <v>0</v>
      </c>
      <c r="L22" s="27">
        <f>_xll.DBRW($C$2,Input_Prod_02!$D$9,Input_Prod_02!$C$11,$M$1,$B22,$K$1)</f>
        <v>0</v>
      </c>
      <c r="M22" s="27">
        <f>_xll.DBRW($C$2,Input_Prod_02!$D$9,Input_Prod_02!$C$11,$M$1,$B22,$K$1)</f>
        <v>0</v>
      </c>
      <c r="N22" s="27">
        <f>_xll.DBRW($C$2,Input_Prod_02!$D$9,Input_Prod_02!$C$11,$M$1,$B22,$K$1)</f>
        <v>0</v>
      </c>
    </row>
    <row r="23" spans="2:14" s="1" customFormat="1" ht="15.75" customHeight="1" x14ac:dyDescent="0.25">
      <c r="B23" s="17" t="s">
        <v>11</v>
      </c>
      <c r="C23" s="27">
        <f>_xll.DBRW($C$2,Input_Prod_02!$D$9,Input_Prod_02!$C$11,$M$1,$B23,$K$1)</f>
        <v>0</v>
      </c>
      <c r="D23" s="27">
        <f>_xll.DBRW($C$2,Input_Prod_02!$D$9,Input_Prod_02!$C$11,$M$1,$B23,$K$1)</f>
        <v>0</v>
      </c>
      <c r="E23" s="27">
        <f>_xll.DBRW($C$2,Input_Prod_02!$D$9,Input_Prod_02!$C$11,$M$1,$B23,$K$1)</f>
        <v>0</v>
      </c>
      <c r="F23" s="27">
        <f>_xll.DBRW($C$2,Input_Prod_02!$D$9,Input_Prod_02!$C$11,$M$1,$B23,$K$1)</f>
        <v>0</v>
      </c>
      <c r="G23" s="27">
        <f>_xll.DBRW($C$2,Input_Prod_02!$D$9,Input_Prod_02!$C$11,$M$1,$B23,$K$1)</f>
        <v>0</v>
      </c>
      <c r="H23" s="27">
        <f>_xll.DBRW($C$2,Input_Prod_02!$D$9,Input_Prod_02!$C$11,$M$1,$B23,$K$1)</f>
        <v>0</v>
      </c>
      <c r="I23" s="27">
        <f>_xll.DBRW($C$2,Input_Prod_02!$D$9,Input_Prod_02!$C$11,$M$1,$B23,$K$1)</f>
        <v>0</v>
      </c>
      <c r="J23" s="27">
        <f>_xll.DBRW($C$2,Input_Prod_02!$D$9,Input_Prod_02!$C$11,$M$1,$B23,$K$1)</f>
        <v>0</v>
      </c>
      <c r="K23" s="27">
        <f>_xll.DBRW($C$2,Input_Prod_02!$D$9,Input_Prod_02!$C$11,$M$1,$B23,$K$1)</f>
        <v>0</v>
      </c>
      <c r="L23" s="27">
        <f>_xll.DBRW($C$2,Input_Prod_02!$D$9,Input_Prod_02!$C$11,$M$1,$B23,$K$1)</f>
        <v>0</v>
      </c>
      <c r="M23" s="27">
        <f>_xll.DBRW($C$2,Input_Prod_02!$D$9,Input_Prod_02!$C$11,$M$1,$B23,$K$1)</f>
        <v>0</v>
      </c>
      <c r="N23" s="27">
        <f>_xll.DBRW($C$2,Input_Prod_02!$D$9,Input_Prod_02!$C$11,$M$1,$B23,$K$1)</f>
        <v>0</v>
      </c>
    </row>
    <row r="24" spans="2:14" s="1" customFormat="1" ht="15.75" customHeight="1" x14ac:dyDescent="0.25">
      <c r="B24" s="17" t="s">
        <v>12</v>
      </c>
      <c r="C24" s="27">
        <f>_xll.DBRW($C$2,Input_Prod_02!$D$9,Input_Prod_02!$C$11,$M$1,$B24,$K$1)</f>
        <v>0</v>
      </c>
      <c r="D24" s="27">
        <f>_xll.DBRW($C$2,Input_Prod_02!$D$9,Input_Prod_02!$C$11,$M$1,$B24,$K$1)</f>
        <v>0</v>
      </c>
      <c r="E24" s="27">
        <f>_xll.DBRW($C$2,Input_Prod_02!$D$9,Input_Prod_02!$C$11,$M$1,$B24,$K$1)</f>
        <v>0</v>
      </c>
      <c r="F24" s="27">
        <f>_xll.DBRW($C$2,Input_Prod_02!$D$9,Input_Prod_02!$C$11,$M$1,$B24,$K$1)</f>
        <v>0</v>
      </c>
      <c r="G24" s="27">
        <f>_xll.DBRW($C$2,Input_Prod_02!$D$9,Input_Prod_02!$C$11,$M$1,$B24,$K$1)</f>
        <v>0</v>
      </c>
      <c r="H24" s="27">
        <f>_xll.DBRW($C$2,Input_Prod_02!$D$9,Input_Prod_02!$C$11,$M$1,$B24,$K$1)</f>
        <v>0</v>
      </c>
      <c r="I24" s="27">
        <f>_xll.DBRW($C$2,Input_Prod_02!$D$9,Input_Prod_02!$C$11,$M$1,$B24,$K$1)</f>
        <v>0</v>
      </c>
      <c r="J24" s="27">
        <f>_xll.DBRW($C$2,Input_Prod_02!$D$9,Input_Prod_02!$C$11,$M$1,$B24,$K$1)</f>
        <v>0</v>
      </c>
      <c r="K24" s="27">
        <f>_xll.DBRW($C$2,Input_Prod_02!$D$9,Input_Prod_02!$C$11,$M$1,$B24,$K$1)</f>
        <v>0</v>
      </c>
      <c r="L24" s="27">
        <f>_xll.DBRW($C$2,Input_Prod_02!$D$9,Input_Prod_02!$C$11,$M$1,$B24,$K$1)</f>
        <v>0</v>
      </c>
      <c r="M24" s="27">
        <f>_xll.DBRW($C$2,Input_Prod_02!$D$9,Input_Prod_02!$C$11,$M$1,$B24,$K$1)</f>
        <v>0</v>
      </c>
      <c r="N24" s="27">
        <f>_xll.DBRW($C$2,Input_Prod_02!$D$9,Input_Prod_02!$C$11,$M$1,$B24,$K$1)</f>
        <v>0</v>
      </c>
    </row>
    <row r="25" spans="2:14" s="1" customFormat="1" ht="15.75" customHeight="1" x14ac:dyDescent="0.25">
      <c r="B25" s="17" t="s">
        <v>13</v>
      </c>
      <c r="C25" s="27">
        <f>_xll.DBRW($C$2,Input_Prod_02!$D$9,Input_Prod_02!$C$11,$M$1,$B25,$K$1)</f>
        <v>0</v>
      </c>
      <c r="D25" s="27">
        <f>_xll.DBRW($C$2,Input_Prod_02!$D$9,Input_Prod_02!$C$11,$M$1,$B25,$K$1)</f>
        <v>0</v>
      </c>
      <c r="E25" s="27">
        <f>_xll.DBRW($C$2,Input_Prod_02!$D$9,Input_Prod_02!$C$11,$M$1,$B25,$K$1)</f>
        <v>0</v>
      </c>
      <c r="F25" s="27">
        <f>_xll.DBRW($C$2,Input_Prod_02!$D$9,Input_Prod_02!$C$11,$M$1,$B25,$K$1)</f>
        <v>0</v>
      </c>
      <c r="G25" s="27">
        <f>_xll.DBRW($C$2,Input_Prod_02!$D$9,Input_Prod_02!$C$11,$M$1,$B25,$K$1)</f>
        <v>0</v>
      </c>
      <c r="H25" s="27">
        <f>_xll.DBRW($C$2,Input_Prod_02!$D$9,Input_Prod_02!$C$11,$M$1,$B25,$K$1)</f>
        <v>0</v>
      </c>
      <c r="I25" s="27">
        <f>_xll.DBRW($C$2,Input_Prod_02!$D$9,Input_Prod_02!$C$11,$M$1,$B25,$K$1)</f>
        <v>0</v>
      </c>
      <c r="J25" s="27">
        <f>_xll.DBRW($C$2,Input_Prod_02!$D$9,Input_Prod_02!$C$11,$M$1,$B25,$K$1)</f>
        <v>0</v>
      </c>
      <c r="K25" s="27">
        <f>_xll.DBRW($C$2,Input_Prod_02!$D$9,Input_Prod_02!$C$11,$M$1,$B25,$K$1)</f>
        <v>0</v>
      </c>
      <c r="L25" s="27">
        <f>_xll.DBRW($C$2,Input_Prod_02!$D$9,Input_Prod_02!$C$11,$M$1,$B25,$K$1)</f>
        <v>0</v>
      </c>
      <c r="M25" s="27">
        <f>_xll.DBRW($C$2,Input_Prod_02!$D$9,Input_Prod_02!$C$11,$M$1,$B25,$K$1)</f>
        <v>0</v>
      </c>
      <c r="N25" s="27">
        <f>_xll.DBRW($C$2,Input_Prod_02!$D$9,Input_Prod_02!$C$11,$M$1,$B25,$K$1)</f>
        <v>0</v>
      </c>
    </row>
    <row r="26" spans="2:14" s="1" customFormat="1" ht="15.75" customHeight="1" x14ac:dyDescent="0.25">
      <c r="B26" s="17" t="s">
        <v>14</v>
      </c>
      <c r="C26" s="27">
        <f>_xll.DBRW($C$2,Input_Prod_02!$D$9,Input_Prod_02!$C$11,$M$1,$B26,$K$1)</f>
        <v>0</v>
      </c>
      <c r="D26" s="27">
        <f>_xll.DBRW($C$2,Input_Prod_02!$D$9,Input_Prod_02!$C$11,$M$1,$B26,$K$1)</f>
        <v>0</v>
      </c>
      <c r="E26" s="27">
        <f>_xll.DBRW($C$2,Input_Prod_02!$D$9,Input_Prod_02!$C$11,$M$1,$B26,$K$1)</f>
        <v>0</v>
      </c>
      <c r="F26" s="27">
        <f>_xll.DBRW($C$2,Input_Prod_02!$D$9,Input_Prod_02!$C$11,$M$1,$B26,$K$1)</f>
        <v>0</v>
      </c>
      <c r="G26" s="27">
        <f>_xll.DBRW($C$2,Input_Prod_02!$D$9,Input_Prod_02!$C$11,$M$1,$B26,$K$1)</f>
        <v>0</v>
      </c>
      <c r="H26" s="27">
        <f>_xll.DBRW($C$2,Input_Prod_02!$D$9,Input_Prod_02!$C$11,$M$1,$B26,$K$1)</f>
        <v>0</v>
      </c>
      <c r="I26" s="27">
        <f>_xll.DBRW($C$2,Input_Prod_02!$D$9,Input_Prod_02!$C$11,$M$1,$B26,$K$1)</f>
        <v>0</v>
      </c>
      <c r="J26" s="27">
        <f>_xll.DBRW($C$2,Input_Prod_02!$D$9,Input_Prod_02!$C$11,$M$1,$B26,$K$1)</f>
        <v>0</v>
      </c>
      <c r="K26" s="27">
        <f>_xll.DBRW($C$2,Input_Prod_02!$D$9,Input_Prod_02!$C$11,$M$1,$B26,$K$1)</f>
        <v>0</v>
      </c>
      <c r="L26" s="27">
        <f>_xll.DBRW($C$2,Input_Prod_02!$D$9,Input_Prod_02!$C$11,$M$1,$B26,$K$1)</f>
        <v>0</v>
      </c>
      <c r="M26" s="27">
        <f>_xll.DBRW($C$2,Input_Prod_02!$D$9,Input_Prod_02!$C$11,$M$1,$B26,$K$1)</f>
        <v>0</v>
      </c>
      <c r="N26" s="27">
        <f>_xll.DBRW($C$2,Input_Prod_02!$D$9,Input_Prod_02!$C$11,$M$1,$B26,$K$1)</f>
        <v>0</v>
      </c>
    </row>
    <row r="27" spans="2:14" s="1" customFormat="1" ht="15.75" customHeight="1" x14ac:dyDescent="0.25">
      <c r="B27" s="17" t="s">
        <v>15</v>
      </c>
      <c r="C27" s="27">
        <f>_xll.DBRW($C$2,Input_Prod_02!$D$9,Input_Prod_02!$C$11,$M$1,$B27,$K$1)</f>
        <v>31</v>
      </c>
      <c r="D27" s="27">
        <f>_xll.DBRW($C$2,Input_Prod_02!$D$9,Input_Prod_02!$C$11,$M$1,$B27,$K$1)</f>
        <v>31</v>
      </c>
      <c r="E27" s="27">
        <f>_xll.DBRW($C$2,Input_Prod_02!$D$9,Input_Prod_02!$C$11,$M$1,$B27,$K$1)</f>
        <v>31</v>
      </c>
      <c r="F27" s="27">
        <f>_xll.DBRW($C$2,Input_Prod_02!$D$9,Input_Prod_02!$C$11,$M$1,$B27,$K$1)</f>
        <v>31</v>
      </c>
      <c r="G27" s="27">
        <f>_xll.DBRW($C$2,Input_Prod_02!$D$9,Input_Prod_02!$C$11,$M$1,$B27,$K$1)</f>
        <v>31</v>
      </c>
      <c r="H27" s="27">
        <f>_xll.DBRW($C$2,Input_Prod_02!$D$9,Input_Prod_02!$C$11,$M$1,$B27,$K$1)</f>
        <v>31</v>
      </c>
      <c r="I27" s="27">
        <f>_xll.DBRW($C$2,Input_Prod_02!$D$9,Input_Prod_02!$C$11,$M$1,$B27,$K$1)</f>
        <v>31</v>
      </c>
      <c r="J27" s="27">
        <f>_xll.DBRW($C$2,Input_Prod_02!$D$9,Input_Prod_02!$C$11,$M$1,$B27,$K$1)</f>
        <v>31</v>
      </c>
      <c r="K27" s="27">
        <f>_xll.DBRW($C$2,Input_Prod_02!$D$9,Input_Prod_02!$C$11,$M$1,$B27,$K$1)</f>
        <v>31</v>
      </c>
      <c r="L27" s="27">
        <f>_xll.DBRW($C$2,Input_Prod_02!$D$9,Input_Prod_02!$C$11,$M$1,$B27,$K$1)</f>
        <v>31</v>
      </c>
      <c r="M27" s="27">
        <f>_xll.DBRW($C$2,Input_Prod_02!$D$9,Input_Prod_02!$C$11,$M$1,$B27,$K$1)</f>
        <v>31</v>
      </c>
      <c r="N27" s="27">
        <f>_xll.DBRW($C$2,Input_Prod_02!$D$9,Input_Prod_02!$C$11,$M$1,$B27,$K$1)</f>
        <v>31</v>
      </c>
    </row>
    <row r="29" spans="2:14" s="1" customFormat="1" ht="15.75" customHeight="1" thickBot="1" x14ac:dyDescent="0.3">
      <c r="B29" s="10"/>
    </row>
    <row r="30" spans="2:14" s="1" customFormat="1" ht="15.75" customHeight="1" thickTop="1" thickBot="1" x14ac:dyDescent="0.3">
      <c r="B30" s="9" t="s">
        <v>64</v>
      </c>
      <c r="D30" s="19" t="s">
        <v>65</v>
      </c>
      <c r="E30" s="50" t="str">
        <f>_xll.SUBNM("CONS_VC:ALL.D.Products","Nivel_0","PRODRM010 - Ready Mix","Código e Descrição")</f>
        <v>PRODRM010 - Ready Mix</v>
      </c>
      <c r="F30" s="50"/>
      <c r="G30" s="50"/>
    </row>
    <row r="31" spans="2:14" s="1" customFormat="1" ht="15.75" customHeight="1" thickTop="1" x14ac:dyDescent="0.25">
      <c r="B31" s="9"/>
    </row>
    <row r="33" spans="2:14" s="1" customFormat="1" ht="15.75" customHeight="1" x14ac:dyDescent="0.25">
      <c r="B33" s="5"/>
      <c r="C33" s="18" t="str">
        <f>$D$9&amp;"."&amp;C11</f>
        <v>2026.01</v>
      </c>
      <c r="D33" s="18" t="str">
        <f t="shared" ref="D33:N33" si="1">$D$9&amp;"."&amp;D11</f>
        <v>2026.02</v>
      </c>
      <c r="E33" s="18" t="str">
        <f t="shared" si="1"/>
        <v>2026.03</v>
      </c>
      <c r="F33" s="18" t="str">
        <f t="shared" si="1"/>
        <v>2026.04</v>
      </c>
      <c r="G33" s="18" t="str">
        <f t="shared" si="1"/>
        <v>2026.05</v>
      </c>
      <c r="H33" s="18" t="str">
        <f t="shared" si="1"/>
        <v>2026.06</v>
      </c>
      <c r="I33" s="18" t="str">
        <f t="shared" si="1"/>
        <v>2026.07</v>
      </c>
      <c r="J33" s="18" t="str">
        <f t="shared" si="1"/>
        <v>2026.08</v>
      </c>
      <c r="K33" s="18" t="str">
        <f t="shared" si="1"/>
        <v>2026.09</v>
      </c>
      <c r="L33" s="18" t="str">
        <f t="shared" si="1"/>
        <v>2026.10</v>
      </c>
      <c r="M33" s="18" t="str">
        <f t="shared" si="1"/>
        <v>2026.11</v>
      </c>
      <c r="N33" s="18" t="str">
        <f t="shared" si="1"/>
        <v>2026.12</v>
      </c>
    </row>
    <row r="34" spans="2:14" s="1" customFormat="1" ht="15.75" customHeight="1" x14ac:dyDescent="0.25">
      <c r="B34" s="17" t="s">
        <v>58</v>
      </c>
      <c r="C34" s="34">
        <f>_xll.DBRW($B$1,Input_Prod_02!$D$9,Input_Prod_02!C$11,$M$1,Input_Prod_02!$G$9,$J$9,Input_Prod_02!$E$30,Input_Prod_02!$B34,$L$1,$K$1)</f>
        <v>0</v>
      </c>
      <c r="D34" s="34">
        <f>_xll.DBRW($B$1,Input_Prod_02!$D$9,Input_Prod_02!D$11,$M$1,Input_Prod_02!$G$9,$J$9,Input_Prod_02!$E$30,Input_Prod_02!$B34,$L$1,$K$1)</f>
        <v>0</v>
      </c>
      <c r="E34" s="34">
        <f>_xll.DBRW($B$1,Input_Prod_02!$D$9,Input_Prod_02!E$11,$M$1,Input_Prod_02!$G$9,$J$9,Input_Prod_02!$E$30,Input_Prod_02!$B34,$L$1,$K$1)</f>
        <v>0</v>
      </c>
      <c r="F34" s="34">
        <f>_xll.DBRW($B$1,Input_Prod_02!$D$9,Input_Prod_02!F$11,$M$1,Input_Prod_02!$G$9,$J$9,Input_Prod_02!$E$30,Input_Prod_02!$B34,$L$1,$K$1)</f>
        <v>0</v>
      </c>
      <c r="G34" s="34">
        <f>_xll.DBRW($B$1,Input_Prod_02!$D$9,Input_Prod_02!G$11,$M$1,Input_Prod_02!$G$9,$J$9,Input_Prod_02!$E$30,Input_Prod_02!$B34,$L$1,$K$1)</f>
        <v>0</v>
      </c>
      <c r="H34" s="34">
        <f>_xll.DBRW($B$1,Input_Prod_02!$D$9,Input_Prod_02!H$11,$M$1,Input_Prod_02!$G$9,$J$9,Input_Prod_02!$E$30,Input_Prod_02!$B34,$L$1,$K$1)</f>
        <v>0</v>
      </c>
      <c r="I34" s="34">
        <f>_xll.DBRW($B$1,Input_Prod_02!$D$9,Input_Prod_02!I$11,$M$1,Input_Prod_02!$G$9,$J$9,Input_Prod_02!$E$30,Input_Prod_02!$B34,$L$1,$K$1)</f>
        <v>0</v>
      </c>
      <c r="J34" s="34">
        <f>_xll.DBRW($B$1,Input_Prod_02!$D$9,Input_Prod_02!J$11,$M$1,Input_Prod_02!$G$9,$J$9,Input_Prod_02!$E$30,Input_Prod_02!$B34,$L$1,$K$1)</f>
        <v>0</v>
      </c>
      <c r="K34" s="34">
        <f>_xll.DBRW($B$1,Input_Prod_02!$D$9,Input_Prod_02!K$11,$M$1,Input_Prod_02!$G$9,$J$9,Input_Prod_02!$E$30,Input_Prod_02!$B34,$L$1,$K$1)</f>
        <v>0</v>
      </c>
      <c r="L34" s="34">
        <f>_xll.DBRW($B$1,Input_Prod_02!$D$9,Input_Prod_02!L$11,$M$1,Input_Prod_02!$G$9,$J$9,Input_Prod_02!$E$30,Input_Prod_02!$B34,$L$1,$K$1)</f>
        <v>0</v>
      </c>
      <c r="M34" s="34">
        <f>_xll.DBRW($B$1,Input_Prod_02!$D$9,Input_Prod_02!M$11,$M$1,Input_Prod_02!$G$9,$J$9,Input_Prod_02!$E$30,Input_Prod_02!$B34,$L$1,$K$1)</f>
        <v>0</v>
      </c>
      <c r="N34" s="34">
        <f>_xll.DBRW($B$1,Input_Prod_02!$D$9,Input_Prod_02!N$11,$M$1,Input_Prod_02!$G$9,$J$9,Input_Prod_02!$E$30,Input_Prod_02!$B34,$L$1,$K$1)</f>
        <v>0</v>
      </c>
    </row>
    <row r="35" spans="2:14" s="1" customFormat="1" ht="15.75" customHeight="1" x14ac:dyDescent="0.25">
      <c r="B35" s="17" t="s">
        <v>16</v>
      </c>
      <c r="C35" s="34">
        <f>_xll.DBRW($B$1,Input_Prod_02!$D$9,Input_Prod_02!C$11,$M$1,Input_Prod_02!$G$9,$J$9,Input_Prod_02!$E$30,Input_Prod_02!$B35,$L$1,$K$1)</f>
        <v>0</v>
      </c>
      <c r="D35" s="34">
        <f>_xll.DBRW($B$1,Input_Prod_02!$D$9,Input_Prod_02!D$11,$M$1,Input_Prod_02!$G$9,$J$9,Input_Prod_02!$E$30,Input_Prod_02!$B35,$L$1,$K$1)</f>
        <v>0</v>
      </c>
      <c r="E35" s="34">
        <f>_xll.DBRW($B$1,Input_Prod_02!$D$9,Input_Prod_02!E$11,$M$1,Input_Prod_02!$G$9,$J$9,Input_Prod_02!$E$30,Input_Prod_02!$B35,$L$1,$K$1)</f>
        <v>0</v>
      </c>
      <c r="F35" s="34">
        <f>_xll.DBRW($B$1,Input_Prod_02!$D$9,Input_Prod_02!F$11,$M$1,Input_Prod_02!$G$9,$J$9,Input_Prod_02!$E$30,Input_Prod_02!$B35,$L$1,$K$1)</f>
        <v>0</v>
      </c>
      <c r="G35" s="34">
        <f>_xll.DBRW($B$1,Input_Prod_02!$D$9,Input_Prod_02!G$11,$M$1,Input_Prod_02!$G$9,$J$9,Input_Prod_02!$E$30,Input_Prod_02!$B35,$L$1,$K$1)</f>
        <v>0</v>
      </c>
      <c r="H35" s="34">
        <f>_xll.DBRW($B$1,Input_Prod_02!$D$9,Input_Prod_02!H$11,$M$1,Input_Prod_02!$G$9,$J$9,Input_Prod_02!$E$30,Input_Prod_02!$B35,$L$1,$K$1)</f>
        <v>0</v>
      </c>
      <c r="I35" s="34">
        <f>_xll.DBRW($B$1,Input_Prod_02!$D$9,Input_Prod_02!I$11,$M$1,Input_Prod_02!$G$9,$J$9,Input_Prod_02!$E$30,Input_Prod_02!$B35,$L$1,$K$1)</f>
        <v>0</v>
      </c>
      <c r="J35" s="34">
        <f>_xll.DBRW($B$1,Input_Prod_02!$D$9,Input_Prod_02!J$11,$M$1,Input_Prod_02!$G$9,$J$9,Input_Prod_02!$E$30,Input_Prod_02!$B35,$L$1,$K$1)</f>
        <v>0</v>
      </c>
      <c r="K35" s="34">
        <f>_xll.DBRW($B$1,Input_Prod_02!$D$9,Input_Prod_02!K$11,$M$1,Input_Prod_02!$G$9,$J$9,Input_Prod_02!$E$30,Input_Prod_02!$B35,$L$1,$K$1)</f>
        <v>0</v>
      </c>
      <c r="L35" s="34">
        <f>_xll.DBRW($B$1,Input_Prod_02!$D$9,Input_Prod_02!L$11,$M$1,Input_Prod_02!$G$9,$J$9,Input_Prod_02!$E$30,Input_Prod_02!$B35,$L$1,$K$1)</f>
        <v>0</v>
      </c>
      <c r="M35" s="34">
        <f>_xll.DBRW($B$1,Input_Prod_02!$D$9,Input_Prod_02!M$11,$M$1,Input_Prod_02!$G$9,$J$9,Input_Prod_02!$E$30,Input_Prod_02!$B35,$L$1,$K$1)</f>
        <v>0</v>
      </c>
      <c r="N35" s="34">
        <f>_xll.DBRW($B$1,Input_Prod_02!$D$9,Input_Prod_02!N$11,$M$1,Input_Prod_02!$G$9,$J$9,Input_Prod_02!$E$30,Input_Prod_02!$B35,$L$1,$K$1)</f>
        <v>0</v>
      </c>
    </row>
    <row r="36" spans="2:14" s="1" customFormat="1" ht="15.75" customHeight="1" x14ac:dyDescent="0.25">
      <c r="B36" s="17" t="s">
        <v>17</v>
      </c>
      <c r="C36" s="34">
        <f>_xll.DBRW($B$1,Input_Prod_02!$D$9,Input_Prod_02!C$11,$M$1,Input_Prod_02!$G$9,$J$9,Input_Prod_02!$E$30,Input_Prod_02!$B36,$L$1,$K$1)</f>
        <v>85.63</v>
      </c>
      <c r="D36" s="34">
        <f>_xll.DBRW($B$1,Input_Prod_02!$D$9,Input_Prod_02!D$11,$M$1,Input_Prod_02!$G$9,$J$9,Input_Prod_02!$E$30,Input_Prod_02!$B36,$L$1,$K$1)</f>
        <v>138.79</v>
      </c>
      <c r="E36" s="34">
        <f>_xll.DBRW($B$1,Input_Prod_02!$D$9,Input_Prod_02!E$11,$M$1,Input_Prod_02!$G$9,$J$9,Input_Prod_02!$E$30,Input_Prod_02!$B36,$L$1,$K$1)</f>
        <v>166.4</v>
      </c>
      <c r="F36" s="34">
        <f>_xll.DBRW($B$1,Input_Prod_02!$D$9,Input_Prod_02!F$11,$M$1,Input_Prod_02!$G$9,$J$9,Input_Prod_02!$E$30,Input_Prod_02!$B36,$L$1,$K$1)</f>
        <v>259.62</v>
      </c>
      <c r="G36" s="34">
        <f>_xll.DBRW($B$1,Input_Prod_02!$D$9,Input_Prod_02!G$11,$M$1,Input_Prod_02!$G$9,$J$9,Input_Prod_02!$E$30,Input_Prod_02!$B36,$L$1,$K$1)</f>
        <v>312.52</v>
      </c>
      <c r="H36" s="34">
        <f>_xll.DBRW($B$1,Input_Prod_02!$D$9,Input_Prod_02!H$11,$M$1,Input_Prod_02!$G$9,$J$9,Input_Prod_02!$E$30,Input_Prod_02!$B36,$L$1,$K$1)</f>
        <v>339.09</v>
      </c>
      <c r="I36" s="34">
        <f>_xll.DBRW($B$1,Input_Prod_02!$D$9,Input_Prod_02!I$11,$M$1,Input_Prod_02!$G$9,$J$9,Input_Prod_02!$E$30,Input_Prod_02!$B36,$L$1,$K$1)</f>
        <v>354.24</v>
      </c>
      <c r="J36" s="34">
        <f>_xll.DBRW($B$1,Input_Prod_02!$D$9,Input_Prod_02!J$11,$M$1,Input_Prod_02!$G$9,$J$9,Input_Prod_02!$E$30,Input_Prod_02!$B36,$L$1,$K$1)</f>
        <v>378.98</v>
      </c>
      <c r="K36" s="34">
        <f>_xll.DBRW($B$1,Input_Prod_02!$D$9,Input_Prod_02!K$11,$M$1,Input_Prod_02!$G$9,$J$9,Input_Prod_02!$E$30,Input_Prod_02!$B36,$L$1,$K$1)</f>
        <v>378.11</v>
      </c>
      <c r="L36" s="34">
        <f>_xll.DBRW($B$1,Input_Prod_02!$D$9,Input_Prod_02!L$11,$M$1,Input_Prod_02!$G$9,$J$9,Input_Prod_02!$E$30,Input_Prod_02!$B36,$L$1,$K$1)</f>
        <v>368.19</v>
      </c>
      <c r="M36" s="34">
        <f>_xll.DBRW($B$1,Input_Prod_02!$D$9,Input_Prod_02!M$11,$M$1,Input_Prod_02!$G$9,$J$9,Input_Prod_02!$E$30,Input_Prod_02!$B36,$L$1,$K$1)</f>
        <v>294.14999999999998</v>
      </c>
      <c r="N36" s="34">
        <f>_xll.DBRW($B$1,Input_Prod_02!$D$9,Input_Prod_02!N$11,$M$1,Input_Prod_02!$G$9,$J$9,Input_Prod_02!$E$30,Input_Prod_02!$B36,$L$1,$K$1)</f>
        <v>160.47</v>
      </c>
    </row>
    <row r="37" spans="2:14" s="1" customFormat="1" ht="15.75" customHeight="1" x14ac:dyDescent="0.25">
      <c r="B37" s="17" t="s">
        <v>19</v>
      </c>
      <c r="C37" s="34">
        <f>_xll.DBRW($B$1,Input_Prod_02!$D$9,Input_Prod_02!C$11,$M$1,Input_Prod_02!$G$9,$J$9,Input_Prod_02!$E$30,Input_Prod_02!$B37,$L$1,$K$1)</f>
        <v>0</v>
      </c>
      <c r="D37" s="34">
        <f>_xll.DBRW($B$1,Input_Prod_02!$D$9,Input_Prod_02!D$11,$M$1,Input_Prod_02!$G$9,$J$9,Input_Prod_02!$E$30,Input_Prod_02!$B37,$L$1,$K$1)</f>
        <v>0</v>
      </c>
      <c r="E37" s="34">
        <f>_xll.DBRW($B$1,Input_Prod_02!$D$9,Input_Prod_02!E$11,$M$1,Input_Prod_02!$G$9,$J$9,Input_Prod_02!$E$30,Input_Prod_02!$B37,$L$1,$K$1)</f>
        <v>0</v>
      </c>
      <c r="F37" s="34">
        <f>_xll.DBRW($B$1,Input_Prod_02!$D$9,Input_Prod_02!F$11,$M$1,Input_Prod_02!$G$9,$J$9,Input_Prod_02!$E$30,Input_Prod_02!$B37,$L$1,$K$1)</f>
        <v>0</v>
      </c>
      <c r="G37" s="34">
        <f>_xll.DBRW($B$1,Input_Prod_02!$D$9,Input_Prod_02!G$11,$M$1,Input_Prod_02!$G$9,$J$9,Input_Prod_02!$E$30,Input_Prod_02!$B37,$L$1,$K$1)</f>
        <v>0</v>
      </c>
      <c r="H37" s="34">
        <f>_xll.DBRW($B$1,Input_Prod_02!$D$9,Input_Prod_02!H$11,$M$1,Input_Prod_02!$G$9,$J$9,Input_Prod_02!$E$30,Input_Prod_02!$B37,$L$1,$K$1)</f>
        <v>0</v>
      </c>
      <c r="I37" s="34">
        <f>_xll.DBRW($B$1,Input_Prod_02!$D$9,Input_Prod_02!I$11,$M$1,Input_Prod_02!$G$9,$J$9,Input_Prod_02!$E$30,Input_Prod_02!$B37,$L$1,$K$1)</f>
        <v>0</v>
      </c>
      <c r="J37" s="34">
        <f>_xll.DBRW($B$1,Input_Prod_02!$D$9,Input_Prod_02!J$11,$M$1,Input_Prod_02!$G$9,$J$9,Input_Prod_02!$E$30,Input_Prod_02!$B37,$L$1,$K$1)</f>
        <v>0</v>
      </c>
      <c r="K37" s="34">
        <f>_xll.DBRW($B$1,Input_Prod_02!$D$9,Input_Prod_02!K$11,$M$1,Input_Prod_02!$G$9,$J$9,Input_Prod_02!$E$30,Input_Prod_02!$B37,$L$1,$K$1)</f>
        <v>0</v>
      </c>
      <c r="L37" s="34">
        <f>_xll.DBRW($B$1,Input_Prod_02!$D$9,Input_Prod_02!L$11,$M$1,Input_Prod_02!$G$9,$J$9,Input_Prod_02!$E$30,Input_Prod_02!$B37,$L$1,$K$1)</f>
        <v>0</v>
      </c>
      <c r="M37" s="34">
        <f>_xll.DBRW($B$1,Input_Prod_02!$D$9,Input_Prod_02!M$11,$M$1,Input_Prod_02!$G$9,$J$9,Input_Prod_02!$E$30,Input_Prod_02!$B37,$L$1,$K$1)</f>
        <v>0</v>
      </c>
      <c r="N37" s="34">
        <f>_xll.DBRW($B$1,Input_Prod_02!$D$9,Input_Prod_02!N$11,$M$1,Input_Prod_02!$G$9,$J$9,Input_Prod_02!$E$30,Input_Prod_02!$B37,$L$1,$K$1)</f>
        <v>0</v>
      </c>
    </row>
    <row r="38" spans="2:14" s="1" customFormat="1" ht="15.75" customHeight="1" x14ac:dyDescent="0.25">
      <c r="B38" s="17" t="s">
        <v>59</v>
      </c>
      <c r="C38" s="34">
        <f>_xll.DBRW($B$1,Input_Prod_02!$D$9,Input_Prod_02!C$11,$M$1,Input_Prod_02!$G$9,$J$9,Input_Prod_02!$E$30,Input_Prod_02!$B38,$L$1,$K$1)</f>
        <v>0</v>
      </c>
      <c r="D38" s="34">
        <f>_xll.DBRW($B$1,Input_Prod_02!$D$9,Input_Prod_02!D$11,$M$1,Input_Prod_02!$G$9,$J$9,Input_Prod_02!$E$30,Input_Prod_02!$B38,$L$1,$K$1)</f>
        <v>0</v>
      </c>
      <c r="E38" s="34">
        <f>_xll.DBRW($B$1,Input_Prod_02!$D$9,Input_Prod_02!E$11,$M$1,Input_Prod_02!$G$9,$J$9,Input_Prod_02!$E$30,Input_Prod_02!$B38,$L$1,$K$1)</f>
        <v>0</v>
      </c>
      <c r="F38" s="34">
        <f>_xll.DBRW($B$1,Input_Prod_02!$D$9,Input_Prod_02!F$11,$M$1,Input_Prod_02!$G$9,$J$9,Input_Prod_02!$E$30,Input_Prod_02!$B38,$L$1,$K$1)</f>
        <v>0</v>
      </c>
      <c r="G38" s="34">
        <f>_xll.DBRW($B$1,Input_Prod_02!$D$9,Input_Prod_02!G$11,$M$1,Input_Prod_02!$G$9,$J$9,Input_Prod_02!$E$30,Input_Prod_02!$B38,$L$1,$K$1)</f>
        <v>0</v>
      </c>
      <c r="H38" s="34">
        <f>_xll.DBRW($B$1,Input_Prod_02!$D$9,Input_Prod_02!H$11,$M$1,Input_Prod_02!$G$9,$J$9,Input_Prod_02!$E$30,Input_Prod_02!$B38,$L$1,$K$1)</f>
        <v>0</v>
      </c>
      <c r="I38" s="34">
        <f>_xll.DBRW($B$1,Input_Prod_02!$D$9,Input_Prod_02!I$11,$M$1,Input_Prod_02!$G$9,$J$9,Input_Prod_02!$E$30,Input_Prod_02!$B38,$L$1,$K$1)</f>
        <v>0</v>
      </c>
      <c r="J38" s="34">
        <f>_xll.DBRW($B$1,Input_Prod_02!$D$9,Input_Prod_02!J$11,$M$1,Input_Prod_02!$G$9,$J$9,Input_Prod_02!$E$30,Input_Prod_02!$B38,$L$1,$K$1)</f>
        <v>0</v>
      </c>
      <c r="K38" s="34">
        <f>_xll.DBRW($B$1,Input_Prod_02!$D$9,Input_Prod_02!K$11,$M$1,Input_Prod_02!$G$9,$J$9,Input_Prod_02!$E$30,Input_Prod_02!$B38,$L$1,$K$1)</f>
        <v>0</v>
      </c>
      <c r="L38" s="34">
        <f>_xll.DBRW($B$1,Input_Prod_02!$D$9,Input_Prod_02!L$11,$M$1,Input_Prod_02!$G$9,$J$9,Input_Prod_02!$E$30,Input_Prod_02!$B38,$L$1,$K$1)</f>
        <v>0</v>
      </c>
      <c r="M38" s="34">
        <f>_xll.DBRW($B$1,Input_Prod_02!$D$9,Input_Prod_02!M$11,$M$1,Input_Prod_02!$G$9,$J$9,Input_Prod_02!$E$30,Input_Prod_02!$B38,$L$1,$K$1)</f>
        <v>0</v>
      </c>
      <c r="N38" s="34">
        <f>_xll.DBRW($B$1,Input_Prod_02!$D$9,Input_Prod_02!N$11,$M$1,Input_Prod_02!$G$9,$J$9,Input_Prod_02!$E$30,Input_Prod_02!$B38,$L$1,$K$1)</f>
        <v>0</v>
      </c>
    </row>
    <row r="39" spans="2:14" s="1" customFormat="1" ht="15.75" customHeight="1" x14ac:dyDescent="0.25">
      <c r="B39" s="17" t="s">
        <v>60</v>
      </c>
      <c r="C39" s="34">
        <f>_xll.DBRW($B$1,Input_Prod_02!$D$9,Input_Prod_02!C$11,$M$1,Input_Prod_02!$G$9,$J$9,Input_Prod_02!$E$30,Input_Prod_02!$B39,$L$1,$K$1)</f>
        <v>204.28084904132601</v>
      </c>
      <c r="D39" s="34">
        <f>_xll.DBRW($B$1,Input_Prod_02!$D$9,Input_Prod_02!D$11,$M$1,Input_Prod_02!$G$9,$J$9,Input_Prod_02!$E$30,Input_Prod_02!$B39,$L$1,$K$1)</f>
        <v>211.373885132212</v>
      </c>
      <c r="E39" s="34">
        <f>_xll.DBRW($B$1,Input_Prod_02!$D$9,Input_Prod_02!E$11,$M$1,Input_Prod_02!$G$9,$J$9,Input_Prod_02!$E$30,Input_Prod_02!$B39,$L$1,$K$1)</f>
        <v>207.494965232336</v>
      </c>
      <c r="F39" s="34">
        <f>_xll.DBRW($B$1,Input_Prod_02!$D$9,Input_Prod_02!F$11,$M$1,Input_Prod_02!$G$9,$J$9,Input_Prod_02!$E$30,Input_Prod_02!$B39,$L$1,$K$1)</f>
        <v>197.65714354724801</v>
      </c>
      <c r="G39" s="34">
        <f>_xll.DBRW($B$1,Input_Prod_02!$D$9,Input_Prod_02!G$11,$M$1,Input_Prod_02!$G$9,$J$9,Input_Prod_02!$E$30,Input_Prod_02!$B39,$L$1,$K$1)</f>
        <v>197.44742108714701</v>
      </c>
      <c r="H39" s="34">
        <f>_xll.DBRW($B$1,Input_Prod_02!$D$9,Input_Prod_02!H$11,$M$1,Input_Prod_02!$G$9,$J$9,Input_Prod_02!$E$30,Input_Prod_02!$B39,$L$1,$K$1)</f>
        <v>198.054503167349</v>
      </c>
      <c r="I39" s="34">
        <f>_xll.DBRW($B$1,Input_Prod_02!$D$9,Input_Prod_02!I$11,$M$1,Input_Prod_02!$G$9,$J$9,Input_Prod_02!$E$30,Input_Prod_02!$B39,$L$1,$K$1)</f>
        <v>200.53728098060199</v>
      </c>
      <c r="J39" s="34">
        <f>_xll.DBRW($B$1,Input_Prod_02!$D$9,Input_Prod_02!J$11,$M$1,Input_Prod_02!$G$9,$J$9,Input_Prod_02!$E$30,Input_Prod_02!$B39,$L$1,$K$1)</f>
        <v>198.91152584510101</v>
      </c>
      <c r="K39" s="34">
        <f>_xll.DBRW($B$1,Input_Prod_02!$D$9,Input_Prod_02!K$11,$M$1,Input_Prod_02!$G$9,$J$9,Input_Prod_02!$E$30,Input_Prod_02!$B39,$L$1,$K$1)</f>
        <v>198.76238127065099</v>
      </c>
      <c r="L39" s="34">
        <f>_xll.DBRW($B$1,Input_Prod_02!$D$9,Input_Prod_02!L$11,$M$1,Input_Prod_02!$G$9,$J$9,Input_Prod_02!$E$30,Input_Prod_02!$B39,$L$1,$K$1)</f>
        <v>198.44591324637301</v>
      </c>
      <c r="M39" s="34">
        <f>_xll.DBRW($B$1,Input_Prod_02!$D$9,Input_Prod_02!M$11,$M$1,Input_Prod_02!$G$9,$J$9,Input_Prod_02!$E$30,Input_Prod_02!$B39,$L$1,$K$1)</f>
        <v>214.78668537447001</v>
      </c>
      <c r="N39" s="34">
        <f>_xll.DBRW($B$1,Input_Prod_02!$D$9,Input_Prod_02!N$11,$M$1,Input_Prod_02!$G$9,$J$9,Input_Prod_02!$E$30,Input_Prod_02!$B39,$L$1,$K$1)</f>
        <v>207.889761733142</v>
      </c>
    </row>
    <row r="40" spans="2:14" s="1" customFormat="1" ht="15.75" customHeight="1" x14ac:dyDescent="0.25">
      <c r="B40" s="17" t="s">
        <v>61</v>
      </c>
      <c r="C40" s="26">
        <f>_xll.DBRW($B$1,Input_Prod_02!$D$9,Input_Prod_02!C$11,$M$1,Input_Prod_02!$G$9,$J$9,Input_Prod_02!$E$30,Input_Prod_02!$B40,$L$1,$K$1)</f>
        <v>0</v>
      </c>
      <c r="D40" s="26">
        <f>_xll.DBRW($B$1,Input_Prod_02!$D$9,Input_Prod_02!D$11,$M$1,Input_Prod_02!$G$9,$J$9,Input_Prod_02!$E$30,Input_Prod_02!$B40,$L$1,$K$1)</f>
        <v>0</v>
      </c>
      <c r="E40" s="26">
        <f>_xll.DBRW($B$1,Input_Prod_02!$D$9,Input_Prod_02!E$11,$M$1,Input_Prod_02!$G$9,$J$9,Input_Prod_02!$E$30,Input_Prod_02!$B40,$L$1,$K$1)</f>
        <v>0</v>
      </c>
      <c r="F40" s="26">
        <f>_xll.DBRW($B$1,Input_Prod_02!$D$9,Input_Prod_02!F$11,$M$1,Input_Prod_02!$G$9,$J$9,Input_Prod_02!$E$30,Input_Prod_02!$B40,$L$1,$K$1)</f>
        <v>0</v>
      </c>
      <c r="G40" s="26">
        <f>_xll.DBRW($B$1,Input_Prod_02!$D$9,Input_Prod_02!G$11,$M$1,Input_Prod_02!$G$9,$J$9,Input_Prod_02!$E$30,Input_Prod_02!$B40,$L$1,$K$1)</f>
        <v>0</v>
      </c>
      <c r="H40" s="26">
        <f>_xll.DBRW($B$1,Input_Prod_02!$D$9,Input_Prod_02!H$11,$M$1,Input_Prod_02!$G$9,$J$9,Input_Prod_02!$E$30,Input_Prod_02!$B40,$L$1,$K$1)</f>
        <v>0</v>
      </c>
      <c r="I40" s="26">
        <f>_xll.DBRW($B$1,Input_Prod_02!$D$9,Input_Prod_02!I$11,$M$1,Input_Prod_02!$G$9,$J$9,Input_Prod_02!$E$30,Input_Prod_02!$B40,$L$1,$K$1)</f>
        <v>0</v>
      </c>
      <c r="J40" s="26">
        <f>_xll.DBRW($B$1,Input_Prod_02!$D$9,Input_Prod_02!J$11,$M$1,Input_Prod_02!$G$9,$J$9,Input_Prod_02!$E$30,Input_Prod_02!$B40,$L$1,$K$1)</f>
        <v>0</v>
      </c>
      <c r="K40" s="26">
        <f>_xll.DBRW($B$1,Input_Prod_02!$D$9,Input_Prod_02!K$11,$M$1,Input_Prod_02!$G$9,$J$9,Input_Prod_02!$E$30,Input_Prod_02!$B40,$L$1,$K$1)</f>
        <v>0</v>
      </c>
      <c r="L40" s="26">
        <f>_xll.DBRW($B$1,Input_Prod_02!$D$9,Input_Prod_02!L$11,$M$1,Input_Prod_02!$G$9,$J$9,Input_Prod_02!$E$30,Input_Prod_02!$B40,$L$1,$K$1)</f>
        <v>0</v>
      </c>
      <c r="M40" s="26">
        <f>_xll.DBRW($B$1,Input_Prod_02!$D$9,Input_Prod_02!M$11,$M$1,Input_Prod_02!$G$9,$J$9,Input_Prod_02!$E$30,Input_Prod_02!$B40,$L$1,$K$1)</f>
        <v>0</v>
      </c>
      <c r="N40" s="26">
        <f>_xll.DBRW($B$1,Input_Prod_02!$D$9,Input_Prod_02!N$11,$M$1,Input_Prod_02!$G$9,$J$9,Input_Prod_02!$E$30,Input_Prod_02!$B40,$L$1,$K$1)</f>
        <v>0</v>
      </c>
    </row>
    <row r="41" spans="2:14" s="1" customFormat="1" ht="15.75" customHeight="1" x14ac:dyDescent="0.25">
      <c r="B41" s="20" t="s">
        <v>18</v>
      </c>
      <c r="C41" s="21">
        <f>_xll.DBRW($B$2,Input_Prod_02!$D$9,Input_Prod_02!C$11,$M$1,Input_Prod_02!$G$9,$J$9,$E$30,$K$2,$B$41)</f>
        <v>17.492569103408748</v>
      </c>
      <c r="D41" s="21">
        <f>_xll.DBRW($B$2,Input_Prod_02!$D$9,Input_Prod_02!D$11,$M$1,Input_Prod_02!$G$9,$J$9,$E$30,$K$2,$B$41)</f>
        <v>29.336581517499699</v>
      </c>
      <c r="E41" s="21">
        <f>_xll.DBRW($B$2,Input_Prod_02!$D$9,Input_Prod_02!E$11,$M$1,Input_Prod_02!$G$9,$J$9,$E$30,$K$2,$B$41)</f>
        <v>34.527162214660713</v>
      </c>
      <c r="F41" s="21">
        <f>_xll.DBRW($B$2,Input_Prod_02!$D$9,Input_Prod_02!F$11,$M$1,Input_Prod_02!$G$9,$J$9,$E$30,$K$2,$B$41)</f>
        <v>51.315747607736526</v>
      </c>
      <c r="G41" s="21">
        <f>_xll.DBRW($B$2,Input_Prod_02!$D$9,Input_Prod_02!G$11,$M$1,Input_Prod_02!$G$9,$J$9,$E$30,$K$2,$B$41)</f>
        <v>61.706268038155173</v>
      </c>
      <c r="H41" s="21">
        <f>_xll.DBRW($B$2,Input_Prod_02!$D$9,Input_Prod_02!H$11,$M$1,Input_Prod_02!$G$9,$J$9,$E$30,$K$2,$B$41)</f>
        <v>67.158301479016373</v>
      </c>
      <c r="I41" s="21">
        <f>_xll.DBRW($B$2,Input_Prod_02!$D$9,Input_Prod_02!I$11,$M$1,Input_Prod_02!$G$9,$J$9,$E$30,$K$2,$B$41)</f>
        <v>71.038326414568445</v>
      </c>
      <c r="J41" s="21">
        <f>_xll.DBRW($B$2,Input_Prod_02!$D$9,Input_Prod_02!J$11,$M$1,Input_Prod_02!$G$9,$J$9,$E$30,$K$2,$B$41)</f>
        <v>75.383490064776382</v>
      </c>
      <c r="K41" s="21">
        <f>_xll.DBRW($B$2,Input_Prod_02!$D$9,Input_Prod_02!K$11,$M$1,Input_Prod_02!$G$9,$J$9,$E$30,$K$2,$B$41)</f>
        <v>75.154043982245838</v>
      </c>
      <c r="L41" s="21">
        <f>_xll.DBRW($B$2,Input_Prod_02!$D$9,Input_Prod_02!L$11,$M$1,Input_Prod_02!$G$9,$J$9,$E$30,$K$2,$B$41)</f>
        <v>73.065800798182082</v>
      </c>
      <c r="M41" s="21">
        <f>_xll.DBRW($B$2,Input_Prod_02!$D$9,Input_Prod_02!M$11,$M$1,Input_Prod_02!$G$9,$J$9,$E$30,$K$2,$B$41)</f>
        <v>63.179503502900346</v>
      </c>
      <c r="N41" s="21">
        <f>_xll.DBRW($B$2,Input_Prod_02!$D$9,Input_Prod_02!N$11,$M$1,Input_Prod_02!$G$9,$J$9,$E$30,$K$2,$B$41)</f>
        <v>33.360070065317295</v>
      </c>
    </row>
    <row r="42" spans="2:14" s="1" customFormat="1" ht="15.75" customHeight="1" x14ac:dyDescent="0.25">
      <c r="B42" s="22" t="s">
        <v>70</v>
      </c>
      <c r="C42" s="23">
        <f>_xll.DBRW($B$2,Input_Prod_02!$D$9,Input_Prod_02!C$11,$M$1,Input_Prod_02!$G$9,$J$9,$E$30,$K$2,$B$42)</f>
        <v>17.492569103408748</v>
      </c>
      <c r="D42" s="23">
        <f>_xll.DBRW($B$2,Input_Prod_02!$D$9,Input_Prod_02!D$11,$M$1,Input_Prod_02!$G$9,$J$9,$E$30,$K$2,$B$42)</f>
        <v>29.336581517499699</v>
      </c>
      <c r="E42" s="23">
        <f>_xll.DBRW($B$2,Input_Prod_02!$D$9,Input_Prod_02!E$11,$M$1,Input_Prod_02!$G$9,$J$9,$E$30,$K$2,$B$42)</f>
        <v>34.527162214660713</v>
      </c>
      <c r="F42" s="23">
        <f>_xll.DBRW($B$2,Input_Prod_02!$D$9,Input_Prod_02!F$11,$M$1,Input_Prod_02!$G$9,$J$9,$E$30,$K$2,$B$42)</f>
        <v>51.315747607736526</v>
      </c>
      <c r="G42" s="23">
        <f>_xll.DBRW($B$2,Input_Prod_02!$D$9,Input_Prod_02!G$11,$M$1,Input_Prod_02!$G$9,$J$9,$E$30,$K$2,$B$42)</f>
        <v>61.706268038155173</v>
      </c>
      <c r="H42" s="23">
        <f>_xll.DBRW($B$2,Input_Prod_02!$D$9,Input_Prod_02!H$11,$M$1,Input_Prod_02!$G$9,$J$9,$E$30,$K$2,$B$42)</f>
        <v>67.158301479016373</v>
      </c>
      <c r="I42" s="23">
        <f>_xll.DBRW($B$2,Input_Prod_02!$D$9,Input_Prod_02!I$11,$M$1,Input_Prod_02!$G$9,$J$9,$E$30,$K$2,$B$42)</f>
        <v>71.038326414568445</v>
      </c>
      <c r="J42" s="23">
        <f>_xll.DBRW($B$2,Input_Prod_02!$D$9,Input_Prod_02!J$11,$M$1,Input_Prod_02!$G$9,$J$9,$E$30,$K$2,$B$42)</f>
        <v>75.383490064776382</v>
      </c>
      <c r="K42" s="23">
        <f>_xll.DBRW($B$2,Input_Prod_02!$D$9,Input_Prod_02!K$11,$M$1,Input_Prod_02!$G$9,$J$9,$E$30,$K$2,$B$42)</f>
        <v>75.154043982245838</v>
      </c>
      <c r="L42" s="23">
        <f>_xll.DBRW($B$2,Input_Prod_02!$D$9,Input_Prod_02!L$11,$M$1,Input_Prod_02!$G$9,$J$9,$E$30,$K$2,$B$42)</f>
        <v>73.065800798182082</v>
      </c>
      <c r="M42" s="23">
        <f>_xll.DBRW($B$2,Input_Prod_02!$D$9,Input_Prod_02!M$11,$M$1,Input_Prod_02!$G$9,$J$9,$E$30,$K$2,$B$42)</f>
        <v>63.179503502900346</v>
      </c>
      <c r="N42" s="23">
        <f>_xll.DBRW($B$2,Input_Prod_02!$D$9,Input_Prod_02!N$11,$M$1,Input_Prod_02!$G$9,$J$9,$E$30,$K$2,$B$42)</f>
        <v>33.360070065317295</v>
      </c>
    </row>
    <row r="45" spans="2:14" s="1" customFormat="1" ht="15.75" customHeight="1" thickBot="1" x14ac:dyDescent="0.3">
      <c r="B45" s="10"/>
    </row>
    <row r="46" spans="2:14" s="1" customFormat="1" ht="15.75" customHeight="1" thickTop="1" x14ac:dyDescent="0.25">
      <c r="B46" s="9" t="s">
        <v>30</v>
      </c>
    </row>
    <row r="47" spans="2:14" s="1" customFormat="1" ht="15.75" customHeight="1" x14ac:dyDescent="0.25"/>
    <row r="48" spans="2:14" s="1" customFormat="1" ht="15.75" customHeight="1" x14ac:dyDescent="0.25"/>
    <row r="49" spans="2:14" s="1" customFormat="1" ht="15.75" customHeight="1" x14ac:dyDescent="0.25">
      <c r="B49" s="5"/>
      <c r="C49" s="18" t="str">
        <f>$D$9&amp;"."&amp;C$11</f>
        <v>2026.01</v>
      </c>
      <c r="D49" s="18" t="str">
        <f t="shared" ref="D49:N49" si="2">$D$9&amp;"."&amp;D$11</f>
        <v>2026.02</v>
      </c>
      <c r="E49" s="18" t="str">
        <f t="shared" si="2"/>
        <v>2026.03</v>
      </c>
      <c r="F49" s="18" t="str">
        <f t="shared" si="2"/>
        <v>2026.04</v>
      </c>
      <c r="G49" s="18" t="str">
        <f t="shared" si="2"/>
        <v>2026.05</v>
      </c>
      <c r="H49" s="18" t="str">
        <f t="shared" si="2"/>
        <v>2026.06</v>
      </c>
      <c r="I49" s="18" t="str">
        <f t="shared" si="2"/>
        <v>2026.07</v>
      </c>
      <c r="J49" s="18" t="str">
        <f t="shared" si="2"/>
        <v>2026.08</v>
      </c>
      <c r="K49" s="18" t="str">
        <f t="shared" si="2"/>
        <v>2026.09</v>
      </c>
      <c r="L49" s="18" t="str">
        <f t="shared" si="2"/>
        <v>2026.10</v>
      </c>
      <c r="M49" s="18" t="str">
        <f t="shared" si="2"/>
        <v>2026.11</v>
      </c>
      <c r="N49" s="18" t="str">
        <f t="shared" si="2"/>
        <v>2026.12</v>
      </c>
    </row>
    <row r="50" spans="2:14" s="1" customFormat="1" ht="15.75" customHeight="1" x14ac:dyDescent="0.25">
      <c r="B50" s="17" t="s">
        <v>20</v>
      </c>
      <c r="C50" s="16">
        <f>_xll.DBRW($B$1,Input_Prod_02!$D$9,Input_Prod_02!C$11,$M$1,Input_Prod_02!$G$9,$J$9,$E$30,Input_Prod_02!$B50,$L$1,$K$1)</f>
        <v>0</v>
      </c>
      <c r="D50" s="16">
        <f>_xll.DBRW($B$1,Input_Prod_02!$D$9,Input_Prod_02!D$11,$M$1,Input_Prod_02!$G$9,$J$9,$E$30,Input_Prod_02!$B50,$L$1,$K$1)</f>
        <v>0</v>
      </c>
      <c r="E50" s="16">
        <f>_xll.DBRW($B$1,Input_Prod_02!$D$9,Input_Prod_02!E$11,$M$1,Input_Prod_02!$G$9,$J$9,$E$30,Input_Prod_02!$B50,$L$1,$K$1)</f>
        <v>0</v>
      </c>
      <c r="F50" s="16">
        <f>_xll.DBRW($B$1,Input_Prod_02!$D$9,Input_Prod_02!F$11,$M$1,Input_Prod_02!$G$9,$J$9,$E$30,Input_Prod_02!$B50,$L$1,$K$1)</f>
        <v>0</v>
      </c>
      <c r="G50" s="16">
        <f>_xll.DBRW($B$1,Input_Prod_02!$D$9,Input_Prod_02!G$11,$M$1,Input_Prod_02!$G$9,$J$9,$E$30,Input_Prod_02!$B50,$L$1,$K$1)</f>
        <v>0</v>
      </c>
      <c r="H50" s="16">
        <f>_xll.DBRW($B$1,Input_Prod_02!$D$9,Input_Prod_02!H$11,$M$1,Input_Prod_02!$G$9,$J$9,$E$30,Input_Prod_02!$B50,$L$1,$K$1)</f>
        <v>0</v>
      </c>
      <c r="I50" s="16">
        <f>_xll.DBRW($B$1,Input_Prod_02!$D$9,Input_Prod_02!I$11,$M$1,Input_Prod_02!$G$9,$J$9,$E$30,Input_Prod_02!$B50,$L$1,$K$1)</f>
        <v>0</v>
      </c>
      <c r="J50" s="16">
        <f>_xll.DBRW($B$1,Input_Prod_02!$D$9,Input_Prod_02!J$11,$M$1,Input_Prod_02!$G$9,$J$9,$E$30,Input_Prod_02!$B50,$L$1,$K$1)</f>
        <v>0</v>
      </c>
      <c r="K50" s="16">
        <f>_xll.DBRW($B$1,Input_Prod_02!$D$9,Input_Prod_02!K$11,$M$1,Input_Prod_02!$G$9,$J$9,$E$30,Input_Prod_02!$B50,$L$1,$K$1)</f>
        <v>0</v>
      </c>
      <c r="L50" s="16">
        <f>_xll.DBRW($B$1,Input_Prod_02!$D$9,Input_Prod_02!L$11,$M$1,Input_Prod_02!$G$9,$J$9,$E$30,Input_Prod_02!$B50,$L$1,$K$1)</f>
        <v>0</v>
      </c>
      <c r="M50" s="16">
        <f>_xll.DBRW($B$1,Input_Prod_02!$D$9,Input_Prod_02!M$11,$M$1,Input_Prod_02!$G$9,$J$9,$E$30,Input_Prod_02!$B50,$L$1,$K$1)</f>
        <v>0</v>
      </c>
      <c r="N50" s="16">
        <f>_xll.DBRW($B$1,Input_Prod_02!$D$9,Input_Prod_02!N$11,$M$1,Input_Prod_02!$G$9,$J$9,$E$30,Input_Prod_02!$B50,$L$1,$K$1)</f>
        <v>0</v>
      </c>
    </row>
    <row r="51" spans="2:14" s="1" customFormat="1" ht="15.75" customHeight="1" x14ac:dyDescent="0.25">
      <c r="B51" s="17" t="s">
        <v>21</v>
      </c>
      <c r="C51" s="34">
        <f>_xll.DBRW($B$1,Input_Prod_02!$D$9,Input_Prod_02!C$11,$M$1,Input_Prod_02!$G$9,$J$9,$E$30,Input_Prod_02!$B51,$L$1,$K$1)</f>
        <v>11.6652540398127</v>
      </c>
      <c r="D51" s="34">
        <f>_xll.DBRW($B$1,Input_Prod_02!$D$9,Input_Prod_02!D$11,$M$1,Input_Prod_02!$G$9,$J$9,$E$30,Input_Prod_02!$B51,$L$1,$K$1)</f>
        <v>17.865807583624601</v>
      </c>
      <c r="E51" s="34">
        <f>_xll.DBRW($B$1,Input_Prod_02!$D$9,Input_Prod_02!E$11,$M$1,Input_Prod_02!$G$9,$J$9,$E$30,Input_Prod_02!$B51,$L$1,$K$1)</f>
        <v>21.231732159111601</v>
      </c>
      <c r="F51" s="34">
        <f>_xll.DBRW($B$1,Input_Prod_02!$D$9,Input_Prod_02!F$11,$M$1,Input_Prod_02!$G$9,$J$9,$E$30,Input_Prod_02!$B51,$L$1,$K$1)</f>
        <v>30.673704016473099</v>
      </c>
      <c r="G51" s="34">
        <f>_xll.DBRW($B$1,Input_Prod_02!$D$9,Input_Prod_02!G$11,$M$1,Input_Prod_02!$G$9,$J$9,$E$30,Input_Prod_02!$B51,$L$1,$K$1)</f>
        <v>36.756720898765103</v>
      </c>
      <c r="H51" s="34">
        <f>_xll.DBRW($B$1,Input_Prod_02!$D$9,Input_Prod_02!H$11,$M$1,Input_Prod_02!$G$9,$J$9,$E$30,Input_Prod_02!$B51,$L$1,$K$1)</f>
        <v>39.6589360798718</v>
      </c>
      <c r="I51" s="34">
        <f>_xll.DBRW($B$1,Input_Prod_02!$D$9,Input_Prod_02!I$11,$M$1,Input_Prod_02!$G$9,$J$9,$E$30,Input_Prod_02!$B51,$L$1,$K$1)</f>
        <v>41.703704681953297</v>
      </c>
      <c r="J51" s="34">
        <f>_xll.DBRW($B$1,Input_Prod_02!$D$9,Input_Prod_02!J$11,$M$1,Input_Prod_02!$G$9,$J$9,$E$30,Input_Prod_02!$B51,$L$1,$K$1)</f>
        <v>44.1253260540539</v>
      </c>
      <c r="K51" s="34">
        <f>_xll.DBRW($B$1,Input_Prod_02!$D$9,Input_Prod_02!K$11,$M$1,Input_Prod_02!$G$9,$J$9,$E$30,Input_Prod_02!$B51,$L$1,$K$1)</f>
        <v>44.461555280759598</v>
      </c>
      <c r="L51" s="34">
        <f>_xll.DBRW($B$1,Input_Prod_02!$D$9,Input_Prod_02!L$11,$M$1,Input_Prod_02!$G$9,$J$9,$E$30,Input_Prod_02!$B51,$L$1,$K$1)</f>
        <v>42.832278715218997</v>
      </c>
      <c r="M51" s="34">
        <f>_xll.DBRW($B$1,Input_Prod_02!$D$9,Input_Prod_02!M$11,$M$1,Input_Prod_02!$G$9,$J$9,$E$30,Input_Prod_02!$B51,$L$1,$K$1)</f>
        <v>34.850771767527398</v>
      </c>
      <c r="N51" s="34">
        <f>_xll.DBRW($B$1,Input_Prod_02!$D$9,Input_Prod_02!N$11,$M$1,Input_Prod_02!$G$9,$J$9,$E$30,Input_Prod_02!$B51,$L$1,$K$1)</f>
        <v>19.378156423969301</v>
      </c>
    </row>
    <row r="52" spans="2:14" s="1" customFormat="1" ht="15.75" customHeight="1" x14ac:dyDescent="0.25">
      <c r="B52" s="17" t="s">
        <v>22</v>
      </c>
      <c r="C52" s="16">
        <f>_xll.DBRW($B$1,Input_Prod_02!$D$9,Input_Prod_02!C$11,$M$1,Input_Prod_02!$G$9,$J$9,$E$30,Input_Prod_02!$B52,$L$1,$K$1)</f>
        <v>0</v>
      </c>
      <c r="D52" s="16">
        <f>_xll.DBRW($B$1,Input_Prod_02!$D$9,Input_Prod_02!D$11,$M$1,Input_Prod_02!$G$9,$J$9,$E$30,Input_Prod_02!$B52,$L$1,$K$1)</f>
        <v>0</v>
      </c>
      <c r="E52" s="16">
        <f>_xll.DBRW($B$1,Input_Prod_02!$D$9,Input_Prod_02!E$11,$M$1,Input_Prod_02!$G$9,$J$9,$E$30,Input_Prod_02!$B52,$L$1,$K$1)</f>
        <v>0</v>
      </c>
      <c r="F52" s="16">
        <f>_xll.DBRW($B$1,Input_Prod_02!$D$9,Input_Prod_02!F$11,$M$1,Input_Prod_02!$G$9,$J$9,$E$30,Input_Prod_02!$B52,$L$1,$K$1)</f>
        <v>0</v>
      </c>
      <c r="G52" s="16">
        <f>_xll.DBRW($B$1,Input_Prod_02!$D$9,Input_Prod_02!G$11,$M$1,Input_Prod_02!$G$9,$J$9,$E$30,Input_Prod_02!$B52,$L$1,$K$1)</f>
        <v>0</v>
      </c>
      <c r="H52" s="16">
        <f>_xll.DBRW($B$1,Input_Prod_02!$D$9,Input_Prod_02!H$11,$M$1,Input_Prod_02!$G$9,$J$9,$E$30,Input_Prod_02!$B52,$L$1,$K$1)</f>
        <v>0</v>
      </c>
      <c r="I52" s="16">
        <f>_xll.DBRW($B$1,Input_Prod_02!$D$9,Input_Prod_02!I$11,$M$1,Input_Prod_02!$G$9,$J$9,$E$30,Input_Prod_02!$B52,$L$1,$K$1)</f>
        <v>0</v>
      </c>
      <c r="J52" s="16">
        <f>_xll.DBRW($B$1,Input_Prod_02!$D$9,Input_Prod_02!J$11,$M$1,Input_Prod_02!$G$9,$J$9,$E$30,Input_Prod_02!$B52,$L$1,$K$1)</f>
        <v>0</v>
      </c>
      <c r="K52" s="16">
        <f>_xll.DBRW($B$1,Input_Prod_02!$D$9,Input_Prod_02!K$11,$M$1,Input_Prod_02!$G$9,$J$9,$E$30,Input_Prod_02!$B52,$L$1,$K$1)</f>
        <v>0</v>
      </c>
      <c r="L52" s="16">
        <f>_xll.DBRW($B$1,Input_Prod_02!$D$9,Input_Prod_02!L$11,$M$1,Input_Prod_02!$G$9,$J$9,$E$30,Input_Prod_02!$B52,$L$1,$K$1)</f>
        <v>0</v>
      </c>
      <c r="M52" s="16">
        <f>_xll.DBRW($B$1,Input_Prod_02!$D$9,Input_Prod_02!M$11,$M$1,Input_Prod_02!$G$9,$J$9,$E$30,Input_Prod_02!$B52,$L$1,$K$1)</f>
        <v>0</v>
      </c>
      <c r="N52" s="16">
        <f>_xll.DBRW($B$1,Input_Prod_02!$D$9,Input_Prod_02!N$11,$M$1,Input_Prod_02!$G$9,$J$9,$E$30,Input_Prod_02!$B52,$L$1,$K$1)</f>
        <v>0</v>
      </c>
    </row>
    <row r="53" spans="2:14" s="1" customFormat="1" ht="15.75" customHeight="1" x14ac:dyDescent="0.25">
      <c r="B53" s="17" t="s">
        <v>23</v>
      </c>
      <c r="C53" s="16">
        <f>_xll.DBRW($B$1,Input_Prod_02!$D$9,Input_Prod_02!C$11,$M$1,Input_Prod_02!$G$9,$J$9,$E$30,Input_Prod_02!$B53,$L$1,$K$1)</f>
        <v>0</v>
      </c>
      <c r="D53" s="16">
        <f>_xll.DBRW($B$1,Input_Prod_02!$D$9,Input_Prod_02!D$11,$M$1,Input_Prod_02!$G$9,$J$9,$E$30,Input_Prod_02!$B53,$L$1,$K$1)</f>
        <v>0</v>
      </c>
      <c r="E53" s="16">
        <f>_xll.DBRW($B$1,Input_Prod_02!$D$9,Input_Prod_02!E$11,$M$1,Input_Prod_02!$G$9,$J$9,$E$30,Input_Prod_02!$B53,$L$1,$K$1)</f>
        <v>0</v>
      </c>
      <c r="F53" s="16">
        <f>_xll.DBRW($B$1,Input_Prod_02!$D$9,Input_Prod_02!F$11,$M$1,Input_Prod_02!$G$9,$J$9,$E$30,Input_Prod_02!$B53,$L$1,$K$1)</f>
        <v>0</v>
      </c>
      <c r="G53" s="16">
        <f>_xll.DBRW($B$1,Input_Prod_02!$D$9,Input_Prod_02!G$11,$M$1,Input_Prod_02!$G$9,$J$9,$E$30,Input_Prod_02!$B53,$L$1,$K$1)</f>
        <v>0</v>
      </c>
      <c r="H53" s="16">
        <f>_xll.DBRW($B$1,Input_Prod_02!$D$9,Input_Prod_02!H$11,$M$1,Input_Prod_02!$G$9,$J$9,$E$30,Input_Prod_02!$B53,$L$1,$K$1)</f>
        <v>0</v>
      </c>
      <c r="I53" s="16">
        <f>_xll.DBRW($B$1,Input_Prod_02!$D$9,Input_Prod_02!I$11,$M$1,Input_Prod_02!$G$9,$J$9,$E$30,Input_Prod_02!$B53,$L$1,$K$1)</f>
        <v>0</v>
      </c>
      <c r="J53" s="16">
        <f>_xll.DBRW($B$1,Input_Prod_02!$D$9,Input_Prod_02!J$11,$M$1,Input_Prod_02!$G$9,$J$9,$E$30,Input_Prod_02!$B53,$L$1,$K$1)</f>
        <v>0</v>
      </c>
      <c r="K53" s="16">
        <f>_xll.DBRW($B$1,Input_Prod_02!$D$9,Input_Prod_02!K$11,$M$1,Input_Prod_02!$G$9,$J$9,$E$30,Input_Prod_02!$B53,$L$1,$K$1)</f>
        <v>0</v>
      </c>
      <c r="L53" s="16">
        <f>_xll.DBRW($B$1,Input_Prod_02!$D$9,Input_Prod_02!L$11,$M$1,Input_Prod_02!$G$9,$J$9,$E$30,Input_Prod_02!$B53,$L$1,$K$1)</f>
        <v>0</v>
      </c>
      <c r="M53" s="16">
        <f>_xll.DBRW($B$1,Input_Prod_02!$D$9,Input_Prod_02!M$11,$M$1,Input_Prod_02!$G$9,$J$9,$E$30,Input_Prod_02!$B53,$L$1,$K$1)</f>
        <v>0</v>
      </c>
      <c r="N53" s="16">
        <f>_xll.DBRW($B$1,Input_Prod_02!$D$9,Input_Prod_02!N$11,$M$1,Input_Prod_02!$G$9,$J$9,$E$30,Input_Prod_02!$B53,$L$1,$K$1)</f>
        <v>0</v>
      </c>
    </row>
    <row r="54" spans="2:14" s="1" customFormat="1" ht="15.75" customHeight="1" x14ac:dyDescent="0.25">
      <c r="B54" s="17" t="s">
        <v>24</v>
      </c>
      <c r="C54" s="16">
        <f>_xll.DBRW($B$1,Input_Prod_02!$D$9,Input_Prod_02!C$11,$M$1,Input_Prod_02!$G$9,$J$9,$E$30,Input_Prod_02!$B54,$L$1,$K$1)</f>
        <v>0</v>
      </c>
      <c r="D54" s="16">
        <f>_xll.DBRW($B$1,Input_Prod_02!$D$9,Input_Prod_02!D$11,$M$1,Input_Prod_02!$G$9,$J$9,$E$30,Input_Prod_02!$B54,$L$1,$K$1)</f>
        <v>0</v>
      </c>
      <c r="E54" s="16">
        <f>_xll.DBRW($B$1,Input_Prod_02!$D$9,Input_Prod_02!E$11,$M$1,Input_Prod_02!$G$9,$J$9,$E$30,Input_Prod_02!$B54,$L$1,$K$1)</f>
        <v>0</v>
      </c>
      <c r="F54" s="16">
        <f>_xll.DBRW($B$1,Input_Prod_02!$D$9,Input_Prod_02!F$11,$M$1,Input_Prod_02!$G$9,$J$9,$E$30,Input_Prod_02!$B54,$L$1,$K$1)</f>
        <v>0</v>
      </c>
      <c r="G54" s="16">
        <f>_xll.DBRW($B$1,Input_Prod_02!$D$9,Input_Prod_02!G$11,$M$1,Input_Prod_02!$G$9,$J$9,$E$30,Input_Prod_02!$B54,$L$1,$K$1)</f>
        <v>0</v>
      </c>
      <c r="H54" s="16">
        <f>_xll.DBRW($B$1,Input_Prod_02!$D$9,Input_Prod_02!H$11,$M$1,Input_Prod_02!$G$9,$J$9,$E$30,Input_Prod_02!$B54,$L$1,$K$1)</f>
        <v>0</v>
      </c>
      <c r="I54" s="16">
        <f>_xll.DBRW($B$1,Input_Prod_02!$D$9,Input_Prod_02!I$11,$M$1,Input_Prod_02!$G$9,$J$9,$E$30,Input_Prod_02!$B54,$L$1,$K$1)</f>
        <v>0</v>
      </c>
      <c r="J54" s="16">
        <f>_xll.DBRW($B$1,Input_Prod_02!$D$9,Input_Prod_02!J$11,$M$1,Input_Prod_02!$G$9,$J$9,$E$30,Input_Prod_02!$B54,$L$1,$K$1)</f>
        <v>0</v>
      </c>
      <c r="K54" s="16">
        <f>_xll.DBRW($B$1,Input_Prod_02!$D$9,Input_Prod_02!K$11,$M$1,Input_Prod_02!$G$9,$J$9,$E$30,Input_Prod_02!$B54,$L$1,$K$1)</f>
        <v>0</v>
      </c>
      <c r="L54" s="16">
        <f>_xll.DBRW($B$1,Input_Prod_02!$D$9,Input_Prod_02!L$11,$M$1,Input_Prod_02!$G$9,$J$9,$E$30,Input_Prod_02!$B54,$L$1,$K$1)</f>
        <v>0</v>
      </c>
      <c r="M54" s="16">
        <f>_xll.DBRW($B$1,Input_Prod_02!$D$9,Input_Prod_02!M$11,$M$1,Input_Prod_02!$G$9,$J$9,$E$30,Input_Prod_02!$B54,$L$1,$K$1)</f>
        <v>0</v>
      </c>
      <c r="N54" s="16">
        <f>_xll.DBRW($B$1,Input_Prod_02!$D$9,Input_Prod_02!N$11,$M$1,Input_Prod_02!$G$9,$J$9,$E$30,Input_Prod_02!$B54,$L$1,$K$1)</f>
        <v>0</v>
      </c>
    </row>
    <row r="55" spans="2:14" s="1" customFormat="1" ht="15.75" customHeight="1" x14ac:dyDescent="0.25">
      <c r="B55" s="24" t="s">
        <v>25</v>
      </c>
      <c r="C55" s="21">
        <f>_xll.DBRW($B$3,Input_Prod_02!$D$9,Input_Prod_02!C$11,$M$1,Input_Prod_02!$G$9,$J$9,$E$30,Input_Prod_02!$B55,$K$1)</f>
        <v>5.827315063596048</v>
      </c>
      <c r="D55" s="21">
        <f>_xll.DBRW($B$3,Input_Prod_02!$D$9,Input_Prod_02!D$11,$M$1,Input_Prod_02!$G$9,$J$9,$E$30,Input_Prod_02!$B55,$K$1)</f>
        <v>11.470773933875098</v>
      </c>
      <c r="E55" s="21">
        <f>_xll.DBRW($B$3,Input_Prod_02!$D$9,Input_Prod_02!E$11,$M$1,Input_Prod_02!$G$9,$J$9,$E$30,Input_Prod_02!$B55,$K$1)</f>
        <v>13.295430055549112</v>
      </c>
      <c r="F55" s="21">
        <f>_xll.DBRW($B$3,Input_Prod_02!$D$9,Input_Prod_02!F$11,$M$1,Input_Prod_02!$G$9,$J$9,$E$30,Input_Prod_02!$B55,$K$1)</f>
        <v>20.642043591263427</v>
      </c>
      <c r="G55" s="21">
        <f>_xll.DBRW($B$3,Input_Prod_02!$D$9,Input_Prod_02!G$11,$M$1,Input_Prod_02!$G$9,$J$9,$E$30,Input_Prod_02!$B55,$K$1)</f>
        <v>24.94954713939007</v>
      </c>
      <c r="H55" s="21">
        <f>_xll.DBRW($B$3,Input_Prod_02!$D$9,Input_Prod_02!H$11,$M$1,Input_Prod_02!$G$9,$J$9,$E$30,Input_Prod_02!$B55,$K$1)</f>
        <v>27.499365399144573</v>
      </c>
      <c r="I55" s="21">
        <f>_xll.DBRW($B$3,Input_Prod_02!$D$9,Input_Prod_02!I$11,$M$1,Input_Prod_02!$G$9,$J$9,$E$30,Input_Prod_02!$B55,$K$1)</f>
        <v>29.334621732615147</v>
      </c>
      <c r="J55" s="21">
        <f>_xll.DBRW($B$3,Input_Prod_02!$D$9,Input_Prod_02!J$11,$M$1,Input_Prod_02!$G$9,$J$9,$E$30,Input_Prod_02!$B55,$K$1)</f>
        <v>31.258164010722481</v>
      </c>
      <c r="K55" s="21">
        <f>_xll.DBRW($B$3,Input_Prod_02!$D$9,Input_Prod_02!K$11,$M$1,Input_Prod_02!$G$9,$J$9,$E$30,Input_Prod_02!$B55,$K$1)</f>
        <v>30.692488701486241</v>
      </c>
      <c r="L55" s="21">
        <f>_xll.DBRW($B$3,Input_Prod_02!$D$9,Input_Prod_02!L$11,$M$1,Input_Prod_02!$G$9,$J$9,$E$30,Input_Prod_02!$B55,$K$1)</f>
        <v>30.233522082963084</v>
      </c>
      <c r="M55" s="21">
        <f>_xll.DBRW($B$3,Input_Prod_02!$D$9,Input_Prod_02!M$11,$M$1,Input_Prod_02!$G$9,$J$9,$E$30,Input_Prod_02!$B55,$K$1)</f>
        <v>28.328731735372948</v>
      </c>
      <c r="N55" s="21">
        <f>_xll.DBRW($B$3,Input_Prod_02!$D$9,Input_Prod_02!N$11,$M$1,Input_Prod_02!$G$9,$J$9,$E$30,Input_Prod_02!$B55,$K$1)</f>
        <v>13.981913641347994</v>
      </c>
    </row>
    <row r="57" spans="2:14" s="1" customFormat="1" ht="15.75" customHeight="1" thickBot="1" x14ac:dyDescent="0.3">
      <c r="B57" s="10"/>
    </row>
    <row r="58" spans="2:14" s="1" customFormat="1" ht="21" thickTop="1" x14ac:dyDescent="0.25">
      <c r="B58" s="9" t="s">
        <v>75</v>
      </c>
    </row>
    <row r="60" spans="2:14" s="1" customFormat="1" ht="15.75" customHeight="1" x14ac:dyDescent="0.25">
      <c r="B60" s="5"/>
      <c r="C60" s="18" t="str">
        <f>$D$9&amp;"."&amp;C$11</f>
        <v>2026.01</v>
      </c>
      <c r="D60" s="18" t="str">
        <f t="shared" ref="D60:N60" si="3">$D$9&amp;"."&amp;D$11</f>
        <v>2026.02</v>
      </c>
      <c r="E60" s="18" t="str">
        <f t="shared" si="3"/>
        <v>2026.03</v>
      </c>
      <c r="F60" s="18" t="str">
        <f t="shared" si="3"/>
        <v>2026.04</v>
      </c>
      <c r="G60" s="18" t="str">
        <f t="shared" si="3"/>
        <v>2026.05</v>
      </c>
      <c r="H60" s="18" t="str">
        <f t="shared" si="3"/>
        <v>2026.06</v>
      </c>
      <c r="I60" s="18" t="str">
        <f t="shared" si="3"/>
        <v>2026.07</v>
      </c>
      <c r="J60" s="18" t="str">
        <f t="shared" si="3"/>
        <v>2026.08</v>
      </c>
      <c r="K60" s="18" t="str">
        <f t="shared" si="3"/>
        <v>2026.09</v>
      </c>
      <c r="L60" s="18" t="str">
        <f t="shared" si="3"/>
        <v>2026.10</v>
      </c>
      <c r="M60" s="18" t="str">
        <f t="shared" si="3"/>
        <v>2026.11</v>
      </c>
      <c r="N60" s="18" t="str">
        <f t="shared" si="3"/>
        <v>2026.12</v>
      </c>
    </row>
    <row r="61" spans="2:14" s="1" customFormat="1" ht="29.25" customHeight="1" x14ac:dyDescent="0.25">
      <c r="B61" s="17" t="s">
        <v>26</v>
      </c>
      <c r="C61" s="16">
        <f>_xll.DBRW($B$1,Input_Prod_02!$D$9,Input_Prod_02!C$11,$M$1,Input_Prod_02!$G$9,$J$9,$E$30,Input_Prod_02!$B61,$L$1,$K$1)</f>
        <v>0</v>
      </c>
      <c r="D61" s="16">
        <f>_xll.DBRW($B$1,Input_Prod_02!$D$9,Input_Prod_02!D$11,$M$1,Input_Prod_02!$G$9,$J$9,$E$30,Input_Prod_02!$B61,$L$1,$K$1)</f>
        <v>0</v>
      </c>
      <c r="E61" s="16">
        <f>_xll.DBRW($B$1,Input_Prod_02!$D$9,Input_Prod_02!E$11,$M$1,Input_Prod_02!$G$9,$J$9,$E$30,Input_Prod_02!$B61,$L$1,$K$1)</f>
        <v>0</v>
      </c>
      <c r="F61" s="16">
        <f>_xll.DBRW($B$1,Input_Prod_02!$D$9,Input_Prod_02!F$11,$M$1,Input_Prod_02!$G$9,$J$9,$E$30,Input_Prod_02!$B61,$L$1,$K$1)</f>
        <v>0</v>
      </c>
      <c r="G61" s="16">
        <f>_xll.DBRW($B$1,Input_Prod_02!$D$9,Input_Prod_02!G$11,$M$1,Input_Prod_02!$G$9,$J$9,$E$30,Input_Prod_02!$B61,$L$1,$K$1)</f>
        <v>0</v>
      </c>
      <c r="H61" s="16">
        <f>_xll.DBRW($B$1,Input_Prod_02!$D$9,Input_Prod_02!H$11,$M$1,Input_Prod_02!$G$9,$J$9,$E$30,Input_Prod_02!$B61,$L$1,$K$1)</f>
        <v>0</v>
      </c>
      <c r="I61" s="16">
        <f>_xll.DBRW($B$1,Input_Prod_02!$D$9,Input_Prod_02!I$11,$M$1,Input_Prod_02!$G$9,$J$9,$E$30,Input_Prod_02!$B61,$L$1,$K$1)</f>
        <v>0</v>
      </c>
      <c r="J61" s="16">
        <f>_xll.DBRW($B$1,Input_Prod_02!$D$9,Input_Prod_02!J$11,$M$1,Input_Prod_02!$G$9,$J$9,$E$30,Input_Prod_02!$B61,$L$1,$K$1)</f>
        <v>0</v>
      </c>
      <c r="K61" s="16">
        <f>_xll.DBRW($B$1,Input_Prod_02!$D$9,Input_Prod_02!K$11,$M$1,Input_Prod_02!$G$9,$J$9,$E$30,Input_Prod_02!$B61,$L$1,$K$1)</f>
        <v>0</v>
      </c>
      <c r="L61" s="16">
        <f>_xll.DBRW($B$1,Input_Prod_02!$D$9,Input_Prod_02!L$11,$M$1,Input_Prod_02!$G$9,$J$9,$E$30,Input_Prod_02!$B61,$L$1,$K$1)</f>
        <v>0</v>
      </c>
      <c r="M61" s="16">
        <f>_xll.DBRW($B$1,Input_Prod_02!$D$9,Input_Prod_02!M$11,$M$1,Input_Prod_02!$G$9,$J$9,$E$30,Input_Prod_02!$B61,$L$1,$K$1)</f>
        <v>0</v>
      </c>
      <c r="N61" s="16">
        <f>_xll.DBRW($B$1,Input_Prod_02!$D$9,Input_Prod_02!N$11,$M$1,Input_Prod_02!$G$9,$J$9,$E$30,Input_Prod_02!$B61,$L$1,$K$1)</f>
        <v>0</v>
      </c>
    </row>
    <row r="62" spans="2:14" s="1" customFormat="1" ht="15.75" customHeight="1" x14ac:dyDescent="0.25">
      <c r="B62" s="24" t="s">
        <v>25</v>
      </c>
      <c r="C62" s="21">
        <f>_xll.DBRW($B$3,Input_Prod_02!$D$9,Input_Prod_02!C$11,$M$1,Input_Prod_02!$G$9,$J$9,$E$30,Input_Prod_02!$B62,$K$1)</f>
        <v>5.827315063596048</v>
      </c>
      <c r="D62" s="21">
        <f>_xll.DBRW($B$3,Input_Prod_02!$D$9,Input_Prod_02!D$11,$M$1,Input_Prod_02!$G$9,$J$9,$E$30,Input_Prod_02!$B62,$K$1)</f>
        <v>11.470773933875098</v>
      </c>
      <c r="E62" s="21">
        <f>_xll.DBRW($B$3,Input_Prod_02!$D$9,Input_Prod_02!E$11,$M$1,Input_Prod_02!$G$9,$J$9,$E$30,Input_Prod_02!$B62,$K$1)</f>
        <v>13.295430055549112</v>
      </c>
      <c r="F62" s="21">
        <f>_xll.DBRW($B$3,Input_Prod_02!$D$9,Input_Prod_02!F$11,$M$1,Input_Prod_02!$G$9,$J$9,$E$30,Input_Prod_02!$B62,$K$1)</f>
        <v>20.642043591263427</v>
      </c>
      <c r="G62" s="21">
        <f>_xll.DBRW($B$3,Input_Prod_02!$D$9,Input_Prod_02!G$11,$M$1,Input_Prod_02!$G$9,$J$9,$E$30,Input_Prod_02!$B62,$K$1)</f>
        <v>24.94954713939007</v>
      </c>
      <c r="H62" s="21">
        <f>_xll.DBRW($B$3,Input_Prod_02!$D$9,Input_Prod_02!H$11,$M$1,Input_Prod_02!$G$9,$J$9,$E$30,Input_Prod_02!$B62,$K$1)</f>
        <v>27.499365399144573</v>
      </c>
      <c r="I62" s="21">
        <f>_xll.DBRW($B$3,Input_Prod_02!$D$9,Input_Prod_02!I$11,$M$1,Input_Prod_02!$G$9,$J$9,$E$30,Input_Prod_02!$B62,$K$1)</f>
        <v>29.334621732615147</v>
      </c>
      <c r="J62" s="21">
        <f>_xll.DBRW($B$3,Input_Prod_02!$D$9,Input_Prod_02!J$11,$M$1,Input_Prod_02!$G$9,$J$9,$E$30,Input_Prod_02!$B62,$K$1)</f>
        <v>31.258164010722481</v>
      </c>
      <c r="K62" s="21">
        <f>_xll.DBRW($B$3,Input_Prod_02!$D$9,Input_Prod_02!K$11,$M$1,Input_Prod_02!$G$9,$J$9,$E$30,Input_Prod_02!$B62,$K$1)</f>
        <v>30.692488701486241</v>
      </c>
      <c r="L62" s="21">
        <f>_xll.DBRW($B$3,Input_Prod_02!$D$9,Input_Prod_02!L$11,$M$1,Input_Prod_02!$G$9,$J$9,$E$30,Input_Prod_02!$B62,$K$1)</f>
        <v>30.233522082963084</v>
      </c>
      <c r="M62" s="21">
        <f>_xll.DBRW($B$3,Input_Prod_02!$D$9,Input_Prod_02!M$11,$M$1,Input_Prod_02!$G$9,$J$9,$E$30,Input_Prod_02!$B62,$K$1)</f>
        <v>28.328731735372948</v>
      </c>
      <c r="N62" s="21">
        <f>_xll.DBRW($B$3,Input_Prod_02!$D$9,Input_Prod_02!N$11,$M$1,Input_Prod_02!$G$9,$J$9,$E$30,Input_Prod_02!$B62,$K$1)</f>
        <v>13.981913641347994</v>
      </c>
    </row>
    <row r="63" spans="2:14" s="1" customFormat="1" ht="15.75" customHeight="1" x14ac:dyDescent="0.25">
      <c r="B63" s="22" t="s">
        <v>75</v>
      </c>
      <c r="C63" s="21">
        <f>_xll.DBRW($B$3,Input_Prod_02!$D$9,Input_Prod_02!C$11,$M$1,Input_Prod_02!$G$9,Input_Prod_02!$J$9,$E$30,Input_Prod_02!$B63,$K$1)</f>
        <v>5.827315063596048</v>
      </c>
      <c r="D63" s="21">
        <f>_xll.DBRW($B$3,Input_Prod_02!$D$9,Input_Prod_02!D$11,$M$1,Input_Prod_02!$G$9,Input_Prod_02!$J$9,$E$30,Input_Prod_02!$B63,$K$1)</f>
        <v>11.470773933875098</v>
      </c>
      <c r="E63" s="21">
        <f>_xll.DBRW($B$3,Input_Prod_02!$D$9,Input_Prod_02!E$11,$M$1,Input_Prod_02!$G$9,Input_Prod_02!$J$9,$E$30,Input_Prod_02!$B63,$K$1)</f>
        <v>13.295430055549112</v>
      </c>
      <c r="F63" s="21">
        <f>_xll.DBRW($B$3,Input_Prod_02!$D$9,Input_Prod_02!F$11,$M$1,Input_Prod_02!$G$9,Input_Prod_02!$J$9,$E$30,Input_Prod_02!$B63,$K$1)</f>
        <v>20.642043591263427</v>
      </c>
      <c r="G63" s="21">
        <f>_xll.DBRW($B$3,Input_Prod_02!$D$9,Input_Prod_02!G$11,$M$1,Input_Prod_02!$G$9,Input_Prod_02!$J$9,$E$30,Input_Prod_02!$B63,$K$1)</f>
        <v>24.94954713939007</v>
      </c>
      <c r="H63" s="21">
        <f>_xll.DBRW($B$3,Input_Prod_02!$D$9,Input_Prod_02!H$11,$M$1,Input_Prod_02!$G$9,Input_Prod_02!$J$9,$E$30,Input_Prod_02!$B63,$K$1)</f>
        <v>27.499365399144573</v>
      </c>
      <c r="I63" s="21">
        <f>_xll.DBRW($B$3,Input_Prod_02!$D$9,Input_Prod_02!I$11,$M$1,Input_Prod_02!$G$9,Input_Prod_02!$J$9,$E$30,Input_Prod_02!$B63,$K$1)</f>
        <v>29.334621732615147</v>
      </c>
      <c r="J63" s="21">
        <f>_xll.DBRW($B$3,Input_Prod_02!$D$9,Input_Prod_02!J$11,$M$1,Input_Prod_02!$G$9,Input_Prod_02!$J$9,$E$30,Input_Prod_02!$B63,$K$1)</f>
        <v>31.258164010722481</v>
      </c>
      <c r="K63" s="21">
        <f>_xll.DBRW($B$3,Input_Prod_02!$D$9,Input_Prod_02!K$11,$M$1,Input_Prod_02!$G$9,Input_Prod_02!$J$9,$E$30,Input_Prod_02!$B63,$K$1)</f>
        <v>30.692488701486241</v>
      </c>
      <c r="L63" s="21">
        <f>_xll.DBRW($B$3,Input_Prod_02!$D$9,Input_Prod_02!L$11,$M$1,Input_Prod_02!$G$9,Input_Prod_02!$J$9,$E$30,Input_Prod_02!$B63,$K$1)</f>
        <v>30.233522082963084</v>
      </c>
      <c r="M63" s="21">
        <f>_xll.DBRW($B$3,Input_Prod_02!$D$9,Input_Prod_02!M$11,$M$1,Input_Prod_02!$G$9,Input_Prod_02!$J$9,$E$30,Input_Prod_02!$B63,$K$1)</f>
        <v>28.328731735372948</v>
      </c>
      <c r="N63" s="21">
        <f>_xll.DBRW($B$3,Input_Prod_02!$D$9,Input_Prod_02!N$11,$M$1,Input_Prod_02!$G$9,Input_Prod_02!$J$9,$E$30,Input_Prod_02!$B63,$K$1)</f>
        <v>13.981913641347994</v>
      </c>
    </row>
    <row r="64" spans="2:14" s="1" customFormat="1" ht="15.75" customHeight="1" x14ac:dyDescent="0.25">
      <c r="B64"/>
      <c r="C64"/>
      <c r="D64"/>
      <c r="E64"/>
      <c r="F64"/>
      <c r="G64"/>
      <c r="H64"/>
      <c r="I64"/>
      <c r="J64"/>
      <c r="K64"/>
      <c r="L64"/>
      <c r="M64"/>
      <c r="N64"/>
    </row>
    <row r="65" spans="2:14" s="1" customFormat="1" ht="15.75" customHeight="1" thickBot="1" x14ac:dyDescent="0.3">
      <c r="B65" s="10"/>
      <c r="C65"/>
      <c r="D65"/>
      <c r="E65"/>
      <c r="F65"/>
      <c r="G65"/>
      <c r="H65"/>
      <c r="I65"/>
      <c r="J65"/>
      <c r="K65"/>
      <c r="L65"/>
      <c r="M65"/>
      <c r="N65"/>
    </row>
    <row r="66" spans="2:14" s="1" customFormat="1" ht="15.75" customHeight="1" thickTop="1" x14ac:dyDescent="0.25">
      <c r="B66" s="9" t="s">
        <v>76</v>
      </c>
    </row>
    <row r="68" spans="2:14" s="1" customFormat="1" ht="15.75" customHeight="1" x14ac:dyDescent="0.25">
      <c r="B68" s="5"/>
      <c r="C68" s="18" t="str">
        <f t="shared" ref="C68:N68" si="4">$D$9&amp;"."&amp;C$11</f>
        <v>2026.01</v>
      </c>
      <c r="D68" s="18" t="str">
        <f t="shared" si="4"/>
        <v>2026.02</v>
      </c>
      <c r="E68" s="18" t="str">
        <f t="shared" si="4"/>
        <v>2026.03</v>
      </c>
      <c r="F68" s="18" t="str">
        <f t="shared" si="4"/>
        <v>2026.04</v>
      </c>
      <c r="G68" s="18" t="str">
        <f t="shared" si="4"/>
        <v>2026.05</v>
      </c>
      <c r="H68" s="18" t="str">
        <f t="shared" si="4"/>
        <v>2026.06</v>
      </c>
      <c r="I68" s="18" t="str">
        <f t="shared" si="4"/>
        <v>2026.07</v>
      </c>
      <c r="J68" s="18" t="str">
        <f t="shared" si="4"/>
        <v>2026.08</v>
      </c>
      <c r="K68" s="18" t="str">
        <f t="shared" si="4"/>
        <v>2026.09</v>
      </c>
      <c r="L68" s="18" t="str">
        <f t="shared" si="4"/>
        <v>2026.10</v>
      </c>
      <c r="M68" s="18" t="str">
        <f t="shared" si="4"/>
        <v>2026.11</v>
      </c>
      <c r="N68" s="18" t="str">
        <f t="shared" si="4"/>
        <v>2026.12</v>
      </c>
    </row>
    <row r="69" spans="2:14" s="1" customFormat="1" ht="15.75" customHeight="1" x14ac:dyDescent="0.25">
      <c r="B69" s="17" t="s">
        <v>62</v>
      </c>
      <c r="C69" s="16">
        <f>_xll.DBRW($B$1,Input_Prod_02!$D$9,Input_Prod_02!C$11,$M$1,Input_Prod_02!$G$9,$J$9,$E$30,Input_Prod_02!$B69,$L$1,$K$1)</f>
        <v>0</v>
      </c>
      <c r="D69" s="16">
        <f>_xll.DBRW($B$1,Input_Prod_02!$D$9,Input_Prod_02!D$11,$M$1,Input_Prod_02!$G$9,$J$9,$E$30,Input_Prod_02!$B69,$L$1,$K$1)</f>
        <v>0</v>
      </c>
      <c r="E69" s="16">
        <f>_xll.DBRW($B$1,Input_Prod_02!$D$9,Input_Prod_02!E$11,$M$1,Input_Prod_02!$G$9,$J$9,$E$30,Input_Prod_02!$B69,$L$1,$K$1)</f>
        <v>0</v>
      </c>
      <c r="F69" s="16">
        <f>_xll.DBRW($B$1,Input_Prod_02!$D$9,Input_Prod_02!F$11,$M$1,Input_Prod_02!$G$9,$J$9,$E$30,Input_Prod_02!$B69,$L$1,$K$1)</f>
        <v>0</v>
      </c>
      <c r="G69" s="16">
        <f>_xll.DBRW($B$1,Input_Prod_02!$D$9,Input_Prod_02!G$11,$M$1,Input_Prod_02!$G$9,$J$9,$E$30,Input_Prod_02!$B69,$L$1,$K$1)</f>
        <v>0</v>
      </c>
      <c r="H69" s="16">
        <f>_xll.DBRW($B$1,Input_Prod_02!$D$9,Input_Prod_02!H$11,$M$1,Input_Prod_02!$G$9,$J$9,$E$30,Input_Prod_02!$B69,$L$1,$K$1)</f>
        <v>0</v>
      </c>
      <c r="I69" s="16">
        <f>_xll.DBRW($B$1,Input_Prod_02!$D$9,Input_Prod_02!I$11,$M$1,Input_Prod_02!$G$9,$J$9,$E$30,Input_Prod_02!$B69,$L$1,$K$1)</f>
        <v>0</v>
      </c>
      <c r="J69" s="16">
        <f>_xll.DBRW($B$1,Input_Prod_02!$D$9,Input_Prod_02!J$11,$M$1,Input_Prod_02!$G$9,$J$9,$E$30,Input_Prod_02!$B69,$L$1,$K$1)</f>
        <v>0</v>
      </c>
      <c r="K69" s="16">
        <f>_xll.DBRW($B$1,Input_Prod_02!$D$9,Input_Prod_02!K$11,$M$1,Input_Prod_02!$G$9,$J$9,$E$30,Input_Prod_02!$B69,$L$1,$K$1)</f>
        <v>0</v>
      </c>
      <c r="L69" s="16">
        <f>_xll.DBRW($B$1,Input_Prod_02!$D$9,Input_Prod_02!L$11,$M$1,Input_Prod_02!$G$9,$J$9,$E$30,Input_Prod_02!$B69,$L$1,$K$1)</f>
        <v>0</v>
      </c>
      <c r="M69" s="16">
        <f>_xll.DBRW($B$1,Input_Prod_02!$D$9,Input_Prod_02!M$11,$M$1,Input_Prod_02!$G$9,$J$9,$E$30,Input_Prod_02!$B69,$L$1,$K$1)</f>
        <v>0</v>
      </c>
      <c r="N69" s="16">
        <f>_xll.DBRW($B$1,Input_Prod_02!$D$9,Input_Prod_02!N$11,$M$1,Input_Prod_02!$G$9,$J$9,$E$30,Input_Prod_02!$B69,$L$1,$K$1)</f>
        <v>0</v>
      </c>
    </row>
    <row r="70" spans="2:14" s="1" customFormat="1" ht="15.75" customHeight="1" x14ac:dyDescent="0.25">
      <c r="B70" s="17" t="s">
        <v>63</v>
      </c>
      <c r="C70" s="16">
        <f>_xll.DBRW($B$1,Input_Prod_02!$D$9,Input_Prod_02!C$11,$M$1,Input_Prod_02!$G$9,$J$9,$E$30,Input_Prod_02!$B70,$L$1,$K$1)</f>
        <v>0</v>
      </c>
      <c r="D70" s="16">
        <f>_xll.DBRW($B$1,Input_Prod_02!$D$9,Input_Prod_02!D$11,$M$1,Input_Prod_02!$G$9,$J$9,$E$30,Input_Prod_02!$B70,$L$1,$K$1)</f>
        <v>0</v>
      </c>
      <c r="E70" s="16">
        <f>_xll.DBRW($B$1,Input_Prod_02!$D$9,Input_Prod_02!E$11,$M$1,Input_Prod_02!$G$9,$J$9,$E$30,Input_Prod_02!$B70,$L$1,$K$1)</f>
        <v>0</v>
      </c>
      <c r="F70" s="16">
        <f>_xll.DBRW($B$1,Input_Prod_02!$D$9,Input_Prod_02!F$11,$M$1,Input_Prod_02!$G$9,$J$9,$E$30,Input_Prod_02!$B70,$L$1,$K$1)</f>
        <v>0</v>
      </c>
      <c r="G70" s="16">
        <f>_xll.DBRW($B$1,Input_Prod_02!$D$9,Input_Prod_02!G$11,$M$1,Input_Prod_02!$G$9,$J$9,$E$30,Input_Prod_02!$B70,$L$1,$K$1)</f>
        <v>0</v>
      </c>
      <c r="H70" s="16">
        <f>_xll.DBRW($B$1,Input_Prod_02!$D$9,Input_Prod_02!H$11,$M$1,Input_Prod_02!$G$9,$J$9,$E$30,Input_Prod_02!$B70,$L$1,$K$1)</f>
        <v>0</v>
      </c>
      <c r="I70" s="16">
        <f>_xll.DBRW($B$1,Input_Prod_02!$D$9,Input_Prod_02!I$11,$M$1,Input_Prod_02!$G$9,$J$9,$E$30,Input_Prod_02!$B70,$L$1,$K$1)</f>
        <v>0</v>
      </c>
      <c r="J70" s="16">
        <f>_xll.DBRW($B$1,Input_Prod_02!$D$9,Input_Prod_02!J$11,$M$1,Input_Prod_02!$G$9,$J$9,$E$30,Input_Prod_02!$B70,$L$1,$K$1)</f>
        <v>0</v>
      </c>
      <c r="K70" s="16">
        <f>_xll.DBRW($B$1,Input_Prod_02!$D$9,Input_Prod_02!K$11,$M$1,Input_Prod_02!$G$9,$J$9,$E$30,Input_Prod_02!$B70,$L$1,$K$1)</f>
        <v>0</v>
      </c>
      <c r="L70" s="16">
        <f>_xll.DBRW($B$1,Input_Prod_02!$D$9,Input_Prod_02!L$11,$M$1,Input_Prod_02!$G$9,$J$9,$E$30,Input_Prod_02!$B70,$L$1,$K$1)</f>
        <v>0</v>
      </c>
      <c r="M70" s="16">
        <f>_xll.DBRW($B$1,Input_Prod_02!$D$9,Input_Prod_02!M$11,$M$1,Input_Prod_02!$G$9,$J$9,$E$30,Input_Prod_02!$B70,$L$1,$K$1)</f>
        <v>0</v>
      </c>
      <c r="N70" s="16">
        <f>_xll.DBRW($B$1,Input_Prod_02!$D$9,Input_Prod_02!N$11,$M$1,Input_Prod_02!$G$9,$J$9,$E$30,Input_Prod_02!$B70,$L$1,$K$1)</f>
        <v>0</v>
      </c>
    </row>
    <row r="71" spans="2:14" s="1" customFormat="1" ht="15.75" customHeight="1" x14ac:dyDescent="0.25">
      <c r="B71" s="24" t="s">
        <v>27</v>
      </c>
      <c r="C71" s="21">
        <f>_xll.DBRW($B$3,Input_Prod_02!$D$9,Input_Prod_02!C$11,$M$1,Input_Prod_02!$G$9,Input_Prod_02!$J$9,$E$30,Input_Prod_02!$B71,$K$1)</f>
        <v>0</v>
      </c>
      <c r="D71" s="21">
        <f>_xll.DBRW($B$3,Input_Prod_02!$D$9,Input_Prod_02!D$11,$M$1,Input_Prod_02!$G$9,Input_Prod_02!$J$9,$E$30,Input_Prod_02!$B71,$K$1)</f>
        <v>0</v>
      </c>
      <c r="E71" s="21">
        <f>_xll.DBRW($B$3,Input_Prod_02!$D$9,Input_Prod_02!E$11,$M$1,Input_Prod_02!$G$9,Input_Prod_02!$J$9,$E$30,Input_Prod_02!$B71,$K$1)</f>
        <v>0</v>
      </c>
      <c r="F71" s="21">
        <f>_xll.DBRW($B$3,Input_Prod_02!$D$9,Input_Prod_02!F$11,$M$1,Input_Prod_02!$G$9,Input_Prod_02!$J$9,$E$30,Input_Prod_02!$B71,$K$1)</f>
        <v>0</v>
      </c>
      <c r="G71" s="21">
        <f>_xll.DBRW($B$3,Input_Prod_02!$D$9,Input_Prod_02!G$11,$M$1,Input_Prod_02!$G$9,Input_Prod_02!$J$9,$E$30,Input_Prod_02!$B71,$K$1)</f>
        <v>0</v>
      </c>
      <c r="H71" s="21">
        <f>_xll.DBRW($B$3,Input_Prod_02!$D$9,Input_Prod_02!H$11,$M$1,Input_Prod_02!$G$9,Input_Prod_02!$J$9,$E$30,Input_Prod_02!$B71,$K$1)</f>
        <v>0</v>
      </c>
      <c r="I71" s="21">
        <f>_xll.DBRW($B$3,Input_Prod_02!$D$9,Input_Prod_02!I$11,$M$1,Input_Prod_02!$G$9,Input_Prod_02!$J$9,$E$30,Input_Prod_02!$B71,$K$1)</f>
        <v>0</v>
      </c>
      <c r="J71" s="21">
        <f>_xll.DBRW($B$3,Input_Prod_02!$D$9,Input_Prod_02!J$11,$M$1,Input_Prod_02!$G$9,Input_Prod_02!$J$9,$E$30,Input_Prod_02!$B71,$K$1)</f>
        <v>0</v>
      </c>
      <c r="K71" s="21">
        <f>_xll.DBRW($B$3,Input_Prod_02!$D$9,Input_Prod_02!K$11,$M$1,Input_Prod_02!$G$9,Input_Prod_02!$J$9,$E$30,Input_Prod_02!$B71,$K$1)</f>
        <v>0</v>
      </c>
      <c r="L71" s="21">
        <f>_xll.DBRW($B$3,Input_Prod_02!$D$9,Input_Prod_02!L$11,$M$1,Input_Prod_02!$G$9,Input_Prod_02!$J$9,$E$30,Input_Prod_02!$B71,$K$1)</f>
        <v>0</v>
      </c>
      <c r="M71" s="21">
        <f>_xll.DBRW($B$3,Input_Prod_02!$D$9,Input_Prod_02!M$11,$M$1,Input_Prod_02!$G$9,Input_Prod_02!$J$9,$E$30,Input_Prod_02!$B71,$K$1)</f>
        <v>0</v>
      </c>
      <c r="N71" s="21">
        <f>_xll.DBRW($B$3,Input_Prod_02!$D$9,Input_Prod_02!N$11,$M$1,Input_Prod_02!$G$9,Input_Prod_02!$J$9,$E$30,Input_Prod_02!$B71,$K$1)</f>
        <v>0</v>
      </c>
    </row>
    <row r="72" spans="2:14" s="1" customFormat="1" ht="15.75" customHeight="1" x14ac:dyDescent="0.25">
      <c r="B72" s="22" t="s">
        <v>76</v>
      </c>
      <c r="C72" s="21">
        <f>_xll.DBRW($B$3,Input_Prod_02!$D$9,Input_Prod_02!C$11,$M$1,Input_Prod_02!$G$9,Input_Prod_02!$J$9,$E$30,Input_Prod_02!$B72,$K$1)</f>
        <v>5.827315063596048</v>
      </c>
      <c r="D72" s="21">
        <f>_xll.DBRW($B$3,Input_Prod_02!$D$9,Input_Prod_02!D$11,$M$1,Input_Prod_02!$G$9,Input_Prod_02!$J$9,$E$30,Input_Prod_02!$B72,$K$1)</f>
        <v>11.470773933875098</v>
      </c>
      <c r="E72" s="21">
        <f>_xll.DBRW($B$3,Input_Prod_02!$D$9,Input_Prod_02!E$11,$M$1,Input_Prod_02!$G$9,Input_Prod_02!$J$9,$E$30,Input_Prod_02!$B72,$K$1)</f>
        <v>13.295430055549112</v>
      </c>
      <c r="F72" s="21">
        <f>_xll.DBRW($B$3,Input_Prod_02!$D$9,Input_Prod_02!F$11,$M$1,Input_Prod_02!$G$9,Input_Prod_02!$J$9,$E$30,Input_Prod_02!$B72,$K$1)</f>
        <v>20.642043591263427</v>
      </c>
      <c r="G72" s="21">
        <f>_xll.DBRW($B$3,Input_Prod_02!$D$9,Input_Prod_02!G$11,$M$1,Input_Prod_02!$G$9,Input_Prod_02!$J$9,$E$30,Input_Prod_02!$B72,$K$1)</f>
        <v>24.94954713939007</v>
      </c>
      <c r="H72" s="21">
        <f>_xll.DBRW($B$3,Input_Prod_02!$D$9,Input_Prod_02!H$11,$M$1,Input_Prod_02!$G$9,Input_Prod_02!$J$9,$E$30,Input_Prod_02!$B72,$K$1)</f>
        <v>27.499365399144573</v>
      </c>
      <c r="I72" s="21">
        <f>_xll.DBRW($B$3,Input_Prod_02!$D$9,Input_Prod_02!I$11,$M$1,Input_Prod_02!$G$9,Input_Prod_02!$J$9,$E$30,Input_Prod_02!$B72,$K$1)</f>
        <v>29.334621732615147</v>
      </c>
      <c r="J72" s="21">
        <f>_xll.DBRW($B$3,Input_Prod_02!$D$9,Input_Prod_02!J$11,$M$1,Input_Prod_02!$G$9,Input_Prod_02!$J$9,$E$30,Input_Prod_02!$B72,$K$1)</f>
        <v>31.258164010722481</v>
      </c>
      <c r="K72" s="21">
        <f>_xll.DBRW($B$3,Input_Prod_02!$D$9,Input_Prod_02!K$11,$M$1,Input_Prod_02!$G$9,Input_Prod_02!$J$9,$E$30,Input_Prod_02!$B72,$K$1)</f>
        <v>30.692488701486241</v>
      </c>
      <c r="L72" s="21">
        <f>_xll.DBRW($B$3,Input_Prod_02!$D$9,Input_Prod_02!L$11,$M$1,Input_Prod_02!$G$9,Input_Prod_02!$J$9,$E$30,Input_Prod_02!$B72,$K$1)</f>
        <v>30.233522082963084</v>
      </c>
      <c r="M72" s="21">
        <f>_xll.DBRW($B$3,Input_Prod_02!$D$9,Input_Prod_02!M$11,$M$1,Input_Prod_02!$G$9,Input_Prod_02!$J$9,$E$30,Input_Prod_02!$B72,$K$1)</f>
        <v>28.328731735372948</v>
      </c>
      <c r="N72" s="21">
        <f>_xll.DBRW($B$3,Input_Prod_02!$D$9,Input_Prod_02!N$11,$M$1,Input_Prod_02!$G$9,Input_Prod_02!$J$9,$E$30,Input_Prod_02!$B72,$K$1)</f>
        <v>13.981913641347994</v>
      </c>
    </row>
    <row r="74" spans="2:14" s="1" customFormat="1" ht="15.75" customHeight="1" thickBot="1" x14ac:dyDescent="0.3">
      <c r="B74" s="10"/>
    </row>
    <row r="75" spans="2:14" s="1" customFormat="1" ht="15.75" customHeight="1" thickTop="1" x14ac:dyDescent="0.25">
      <c r="B75" s="9" t="s">
        <v>77</v>
      </c>
    </row>
    <row r="77" spans="2:14" s="1" customFormat="1" ht="15.75" customHeight="1" x14ac:dyDescent="0.25">
      <c r="B77" s="5"/>
      <c r="C77" s="18" t="str">
        <f t="shared" ref="C77:N77" si="5">$D$9&amp;"."&amp;C$11</f>
        <v>2026.01</v>
      </c>
      <c r="D77" s="18" t="str">
        <f t="shared" si="5"/>
        <v>2026.02</v>
      </c>
      <c r="E77" s="18" t="str">
        <f t="shared" si="5"/>
        <v>2026.03</v>
      </c>
      <c r="F77" s="18" t="str">
        <f t="shared" si="5"/>
        <v>2026.04</v>
      </c>
      <c r="G77" s="18" t="str">
        <f t="shared" si="5"/>
        <v>2026.05</v>
      </c>
      <c r="H77" s="18" t="str">
        <f t="shared" si="5"/>
        <v>2026.06</v>
      </c>
      <c r="I77" s="18" t="str">
        <f t="shared" si="5"/>
        <v>2026.07</v>
      </c>
      <c r="J77" s="18" t="str">
        <f t="shared" si="5"/>
        <v>2026.08</v>
      </c>
      <c r="K77" s="18" t="str">
        <f t="shared" si="5"/>
        <v>2026.09</v>
      </c>
      <c r="L77" s="18" t="str">
        <f t="shared" si="5"/>
        <v>2026.10</v>
      </c>
      <c r="M77" s="18" t="str">
        <f t="shared" si="5"/>
        <v>2026.11</v>
      </c>
      <c r="N77" s="18" t="str">
        <f t="shared" si="5"/>
        <v>2026.12</v>
      </c>
    </row>
    <row r="78" spans="2:14" s="1" customFormat="1" ht="15.75" customHeight="1" x14ac:dyDescent="0.25">
      <c r="B78" s="17" t="s">
        <v>28</v>
      </c>
      <c r="C78" s="16">
        <f>_xll.DBRW($B$1,Input_Prod_02!$D$9,Input_Prod_02!C$11,$M$1,Input_Prod_02!$G$9,$J$9,$E$30,Input_Prod_02!$B78,$L$1,$K$1)</f>
        <v>0</v>
      </c>
      <c r="D78" s="16">
        <f>_xll.DBRW($B$1,Input_Prod_02!$D$9,Input_Prod_02!D$11,$M$1,Input_Prod_02!$G$9,$J$9,$E$30,Input_Prod_02!$B78,$L$1,$K$1)</f>
        <v>0</v>
      </c>
      <c r="E78" s="16">
        <f>_xll.DBRW($B$1,Input_Prod_02!$D$9,Input_Prod_02!E$11,$M$1,Input_Prod_02!$G$9,$J$9,$E$30,Input_Prod_02!$B78,$L$1,$K$1)</f>
        <v>0</v>
      </c>
      <c r="F78" s="16">
        <f>_xll.DBRW($B$1,Input_Prod_02!$D$9,Input_Prod_02!F$11,$M$1,Input_Prod_02!$G$9,$J$9,$E$30,Input_Prod_02!$B78,$L$1,$K$1)</f>
        <v>0</v>
      </c>
      <c r="G78" s="16">
        <f>_xll.DBRW($B$1,Input_Prod_02!$D$9,Input_Prod_02!G$11,$M$1,Input_Prod_02!$G$9,$J$9,$E$30,Input_Prod_02!$B78,$L$1,$K$1)</f>
        <v>0</v>
      </c>
      <c r="H78" s="16">
        <f>_xll.DBRW($B$1,Input_Prod_02!$D$9,Input_Prod_02!H$11,$M$1,Input_Prod_02!$G$9,$J$9,$E$30,Input_Prod_02!$B78,$L$1,$K$1)</f>
        <v>0</v>
      </c>
      <c r="I78" s="16">
        <f>_xll.DBRW($B$1,Input_Prod_02!$D$9,Input_Prod_02!I$11,$M$1,Input_Prod_02!$G$9,$J$9,$E$30,Input_Prod_02!$B78,$L$1,$K$1)</f>
        <v>0</v>
      </c>
      <c r="J78" s="16">
        <f>_xll.DBRW($B$1,Input_Prod_02!$D$9,Input_Prod_02!J$11,$M$1,Input_Prod_02!$G$9,$J$9,$E$30,Input_Prod_02!$B78,$L$1,$K$1)</f>
        <v>0</v>
      </c>
      <c r="K78" s="16">
        <f>_xll.DBRW($B$1,Input_Prod_02!$D$9,Input_Prod_02!K$11,$M$1,Input_Prod_02!$G$9,$J$9,$E$30,Input_Prod_02!$B78,$L$1,$K$1)</f>
        <v>0</v>
      </c>
      <c r="L78" s="16">
        <f>_xll.DBRW($B$1,Input_Prod_02!$D$9,Input_Prod_02!L$11,$M$1,Input_Prod_02!$G$9,$J$9,$E$30,Input_Prod_02!$B78,$L$1,$K$1)</f>
        <v>0</v>
      </c>
      <c r="M78" s="16">
        <f>_xll.DBRW($B$1,Input_Prod_02!$D$9,Input_Prod_02!M$11,$M$1,Input_Prod_02!$G$9,$J$9,$E$30,Input_Prod_02!$B78,$L$1,$K$1)</f>
        <v>0</v>
      </c>
      <c r="N78" s="16">
        <f>_xll.DBRW($B$1,Input_Prod_02!$D$9,Input_Prod_02!N$11,$M$1,Input_Prod_02!$G$9,$J$9,$E$30,Input_Prod_02!$B78,$L$1,$K$1)</f>
        <v>0</v>
      </c>
    </row>
    <row r="79" spans="2:14" s="1" customFormat="1" ht="15.75" customHeight="1" x14ac:dyDescent="0.25">
      <c r="B79" s="25" t="s">
        <v>78</v>
      </c>
      <c r="C79" s="26">
        <f>_xll.DBRW($C$1,Input_Prod_02!$D$9,Input_Prod_02!C$11,$M$1,$J$9,Input_Prod_02!$B79,$K$1)</f>
        <v>0</v>
      </c>
      <c r="D79" s="26">
        <f>_xll.DBRW($C$1,Input_Prod_02!$D$9,Input_Prod_02!D$11,$M$1,$J$9,Input_Prod_02!$B79,$K$1)</f>
        <v>0</v>
      </c>
      <c r="E79" s="26">
        <f>_xll.DBRW($C$1,Input_Prod_02!$D$9,Input_Prod_02!E$11,$M$1,$J$9,Input_Prod_02!$B79,$K$1)</f>
        <v>0</v>
      </c>
      <c r="F79" s="26">
        <f>_xll.DBRW($C$1,Input_Prod_02!$D$9,Input_Prod_02!F$11,$M$1,$J$9,Input_Prod_02!$B79,$K$1)</f>
        <v>0</v>
      </c>
      <c r="G79" s="26">
        <f>_xll.DBRW($C$1,Input_Prod_02!$D$9,Input_Prod_02!G$11,$M$1,$J$9,Input_Prod_02!$B79,$K$1)</f>
        <v>0</v>
      </c>
      <c r="H79" s="26">
        <f>_xll.DBRW($C$1,Input_Prod_02!$D$9,Input_Prod_02!H$11,$M$1,$J$9,Input_Prod_02!$B79,$K$1)</f>
        <v>0</v>
      </c>
      <c r="I79" s="26">
        <f>_xll.DBRW($C$1,Input_Prod_02!$D$9,Input_Prod_02!I$11,$M$1,$J$9,Input_Prod_02!$B79,$K$1)</f>
        <v>0</v>
      </c>
      <c r="J79" s="26">
        <f>_xll.DBRW($C$1,Input_Prod_02!$D$9,Input_Prod_02!J$11,$M$1,$J$9,Input_Prod_02!$B79,$K$1)</f>
        <v>0</v>
      </c>
      <c r="K79" s="26">
        <f>_xll.DBRW($C$1,Input_Prod_02!$D$9,Input_Prod_02!K$11,$M$1,$J$9,Input_Prod_02!$B79,$K$1)</f>
        <v>0</v>
      </c>
      <c r="L79" s="26">
        <f>_xll.DBRW($C$1,Input_Prod_02!$D$9,Input_Prod_02!L$11,$M$1,$J$9,Input_Prod_02!$B79,$K$1)</f>
        <v>0</v>
      </c>
      <c r="M79" s="26">
        <f>_xll.DBRW($C$1,Input_Prod_02!$D$9,Input_Prod_02!M$11,$M$1,$J$9,Input_Prod_02!$B79,$K$1)</f>
        <v>0</v>
      </c>
      <c r="N79" s="26">
        <f>_xll.DBRW($C$1,Input_Prod_02!$D$9,Input_Prod_02!N$11,$M$1,$J$9,Input_Prod_02!$B79,$K$1)</f>
        <v>0</v>
      </c>
    </row>
    <row r="80" spans="2:14" s="1" customFormat="1" ht="15.75" customHeight="1" x14ac:dyDescent="0.25">
      <c r="B80" s="24" t="s">
        <v>29</v>
      </c>
      <c r="C80" s="21">
        <f>_xll.DBRW($B$3,Input_Prod_02!$D$9,Input_Prod_02!C$11,$M$1,Input_Prod_02!$G$9,Input_Prod_02!$J$9,$E$30,Input_Prod_02!$B80,$K$1)</f>
        <v>0</v>
      </c>
      <c r="D80" s="21">
        <f>_xll.DBRW($B$3,Input_Prod_02!$D$9,Input_Prod_02!D$11,$M$1,Input_Prod_02!$G$9,Input_Prod_02!$J$9,$E$30,Input_Prod_02!$B80,$K$1)</f>
        <v>0</v>
      </c>
      <c r="E80" s="21">
        <f>_xll.DBRW($B$3,Input_Prod_02!$D$9,Input_Prod_02!E$11,$M$1,Input_Prod_02!$G$9,Input_Prod_02!$J$9,$E$30,Input_Prod_02!$B80,$K$1)</f>
        <v>0</v>
      </c>
      <c r="F80" s="21">
        <f>_xll.DBRW($B$3,Input_Prod_02!$D$9,Input_Prod_02!F$11,$M$1,Input_Prod_02!$G$9,Input_Prod_02!$J$9,$E$30,Input_Prod_02!$B80,$K$1)</f>
        <v>0</v>
      </c>
      <c r="G80" s="21">
        <f>_xll.DBRW($B$3,Input_Prod_02!$D$9,Input_Prod_02!G$11,$M$1,Input_Prod_02!$G$9,Input_Prod_02!$J$9,$E$30,Input_Prod_02!$B80,$K$1)</f>
        <v>0</v>
      </c>
      <c r="H80" s="21">
        <f>_xll.DBRW($B$3,Input_Prod_02!$D$9,Input_Prod_02!H$11,$M$1,Input_Prod_02!$G$9,Input_Prod_02!$J$9,$E$30,Input_Prod_02!$B80,$K$1)</f>
        <v>0</v>
      </c>
      <c r="I80" s="21">
        <f>_xll.DBRW($B$3,Input_Prod_02!$D$9,Input_Prod_02!I$11,$M$1,Input_Prod_02!$G$9,Input_Prod_02!$J$9,$E$30,Input_Prod_02!$B80,$K$1)</f>
        <v>0</v>
      </c>
      <c r="J80" s="21">
        <f>_xll.DBRW($B$3,Input_Prod_02!$D$9,Input_Prod_02!J$11,$M$1,Input_Prod_02!$G$9,Input_Prod_02!$J$9,$E$30,Input_Prod_02!$B80,$K$1)</f>
        <v>0</v>
      </c>
      <c r="K80" s="21">
        <f>_xll.DBRW($B$3,Input_Prod_02!$D$9,Input_Prod_02!K$11,$M$1,Input_Prod_02!$G$9,Input_Prod_02!$J$9,$E$30,Input_Prod_02!$B80,$K$1)</f>
        <v>0</v>
      </c>
      <c r="L80" s="21">
        <f>_xll.DBRW($B$3,Input_Prod_02!$D$9,Input_Prod_02!L$11,$M$1,Input_Prod_02!$G$9,Input_Prod_02!$J$9,$E$30,Input_Prod_02!$B80,$K$1)</f>
        <v>0</v>
      </c>
      <c r="M80" s="21">
        <f>_xll.DBRW($B$3,Input_Prod_02!$D$9,Input_Prod_02!M$11,$M$1,Input_Prod_02!$G$9,Input_Prod_02!$J$9,$E$30,Input_Prod_02!$B80,$K$1)</f>
        <v>0</v>
      </c>
      <c r="N80" s="21">
        <f>_xll.DBRW($B$3,Input_Prod_02!$D$9,Input_Prod_02!N$11,$M$1,Input_Prod_02!$G$9,Input_Prod_02!$J$9,$E$30,Input_Prod_02!$B80,$K$1)</f>
        <v>0</v>
      </c>
    </row>
    <row r="81" spans="2:14" s="1" customFormat="1" ht="15.75" customHeight="1" x14ac:dyDescent="0.25">
      <c r="B81" s="24" t="s">
        <v>77</v>
      </c>
      <c r="C81" s="21">
        <f>_xll.DBRW($B$3,Input_Prod_02!$D$9,Input_Prod_02!C$11,$M$1,Input_Prod_02!$G$9,Input_Prod_02!$J$9,$E$30,Input_Prod_02!$B81,$K$1)</f>
        <v>5.827315063596048</v>
      </c>
      <c r="D81" s="21">
        <f>_xll.DBRW($B$3,Input_Prod_02!$D$9,Input_Prod_02!D$11,$M$1,Input_Prod_02!$G$9,Input_Prod_02!$J$9,$E$30,Input_Prod_02!$B81,$K$1)</f>
        <v>11.470773933875098</v>
      </c>
      <c r="E81" s="21">
        <f>_xll.DBRW($B$3,Input_Prod_02!$D$9,Input_Prod_02!E$11,$M$1,Input_Prod_02!$G$9,Input_Prod_02!$J$9,$E$30,Input_Prod_02!$B81,$K$1)</f>
        <v>13.295430055549112</v>
      </c>
      <c r="F81" s="21">
        <f>_xll.DBRW($B$3,Input_Prod_02!$D$9,Input_Prod_02!F$11,$M$1,Input_Prod_02!$G$9,Input_Prod_02!$J$9,$E$30,Input_Prod_02!$B81,$K$1)</f>
        <v>20.642043591263427</v>
      </c>
      <c r="G81" s="21">
        <f>_xll.DBRW($B$3,Input_Prod_02!$D$9,Input_Prod_02!G$11,$M$1,Input_Prod_02!$G$9,Input_Prod_02!$J$9,$E$30,Input_Prod_02!$B81,$K$1)</f>
        <v>24.94954713939007</v>
      </c>
      <c r="H81" s="21">
        <f>_xll.DBRW($B$3,Input_Prod_02!$D$9,Input_Prod_02!H$11,$M$1,Input_Prod_02!$G$9,Input_Prod_02!$J$9,$E$30,Input_Prod_02!$B81,$K$1)</f>
        <v>27.499365399144573</v>
      </c>
      <c r="I81" s="21">
        <f>_xll.DBRW($B$3,Input_Prod_02!$D$9,Input_Prod_02!I$11,$M$1,Input_Prod_02!$G$9,Input_Prod_02!$J$9,$E$30,Input_Prod_02!$B81,$K$1)</f>
        <v>29.334621732615147</v>
      </c>
      <c r="J81" s="21">
        <f>_xll.DBRW($B$3,Input_Prod_02!$D$9,Input_Prod_02!J$11,$M$1,Input_Prod_02!$G$9,Input_Prod_02!$J$9,$E$30,Input_Prod_02!$B81,$K$1)</f>
        <v>31.258164010722481</v>
      </c>
      <c r="K81" s="21">
        <f>_xll.DBRW($B$3,Input_Prod_02!$D$9,Input_Prod_02!K$11,$M$1,Input_Prod_02!$G$9,Input_Prod_02!$J$9,$E$30,Input_Prod_02!$B81,$K$1)</f>
        <v>30.692488701486241</v>
      </c>
      <c r="L81" s="21">
        <f>_xll.DBRW($B$3,Input_Prod_02!$D$9,Input_Prod_02!L$11,$M$1,Input_Prod_02!$G$9,Input_Prod_02!$J$9,$E$30,Input_Prod_02!$B81,$K$1)</f>
        <v>30.233522082963084</v>
      </c>
      <c r="M81" s="21">
        <f>_xll.DBRW($B$3,Input_Prod_02!$D$9,Input_Prod_02!M$11,$M$1,Input_Prod_02!$G$9,Input_Prod_02!$J$9,$E$30,Input_Prod_02!$B81,$K$1)</f>
        <v>28.328731735372948</v>
      </c>
      <c r="N81" s="21">
        <f>_xll.DBRW($B$3,Input_Prod_02!$D$9,Input_Prod_02!N$11,$M$1,Input_Prod_02!$G$9,Input_Prod_02!$J$9,$E$30,Input_Prod_02!$B81,$K$1)</f>
        <v>13.981913641347994</v>
      </c>
    </row>
    <row r="84" spans="2:14" s="1" customFormat="1" ht="15.75" customHeight="1" x14ac:dyDescent="0.25">
      <c r="B84" s="9" t="s">
        <v>80</v>
      </c>
    </row>
    <row r="86" spans="2:14" s="1" customFormat="1" ht="15.75" customHeight="1" x14ac:dyDescent="0.25">
      <c r="B86" s="5"/>
      <c r="C86" s="18" t="str">
        <f t="shared" ref="C86:N86" si="6">$D$9&amp;"."&amp;C$11</f>
        <v>2026.01</v>
      </c>
      <c r="D86" s="18" t="str">
        <f t="shared" si="6"/>
        <v>2026.02</v>
      </c>
      <c r="E86" s="18" t="str">
        <f t="shared" si="6"/>
        <v>2026.03</v>
      </c>
      <c r="F86" s="18" t="str">
        <f t="shared" si="6"/>
        <v>2026.04</v>
      </c>
      <c r="G86" s="18" t="str">
        <f t="shared" si="6"/>
        <v>2026.05</v>
      </c>
      <c r="H86" s="18" t="str">
        <f t="shared" si="6"/>
        <v>2026.06</v>
      </c>
      <c r="I86" s="18" t="str">
        <f t="shared" si="6"/>
        <v>2026.07</v>
      </c>
      <c r="J86" s="18" t="str">
        <f t="shared" si="6"/>
        <v>2026.08</v>
      </c>
      <c r="K86" s="18" t="str">
        <f t="shared" si="6"/>
        <v>2026.09</v>
      </c>
      <c r="L86" s="18" t="str">
        <f t="shared" si="6"/>
        <v>2026.10</v>
      </c>
      <c r="M86" s="18" t="str">
        <f t="shared" si="6"/>
        <v>2026.11</v>
      </c>
      <c r="N86" s="18" t="str">
        <f t="shared" si="6"/>
        <v>2026.12</v>
      </c>
    </row>
    <row r="87" spans="2:14" s="1" customFormat="1" ht="15.75" customHeight="1" x14ac:dyDescent="0.25">
      <c r="B87" s="25" t="s">
        <v>79</v>
      </c>
      <c r="C87" s="26">
        <f>_xll.DBRW($C$1,Input_Prod_02!$D$9,Input_Prod_02!C$11,$M$1,$J$9,Input_Prod_02!$B87,$K$1)</f>
        <v>0.17</v>
      </c>
      <c r="D87" s="26">
        <f>_xll.DBRW($C$1,Input_Prod_02!$D$9,Input_Prod_02!D$11,$M$1,$J$9,Input_Prod_02!$B87,$K$1)</f>
        <v>0.17</v>
      </c>
      <c r="E87" s="26">
        <f>_xll.DBRW($C$1,Input_Prod_02!$D$9,Input_Prod_02!E$11,$M$1,$J$9,Input_Prod_02!$B87,$K$1)</f>
        <v>0.17</v>
      </c>
      <c r="F87" s="26">
        <f>_xll.DBRW($C$1,Input_Prod_02!$D$9,Input_Prod_02!F$11,$M$1,$J$9,Input_Prod_02!$B87,$K$1)</f>
        <v>0.17</v>
      </c>
      <c r="G87" s="26">
        <f>_xll.DBRW($C$1,Input_Prod_02!$D$9,Input_Prod_02!G$11,$M$1,$J$9,Input_Prod_02!$B87,$K$1)</f>
        <v>0.17</v>
      </c>
      <c r="H87" s="26">
        <f>_xll.DBRW($C$1,Input_Prod_02!$D$9,Input_Prod_02!H$11,$M$1,$J$9,Input_Prod_02!$B87,$K$1)</f>
        <v>0.17</v>
      </c>
      <c r="I87" s="26">
        <f>_xll.DBRW($C$1,Input_Prod_02!$D$9,Input_Prod_02!I$11,$M$1,$J$9,Input_Prod_02!$B87,$K$1)</f>
        <v>0.17</v>
      </c>
      <c r="J87" s="26">
        <f>_xll.DBRW($C$1,Input_Prod_02!$D$9,Input_Prod_02!J$11,$M$1,$J$9,Input_Prod_02!$B87,$K$1)</f>
        <v>0.17</v>
      </c>
      <c r="K87" s="26">
        <f>_xll.DBRW($C$1,Input_Prod_02!$D$9,Input_Prod_02!K$11,$M$1,$J$9,Input_Prod_02!$B87,$K$1)</f>
        <v>0.17</v>
      </c>
      <c r="L87" s="26">
        <f>_xll.DBRW($C$1,Input_Prod_02!$D$9,Input_Prod_02!L$11,$M$1,$J$9,Input_Prod_02!$B87,$K$1)</f>
        <v>0.17</v>
      </c>
      <c r="M87" s="26">
        <f>_xll.DBRW($C$1,Input_Prod_02!$D$9,Input_Prod_02!M$11,$M$1,$J$9,Input_Prod_02!$B87,$K$1)</f>
        <v>0.17</v>
      </c>
      <c r="N87" s="26">
        <f>_xll.DBRW($C$1,Input_Prod_02!$D$9,Input_Prod_02!N$11,$M$1,$J$9,Input_Prod_02!$B87,$K$1)</f>
        <v>0.17</v>
      </c>
    </row>
    <row r="88" spans="2:14" s="1" customFormat="1" ht="15.75" customHeight="1" x14ac:dyDescent="0.25">
      <c r="B88" s="24" t="s">
        <v>81</v>
      </c>
      <c r="C88" s="21">
        <f>_xll.DBRW($B$3,Input_Prod_02!$D$9,Input_Prod_02!C$11,$M$1,Input_Prod_02!$G$9,Input_Prod_02!$J$9,$E$30,Input_Prod_02!$B88,$K$1)</f>
        <v>0.99064356081132821</v>
      </c>
      <c r="D88" s="21">
        <f>_xll.DBRW($B$3,Input_Prod_02!$D$9,Input_Prod_02!D$11,$M$1,Input_Prod_02!$G$9,Input_Prod_02!$J$9,$E$30,Input_Prod_02!$B88,$K$1)</f>
        <v>1.9500315687587668</v>
      </c>
      <c r="E88" s="21">
        <f>_xll.DBRW($B$3,Input_Prod_02!$D$9,Input_Prod_02!E$11,$M$1,Input_Prod_02!$G$9,Input_Prod_02!$J$9,$E$30,Input_Prod_02!$B88,$K$1)</f>
        <v>2.2602231094433489</v>
      </c>
      <c r="F88" s="21">
        <f>_xll.DBRW($B$3,Input_Prod_02!$D$9,Input_Prod_02!F$11,$M$1,Input_Prod_02!$G$9,Input_Prod_02!$J$9,$E$30,Input_Prod_02!$B88,$K$1)</f>
        <v>3.5091474105147826</v>
      </c>
      <c r="G88" s="21">
        <f>_xll.DBRW($B$3,Input_Prod_02!$D$9,Input_Prod_02!G$11,$M$1,Input_Prod_02!$G$9,Input_Prod_02!$J$9,$E$30,Input_Prod_02!$B88,$K$1)</f>
        <v>4.2414230136963118</v>
      </c>
      <c r="H88" s="21">
        <f>_xll.DBRW($B$3,Input_Prod_02!$D$9,Input_Prod_02!H$11,$M$1,Input_Prod_02!$G$9,Input_Prod_02!$J$9,$E$30,Input_Prod_02!$B88,$K$1)</f>
        <v>4.6748921178545775</v>
      </c>
      <c r="I88" s="21">
        <f>_xll.DBRW($B$3,Input_Prod_02!$D$9,Input_Prod_02!I$11,$M$1,Input_Prod_02!$G$9,Input_Prod_02!$J$9,$E$30,Input_Prod_02!$B88,$K$1)</f>
        <v>4.9868856945445756</v>
      </c>
      <c r="J88" s="21">
        <f>_xll.DBRW($B$3,Input_Prod_02!$D$9,Input_Prod_02!J$11,$M$1,Input_Prod_02!$G$9,Input_Prod_02!$J$9,$E$30,Input_Prod_02!$B88,$K$1)</f>
        <v>5.3138878818228221</v>
      </c>
      <c r="K88" s="21">
        <f>_xll.DBRW($B$3,Input_Prod_02!$D$9,Input_Prod_02!K$11,$M$1,Input_Prod_02!$G$9,Input_Prod_02!$J$9,$E$30,Input_Prod_02!$B88,$K$1)</f>
        <v>5.2177230792526617</v>
      </c>
      <c r="L88" s="21">
        <f>_xll.DBRW($B$3,Input_Prod_02!$D$9,Input_Prod_02!L$11,$M$1,Input_Prod_02!$G$9,Input_Prod_02!$J$9,$E$30,Input_Prod_02!$B88,$K$1)</f>
        <v>5.1396987541037245</v>
      </c>
      <c r="M88" s="21">
        <f>_xll.DBRW($B$3,Input_Prod_02!$D$9,Input_Prod_02!M$11,$M$1,Input_Prod_02!$G$9,Input_Prod_02!$J$9,$E$30,Input_Prod_02!$B88,$K$1)</f>
        <v>4.8158843950134012</v>
      </c>
      <c r="N88" s="21">
        <f>_xll.DBRW($B$3,Input_Prod_02!$D$9,Input_Prod_02!N$11,$M$1,Input_Prod_02!$G$9,Input_Prod_02!$J$9,$E$30,Input_Prod_02!$B88,$K$1)</f>
        <v>2.376925319029159</v>
      </c>
    </row>
    <row r="89" spans="2:14" s="1" customFormat="1" ht="15.75" customHeight="1" x14ac:dyDescent="0.25">
      <c r="B89" s="24" t="s">
        <v>80</v>
      </c>
      <c r="C89" s="21">
        <f>_xll.DBRW($B$3,Input_Prod_02!$D$9,Input_Prod_02!C$11,$M$1,Input_Prod_02!$G$9,Input_Prod_02!$J$9,$E$30,Input_Prod_02!$B89,$K$1)</f>
        <v>4.8366715027847196</v>
      </c>
      <c r="D89" s="21">
        <f>_xll.DBRW($B$3,Input_Prod_02!$D$9,Input_Prod_02!D$11,$M$1,Input_Prod_02!$G$9,Input_Prod_02!$J$9,$E$30,Input_Prod_02!$B89,$K$1)</f>
        <v>9.5207423651163303</v>
      </c>
      <c r="E89" s="21">
        <f>_xll.DBRW($B$3,Input_Prod_02!$D$9,Input_Prod_02!E$11,$M$1,Input_Prod_02!$G$9,Input_Prod_02!$J$9,$E$30,Input_Prod_02!$B89,$K$1)</f>
        <v>11.035206946105763</v>
      </c>
      <c r="F89" s="21">
        <f>_xll.DBRW($B$3,Input_Prod_02!$D$9,Input_Prod_02!F$11,$M$1,Input_Prod_02!$G$9,Input_Prod_02!$J$9,$E$30,Input_Prod_02!$B89,$K$1)</f>
        <v>17.132896180748645</v>
      </c>
      <c r="G89" s="21">
        <f>_xll.DBRW($B$3,Input_Prod_02!$D$9,Input_Prod_02!G$11,$M$1,Input_Prod_02!$G$9,Input_Prod_02!$J$9,$E$30,Input_Prod_02!$B89,$K$1)</f>
        <v>20.708124125693757</v>
      </c>
      <c r="H89" s="21">
        <f>_xll.DBRW($B$3,Input_Prod_02!$D$9,Input_Prod_02!H$11,$M$1,Input_Prod_02!$G$9,Input_Prod_02!$J$9,$E$30,Input_Prod_02!$B89,$K$1)</f>
        <v>22.824473281289997</v>
      </c>
      <c r="I89" s="21">
        <f>_xll.DBRW($B$3,Input_Prod_02!$D$9,Input_Prod_02!I$11,$M$1,Input_Prod_02!$G$9,Input_Prod_02!$J$9,$E$30,Input_Prod_02!$B89,$K$1)</f>
        <v>24.347736038070572</v>
      </c>
      <c r="J89" s="21">
        <f>_xll.DBRW($B$3,Input_Prod_02!$D$9,Input_Prod_02!J$11,$M$1,Input_Prod_02!$G$9,Input_Prod_02!$J$9,$E$30,Input_Prod_02!$B89,$K$1)</f>
        <v>25.944276128899659</v>
      </c>
      <c r="K89" s="21">
        <f>_xll.DBRW($B$3,Input_Prod_02!$D$9,Input_Prod_02!K$11,$M$1,Input_Prod_02!$G$9,Input_Prod_02!$J$9,$E$30,Input_Prod_02!$B89,$K$1)</f>
        <v>25.47476562223358</v>
      </c>
      <c r="L89" s="21">
        <f>_xll.DBRW($B$3,Input_Prod_02!$D$9,Input_Prod_02!L$11,$M$1,Input_Prod_02!$G$9,Input_Prod_02!$J$9,$E$30,Input_Prod_02!$B89,$K$1)</f>
        <v>25.093823328859358</v>
      </c>
      <c r="M89" s="21">
        <f>_xll.DBRW($B$3,Input_Prod_02!$D$9,Input_Prod_02!M$11,$M$1,Input_Prod_02!$G$9,Input_Prod_02!$J$9,$E$30,Input_Prod_02!$B89,$K$1)</f>
        <v>23.512847340359546</v>
      </c>
      <c r="N89" s="21">
        <f>_xll.DBRW($B$3,Input_Prod_02!$D$9,Input_Prod_02!N$11,$M$1,Input_Prod_02!$G$9,Input_Prod_02!$J$9,$E$30,Input_Prod_02!$B89,$K$1)</f>
        <v>11.604988322318835</v>
      </c>
    </row>
  </sheetData>
  <mergeCells count="2">
    <mergeCell ref="L7:M7"/>
    <mergeCell ref="E30:G30"/>
  </mergeCells>
  <conditionalFormatting sqref="C13:N27">
    <cfRule type="expression" dxfId="43" priority="10">
      <formula>C$5="ACTUAL"</formula>
    </cfRule>
  </conditionalFormatting>
  <conditionalFormatting sqref="C34:N40">
    <cfRule type="expression" dxfId="42" priority="9">
      <formula>C$5="ACTUAL"</formula>
    </cfRule>
  </conditionalFormatting>
  <conditionalFormatting sqref="C50:N54">
    <cfRule type="expression" dxfId="41" priority="8">
      <formula>C$5="ACTUAL"</formula>
    </cfRule>
  </conditionalFormatting>
  <conditionalFormatting sqref="C61:N61">
    <cfRule type="expression" dxfId="40" priority="7">
      <formula>C$5="ACTUAL"</formula>
    </cfRule>
  </conditionalFormatting>
  <conditionalFormatting sqref="C69:N70">
    <cfRule type="expression" dxfId="39" priority="2">
      <formula>C$5="ACTUAL"</formula>
    </cfRule>
  </conditionalFormatting>
  <conditionalFormatting sqref="C78:N79">
    <cfRule type="expression" dxfId="38" priority="1">
      <formula>C$5="ACTUAL"</formula>
    </cfRule>
  </conditionalFormatting>
  <conditionalFormatting sqref="C87:N87">
    <cfRule type="expression" dxfId="37" priority="5">
      <formula>C$5="ACTUAL"</formula>
    </cfRule>
  </conditionalFormatting>
  <conditionalFormatting sqref="D69:N69">
    <cfRule type="expression" dxfId="36" priority="6">
      <formula>D$5="ACTUAL"</formula>
    </cfRule>
  </conditionalFormatting>
  <conditionalFormatting sqref="N7">
    <cfRule type="cellIs" dxfId="35" priority="3" operator="equal">
      <formula>"Open"</formula>
    </cfRule>
    <cfRule type="cellIs" dxfId="34" priority="4" operator="equal">
      <formula>"Closed"</formula>
    </cfRule>
  </conditionalFormatting>
  <dataValidations count="1">
    <dataValidation type="list" errorStyle="information" allowBlank="1" showInputMessage="1" sqref="D5:N5" xr:uid="{18B49D21-C4F7-4E89-8BDD-F8D028FFB503}">
      <formula1>cafe_validation_temp</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9873-0057-4AFC-BF0B-A419E9BF23EE}">
  <dimension ref="A1:X89"/>
  <sheetViews>
    <sheetView showGridLines="0" topLeftCell="A30" zoomScaleNormal="100" workbookViewId="0">
      <selection activeCell="C51" sqref="C51:N51"/>
    </sheetView>
  </sheetViews>
  <sheetFormatPr defaultColWidth="12.42578125" defaultRowHeight="15.75" customHeight="1" x14ac:dyDescent="0.25"/>
  <cols>
    <col min="1" max="1" width="3.28515625" style="1" customWidth="1"/>
    <col min="2" max="2" width="43.42578125" style="1" customWidth="1"/>
    <col min="3" max="3" width="14.140625" style="1" customWidth="1"/>
    <col min="4" max="4" width="16.42578125" style="1" bestFit="1" customWidth="1"/>
    <col min="5" max="10" width="16.7109375" style="1" bestFit="1" customWidth="1"/>
    <col min="11" max="11" width="18.5703125" style="1" bestFit="1" customWidth="1"/>
    <col min="12" max="13" width="16.7109375" style="1" bestFit="1" customWidth="1"/>
    <col min="14" max="14" width="16.5703125" style="1" customWidth="1"/>
    <col min="15" max="24" width="12.42578125" style="1"/>
  </cols>
  <sheetData>
    <row r="1" spans="2:14" s="1" customFormat="1" ht="19.5" hidden="1" customHeight="1" x14ac:dyDescent="0.25">
      <c r="B1" s="1" t="str">
        <f>_xll.VIEW("CONS_VC:STG.100.DataBase_Uploads",D9)</f>
        <v>CONS_VC:STG.100.DataBase_Uploads:-7526985492045866792</v>
      </c>
      <c r="C1" s="1" t="str">
        <f>_xll.VIEW("CONS_VC:ALL.015.Region_Assumptions")</f>
        <v>CONS_VC:ALL.015.Region_Assumptions:-752698549-241339904</v>
      </c>
      <c r="D1" s="1" t="str">
        <f>_xll.VIEW("CONS_VC:DFS.120.Financial_Results")</f>
        <v>CONS_VC:DFS.120.Financial_Results:-752698549676160401</v>
      </c>
      <c r="K1" s="1" t="s">
        <v>72</v>
      </c>
      <c r="L1" s="1" t="s">
        <v>66</v>
      </c>
      <c r="M1" s="12" t="str">
        <f>_xll.SUBNM("CONS_VC:ALL.D.Version","","T4")</f>
        <v>T4</v>
      </c>
      <c r="N1" s="1" t="s">
        <v>73</v>
      </c>
    </row>
    <row r="2" spans="2:14" s="1" customFormat="1" ht="33" hidden="1" customHeight="1" x14ac:dyDescent="0.25">
      <c r="B2" s="1" t="str">
        <f>_xll.VIEW("CONS_VC:REV.100.Revenue_Consolidated")</f>
        <v>CONS_VC:REV.100.Revenue_Consolidated:-752698549-457517290</v>
      </c>
      <c r="C2" s="1" t="str">
        <f>_xll.VIEW("CONS_VC:ALL.010.Economic_Assumptions")</f>
        <v>CONS_VC:ALL.010.Economic_Assumptions:-75269854983039568</v>
      </c>
      <c r="D2" s="1" t="str">
        <f>_xll.VIEW("CONS_VC:DFS.140.Indirect_Cash_Flow")</f>
        <v>CONS_VC:DFS.140.Indirect_Cash_Flow:-7526985491698026309</v>
      </c>
      <c r="K2" s="1" t="s">
        <v>71</v>
      </c>
      <c r="N2" s="1" t="s">
        <v>74</v>
      </c>
    </row>
    <row r="3" spans="2:14" s="1" customFormat="1" ht="29.25" hidden="1" customHeight="1" x14ac:dyDescent="0.25">
      <c r="B3" s="1" t="str">
        <f>_xll.VIEW("CONS_VC:DFS.100.Profit_and_Loss")</f>
        <v>CONS_VC:DFS.100.Profit_and_Loss:-752698549-945800542</v>
      </c>
      <c r="C3" s="1" t="str">
        <f>_xll.VIEW("CONS_VC:DFS.160.Working_Capital")</f>
        <v>CONS_VC:DFS.160.Working_Capital:-752698549-1249916083</v>
      </c>
      <c r="D3" s="1" t="str">
        <f>_xll.VIEW("CONS_VC:ALL.004.Uploads_Status_Planning")</f>
        <v>CONS_VC:ALL.004.Uploads_Status_Planning:-7526985491976163719</v>
      </c>
      <c r="G3" s="1" t="s">
        <v>82</v>
      </c>
    </row>
    <row r="4" spans="2:14" s="1" customFormat="1" ht="33" hidden="1" customHeight="1" x14ac:dyDescent="0.25">
      <c r="B4" s="1" t="str">
        <f>_xll.VIEW("CONS_VC:ALL.001.Actual_Control")</f>
        <v>CONS_VC:ALL.001.Actual_Control:-752698549101777348</v>
      </c>
      <c r="C4" s="1" t="str">
        <f>_xll.VIEW("CONS_VC:DFS.180.Gross_Debt")</f>
        <v>CONS_VC:DFS.180.Gross_Debt:-752698549-2064243330</v>
      </c>
    </row>
    <row r="5" spans="2:14" s="1" customFormat="1" ht="30" hidden="1" customHeight="1" x14ac:dyDescent="0.25">
      <c r="C5" s="11" t="str">
        <f>_xll.DBRW(Input_Prod_03!$B$4,Input_Prod_03!$D$9,Input_Prod_03!C11,$M$1,$G$3)</f>
        <v>PLAN</v>
      </c>
      <c r="D5" s="11" t="str">
        <f>_xll.DBRW(Input_Prod_03!$B$4,Input_Prod_03!$D$9,Input_Prod_03!D11,$M$1,$G$3)</f>
        <v>PLAN</v>
      </c>
      <c r="E5" s="11" t="str">
        <f>_xll.DBRW(Input_Prod_03!$B$4,Input_Prod_03!$D$9,Input_Prod_03!E11,$M$1,$G$3)</f>
        <v>PLAN</v>
      </c>
      <c r="F5" s="11" t="str">
        <f>_xll.DBRW(Input_Prod_03!$B$4,Input_Prod_03!$D$9,Input_Prod_03!F11,$M$1,$G$3)</f>
        <v>PLAN</v>
      </c>
      <c r="G5" s="11" t="str">
        <f>_xll.DBRW(Input_Prod_03!$B$4,Input_Prod_03!$D$9,Input_Prod_03!G11,$M$1,$G$3)</f>
        <v>PLAN</v>
      </c>
      <c r="H5" s="11" t="str">
        <f>_xll.DBRW(Input_Prod_03!$B$4,Input_Prod_03!$D$9,Input_Prod_03!H11,$M$1,$G$3)</f>
        <v>PLAN</v>
      </c>
      <c r="I5" s="11" t="str">
        <f>_xll.DBRW(Input_Prod_03!$B$4,Input_Prod_03!$D$9,Input_Prod_03!I11,$M$1,$G$3)</f>
        <v>PLAN</v>
      </c>
      <c r="J5" s="11" t="str">
        <f>_xll.DBRW(Input_Prod_03!$B$4,Input_Prod_03!$D$9,Input_Prod_03!J11,$M$1,$G$3)</f>
        <v>PLAN</v>
      </c>
      <c r="K5" s="11" t="str">
        <f>_xll.DBRW(Input_Prod_03!$B$4,Input_Prod_03!$D$9,Input_Prod_03!K11,$M$1,$G$3)</f>
        <v>PLAN</v>
      </c>
      <c r="L5" s="11" t="str">
        <f>_xll.DBRW(Input_Prod_03!$B$4,Input_Prod_03!$D$9,Input_Prod_03!L11,$M$1,$G$3)</f>
        <v>PLAN</v>
      </c>
      <c r="M5" s="11" t="str">
        <f>_xll.DBRW(Input_Prod_03!$B$4,Input_Prod_03!$D$9,Input_Prod_03!M11,$M$1,$G$3)</f>
        <v>PLAN</v>
      </c>
      <c r="N5" s="11" t="str">
        <f>_xll.DBRW(Input_Prod_03!$B$4,Input_Prod_03!$D$9,Input_Prod_03!N11,$M$1,$G$3)</f>
        <v>PLAN</v>
      </c>
    </row>
    <row r="6" spans="2:14" s="1" customFormat="1" ht="19.5" customHeight="1" x14ac:dyDescent="0.25"/>
    <row r="7" spans="2:14" s="1" customFormat="1" ht="24" customHeight="1" thickBot="1" x14ac:dyDescent="0.3">
      <c r="B7" s="10"/>
      <c r="L7" s="49" t="s">
        <v>145</v>
      </c>
      <c r="M7" s="49"/>
      <c r="N7" s="29" t="str">
        <f>_xll.DBRW($D$3,$M$1,$J$9,"Status")</f>
        <v>Closed</v>
      </c>
    </row>
    <row r="8" spans="2:14" s="1" customFormat="1" ht="15.75" customHeight="1" thickTop="1" x14ac:dyDescent="0.25">
      <c r="B8" s="9" t="s">
        <v>0</v>
      </c>
      <c r="M8" s="28"/>
    </row>
    <row r="9" spans="2:14" s="1" customFormat="1" ht="15.75" customHeight="1" thickBot="1" x14ac:dyDescent="0.3">
      <c r="C9" s="19" t="s">
        <v>67</v>
      </c>
      <c r="D9" s="35" t="str">
        <f>_xll.SUBNM("CONS_VC:ALL.D.Year","SYS_Picklist","2026","MEMBER_NAME")</f>
        <v>2026</v>
      </c>
      <c r="F9" s="19" t="s">
        <v>68</v>
      </c>
      <c r="G9" s="35" t="str">
        <f>_xll.SUBNM("CONS_VC:ALL.D.Currency","PAX","USD","Nome alternativo")</f>
        <v>USD</v>
      </c>
      <c r="I9" s="28" t="s">
        <v>69</v>
      </c>
      <c r="J9" s="35" t="str">
        <f>_xll.SUBNM("CONS_VC:ALL.D.Region","Nível 0","VCNA","MEMBER_NAME")</f>
        <v>VCNA</v>
      </c>
    </row>
    <row r="10" spans="2:14" s="1" customFormat="1" ht="15.75" customHeight="1" thickTop="1" x14ac:dyDescent="0.25">
      <c r="B10" s="9"/>
      <c r="C10" s="13"/>
      <c r="D10" s="14"/>
    </row>
    <row r="11" spans="2:14" s="1" customFormat="1" ht="45" hidden="1" customHeight="1" x14ac:dyDescent="0.25">
      <c r="C11" s="15" t="s">
        <v>46</v>
      </c>
      <c r="D11" s="15" t="s">
        <v>47</v>
      </c>
      <c r="E11" s="15" t="s">
        <v>48</v>
      </c>
      <c r="F11" s="15" t="s">
        <v>49</v>
      </c>
      <c r="G11" s="15" t="s">
        <v>50</v>
      </c>
      <c r="H11" s="15" t="s">
        <v>51</v>
      </c>
      <c r="I11" s="15" t="s">
        <v>52</v>
      </c>
      <c r="J11" s="15" t="s">
        <v>53</v>
      </c>
      <c r="K11" s="15" t="s">
        <v>54</v>
      </c>
      <c r="L11" s="15" t="s">
        <v>55</v>
      </c>
      <c r="M11" s="15" t="s">
        <v>56</v>
      </c>
      <c r="N11" s="15" t="s">
        <v>57</v>
      </c>
    </row>
    <row r="12" spans="2:14" s="4" customFormat="1" ht="15.75" customHeight="1" x14ac:dyDescent="0.25">
      <c r="B12" s="5"/>
      <c r="C12" s="18" t="str">
        <f>$D$9&amp;"."&amp;C11</f>
        <v>2026.01</v>
      </c>
      <c r="D12" s="18" t="str">
        <f t="shared" ref="D12:N12" si="0">$D$9&amp;"."&amp;D11</f>
        <v>2026.02</v>
      </c>
      <c r="E12" s="18" t="str">
        <f t="shared" si="0"/>
        <v>2026.03</v>
      </c>
      <c r="F12" s="18" t="str">
        <f t="shared" si="0"/>
        <v>2026.04</v>
      </c>
      <c r="G12" s="18" t="str">
        <f t="shared" si="0"/>
        <v>2026.05</v>
      </c>
      <c r="H12" s="18" t="str">
        <f t="shared" si="0"/>
        <v>2026.06</v>
      </c>
      <c r="I12" s="18" t="str">
        <f t="shared" si="0"/>
        <v>2026.07</v>
      </c>
      <c r="J12" s="18" t="str">
        <f t="shared" si="0"/>
        <v>2026.08</v>
      </c>
      <c r="K12" s="18" t="str">
        <f t="shared" si="0"/>
        <v>2026.09</v>
      </c>
      <c r="L12" s="18" t="str">
        <f t="shared" si="0"/>
        <v>2026.10</v>
      </c>
      <c r="M12" s="18" t="str">
        <f t="shared" si="0"/>
        <v>2026.11</v>
      </c>
      <c r="N12" s="18" t="str">
        <f t="shared" si="0"/>
        <v>2026.12</v>
      </c>
    </row>
    <row r="13" spans="2:14" s="1" customFormat="1" ht="15.75" customHeight="1" x14ac:dyDescent="0.25">
      <c r="B13" s="17" t="s">
        <v>1</v>
      </c>
      <c r="C13" s="27">
        <f>_xll.DBRW($C$2,Input_Prod_03!$D$9,Input_Prod_03!$C$11,$M$1,$B13,$K$1)</f>
        <v>0</v>
      </c>
      <c r="D13" s="27">
        <f>_xll.DBRW($C$2,Input_Prod_03!$D$9,Input_Prod_03!$C$11,$M$1,$B13,$K$1)</f>
        <v>0</v>
      </c>
      <c r="E13" s="27">
        <f>_xll.DBRW($C$2,Input_Prod_03!$D$9,Input_Prod_03!$C$11,$M$1,$B13,$K$1)</f>
        <v>0</v>
      </c>
      <c r="F13" s="27">
        <f>_xll.DBRW($C$2,Input_Prod_03!$D$9,Input_Prod_03!$C$11,$M$1,$B13,$K$1)</f>
        <v>0</v>
      </c>
      <c r="G13" s="27">
        <f>_xll.DBRW($C$2,Input_Prod_03!$D$9,Input_Prod_03!$C$11,$M$1,$B13,$K$1)</f>
        <v>0</v>
      </c>
      <c r="H13" s="27">
        <f>_xll.DBRW($C$2,Input_Prod_03!$D$9,Input_Prod_03!$C$11,$M$1,$B13,$K$1)</f>
        <v>0</v>
      </c>
      <c r="I13" s="27">
        <f>_xll.DBRW($C$2,Input_Prod_03!$D$9,Input_Prod_03!$C$11,$M$1,$B13,$K$1)</f>
        <v>0</v>
      </c>
      <c r="J13" s="27">
        <f>_xll.DBRW($C$2,Input_Prod_03!$D$9,Input_Prod_03!$C$11,$M$1,$B13,$K$1)</f>
        <v>0</v>
      </c>
      <c r="K13" s="27">
        <f>_xll.DBRW($C$2,Input_Prod_03!$D$9,Input_Prod_03!$C$11,$M$1,$B13,$K$1)</f>
        <v>0</v>
      </c>
      <c r="L13" s="27">
        <f>_xll.DBRW($C$2,Input_Prod_03!$D$9,Input_Prod_03!$C$11,$M$1,$B13,$K$1)</f>
        <v>0</v>
      </c>
      <c r="M13" s="27">
        <f>_xll.DBRW($C$2,Input_Prod_03!$D$9,Input_Prod_03!$C$11,$M$1,$B13,$K$1)</f>
        <v>0</v>
      </c>
      <c r="N13" s="27">
        <f>_xll.DBRW($C$2,Input_Prod_03!$D$9,Input_Prod_03!$C$11,$M$1,$B13,$K$1)</f>
        <v>0</v>
      </c>
    </row>
    <row r="14" spans="2:14" s="1" customFormat="1" ht="15.75" customHeight="1" x14ac:dyDescent="0.25">
      <c r="B14" s="17" t="s">
        <v>2</v>
      </c>
      <c r="C14" s="27">
        <f>_xll.DBRW($C$2,Input_Prod_03!$D$9,Input_Prod_03!$C$11,$M$1,$B14,$K$1)</f>
        <v>0</v>
      </c>
      <c r="D14" s="27">
        <f>_xll.DBRW($C$2,Input_Prod_03!$D$9,Input_Prod_03!$C$11,$M$1,$B14,$K$1)</f>
        <v>0</v>
      </c>
      <c r="E14" s="27">
        <f>_xll.DBRW($C$2,Input_Prod_03!$D$9,Input_Prod_03!$C$11,$M$1,$B14,$K$1)</f>
        <v>0</v>
      </c>
      <c r="F14" s="27">
        <f>_xll.DBRW($C$2,Input_Prod_03!$D$9,Input_Prod_03!$C$11,$M$1,$B14,$K$1)</f>
        <v>0</v>
      </c>
      <c r="G14" s="27">
        <f>_xll.DBRW($C$2,Input_Prod_03!$D$9,Input_Prod_03!$C$11,$M$1,$B14,$K$1)</f>
        <v>0</v>
      </c>
      <c r="H14" s="27">
        <f>_xll.DBRW($C$2,Input_Prod_03!$D$9,Input_Prod_03!$C$11,$M$1,$B14,$K$1)</f>
        <v>0</v>
      </c>
      <c r="I14" s="27">
        <f>_xll.DBRW($C$2,Input_Prod_03!$D$9,Input_Prod_03!$C$11,$M$1,$B14,$K$1)</f>
        <v>0</v>
      </c>
      <c r="J14" s="27">
        <f>_xll.DBRW($C$2,Input_Prod_03!$D$9,Input_Prod_03!$C$11,$M$1,$B14,$K$1)</f>
        <v>0</v>
      </c>
      <c r="K14" s="27">
        <f>_xll.DBRW($C$2,Input_Prod_03!$D$9,Input_Prod_03!$C$11,$M$1,$B14,$K$1)</f>
        <v>0</v>
      </c>
      <c r="L14" s="27">
        <f>_xll.DBRW($C$2,Input_Prod_03!$D$9,Input_Prod_03!$C$11,$M$1,$B14,$K$1)</f>
        <v>0</v>
      </c>
      <c r="M14" s="27">
        <f>_xll.DBRW($C$2,Input_Prod_03!$D$9,Input_Prod_03!$C$11,$M$1,$B14,$K$1)</f>
        <v>0</v>
      </c>
      <c r="N14" s="27">
        <f>_xll.DBRW($C$2,Input_Prod_03!$D$9,Input_Prod_03!$C$11,$M$1,$B14,$K$1)</f>
        <v>0</v>
      </c>
    </row>
    <row r="15" spans="2:14" s="1" customFormat="1" ht="15.75" customHeight="1" x14ac:dyDescent="0.25">
      <c r="B15" s="17" t="s">
        <v>3</v>
      </c>
      <c r="C15" s="27">
        <f>_xll.DBRW($C$2,Input_Prod_03!$D$9,Input_Prod_03!$C$11,$M$1,$B15,$K$1)</f>
        <v>0</v>
      </c>
      <c r="D15" s="27">
        <f>_xll.DBRW($C$2,Input_Prod_03!$D$9,Input_Prod_03!$C$11,$M$1,$B15,$K$1)</f>
        <v>0</v>
      </c>
      <c r="E15" s="27">
        <f>_xll.DBRW($C$2,Input_Prod_03!$D$9,Input_Prod_03!$C$11,$M$1,$B15,$K$1)</f>
        <v>0</v>
      </c>
      <c r="F15" s="27">
        <f>_xll.DBRW($C$2,Input_Prod_03!$D$9,Input_Prod_03!$C$11,$M$1,$B15,$K$1)</f>
        <v>0</v>
      </c>
      <c r="G15" s="27">
        <f>_xll.DBRW($C$2,Input_Prod_03!$D$9,Input_Prod_03!$C$11,$M$1,$B15,$K$1)</f>
        <v>0</v>
      </c>
      <c r="H15" s="27">
        <f>_xll.DBRW($C$2,Input_Prod_03!$D$9,Input_Prod_03!$C$11,$M$1,$B15,$K$1)</f>
        <v>0</v>
      </c>
      <c r="I15" s="27">
        <f>_xll.DBRW($C$2,Input_Prod_03!$D$9,Input_Prod_03!$C$11,$M$1,$B15,$K$1)</f>
        <v>0</v>
      </c>
      <c r="J15" s="27">
        <f>_xll.DBRW($C$2,Input_Prod_03!$D$9,Input_Prod_03!$C$11,$M$1,$B15,$K$1)</f>
        <v>0</v>
      </c>
      <c r="K15" s="27">
        <f>_xll.DBRW($C$2,Input_Prod_03!$D$9,Input_Prod_03!$C$11,$M$1,$B15,$K$1)</f>
        <v>0</v>
      </c>
      <c r="L15" s="27">
        <f>_xll.DBRW($C$2,Input_Prod_03!$D$9,Input_Prod_03!$C$11,$M$1,$B15,$K$1)</f>
        <v>0</v>
      </c>
      <c r="M15" s="27">
        <f>_xll.DBRW($C$2,Input_Prod_03!$D$9,Input_Prod_03!$C$11,$M$1,$B15,$K$1)</f>
        <v>0</v>
      </c>
      <c r="N15" s="27">
        <f>_xll.DBRW($C$2,Input_Prod_03!$D$9,Input_Prod_03!$C$11,$M$1,$B15,$K$1)</f>
        <v>0</v>
      </c>
    </row>
    <row r="16" spans="2:14" s="1" customFormat="1" ht="15.75" customHeight="1" x14ac:dyDescent="0.25">
      <c r="B16" s="17" t="s">
        <v>4</v>
      </c>
      <c r="C16" s="27">
        <f>_xll.DBRW($C$2,Input_Prod_03!$D$9,Input_Prod_03!$C$11,$M$1,$B16,$K$1)</f>
        <v>0</v>
      </c>
      <c r="D16" s="27">
        <f>_xll.DBRW($C$2,Input_Prod_03!$D$9,Input_Prod_03!$C$11,$M$1,$B16,$K$1)</f>
        <v>0</v>
      </c>
      <c r="E16" s="27">
        <f>_xll.DBRW($C$2,Input_Prod_03!$D$9,Input_Prod_03!$C$11,$M$1,$B16,$K$1)</f>
        <v>0</v>
      </c>
      <c r="F16" s="27">
        <f>_xll.DBRW($C$2,Input_Prod_03!$D$9,Input_Prod_03!$C$11,$M$1,$B16,$K$1)</f>
        <v>0</v>
      </c>
      <c r="G16" s="27">
        <f>_xll.DBRW($C$2,Input_Prod_03!$D$9,Input_Prod_03!$C$11,$M$1,$B16,$K$1)</f>
        <v>0</v>
      </c>
      <c r="H16" s="27">
        <f>_xll.DBRW($C$2,Input_Prod_03!$D$9,Input_Prod_03!$C$11,$M$1,$B16,$K$1)</f>
        <v>0</v>
      </c>
      <c r="I16" s="27">
        <f>_xll.DBRW($C$2,Input_Prod_03!$D$9,Input_Prod_03!$C$11,$M$1,$B16,$K$1)</f>
        <v>0</v>
      </c>
      <c r="J16" s="27">
        <f>_xll.DBRW($C$2,Input_Prod_03!$D$9,Input_Prod_03!$C$11,$M$1,$B16,$K$1)</f>
        <v>0</v>
      </c>
      <c r="K16" s="27">
        <f>_xll.DBRW($C$2,Input_Prod_03!$D$9,Input_Prod_03!$C$11,$M$1,$B16,$K$1)</f>
        <v>0</v>
      </c>
      <c r="L16" s="27">
        <f>_xll.DBRW($C$2,Input_Prod_03!$D$9,Input_Prod_03!$C$11,$M$1,$B16,$K$1)</f>
        <v>0</v>
      </c>
      <c r="M16" s="27">
        <f>_xll.DBRW($C$2,Input_Prod_03!$D$9,Input_Prod_03!$C$11,$M$1,$B16,$K$1)</f>
        <v>0</v>
      </c>
      <c r="N16" s="27">
        <f>_xll.DBRW($C$2,Input_Prod_03!$D$9,Input_Prod_03!$C$11,$M$1,$B16,$K$1)</f>
        <v>0</v>
      </c>
    </row>
    <row r="17" spans="2:14" s="1" customFormat="1" ht="15.75" customHeight="1" x14ac:dyDescent="0.25">
      <c r="B17" s="17" t="s">
        <v>5</v>
      </c>
      <c r="C17" s="27">
        <f>_xll.DBRW($C$2,Input_Prod_03!$D$9,Input_Prod_03!$C$11,$M$1,$B17,$K$1)</f>
        <v>5</v>
      </c>
      <c r="D17" s="27">
        <f>_xll.DBRW($C$2,Input_Prod_03!$D$9,Input_Prod_03!$C$11,$M$1,$B17,$K$1)</f>
        <v>5</v>
      </c>
      <c r="E17" s="27">
        <f>_xll.DBRW($C$2,Input_Prod_03!$D$9,Input_Prod_03!$C$11,$M$1,$B17,$K$1)</f>
        <v>5</v>
      </c>
      <c r="F17" s="27">
        <f>_xll.DBRW($C$2,Input_Prod_03!$D$9,Input_Prod_03!$C$11,$M$1,$B17,$K$1)</f>
        <v>5</v>
      </c>
      <c r="G17" s="27">
        <f>_xll.DBRW($C$2,Input_Prod_03!$D$9,Input_Prod_03!$C$11,$M$1,$B17,$K$1)</f>
        <v>5</v>
      </c>
      <c r="H17" s="27">
        <f>_xll.DBRW($C$2,Input_Prod_03!$D$9,Input_Prod_03!$C$11,$M$1,$B17,$K$1)</f>
        <v>5</v>
      </c>
      <c r="I17" s="27">
        <f>_xll.DBRW($C$2,Input_Prod_03!$D$9,Input_Prod_03!$C$11,$M$1,$B17,$K$1)</f>
        <v>5</v>
      </c>
      <c r="J17" s="27">
        <f>_xll.DBRW($C$2,Input_Prod_03!$D$9,Input_Prod_03!$C$11,$M$1,$B17,$K$1)</f>
        <v>5</v>
      </c>
      <c r="K17" s="27">
        <f>_xll.DBRW($C$2,Input_Prod_03!$D$9,Input_Prod_03!$C$11,$M$1,$B17,$K$1)</f>
        <v>5</v>
      </c>
      <c r="L17" s="27">
        <f>_xll.DBRW($C$2,Input_Prod_03!$D$9,Input_Prod_03!$C$11,$M$1,$B17,$K$1)</f>
        <v>5</v>
      </c>
      <c r="M17" s="27">
        <f>_xll.DBRW($C$2,Input_Prod_03!$D$9,Input_Prod_03!$C$11,$M$1,$B17,$K$1)</f>
        <v>5</v>
      </c>
      <c r="N17" s="27">
        <f>_xll.DBRW($C$2,Input_Prod_03!$D$9,Input_Prod_03!$C$11,$M$1,$B17,$K$1)</f>
        <v>5</v>
      </c>
    </row>
    <row r="18" spans="2:14" s="1" customFormat="1" ht="15.75" customHeight="1" x14ac:dyDescent="0.25">
      <c r="B18" s="17" t="s">
        <v>6</v>
      </c>
      <c r="C18" s="27">
        <f>_xll.DBRW($C$2,Input_Prod_03!$D$9,Input_Prod_03!$C$11,$M$1,$B18,$K$1)</f>
        <v>0</v>
      </c>
      <c r="D18" s="27">
        <f>_xll.DBRW($C$2,Input_Prod_03!$D$9,Input_Prod_03!$C$11,$M$1,$B18,$K$1)</f>
        <v>0</v>
      </c>
      <c r="E18" s="27">
        <f>_xll.DBRW($C$2,Input_Prod_03!$D$9,Input_Prod_03!$C$11,$M$1,$B18,$K$1)</f>
        <v>0</v>
      </c>
      <c r="F18" s="27">
        <f>_xll.DBRW($C$2,Input_Prod_03!$D$9,Input_Prod_03!$C$11,$M$1,$B18,$K$1)</f>
        <v>0</v>
      </c>
      <c r="G18" s="27">
        <f>_xll.DBRW($C$2,Input_Prod_03!$D$9,Input_Prod_03!$C$11,$M$1,$B18,$K$1)</f>
        <v>0</v>
      </c>
      <c r="H18" s="27">
        <f>_xll.DBRW($C$2,Input_Prod_03!$D$9,Input_Prod_03!$C$11,$M$1,$B18,$K$1)</f>
        <v>0</v>
      </c>
      <c r="I18" s="27">
        <f>_xll.DBRW($C$2,Input_Prod_03!$D$9,Input_Prod_03!$C$11,$M$1,$B18,$K$1)</f>
        <v>0</v>
      </c>
      <c r="J18" s="27">
        <f>_xll.DBRW($C$2,Input_Prod_03!$D$9,Input_Prod_03!$C$11,$M$1,$B18,$K$1)</f>
        <v>0</v>
      </c>
      <c r="K18" s="27">
        <f>_xll.DBRW($C$2,Input_Prod_03!$D$9,Input_Prod_03!$C$11,$M$1,$B18,$K$1)</f>
        <v>0</v>
      </c>
      <c r="L18" s="27">
        <f>_xll.DBRW($C$2,Input_Prod_03!$D$9,Input_Prod_03!$C$11,$M$1,$B18,$K$1)</f>
        <v>0</v>
      </c>
      <c r="M18" s="27">
        <f>_xll.DBRW($C$2,Input_Prod_03!$D$9,Input_Prod_03!$C$11,$M$1,$B18,$K$1)</f>
        <v>0</v>
      </c>
      <c r="N18" s="27">
        <f>_xll.DBRW($C$2,Input_Prod_03!$D$9,Input_Prod_03!$C$11,$M$1,$B18,$K$1)</f>
        <v>0</v>
      </c>
    </row>
    <row r="19" spans="2:14" s="1" customFormat="1" ht="15.75" customHeight="1" x14ac:dyDescent="0.25">
      <c r="B19" s="17" t="s">
        <v>7</v>
      </c>
      <c r="C19" s="27">
        <f>_xll.DBRW($C$2,Input_Prod_03!$D$9,Input_Prod_03!$C$11,$M$1,$B19,$K$1)</f>
        <v>0</v>
      </c>
      <c r="D19" s="27">
        <f>_xll.DBRW($C$2,Input_Prod_03!$D$9,Input_Prod_03!$C$11,$M$1,$B19,$K$1)</f>
        <v>0</v>
      </c>
      <c r="E19" s="27">
        <f>_xll.DBRW($C$2,Input_Prod_03!$D$9,Input_Prod_03!$C$11,$M$1,$B19,$K$1)</f>
        <v>0</v>
      </c>
      <c r="F19" s="27">
        <f>_xll.DBRW($C$2,Input_Prod_03!$D$9,Input_Prod_03!$C$11,$M$1,$B19,$K$1)</f>
        <v>0</v>
      </c>
      <c r="G19" s="27">
        <f>_xll.DBRW($C$2,Input_Prod_03!$D$9,Input_Prod_03!$C$11,$M$1,$B19,$K$1)</f>
        <v>0</v>
      </c>
      <c r="H19" s="27">
        <f>_xll.DBRW($C$2,Input_Prod_03!$D$9,Input_Prod_03!$C$11,$M$1,$B19,$K$1)</f>
        <v>0</v>
      </c>
      <c r="I19" s="27">
        <f>_xll.DBRW($C$2,Input_Prod_03!$D$9,Input_Prod_03!$C$11,$M$1,$B19,$K$1)</f>
        <v>0</v>
      </c>
      <c r="J19" s="27">
        <f>_xll.DBRW($C$2,Input_Prod_03!$D$9,Input_Prod_03!$C$11,$M$1,$B19,$K$1)</f>
        <v>0</v>
      </c>
      <c r="K19" s="27">
        <f>_xll.DBRW($C$2,Input_Prod_03!$D$9,Input_Prod_03!$C$11,$M$1,$B19,$K$1)</f>
        <v>0</v>
      </c>
      <c r="L19" s="27">
        <f>_xll.DBRW($C$2,Input_Prod_03!$D$9,Input_Prod_03!$C$11,$M$1,$B19,$K$1)</f>
        <v>0</v>
      </c>
      <c r="M19" s="27">
        <f>_xll.DBRW($C$2,Input_Prod_03!$D$9,Input_Prod_03!$C$11,$M$1,$B19,$K$1)</f>
        <v>0</v>
      </c>
      <c r="N19" s="27">
        <f>_xll.DBRW($C$2,Input_Prod_03!$D$9,Input_Prod_03!$C$11,$M$1,$B19,$K$1)</f>
        <v>0</v>
      </c>
    </row>
    <row r="20" spans="2:14" s="1" customFormat="1" ht="15.75" customHeight="1" x14ac:dyDescent="0.25">
      <c r="B20" s="17" t="s">
        <v>8</v>
      </c>
      <c r="C20" s="27">
        <f>_xll.DBRW($C$2,Input_Prod_03!$D$9,Input_Prod_03!$C$11,$M$1,$B20,$K$1)</f>
        <v>0</v>
      </c>
      <c r="D20" s="27">
        <f>_xll.DBRW($C$2,Input_Prod_03!$D$9,Input_Prod_03!$C$11,$M$1,$B20,$K$1)</f>
        <v>0</v>
      </c>
      <c r="E20" s="27">
        <f>_xll.DBRW($C$2,Input_Prod_03!$D$9,Input_Prod_03!$C$11,$M$1,$B20,$K$1)</f>
        <v>0</v>
      </c>
      <c r="F20" s="27">
        <f>_xll.DBRW($C$2,Input_Prod_03!$D$9,Input_Prod_03!$C$11,$M$1,$B20,$K$1)</f>
        <v>0</v>
      </c>
      <c r="G20" s="27">
        <f>_xll.DBRW($C$2,Input_Prod_03!$D$9,Input_Prod_03!$C$11,$M$1,$B20,$K$1)</f>
        <v>0</v>
      </c>
      <c r="H20" s="27">
        <f>_xll.DBRW($C$2,Input_Prod_03!$D$9,Input_Prod_03!$C$11,$M$1,$B20,$K$1)</f>
        <v>0</v>
      </c>
      <c r="I20" s="27">
        <f>_xll.DBRW($C$2,Input_Prod_03!$D$9,Input_Prod_03!$C$11,$M$1,$B20,$K$1)</f>
        <v>0</v>
      </c>
      <c r="J20" s="27">
        <f>_xll.DBRW($C$2,Input_Prod_03!$D$9,Input_Prod_03!$C$11,$M$1,$B20,$K$1)</f>
        <v>0</v>
      </c>
      <c r="K20" s="27">
        <f>_xll.DBRW($C$2,Input_Prod_03!$D$9,Input_Prod_03!$C$11,$M$1,$B20,$K$1)</f>
        <v>0</v>
      </c>
      <c r="L20" s="27">
        <f>_xll.DBRW($C$2,Input_Prod_03!$D$9,Input_Prod_03!$C$11,$M$1,$B20,$K$1)</f>
        <v>0</v>
      </c>
      <c r="M20" s="27">
        <f>_xll.DBRW($C$2,Input_Prod_03!$D$9,Input_Prod_03!$C$11,$M$1,$B20,$K$1)</f>
        <v>0</v>
      </c>
      <c r="N20" s="27">
        <f>_xll.DBRW($C$2,Input_Prod_03!$D$9,Input_Prod_03!$C$11,$M$1,$B20,$K$1)</f>
        <v>0</v>
      </c>
    </row>
    <row r="21" spans="2:14" s="1" customFormat="1" ht="15.75" customHeight="1" x14ac:dyDescent="0.25">
      <c r="B21" s="17" t="s">
        <v>9</v>
      </c>
      <c r="C21" s="27">
        <f>_xll.DBRW($C$2,Input_Prod_03!$D$9,Input_Prod_03!$C$11,$M$1,$B21,$K$1)</f>
        <v>0</v>
      </c>
      <c r="D21" s="27">
        <f>_xll.DBRW($C$2,Input_Prod_03!$D$9,Input_Prod_03!$C$11,$M$1,$B21,$K$1)</f>
        <v>0</v>
      </c>
      <c r="E21" s="27">
        <f>_xll.DBRW($C$2,Input_Prod_03!$D$9,Input_Prod_03!$C$11,$M$1,$B21,$K$1)</f>
        <v>0</v>
      </c>
      <c r="F21" s="27">
        <f>_xll.DBRW($C$2,Input_Prod_03!$D$9,Input_Prod_03!$C$11,$M$1,$B21,$K$1)</f>
        <v>0</v>
      </c>
      <c r="G21" s="27">
        <f>_xll.DBRW($C$2,Input_Prod_03!$D$9,Input_Prod_03!$C$11,$M$1,$B21,$K$1)</f>
        <v>0</v>
      </c>
      <c r="H21" s="27">
        <f>_xll.DBRW($C$2,Input_Prod_03!$D$9,Input_Prod_03!$C$11,$M$1,$B21,$K$1)</f>
        <v>0</v>
      </c>
      <c r="I21" s="27">
        <f>_xll.DBRW($C$2,Input_Prod_03!$D$9,Input_Prod_03!$C$11,$M$1,$B21,$K$1)</f>
        <v>0</v>
      </c>
      <c r="J21" s="27">
        <f>_xll.DBRW($C$2,Input_Prod_03!$D$9,Input_Prod_03!$C$11,$M$1,$B21,$K$1)</f>
        <v>0</v>
      </c>
      <c r="K21" s="27">
        <f>_xll.DBRW($C$2,Input_Prod_03!$D$9,Input_Prod_03!$C$11,$M$1,$B21,$K$1)</f>
        <v>0</v>
      </c>
      <c r="L21" s="27">
        <f>_xll.DBRW($C$2,Input_Prod_03!$D$9,Input_Prod_03!$C$11,$M$1,$B21,$K$1)</f>
        <v>0</v>
      </c>
      <c r="M21" s="27">
        <f>_xll.DBRW($C$2,Input_Prod_03!$D$9,Input_Prod_03!$C$11,$M$1,$B21,$K$1)</f>
        <v>0</v>
      </c>
      <c r="N21" s="27">
        <f>_xll.DBRW($C$2,Input_Prod_03!$D$9,Input_Prod_03!$C$11,$M$1,$B21,$K$1)</f>
        <v>0</v>
      </c>
    </row>
    <row r="22" spans="2:14" s="1" customFormat="1" ht="15.75" customHeight="1" x14ac:dyDescent="0.25">
      <c r="B22" s="17" t="s">
        <v>10</v>
      </c>
      <c r="C22" s="27">
        <f>_xll.DBRW($C$2,Input_Prod_03!$D$9,Input_Prod_03!$C$11,$M$1,$B22,$K$1)</f>
        <v>0</v>
      </c>
      <c r="D22" s="27">
        <f>_xll.DBRW($C$2,Input_Prod_03!$D$9,Input_Prod_03!$C$11,$M$1,$B22,$K$1)</f>
        <v>0</v>
      </c>
      <c r="E22" s="27">
        <f>_xll.DBRW($C$2,Input_Prod_03!$D$9,Input_Prod_03!$C$11,$M$1,$B22,$K$1)</f>
        <v>0</v>
      </c>
      <c r="F22" s="27">
        <f>_xll.DBRW($C$2,Input_Prod_03!$D$9,Input_Prod_03!$C$11,$M$1,$B22,$K$1)</f>
        <v>0</v>
      </c>
      <c r="G22" s="27">
        <f>_xll.DBRW($C$2,Input_Prod_03!$D$9,Input_Prod_03!$C$11,$M$1,$B22,$K$1)</f>
        <v>0</v>
      </c>
      <c r="H22" s="27">
        <f>_xll.DBRW($C$2,Input_Prod_03!$D$9,Input_Prod_03!$C$11,$M$1,$B22,$K$1)</f>
        <v>0</v>
      </c>
      <c r="I22" s="27">
        <f>_xll.DBRW($C$2,Input_Prod_03!$D$9,Input_Prod_03!$C$11,$M$1,$B22,$K$1)</f>
        <v>0</v>
      </c>
      <c r="J22" s="27">
        <f>_xll.DBRW($C$2,Input_Prod_03!$D$9,Input_Prod_03!$C$11,$M$1,$B22,$K$1)</f>
        <v>0</v>
      </c>
      <c r="K22" s="27">
        <f>_xll.DBRW($C$2,Input_Prod_03!$D$9,Input_Prod_03!$C$11,$M$1,$B22,$K$1)</f>
        <v>0</v>
      </c>
      <c r="L22" s="27">
        <f>_xll.DBRW($C$2,Input_Prod_03!$D$9,Input_Prod_03!$C$11,$M$1,$B22,$K$1)</f>
        <v>0</v>
      </c>
      <c r="M22" s="27">
        <f>_xll.DBRW($C$2,Input_Prod_03!$D$9,Input_Prod_03!$C$11,$M$1,$B22,$K$1)</f>
        <v>0</v>
      </c>
      <c r="N22" s="27">
        <f>_xll.DBRW($C$2,Input_Prod_03!$D$9,Input_Prod_03!$C$11,$M$1,$B22,$K$1)</f>
        <v>0</v>
      </c>
    </row>
    <row r="23" spans="2:14" s="1" customFormat="1" ht="15.75" customHeight="1" x14ac:dyDescent="0.25">
      <c r="B23" s="17" t="s">
        <v>11</v>
      </c>
      <c r="C23" s="27">
        <f>_xll.DBRW($C$2,Input_Prod_03!$D$9,Input_Prod_03!$C$11,$M$1,$B23,$K$1)</f>
        <v>0</v>
      </c>
      <c r="D23" s="27">
        <f>_xll.DBRW($C$2,Input_Prod_03!$D$9,Input_Prod_03!$C$11,$M$1,$B23,$K$1)</f>
        <v>0</v>
      </c>
      <c r="E23" s="27">
        <f>_xll.DBRW($C$2,Input_Prod_03!$D$9,Input_Prod_03!$C$11,$M$1,$B23,$K$1)</f>
        <v>0</v>
      </c>
      <c r="F23" s="27">
        <f>_xll.DBRW($C$2,Input_Prod_03!$D$9,Input_Prod_03!$C$11,$M$1,$B23,$K$1)</f>
        <v>0</v>
      </c>
      <c r="G23" s="27">
        <f>_xll.DBRW($C$2,Input_Prod_03!$D$9,Input_Prod_03!$C$11,$M$1,$B23,$K$1)</f>
        <v>0</v>
      </c>
      <c r="H23" s="27">
        <f>_xll.DBRW($C$2,Input_Prod_03!$D$9,Input_Prod_03!$C$11,$M$1,$B23,$K$1)</f>
        <v>0</v>
      </c>
      <c r="I23" s="27">
        <f>_xll.DBRW($C$2,Input_Prod_03!$D$9,Input_Prod_03!$C$11,$M$1,$B23,$K$1)</f>
        <v>0</v>
      </c>
      <c r="J23" s="27">
        <f>_xll.DBRW($C$2,Input_Prod_03!$D$9,Input_Prod_03!$C$11,$M$1,$B23,$K$1)</f>
        <v>0</v>
      </c>
      <c r="K23" s="27">
        <f>_xll.DBRW($C$2,Input_Prod_03!$D$9,Input_Prod_03!$C$11,$M$1,$B23,$K$1)</f>
        <v>0</v>
      </c>
      <c r="L23" s="27">
        <f>_xll.DBRW($C$2,Input_Prod_03!$D$9,Input_Prod_03!$C$11,$M$1,$B23,$K$1)</f>
        <v>0</v>
      </c>
      <c r="M23" s="27">
        <f>_xll.DBRW($C$2,Input_Prod_03!$D$9,Input_Prod_03!$C$11,$M$1,$B23,$K$1)</f>
        <v>0</v>
      </c>
      <c r="N23" s="27">
        <f>_xll.DBRW($C$2,Input_Prod_03!$D$9,Input_Prod_03!$C$11,$M$1,$B23,$K$1)</f>
        <v>0</v>
      </c>
    </row>
    <row r="24" spans="2:14" s="1" customFormat="1" ht="15.75" customHeight="1" x14ac:dyDescent="0.25">
      <c r="B24" s="17" t="s">
        <v>12</v>
      </c>
      <c r="C24" s="27">
        <f>_xll.DBRW($C$2,Input_Prod_03!$D$9,Input_Prod_03!$C$11,$M$1,$B24,$K$1)</f>
        <v>0</v>
      </c>
      <c r="D24" s="27">
        <f>_xll.DBRW($C$2,Input_Prod_03!$D$9,Input_Prod_03!$C$11,$M$1,$B24,$K$1)</f>
        <v>0</v>
      </c>
      <c r="E24" s="27">
        <f>_xll.DBRW($C$2,Input_Prod_03!$D$9,Input_Prod_03!$C$11,$M$1,$B24,$K$1)</f>
        <v>0</v>
      </c>
      <c r="F24" s="27">
        <f>_xll.DBRW($C$2,Input_Prod_03!$D$9,Input_Prod_03!$C$11,$M$1,$B24,$K$1)</f>
        <v>0</v>
      </c>
      <c r="G24" s="27">
        <f>_xll.DBRW($C$2,Input_Prod_03!$D$9,Input_Prod_03!$C$11,$M$1,$B24,$K$1)</f>
        <v>0</v>
      </c>
      <c r="H24" s="27">
        <f>_xll.DBRW($C$2,Input_Prod_03!$D$9,Input_Prod_03!$C$11,$M$1,$B24,$K$1)</f>
        <v>0</v>
      </c>
      <c r="I24" s="27">
        <f>_xll.DBRW($C$2,Input_Prod_03!$D$9,Input_Prod_03!$C$11,$M$1,$B24,$K$1)</f>
        <v>0</v>
      </c>
      <c r="J24" s="27">
        <f>_xll.DBRW($C$2,Input_Prod_03!$D$9,Input_Prod_03!$C$11,$M$1,$B24,$K$1)</f>
        <v>0</v>
      </c>
      <c r="K24" s="27">
        <f>_xll.DBRW($C$2,Input_Prod_03!$D$9,Input_Prod_03!$C$11,$M$1,$B24,$K$1)</f>
        <v>0</v>
      </c>
      <c r="L24" s="27">
        <f>_xll.DBRW($C$2,Input_Prod_03!$D$9,Input_Prod_03!$C$11,$M$1,$B24,$K$1)</f>
        <v>0</v>
      </c>
      <c r="M24" s="27">
        <f>_xll.DBRW($C$2,Input_Prod_03!$D$9,Input_Prod_03!$C$11,$M$1,$B24,$K$1)</f>
        <v>0</v>
      </c>
      <c r="N24" s="27">
        <f>_xll.DBRW($C$2,Input_Prod_03!$D$9,Input_Prod_03!$C$11,$M$1,$B24,$K$1)</f>
        <v>0</v>
      </c>
    </row>
    <row r="25" spans="2:14" s="1" customFormat="1" ht="15.75" customHeight="1" x14ac:dyDescent="0.25">
      <c r="B25" s="17" t="s">
        <v>13</v>
      </c>
      <c r="C25" s="27">
        <f>_xll.DBRW($C$2,Input_Prod_03!$D$9,Input_Prod_03!$C$11,$M$1,$B25,$K$1)</f>
        <v>0</v>
      </c>
      <c r="D25" s="27">
        <f>_xll.DBRW($C$2,Input_Prod_03!$D$9,Input_Prod_03!$C$11,$M$1,$B25,$K$1)</f>
        <v>0</v>
      </c>
      <c r="E25" s="27">
        <f>_xll.DBRW($C$2,Input_Prod_03!$D$9,Input_Prod_03!$C$11,$M$1,$B25,$K$1)</f>
        <v>0</v>
      </c>
      <c r="F25" s="27">
        <f>_xll.DBRW($C$2,Input_Prod_03!$D$9,Input_Prod_03!$C$11,$M$1,$B25,$K$1)</f>
        <v>0</v>
      </c>
      <c r="G25" s="27">
        <f>_xll.DBRW($C$2,Input_Prod_03!$D$9,Input_Prod_03!$C$11,$M$1,$B25,$K$1)</f>
        <v>0</v>
      </c>
      <c r="H25" s="27">
        <f>_xll.DBRW($C$2,Input_Prod_03!$D$9,Input_Prod_03!$C$11,$M$1,$B25,$K$1)</f>
        <v>0</v>
      </c>
      <c r="I25" s="27">
        <f>_xll.DBRW($C$2,Input_Prod_03!$D$9,Input_Prod_03!$C$11,$M$1,$B25,$K$1)</f>
        <v>0</v>
      </c>
      <c r="J25" s="27">
        <f>_xll.DBRW($C$2,Input_Prod_03!$D$9,Input_Prod_03!$C$11,$M$1,$B25,$K$1)</f>
        <v>0</v>
      </c>
      <c r="K25" s="27">
        <f>_xll.DBRW($C$2,Input_Prod_03!$D$9,Input_Prod_03!$C$11,$M$1,$B25,$K$1)</f>
        <v>0</v>
      </c>
      <c r="L25" s="27">
        <f>_xll.DBRW($C$2,Input_Prod_03!$D$9,Input_Prod_03!$C$11,$M$1,$B25,$K$1)</f>
        <v>0</v>
      </c>
      <c r="M25" s="27">
        <f>_xll.DBRW($C$2,Input_Prod_03!$D$9,Input_Prod_03!$C$11,$M$1,$B25,$K$1)</f>
        <v>0</v>
      </c>
      <c r="N25" s="27">
        <f>_xll.DBRW($C$2,Input_Prod_03!$D$9,Input_Prod_03!$C$11,$M$1,$B25,$K$1)</f>
        <v>0</v>
      </c>
    </row>
    <row r="26" spans="2:14" s="1" customFormat="1" ht="15.75" customHeight="1" x14ac:dyDescent="0.25">
      <c r="B26" s="17" t="s">
        <v>14</v>
      </c>
      <c r="C26" s="27">
        <f>_xll.DBRW($C$2,Input_Prod_03!$D$9,Input_Prod_03!$C$11,$M$1,$B26,$K$1)</f>
        <v>0</v>
      </c>
      <c r="D26" s="27">
        <f>_xll.DBRW($C$2,Input_Prod_03!$D$9,Input_Prod_03!$C$11,$M$1,$B26,$K$1)</f>
        <v>0</v>
      </c>
      <c r="E26" s="27">
        <f>_xll.DBRW($C$2,Input_Prod_03!$D$9,Input_Prod_03!$C$11,$M$1,$B26,$K$1)</f>
        <v>0</v>
      </c>
      <c r="F26" s="27">
        <f>_xll.DBRW($C$2,Input_Prod_03!$D$9,Input_Prod_03!$C$11,$M$1,$B26,$K$1)</f>
        <v>0</v>
      </c>
      <c r="G26" s="27">
        <f>_xll.DBRW($C$2,Input_Prod_03!$D$9,Input_Prod_03!$C$11,$M$1,$B26,$K$1)</f>
        <v>0</v>
      </c>
      <c r="H26" s="27">
        <f>_xll.DBRW($C$2,Input_Prod_03!$D$9,Input_Prod_03!$C$11,$M$1,$B26,$K$1)</f>
        <v>0</v>
      </c>
      <c r="I26" s="27">
        <f>_xll.DBRW($C$2,Input_Prod_03!$D$9,Input_Prod_03!$C$11,$M$1,$B26,$K$1)</f>
        <v>0</v>
      </c>
      <c r="J26" s="27">
        <f>_xll.DBRW($C$2,Input_Prod_03!$D$9,Input_Prod_03!$C$11,$M$1,$B26,$K$1)</f>
        <v>0</v>
      </c>
      <c r="K26" s="27">
        <f>_xll.DBRW($C$2,Input_Prod_03!$D$9,Input_Prod_03!$C$11,$M$1,$B26,$K$1)</f>
        <v>0</v>
      </c>
      <c r="L26" s="27">
        <f>_xll.DBRW($C$2,Input_Prod_03!$D$9,Input_Prod_03!$C$11,$M$1,$B26,$K$1)</f>
        <v>0</v>
      </c>
      <c r="M26" s="27">
        <f>_xll.DBRW($C$2,Input_Prod_03!$D$9,Input_Prod_03!$C$11,$M$1,$B26,$K$1)</f>
        <v>0</v>
      </c>
      <c r="N26" s="27">
        <f>_xll.DBRW($C$2,Input_Prod_03!$D$9,Input_Prod_03!$C$11,$M$1,$B26,$K$1)</f>
        <v>0</v>
      </c>
    </row>
    <row r="27" spans="2:14" s="1" customFormat="1" ht="15.75" customHeight="1" x14ac:dyDescent="0.25">
      <c r="B27" s="17" t="s">
        <v>15</v>
      </c>
      <c r="C27" s="27">
        <f>_xll.DBRW($C$2,Input_Prod_03!$D$9,Input_Prod_03!$C$11,$M$1,$B27,$K$1)</f>
        <v>31</v>
      </c>
      <c r="D27" s="27">
        <f>_xll.DBRW($C$2,Input_Prod_03!$D$9,Input_Prod_03!$C$11,$M$1,$B27,$K$1)</f>
        <v>31</v>
      </c>
      <c r="E27" s="27">
        <f>_xll.DBRW($C$2,Input_Prod_03!$D$9,Input_Prod_03!$C$11,$M$1,$B27,$K$1)</f>
        <v>31</v>
      </c>
      <c r="F27" s="27">
        <f>_xll.DBRW($C$2,Input_Prod_03!$D$9,Input_Prod_03!$C$11,$M$1,$B27,$K$1)</f>
        <v>31</v>
      </c>
      <c r="G27" s="27">
        <f>_xll.DBRW($C$2,Input_Prod_03!$D$9,Input_Prod_03!$C$11,$M$1,$B27,$K$1)</f>
        <v>31</v>
      </c>
      <c r="H27" s="27">
        <f>_xll.DBRW($C$2,Input_Prod_03!$D$9,Input_Prod_03!$C$11,$M$1,$B27,$K$1)</f>
        <v>31</v>
      </c>
      <c r="I27" s="27">
        <f>_xll.DBRW($C$2,Input_Prod_03!$D$9,Input_Prod_03!$C$11,$M$1,$B27,$K$1)</f>
        <v>31</v>
      </c>
      <c r="J27" s="27">
        <f>_xll.DBRW($C$2,Input_Prod_03!$D$9,Input_Prod_03!$C$11,$M$1,$B27,$K$1)</f>
        <v>31</v>
      </c>
      <c r="K27" s="27">
        <f>_xll.DBRW($C$2,Input_Prod_03!$D$9,Input_Prod_03!$C$11,$M$1,$B27,$K$1)</f>
        <v>31</v>
      </c>
      <c r="L27" s="27">
        <f>_xll.DBRW($C$2,Input_Prod_03!$D$9,Input_Prod_03!$C$11,$M$1,$B27,$K$1)</f>
        <v>31</v>
      </c>
      <c r="M27" s="27">
        <f>_xll.DBRW($C$2,Input_Prod_03!$D$9,Input_Prod_03!$C$11,$M$1,$B27,$K$1)</f>
        <v>31</v>
      </c>
      <c r="N27" s="27">
        <f>_xll.DBRW($C$2,Input_Prod_03!$D$9,Input_Prod_03!$C$11,$M$1,$B27,$K$1)</f>
        <v>31</v>
      </c>
    </row>
    <row r="29" spans="2:14" s="1" customFormat="1" ht="15.75" customHeight="1" thickBot="1" x14ac:dyDescent="0.3">
      <c r="B29" s="10"/>
    </row>
    <row r="30" spans="2:14" s="1" customFormat="1" ht="15.75" customHeight="1" thickTop="1" thickBot="1" x14ac:dyDescent="0.3">
      <c r="B30" s="9" t="s">
        <v>64</v>
      </c>
      <c r="D30" s="19" t="s">
        <v>65</v>
      </c>
      <c r="E30" s="50" t="str">
        <f>_xll.SUBNM("CONS_VC:ALL.D.Products","Nivel_0","PRODAG010 - Aggregates","Código e Descrição")</f>
        <v>PRODAG010 - Aggregates</v>
      </c>
      <c r="F30" s="50"/>
      <c r="G30" s="50"/>
    </row>
    <row r="31" spans="2:14" s="1" customFormat="1" ht="15.75" customHeight="1" thickTop="1" x14ac:dyDescent="0.25">
      <c r="B31" s="9"/>
    </row>
    <row r="33" spans="2:14" s="1" customFormat="1" ht="15.75" customHeight="1" x14ac:dyDescent="0.25">
      <c r="B33" s="5"/>
      <c r="C33" s="18" t="str">
        <f>$D$9&amp;"."&amp;C11</f>
        <v>2026.01</v>
      </c>
      <c r="D33" s="18" t="str">
        <f t="shared" ref="D33:N33" si="1">$D$9&amp;"."&amp;D11</f>
        <v>2026.02</v>
      </c>
      <c r="E33" s="18" t="str">
        <f t="shared" si="1"/>
        <v>2026.03</v>
      </c>
      <c r="F33" s="18" t="str">
        <f t="shared" si="1"/>
        <v>2026.04</v>
      </c>
      <c r="G33" s="18" t="str">
        <f t="shared" si="1"/>
        <v>2026.05</v>
      </c>
      <c r="H33" s="18" t="str">
        <f t="shared" si="1"/>
        <v>2026.06</v>
      </c>
      <c r="I33" s="18" t="str">
        <f t="shared" si="1"/>
        <v>2026.07</v>
      </c>
      <c r="J33" s="18" t="str">
        <f t="shared" si="1"/>
        <v>2026.08</v>
      </c>
      <c r="K33" s="18" t="str">
        <f t="shared" si="1"/>
        <v>2026.09</v>
      </c>
      <c r="L33" s="18" t="str">
        <f t="shared" si="1"/>
        <v>2026.10</v>
      </c>
      <c r="M33" s="18" t="str">
        <f t="shared" si="1"/>
        <v>2026.11</v>
      </c>
      <c r="N33" s="18" t="str">
        <f t="shared" si="1"/>
        <v>2026.12</v>
      </c>
    </row>
    <row r="34" spans="2:14" s="1" customFormat="1" ht="15.75" customHeight="1" x14ac:dyDescent="0.25">
      <c r="B34" s="17" t="s">
        <v>58</v>
      </c>
      <c r="C34" s="34">
        <f>_xll.DBRW($B$1,Input_Prod_03!$D$9,Input_Prod_03!C$11,$M$1,Input_Prod_03!$G$9,$J$9,Input_Prod_03!$E$30,Input_Prod_03!$B34,$L$1,$K$1)</f>
        <v>0</v>
      </c>
      <c r="D34" s="34">
        <f>_xll.DBRW($B$1,Input_Prod_03!$D$9,Input_Prod_03!D$11,$M$1,Input_Prod_03!$G$9,$J$9,Input_Prod_03!$E$30,Input_Prod_03!$B34,$L$1,$K$1)</f>
        <v>0</v>
      </c>
      <c r="E34" s="34">
        <f>_xll.DBRW($B$1,Input_Prod_03!$D$9,Input_Prod_03!E$11,$M$1,Input_Prod_03!$G$9,$J$9,Input_Prod_03!$E$30,Input_Prod_03!$B34,$L$1,$K$1)</f>
        <v>0</v>
      </c>
      <c r="F34" s="34">
        <f>_xll.DBRW($B$1,Input_Prod_03!$D$9,Input_Prod_03!F$11,$M$1,Input_Prod_03!$G$9,$J$9,Input_Prod_03!$E$30,Input_Prod_03!$B34,$L$1,$K$1)</f>
        <v>0</v>
      </c>
      <c r="G34" s="34">
        <f>_xll.DBRW($B$1,Input_Prod_03!$D$9,Input_Prod_03!G$11,$M$1,Input_Prod_03!$G$9,$J$9,Input_Prod_03!$E$30,Input_Prod_03!$B34,$L$1,$K$1)</f>
        <v>0</v>
      </c>
      <c r="H34" s="34">
        <f>_xll.DBRW($B$1,Input_Prod_03!$D$9,Input_Prod_03!H$11,$M$1,Input_Prod_03!$G$9,$J$9,Input_Prod_03!$E$30,Input_Prod_03!$B34,$L$1,$K$1)</f>
        <v>0</v>
      </c>
      <c r="I34" s="34">
        <f>_xll.DBRW($B$1,Input_Prod_03!$D$9,Input_Prod_03!I$11,$M$1,Input_Prod_03!$G$9,$J$9,Input_Prod_03!$E$30,Input_Prod_03!$B34,$L$1,$K$1)</f>
        <v>0</v>
      </c>
      <c r="J34" s="34">
        <f>_xll.DBRW($B$1,Input_Prod_03!$D$9,Input_Prod_03!J$11,$M$1,Input_Prod_03!$G$9,$J$9,Input_Prod_03!$E$30,Input_Prod_03!$B34,$L$1,$K$1)</f>
        <v>0</v>
      </c>
      <c r="K34" s="34">
        <f>_xll.DBRW($B$1,Input_Prod_03!$D$9,Input_Prod_03!K$11,$M$1,Input_Prod_03!$G$9,$J$9,Input_Prod_03!$E$30,Input_Prod_03!$B34,$L$1,$K$1)</f>
        <v>0</v>
      </c>
      <c r="L34" s="34">
        <f>_xll.DBRW($B$1,Input_Prod_03!$D$9,Input_Prod_03!L$11,$M$1,Input_Prod_03!$G$9,$J$9,Input_Prod_03!$E$30,Input_Prod_03!$B34,$L$1,$K$1)</f>
        <v>0</v>
      </c>
      <c r="M34" s="34">
        <f>_xll.DBRW($B$1,Input_Prod_03!$D$9,Input_Prod_03!M$11,$M$1,Input_Prod_03!$G$9,$J$9,Input_Prod_03!$E$30,Input_Prod_03!$B34,$L$1,$K$1)</f>
        <v>0</v>
      </c>
      <c r="N34" s="34">
        <f>_xll.DBRW($B$1,Input_Prod_03!$D$9,Input_Prod_03!N$11,$M$1,Input_Prod_03!$G$9,$J$9,Input_Prod_03!$E$30,Input_Prod_03!$B34,$L$1,$K$1)</f>
        <v>0</v>
      </c>
    </row>
    <row r="35" spans="2:14" s="1" customFormat="1" ht="15.75" customHeight="1" x14ac:dyDescent="0.25">
      <c r="B35" s="17" t="s">
        <v>16</v>
      </c>
      <c r="C35" s="34">
        <f>_xll.DBRW($B$1,Input_Prod_03!$D$9,Input_Prod_03!C$11,$M$1,Input_Prod_03!$G$9,$J$9,Input_Prod_03!$E$30,Input_Prod_03!$B35,$L$1,$K$1)</f>
        <v>0</v>
      </c>
      <c r="D35" s="34">
        <f>_xll.DBRW($B$1,Input_Prod_03!$D$9,Input_Prod_03!D$11,$M$1,Input_Prod_03!$G$9,$J$9,Input_Prod_03!$E$30,Input_Prod_03!$B35,$L$1,$K$1)</f>
        <v>0</v>
      </c>
      <c r="E35" s="34">
        <f>_xll.DBRW($B$1,Input_Prod_03!$D$9,Input_Prod_03!E$11,$M$1,Input_Prod_03!$G$9,$J$9,Input_Prod_03!$E$30,Input_Prod_03!$B35,$L$1,$K$1)</f>
        <v>0</v>
      </c>
      <c r="F35" s="34">
        <f>_xll.DBRW($B$1,Input_Prod_03!$D$9,Input_Prod_03!F$11,$M$1,Input_Prod_03!$G$9,$J$9,Input_Prod_03!$E$30,Input_Prod_03!$B35,$L$1,$K$1)</f>
        <v>0</v>
      </c>
      <c r="G35" s="34">
        <f>_xll.DBRW($B$1,Input_Prod_03!$D$9,Input_Prod_03!G$11,$M$1,Input_Prod_03!$G$9,$J$9,Input_Prod_03!$E$30,Input_Prod_03!$B35,$L$1,$K$1)</f>
        <v>0</v>
      </c>
      <c r="H35" s="34">
        <f>_xll.DBRW($B$1,Input_Prod_03!$D$9,Input_Prod_03!H$11,$M$1,Input_Prod_03!$G$9,$J$9,Input_Prod_03!$E$30,Input_Prod_03!$B35,$L$1,$K$1)</f>
        <v>0</v>
      </c>
      <c r="I35" s="34">
        <f>_xll.DBRW($B$1,Input_Prod_03!$D$9,Input_Prod_03!I$11,$M$1,Input_Prod_03!$G$9,$J$9,Input_Prod_03!$E$30,Input_Prod_03!$B35,$L$1,$K$1)</f>
        <v>0</v>
      </c>
      <c r="J35" s="34">
        <f>_xll.DBRW($B$1,Input_Prod_03!$D$9,Input_Prod_03!J$11,$M$1,Input_Prod_03!$G$9,$J$9,Input_Prod_03!$E$30,Input_Prod_03!$B35,$L$1,$K$1)</f>
        <v>0</v>
      </c>
      <c r="K35" s="34">
        <f>_xll.DBRW($B$1,Input_Prod_03!$D$9,Input_Prod_03!K$11,$M$1,Input_Prod_03!$G$9,$J$9,Input_Prod_03!$E$30,Input_Prod_03!$B35,$L$1,$K$1)</f>
        <v>0</v>
      </c>
      <c r="L35" s="34">
        <f>_xll.DBRW($B$1,Input_Prod_03!$D$9,Input_Prod_03!L$11,$M$1,Input_Prod_03!$G$9,$J$9,Input_Prod_03!$E$30,Input_Prod_03!$B35,$L$1,$K$1)</f>
        <v>0</v>
      </c>
      <c r="M35" s="34">
        <f>_xll.DBRW($B$1,Input_Prod_03!$D$9,Input_Prod_03!M$11,$M$1,Input_Prod_03!$G$9,$J$9,Input_Prod_03!$E$30,Input_Prod_03!$B35,$L$1,$K$1)</f>
        <v>0</v>
      </c>
      <c r="N35" s="34">
        <f>_xll.DBRW($B$1,Input_Prod_03!$D$9,Input_Prod_03!N$11,$M$1,Input_Prod_03!$G$9,$J$9,Input_Prod_03!$E$30,Input_Prod_03!$B35,$L$1,$K$1)</f>
        <v>0</v>
      </c>
    </row>
    <row r="36" spans="2:14" s="1" customFormat="1" ht="15.75" customHeight="1" x14ac:dyDescent="0.25">
      <c r="B36" s="17" t="s">
        <v>17</v>
      </c>
      <c r="C36" s="34">
        <f>_xll.DBRW($B$1,Input_Prod_03!$D$9,Input_Prod_03!C$11,$M$1,Input_Prod_03!$G$9,$J$9,Input_Prod_03!$E$30,Input_Prod_03!$B36,$L$1,$K$1)</f>
        <v>405.2</v>
      </c>
      <c r="D36" s="34">
        <f>_xll.DBRW($B$1,Input_Prod_03!$D$9,Input_Prod_03!D$11,$M$1,Input_Prod_03!$G$9,$J$9,Input_Prod_03!$E$30,Input_Prod_03!$B36,$L$1,$K$1)</f>
        <v>513.33000000000004</v>
      </c>
      <c r="E36" s="34">
        <f>_xll.DBRW($B$1,Input_Prod_03!$D$9,Input_Prod_03!E$11,$M$1,Input_Prod_03!$G$9,$J$9,Input_Prod_03!$E$30,Input_Prod_03!$B36,$L$1,$K$1)</f>
        <v>737.19</v>
      </c>
      <c r="F36" s="34">
        <f>_xll.DBRW($B$1,Input_Prod_03!$D$9,Input_Prod_03!F$11,$M$1,Input_Prod_03!$G$9,$J$9,Input_Prod_03!$E$30,Input_Prod_03!$B36,$L$1,$K$1)</f>
        <v>981.75</v>
      </c>
      <c r="G36" s="34">
        <f>_xll.DBRW($B$1,Input_Prod_03!$D$9,Input_Prod_03!G$11,$M$1,Input_Prod_03!$G$9,$J$9,Input_Prod_03!$E$30,Input_Prod_03!$B36,$L$1,$K$1)</f>
        <v>1186.18</v>
      </c>
      <c r="H36" s="34">
        <f>_xll.DBRW($B$1,Input_Prod_03!$D$9,Input_Prod_03!H$11,$M$1,Input_Prod_03!$G$9,$J$9,Input_Prod_03!$E$30,Input_Prod_03!$B36,$L$1,$K$1)</f>
        <v>1303.68</v>
      </c>
      <c r="I36" s="34">
        <f>_xll.DBRW($B$1,Input_Prod_03!$D$9,Input_Prod_03!I$11,$M$1,Input_Prod_03!$G$9,$J$9,Input_Prod_03!$E$30,Input_Prod_03!$B36,$L$1,$K$1)</f>
        <v>1326.25</v>
      </c>
      <c r="J36" s="34">
        <f>_xll.DBRW($B$1,Input_Prod_03!$D$9,Input_Prod_03!J$11,$M$1,Input_Prod_03!$G$9,$J$9,Input_Prod_03!$E$30,Input_Prod_03!$B36,$L$1,$K$1)</f>
        <v>1352.42</v>
      </c>
      <c r="K36" s="34">
        <f>_xll.DBRW($B$1,Input_Prod_03!$D$9,Input_Prod_03!K$11,$M$1,Input_Prod_03!$G$9,$J$9,Input_Prod_03!$E$30,Input_Prod_03!$B36,$L$1,$K$1)</f>
        <v>1371.06</v>
      </c>
      <c r="L36" s="34">
        <f>_xll.DBRW($B$1,Input_Prod_03!$D$9,Input_Prod_03!L$11,$M$1,Input_Prod_03!$G$9,$J$9,Input_Prod_03!$E$30,Input_Prod_03!$B36,$L$1,$K$1)</f>
        <v>1328.1</v>
      </c>
      <c r="M36" s="34">
        <f>_xll.DBRW($B$1,Input_Prod_03!$D$9,Input_Prod_03!M$11,$M$1,Input_Prod_03!$G$9,$J$9,Input_Prod_03!$E$30,Input_Prod_03!$B36,$L$1,$K$1)</f>
        <v>1002.03</v>
      </c>
      <c r="N36" s="34">
        <f>_xll.DBRW($B$1,Input_Prod_03!$D$9,Input_Prod_03!N$11,$M$1,Input_Prod_03!$G$9,$J$9,Input_Prod_03!$E$30,Input_Prod_03!$B36,$L$1,$K$1)</f>
        <v>568.01</v>
      </c>
    </row>
    <row r="37" spans="2:14" s="1" customFormat="1" ht="15.75" customHeight="1" x14ac:dyDescent="0.25">
      <c r="B37" s="17" t="s">
        <v>19</v>
      </c>
      <c r="C37" s="34">
        <f>_xll.DBRW($B$1,Input_Prod_03!$D$9,Input_Prod_03!C$11,$M$1,Input_Prod_03!$G$9,$J$9,Input_Prod_03!$E$30,Input_Prod_03!$B37,$L$1,$K$1)</f>
        <v>0</v>
      </c>
      <c r="D37" s="34">
        <f>_xll.DBRW($B$1,Input_Prod_03!$D$9,Input_Prod_03!D$11,$M$1,Input_Prod_03!$G$9,$J$9,Input_Prod_03!$E$30,Input_Prod_03!$B37,$L$1,$K$1)</f>
        <v>0</v>
      </c>
      <c r="E37" s="34">
        <f>_xll.DBRW($B$1,Input_Prod_03!$D$9,Input_Prod_03!E$11,$M$1,Input_Prod_03!$G$9,$J$9,Input_Prod_03!$E$30,Input_Prod_03!$B37,$L$1,$K$1)</f>
        <v>0</v>
      </c>
      <c r="F37" s="34">
        <f>_xll.DBRW($B$1,Input_Prod_03!$D$9,Input_Prod_03!F$11,$M$1,Input_Prod_03!$G$9,$J$9,Input_Prod_03!$E$30,Input_Prod_03!$B37,$L$1,$K$1)</f>
        <v>0</v>
      </c>
      <c r="G37" s="34">
        <f>_xll.DBRW($B$1,Input_Prod_03!$D$9,Input_Prod_03!G$11,$M$1,Input_Prod_03!$G$9,$J$9,Input_Prod_03!$E$30,Input_Prod_03!$B37,$L$1,$K$1)</f>
        <v>0</v>
      </c>
      <c r="H37" s="34">
        <f>_xll.DBRW($B$1,Input_Prod_03!$D$9,Input_Prod_03!H$11,$M$1,Input_Prod_03!$G$9,$J$9,Input_Prod_03!$E$30,Input_Prod_03!$B37,$L$1,$K$1)</f>
        <v>0</v>
      </c>
      <c r="I37" s="34">
        <f>_xll.DBRW($B$1,Input_Prod_03!$D$9,Input_Prod_03!I$11,$M$1,Input_Prod_03!$G$9,$J$9,Input_Prod_03!$E$30,Input_Prod_03!$B37,$L$1,$K$1)</f>
        <v>0</v>
      </c>
      <c r="J37" s="34">
        <f>_xll.DBRW($B$1,Input_Prod_03!$D$9,Input_Prod_03!J$11,$M$1,Input_Prod_03!$G$9,$J$9,Input_Prod_03!$E$30,Input_Prod_03!$B37,$L$1,$K$1)</f>
        <v>0</v>
      </c>
      <c r="K37" s="34">
        <f>_xll.DBRW($B$1,Input_Prod_03!$D$9,Input_Prod_03!K$11,$M$1,Input_Prod_03!$G$9,$J$9,Input_Prod_03!$E$30,Input_Prod_03!$B37,$L$1,$K$1)</f>
        <v>0</v>
      </c>
      <c r="L37" s="34">
        <f>_xll.DBRW($B$1,Input_Prod_03!$D$9,Input_Prod_03!L$11,$M$1,Input_Prod_03!$G$9,$J$9,Input_Prod_03!$E$30,Input_Prod_03!$B37,$L$1,$K$1)</f>
        <v>0</v>
      </c>
      <c r="M37" s="34">
        <f>_xll.DBRW($B$1,Input_Prod_03!$D$9,Input_Prod_03!M$11,$M$1,Input_Prod_03!$G$9,$J$9,Input_Prod_03!$E$30,Input_Prod_03!$B37,$L$1,$K$1)</f>
        <v>0</v>
      </c>
      <c r="N37" s="34">
        <f>_xll.DBRW($B$1,Input_Prod_03!$D$9,Input_Prod_03!N$11,$M$1,Input_Prod_03!$G$9,$J$9,Input_Prod_03!$E$30,Input_Prod_03!$B37,$L$1,$K$1)</f>
        <v>0</v>
      </c>
    </row>
    <row r="38" spans="2:14" s="1" customFormat="1" ht="15.75" customHeight="1" x14ac:dyDescent="0.25">
      <c r="B38" s="17" t="s">
        <v>59</v>
      </c>
      <c r="C38" s="34">
        <f>_xll.DBRW($B$1,Input_Prod_03!$D$9,Input_Prod_03!C$11,$M$1,Input_Prod_03!$G$9,$J$9,Input_Prod_03!$E$30,Input_Prod_03!$B38,$L$1,$K$1)</f>
        <v>0</v>
      </c>
      <c r="D38" s="34">
        <f>_xll.DBRW($B$1,Input_Prod_03!$D$9,Input_Prod_03!D$11,$M$1,Input_Prod_03!$G$9,$J$9,Input_Prod_03!$E$30,Input_Prod_03!$B38,$L$1,$K$1)</f>
        <v>0</v>
      </c>
      <c r="E38" s="34">
        <f>_xll.DBRW($B$1,Input_Prod_03!$D$9,Input_Prod_03!E$11,$M$1,Input_Prod_03!$G$9,$J$9,Input_Prod_03!$E$30,Input_Prod_03!$B38,$L$1,$K$1)</f>
        <v>0</v>
      </c>
      <c r="F38" s="34">
        <f>_xll.DBRW($B$1,Input_Prod_03!$D$9,Input_Prod_03!F$11,$M$1,Input_Prod_03!$G$9,$J$9,Input_Prod_03!$E$30,Input_Prod_03!$B38,$L$1,$K$1)</f>
        <v>0</v>
      </c>
      <c r="G38" s="34">
        <f>_xll.DBRW($B$1,Input_Prod_03!$D$9,Input_Prod_03!G$11,$M$1,Input_Prod_03!$G$9,$J$9,Input_Prod_03!$E$30,Input_Prod_03!$B38,$L$1,$K$1)</f>
        <v>0</v>
      </c>
      <c r="H38" s="34">
        <f>_xll.DBRW($B$1,Input_Prod_03!$D$9,Input_Prod_03!H$11,$M$1,Input_Prod_03!$G$9,$J$9,Input_Prod_03!$E$30,Input_Prod_03!$B38,$L$1,$K$1)</f>
        <v>0</v>
      </c>
      <c r="I38" s="34">
        <f>_xll.DBRW($B$1,Input_Prod_03!$D$9,Input_Prod_03!I$11,$M$1,Input_Prod_03!$G$9,$J$9,Input_Prod_03!$E$30,Input_Prod_03!$B38,$L$1,$K$1)</f>
        <v>0</v>
      </c>
      <c r="J38" s="34">
        <f>_xll.DBRW($B$1,Input_Prod_03!$D$9,Input_Prod_03!J$11,$M$1,Input_Prod_03!$G$9,$J$9,Input_Prod_03!$E$30,Input_Prod_03!$B38,$L$1,$K$1)</f>
        <v>0</v>
      </c>
      <c r="K38" s="34">
        <f>_xll.DBRW($B$1,Input_Prod_03!$D$9,Input_Prod_03!K$11,$M$1,Input_Prod_03!$G$9,$J$9,Input_Prod_03!$E$30,Input_Prod_03!$B38,$L$1,$K$1)</f>
        <v>0</v>
      </c>
      <c r="L38" s="34">
        <f>_xll.DBRW($B$1,Input_Prod_03!$D$9,Input_Prod_03!L$11,$M$1,Input_Prod_03!$G$9,$J$9,Input_Prod_03!$E$30,Input_Prod_03!$B38,$L$1,$K$1)</f>
        <v>0</v>
      </c>
      <c r="M38" s="34">
        <f>_xll.DBRW($B$1,Input_Prod_03!$D$9,Input_Prod_03!M$11,$M$1,Input_Prod_03!$G$9,$J$9,Input_Prod_03!$E$30,Input_Prod_03!$B38,$L$1,$K$1)</f>
        <v>0</v>
      </c>
      <c r="N38" s="34">
        <f>_xll.DBRW($B$1,Input_Prod_03!$D$9,Input_Prod_03!N$11,$M$1,Input_Prod_03!$G$9,$J$9,Input_Prod_03!$E$30,Input_Prod_03!$B38,$L$1,$K$1)</f>
        <v>0</v>
      </c>
    </row>
    <row r="39" spans="2:14" s="1" customFormat="1" ht="15.75" customHeight="1" x14ac:dyDescent="0.25">
      <c r="B39" s="17" t="s">
        <v>60</v>
      </c>
      <c r="C39" s="34">
        <f>_xll.DBRW($B$1,Input_Prod_03!$D$9,Input_Prod_03!C$11,$M$1,Input_Prod_03!$G$9,$J$9,Input_Prod_03!$E$30,Input_Prod_03!$B39,$L$1,$K$1)</f>
        <v>11.239701924682899</v>
      </c>
      <c r="D39" s="34">
        <f>_xll.DBRW($B$1,Input_Prod_03!$D$9,Input_Prod_03!D$11,$M$1,Input_Prod_03!$G$9,$J$9,Input_Prod_03!$E$30,Input_Prod_03!$B39,$L$1,$K$1)</f>
        <v>11.2252675942682</v>
      </c>
      <c r="E39" s="34">
        <f>_xll.DBRW($B$1,Input_Prod_03!$D$9,Input_Prod_03!E$11,$M$1,Input_Prod_03!$G$9,$J$9,Input_Prod_03!$E$30,Input_Prod_03!$B39,$L$1,$K$1)</f>
        <v>11.864372535448201</v>
      </c>
      <c r="F39" s="34">
        <f>_xll.DBRW($B$1,Input_Prod_03!$D$9,Input_Prod_03!F$11,$M$1,Input_Prod_03!$G$9,$J$9,Input_Prod_03!$E$30,Input_Prod_03!$B39,$L$1,$K$1)</f>
        <v>12.061486917066899</v>
      </c>
      <c r="G39" s="34">
        <f>_xll.DBRW($B$1,Input_Prod_03!$D$9,Input_Prod_03!G$11,$M$1,Input_Prod_03!$G$9,$J$9,Input_Prod_03!$E$30,Input_Prod_03!$B39,$L$1,$K$1)</f>
        <v>12.4285484482476</v>
      </c>
      <c r="H39" s="34">
        <f>_xll.DBRW($B$1,Input_Prod_03!$D$9,Input_Prod_03!H$11,$M$1,Input_Prod_03!$G$9,$J$9,Input_Prod_03!$E$30,Input_Prod_03!$B39,$L$1,$K$1)</f>
        <v>12.3578033384648</v>
      </c>
      <c r="I39" s="34">
        <f>_xll.DBRW($B$1,Input_Prod_03!$D$9,Input_Prod_03!I$11,$M$1,Input_Prod_03!$G$9,$J$9,Input_Prod_03!$E$30,Input_Prod_03!$B39,$L$1,$K$1)</f>
        <v>12.343257238345499</v>
      </c>
      <c r="J39" s="34">
        <f>_xll.DBRW($B$1,Input_Prod_03!$D$9,Input_Prod_03!J$11,$M$1,Input_Prod_03!$G$9,$J$9,Input_Prod_03!$E$30,Input_Prod_03!$B39,$L$1,$K$1)</f>
        <v>12.265652074154101</v>
      </c>
      <c r="K39" s="34">
        <f>_xll.DBRW($B$1,Input_Prod_03!$D$9,Input_Prod_03!K$11,$M$1,Input_Prod_03!$G$9,$J$9,Input_Prod_03!$E$30,Input_Prod_03!$B39,$L$1,$K$1)</f>
        <v>12.249960819538</v>
      </c>
      <c r="L39" s="34">
        <f>_xll.DBRW($B$1,Input_Prod_03!$D$9,Input_Prod_03!L$11,$M$1,Input_Prod_03!$G$9,$J$9,Input_Prod_03!$E$30,Input_Prod_03!$B39,$L$1,$K$1)</f>
        <v>12.032188912845299</v>
      </c>
      <c r="M39" s="34">
        <f>_xll.DBRW($B$1,Input_Prod_03!$D$9,Input_Prod_03!M$11,$M$1,Input_Prod_03!$G$9,$J$9,Input_Prod_03!$E$30,Input_Prod_03!$B39,$L$1,$K$1)</f>
        <v>11.705055815371599</v>
      </c>
      <c r="N39" s="34">
        <f>_xll.DBRW($B$1,Input_Prod_03!$D$9,Input_Prod_03!N$11,$M$1,Input_Prod_03!$G$9,$J$9,Input_Prod_03!$E$30,Input_Prod_03!$B39,$L$1,$K$1)</f>
        <v>11.6575505897288</v>
      </c>
    </row>
    <row r="40" spans="2:14" s="1" customFormat="1" ht="15.75" customHeight="1" x14ac:dyDescent="0.25">
      <c r="B40" s="17" t="s">
        <v>61</v>
      </c>
      <c r="C40" s="26">
        <f>_xll.DBRW($B$1,Input_Prod_03!$D$9,Input_Prod_03!C$11,$M$1,Input_Prod_03!$G$9,$J$9,Input_Prod_03!$E$30,Input_Prod_03!$B40,$L$1,$K$1)</f>
        <v>0</v>
      </c>
      <c r="D40" s="26">
        <f>_xll.DBRW($B$1,Input_Prod_03!$D$9,Input_Prod_03!D$11,$M$1,Input_Prod_03!$G$9,$J$9,Input_Prod_03!$E$30,Input_Prod_03!$B40,$L$1,$K$1)</f>
        <v>0</v>
      </c>
      <c r="E40" s="26">
        <f>_xll.DBRW($B$1,Input_Prod_03!$D$9,Input_Prod_03!E$11,$M$1,Input_Prod_03!$G$9,$J$9,Input_Prod_03!$E$30,Input_Prod_03!$B40,$L$1,$K$1)</f>
        <v>0</v>
      </c>
      <c r="F40" s="26">
        <f>_xll.DBRW($B$1,Input_Prod_03!$D$9,Input_Prod_03!F$11,$M$1,Input_Prod_03!$G$9,$J$9,Input_Prod_03!$E$30,Input_Prod_03!$B40,$L$1,$K$1)</f>
        <v>0</v>
      </c>
      <c r="G40" s="26">
        <f>_xll.DBRW($B$1,Input_Prod_03!$D$9,Input_Prod_03!G$11,$M$1,Input_Prod_03!$G$9,$J$9,Input_Prod_03!$E$30,Input_Prod_03!$B40,$L$1,$K$1)</f>
        <v>0</v>
      </c>
      <c r="H40" s="26">
        <f>_xll.DBRW($B$1,Input_Prod_03!$D$9,Input_Prod_03!H$11,$M$1,Input_Prod_03!$G$9,$J$9,Input_Prod_03!$E$30,Input_Prod_03!$B40,$L$1,$K$1)</f>
        <v>0</v>
      </c>
      <c r="I40" s="26">
        <f>_xll.DBRW($B$1,Input_Prod_03!$D$9,Input_Prod_03!I$11,$M$1,Input_Prod_03!$G$9,$J$9,Input_Prod_03!$E$30,Input_Prod_03!$B40,$L$1,$K$1)</f>
        <v>0</v>
      </c>
      <c r="J40" s="26">
        <f>_xll.DBRW($B$1,Input_Prod_03!$D$9,Input_Prod_03!J$11,$M$1,Input_Prod_03!$G$9,$J$9,Input_Prod_03!$E$30,Input_Prod_03!$B40,$L$1,$K$1)</f>
        <v>0</v>
      </c>
      <c r="K40" s="26">
        <f>_xll.DBRW($B$1,Input_Prod_03!$D$9,Input_Prod_03!K$11,$M$1,Input_Prod_03!$G$9,$J$9,Input_Prod_03!$E$30,Input_Prod_03!$B40,$L$1,$K$1)</f>
        <v>0</v>
      </c>
      <c r="L40" s="26">
        <f>_xll.DBRW($B$1,Input_Prod_03!$D$9,Input_Prod_03!L$11,$M$1,Input_Prod_03!$G$9,$J$9,Input_Prod_03!$E$30,Input_Prod_03!$B40,$L$1,$K$1)</f>
        <v>0</v>
      </c>
      <c r="M40" s="26">
        <f>_xll.DBRW($B$1,Input_Prod_03!$D$9,Input_Prod_03!M$11,$M$1,Input_Prod_03!$G$9,$J$9,Input_Prod_03!$E$30,Input_Prod_03!$B40,$L$1,$K$1)</f>
        <v>0</v>
      </c>
      <c r="N40" s="26">
        <f>_xll.DBRW($B$1,Input_Prod_03!$D$9,Input_Prod_03!N$11,$M$1,Input_Prod_03!$G$9,$J$9,Input_Prod_03!$E$30,Input_Prod_03!$B40,$L$1,$K$1)</f>
        <v>0</v>
      </c>
    </row>
    <row r="41" spans="2:14" s="1" customFormat="1" ht="15.75" customHeight="1" x14ac:dyDescent="0.25">
      <c r="B41" s="20" t="s">
        <v>18</v>
      </c>
      <c r="C41" s="21">
        <f>_xll.DBRW($B$2,Input_Prod_03!$D$9,Input_Prod_03!C$11,$M$1,Input_Prod_03!$G$9,$J$9,$E$30,$K$2,$B$41)</f>
        <v>4.5543272198815101</v>
      </c>
      <c r="D41" s="21">
        <f>_xll.DBRW($B$2,Input_Prod_03!$D$9,Input_Prod_03!D$11,$M$1,Input_Prod_03!$G$9,$J$9,$E$30,$K$2,$B$41)</f>
        <v>5.7622666141656955</v>
      </c>
      <c r="E41" s="21">
        <f>_xll.DBRW($B$2,Input_Prod_03!$D$9,Input_Prod_03!E$11,$M$1,Input_Prod_03!$G$9,$J$9,$E$30,$K$2,$B$41)</f>
        <v>8.746296789407058</v>
      </c>
      <c r="F41" s="21">
        <f>_xll.DBRW($B$2,Input_Prod_03!$D$9,Input_Prod_03!F$11,$M$1,Input_Prod_03!$G$9,$J$9,$E$30,$K$2,$B$41)</f>
        <v>11.841364780830428</v>
      </c>
      <c r="G41" s="21">
        <f>_xll.DBRW($B$2,Input_Prod_03!$D$9,Input_Prod_03!G$11,$M$1,Input_Prod_03!$G$9,$J$9,$E$30,$K$2,$B$41)</f>
        <v>14.742495598342339</v>
      </c>
      <c r="H41" s="21">
        <f>_xll.DBRW($B$2,Input_Prod_03!$D$9,Input_Prod_03!H$11,$M$1,Input_Prod_03!$G$9,$J$9,$E$30,$K$2,$B$41)</f>
        <v>16.110621056289791</v>
      </c>
      <c r="I41" s="21">
        <f>_xll.DBRW($B$2,Input_Prod_03!$D$9,Input_Prod_03!I$11,$M$1,Input_Prod_03!$G$9,$J$9,$E$30,$K$2,$B$41)</f>
        <v>16.370244912355719</v>
      </c>
      <c r="J41" s="21">
        <f>_xll.DBRW($B$2,Input_Prod_03!$D$9,Input_Prod_03!J$11,$M$1,Input_Prod_03!$G$9,$J$9,$E$30,$K$2,$B$41)</f>
        <v>16.588313178127489</v>
      </c>
      <c r="K41" s="21">
        <f>_xll.DBRW($B$2,Input_Prod_03!$D$9,Input_Prod_03!K$11,$M$1,Input_Prod_03!$G$9,$J$9,$E$30,$K$2,$B$41)</f>
        <v>16.795431281235771</v>
      </c>
      <c r="L41" s="21">
        <f>_xll.DBRW($B$2,Input_Prod_03!$D$9,Input_Prod_03!L$11,$M$1,Input_Prod_03!$G$9,$J$9,$E$30,$K$2,$B$41)</f>
        <v>15.979950095149841</v>
      </c>
      <c r="M41" s="21">
        <f>_xll.DBRW($B$2,Input_Prod_03!$D$9,Input_Prod_03!M$11,$M$1,Input_Prod_03!$G$9,$J$9,$E$30,$K$2,$B$41)</f>
        <v>11.728817078676805</v>
      </c>
      <c r="N41" s="21">
        <f>_xll.DBRW($B$2,Input_Prod_03!$D$9,Input_Prod_03!N$11,$M$1,Input_Prod_03!$G$9,$J$9,$E$30,$K$2,$B$41)</f>
        <v>6.621605310471856</v>
      </c>
    </row>
    <row r="42" spans="2:14" s="1" customFormat="1" ht="15.75" customHeight="1" x14ac:dyDescent="0.25">
      <c r="B42" s="22" t="s">
        <v>70</v>
      </c>
      <c r="C42" s="23">
        <f>_xll.DBRW($B$2,Input_Prod_03!$D$9,Input_Prod_03!C$11,$M$1,Input_Prod_03!$G$9,$J$9,$E$30,$K$2,$B$42)</f>
        <v>4.5543272198815101</v>
      </c>
      <c r="D42" s="23">
        <f>_xll.DBRW($B$2,Input_Prod_03!$D$9,Input_Prod_03!D$11,$M$1,Input_Prod_03!$G$9,$J$9,$E$30,$K$2,$B$42)</f>
        <v>5.7622666141656955</v>
      </c>
      <c r="E42" s="23">
        <f>_xll.DBRW($B$2,Input_Prod_03!$D$9,Input_Prod_03!E$11,$M$1,Input_Prod_03!$G$9,$J$9,$E$30,$K$2,$B$42)</f>
        <v>8.746296789407058</v>
      </c>
      <c r="F42" s="23">
        <f>_xll.DBRW($B$2,Input_Prod_03!$D$9,Input_Prod_03!F$11,$M$1,Input_Prod_03!$G$9,$J$9,$E$30,$K$2,$B$42)</f>
        <v>11.841364780830428</v>
      </c>
      <c r="G42" s="23">
        <f>_xll.DBRW($B$2,Input_Prod_03!$D$9,Input_Prod_03!G$11,$M$1,Input_Prod_03!$G$9,$J$9,$E$30,$K$2,$B$42)</f>
        <v>14.742495598342339</v>
      </c>
      <c r="H42" s="23">
        <f>_xll.DBRW($B$2,Input_Prod_03!$D$9,Input_Prod_03!H$11,$M$1,Input_Prod_03!$G$9,$J$9,$E$30,$K$2,$B$42)</f>
        <v>16.110621056289791</v>
      </c>
      <c r="I42" s="23">
        <f>_xll.DBRW($B$2,Input_Prod_03!$D$9,Input_Prod_03!I$11,$M$1,Input_Prod_03!$G$9,$J$9,$E$30,$K$2,$B$42)</f>
        <v>16.370244912355719</v>
      </c>
      <c r="J42" s="23">
        <f>_xll.DBRW($B$2,Input_Prod_03!$D$9,Input_Prod_03!J$11,$M$1,Input_Prod_03!$G$9,$J$9,$E$30,$K$2,$B$42)</f>
        <v>16.588313178127489</v>
      </c>
      <c r="K42" s="23">
        <f>_xll.DBRW($B$2,Input_Prod_03!$D$9,Input_Prod_03!K$11,$M$1,Input_Prod_03!$G$9,$J$9,$E$30,$K$2,$B$42)</f>
        <v>16.795431281235771</v>
      </c>
      <c r="L42" s="23">
        <f>_xll.DBRW($B$2,Input_Prod_03!$D$9,Input_Prod_03!L$11,$M$1,Input_Prod_03!$G$9,$J$9,$E$30,$K$2,$B$42)</f>
        <v>15.979950095149841</v>
      </c>
      <c r="M42" s="23">
        <f>_xll.DBRW($B$2,Input_Prod_03!$D$9,Input_Prod_03!M$11,$M$1,Input_Prod_03!$G$9,$J$9,$E$30,$K$2,$B$42)</f>
        <v>11.728817078676805</v>
      </c>
      <c r="N42" s="23">
        <f>_xll.DBRW($B$2,Input_Prod_03!$D$9,Input_Prod_03!N$11,$M$1,Input_Prod_03!$G$9,$J$9,$E$30,$K$2,$B$42)</f>
        <v>6.621605310471856</v>
      </c>
    </row>
    <row r="45" spans="2:14" s="1" customFormat="1" ht="15.75" customHeight="1" thickBot="1" x14ac:dyDescent="0.3">
      <c r="B45" s="10"/>
    </row>
    <row r="46" spans="2:14" s="1" customFormat="1" ht="15.75" customHeight="1" thickTop="1" x14ac:dyDescent="0.25">
      <c r="B46" s="9" t="s">
        <v>30</v>
      </c>
    </row>
    <row r="47" spans="2:14" s="1" customFormat="1" ht="15.75" customHeight="1" x14ac:dyDescent="0.25"/>
    <row r="48" spans="2:14" s="1" customFormat="1" ht="15.75" customHeight="1" x14ac:dyDescent="0.25"/>
    <row r="49" spans="2:14" s="1" customFormat="1" ht="15.75" customHeight="1" x14ac:dyDescent="0.25">
      <c r="B49" s="5"/>
      <c r="C49" s="18" t="str">
        <f>$D$9&amp;"."&amp;C$11</f>
        <v>2026.01</v>
      </c>
      <c r="D49" s="18" t="str">
        <f t="shared" ref="D49:N49" si="2">$D$9&amp;"."&amp;D$11</f>
        <v>2026.02</v>
      </c>
      <c r="E49" s="18" t="str">
        <f t="shared" si="2"/>
        <v>2026.03</v>
      </c>
      <c r="F49" s="18" t="str">
        <f t="shared" si="2"/>
        <v>2026.04</v>
      </c>
      <c r="G49" s="18" t="str">
        <f t="shared" si="2"/>
        <v>2026.05</v>
      </c>
      <c r="H49" s="18" t="str">
        <f t="shared" si="2"/>
        <v>2026.06</v>
      </c>
      <c r="I49" s="18" t="str">
        <f t="shared" si="2"/>
        <v>2026.07</v>
      </c>
      <c r="J49" s="18" t="str">
        <f t="shared" si="2"/>
        <v>2026.08</v>
      </c>
      <c r="K49" s="18" t="str">
        <f t="shared" si="2"/>
        <v>2026.09</v>
      </c>
      <c r="L49" s="18" t="str">
        <f t="shared" si="2"/>
        <v>2026.10</v>
      </c>
      <c r="M49" s="18" t="str">
        <f t="shared" si="2"/>
        <v>2026.11</v>
      </c>
      <c r="N49" s="18" t="str">
        <f t="shared" si="2"/>
        <v>2026.12</v>
      </c>
    </row>
    <row r="50" spans="2:14" s="1" customFormat="1" ht="15.75" customHeight="1" x14ac:dyDescent="0.25">
      <c r="B50" s="17" t="s">
        <v>20</v>
      </c>
      <c r="C50" s="16">
        <f>_xll.DBRW($B$1,Input_Prod_03!$D$9,Input_Prod_03!C$11,$M$1,Input_Prod_03!$G$9,$J$9,$E$30,Input_Prod_03!$B50,$L$1,$K$1)</f>
        <v>0</v>
      </c>
      <c r="D50" s="16">
        <f>_xll.DBRW($B$1,Input_Prod_03!$D$9,Input_Prod_03!D$11,$M$1,Input_Prod_03!$G$9,$J$9,$E$30,Input_Prod_03!$B50,$L$1,$K$1)</f>
        <v>0</v>
      </c>
      <c r="E50" s="16">
        <f>_xll.DBRW($B$1,Input_Prod_03!$D$9,Input_Prod_03!E$11,$M$1,Input_Prod_03!$G$9,$J$9,$E$30,Input_Prod_03!$B50,$L$1,$K$1)</f>
        <v>0</v>
      </c>
      <c r="F50" s="16">
        <f>_xll.DBRW($B$1,Input_Prod_03!$D$9,Input_Prod_03!F$11,$M$1,Input_Prod_03!$G$9,$J$9,$E$30,Input_Prod_03!$B50,$L$1,$K$1)</f>
        <v>0</v>
      </c>
      <c r="G50" s="16">
        <f>_xll.DBRW($B$1,Input_Prod_03!$D$9,Input_Prod_03!G$11,$M$1,Input_Prod_03!$G$9,$J$9,$E$30,Input_Prod_03!$B50,$L$1,$K$1)</f>
        <v>0</v>
      </c>
      <c r="H50" s="16">
        <f>_xll.DBRW($B$1,Input_Prod_03!$D$9,Input_Prod_03!H$11,$M$1,Input_Prod_03!$G$9,$J$9,$E$30,Input_Prod_03!$B50,$L$1,$K$1)</f>
        <v>0</v>
      </c>
      <c r="I50" s="16">
        <f>_xll.DBRW($B$1,Input_Prod_03!$D$9,Input_Prod_03!I$11,$M$1,Input_Prod_03!$G$9,$J$9,$E$30,Input_Prod_03!$B50,$L$1,$K$1)</f>
        <v>0</v>
      </c>
      <c r="J50" s="16">
        <f>_xll.DBRW($B$1,Input_Prod_03!$D$9,Input_Prod_03!J$11,$M$1,Input_Prod_03!$G$9,$J$9,$E$30,Input_Prod_03!$B50,$L$1,$K$1)</f>
        <v>0</v>
      </c>
      <c r="K50" s="16">
        <f>_xll.DBRW($B$1,Input_Prod_03!$D$9,Input_Prod_03!K$11,$M$1,Input_Prod_03!$G$9,$J$9,$E$30,Input_Prod_03!$B50,$L$1,$K$1)</f>
        <v>0</v>
      </c>
      <c r="L50" s="16">
        <f>_xll.DBRW($B$1,Input_Prod_03!$D$9,Input_Prod_03!L$11,$M$1,Input_Prod_03!$G$9,$J$9,$E$30,Input_Prod_03!$B50,$L$1,$K$1)</f>
        <v>0</v>
      </c>
      <c r="M50" s="16">
        <f>_xll.DBRW($B$1,Input_Prod_03!$D$9,Input_Prod_03!M$11,$M$1,Input_Prod_03!$G$9,$J$9,$E$30,Input_Prod_03!$B50,$L$1,$K$1)</f>
        <v>0</v>
      </c>
      <c r="N50" s="16">
        <f>_xll.DBRW($B$1,Input_Prod_03!$D$9,Input_Prod_03!N$11,$M$1,Input_Prod_03!$G$9,$J$9,$E$30,Input_Prod_03!$B50,$L$1,$K$1)</f>
        <v>0</v>
      </c>
    </row>
    <row r="51" spans="2:14" s="1" customFormat="1" ht="15.75" customHeight="1" x14ac:dyDescent="0.25">
      <c r="B51" s="17" t="s">
        <v>21</v>
      </c>
      <c r="C51" s="16">
        <f>_xll.DBRW($B$1,Input_Prod_03!$D$9,Input_Prod_03!C$11,$M$1,Input_Prod_03!$G$9,$J$9,$E$30,Input_Prod_03!$B51,$L$1,$K$1)</f>
        <v>0</v>
      </c>
      <c r="D51" s="16">
        <f>_xll.DBRW($B$1,Input_Prod_03!$D$9,Input_Prod_03!D$11,$M$1,Input_Prod_03!$G$9,$J$9,$E$30,Input_Prod_03!$B51,$L$1,$K$1)</f>
        <v>0</v>
      </c>
      <c r="E51" s="16">
        <f>_xll.DBRW($B$1,Input_Prod_03!$D$9,Input_Prod_03!E$11,$M$1,Input_Prod_03!$G$9,$J$9,$E$30,Input_Prod_03!$B51,$L$1,$K$1)</f>
        <v>0</v>
      </c>
      <c r="F51" s="16">
        <f>_xll.DBRW($B$1,Input_Prod_03!$D$9,Input_Prod_03!F$11,$M$1,Input_Prod_03!$G$9,$J$9,$E$30,Input_Prod_03!$B51,$L$1,$K$1)</f>
        <v>0</v>
      </c>
      <c r="G51" s="16">
        <f>_xll.DBRW($B$1,Input_Prod_03!$D$9,Input_Prod_03!G$11,$M$1,Input_Prod_03!$G$9,$J$9,$E$30,Input_Prod_03!$B51,$L$1,$K$1)</f>
        <v>0</v>
      </c>
      <c r="H51" s="16">
        <f>_xll.DBRW($B$1,Input_Prod_03!$D$9,Input_Prod_03!H$11,$M$1,Input_Prod_03!$G$9,$J$9,$E$30,Input_Prod_03!$B51,$L$1,$K$1)</f>
        <v>0</v>
      </c>
      <c r="I51" s="16">
        <f>_xll.DBRW($B$1,Input_Prod_03!$D$9,Input_Prod_03!I$11,$M$1,Input_Prod_03!$G$9,$J$9,$E$30,Input_Prod_03!$B51,$L$1,$K$1)</f>
        <v>0</v>
      </c>
      <c r="J51" s="16">
        <f>_xll.DBRW($B$1,Input_Prod_03!$D$9,Input_Prod_03!J$11,$M$1,Input_Prod_03!$G$9,$J$9,$E$30,Input_Prod_03!$B51,$L$1,$K$1)</f>
        <v>0</v>
      </c>
      <c r="K51" s="16">
        <f>_xll.DBRW($B$1,Input_Prod_03!$D$9,Input_Prod_03!K$11,$M$1,Input_Prod_03!$G$9,$J$9,$E$30,Input_Prod_03!$B51,$L$1,$K$1)</f>
        <v>0</v>
      </c>
      <c r="L51" s="16">
        <f>_xll.DBRW($B$1,Input_Prod_03!$D$9,Input_Prod_03!L$11,$M$1,Input_Prod_03!$G$9,$J$9,$E$30,Input_Prod_03!$B51,$L$1,$K$1)</f>
        <v>0</v>
      </c>
      <c r="M51" s="16">
        <f>_xll.DBRW($B$1,Input_Prod_03!$D$9,Input_Prod_03!M$11,$M$1,Input_Prod_03!$G$9,$J$9,$E$30,Input_Prod_03!$B51,$L$1,$K$1)</f>
        <v>0</v>
      </c>
      <c r="N51" s="16">
        <f>_xll.DBRW($B$1,Input_Prod_03!$D$9,Input_Prod_03!N$11,$M$1,Input_Prod_03!$G$9,$J$9,$E$30,Input_Prod_03!$B51,$L$1,$K$1)</f>
        <v>0</v>
      </c>
    </row>
    <row r="52" spans="2:14" s="1" customFormat="1" ht="15.75" customHeight="1" x14ac:dyDescent="0.25">
      <c r="B52" s="17" t="s">
        <v>22</v>
      </c>
      <c r="C52" s="16">
        <f>_xll.DBRW($B$1,Input_Prod_03!$D$9,Input_Prod_03!C$11,$M$1,Input_Prod_03!$G$9,$J$9,$E$30,Input_Prod_03!$B52,$L$1,$K$1)</f>
        <v>0</v>
      </c>
      <c r="D52" s="16">
        <f>_xll.DBRW($B$1,Input_Prod_03!$D$9,Input_Prod_03!D$11,$M$1,Input_Prod_03!$G$9,$J$9,$E$30,Input_Prod_03!$B52,$L$1,$K$1)</f>
        <v>0</v>
      </c>
      <c r="E52" s="16">
        <f>_xll.DBRW($B$1,Input_Prod_03!$D$9,Input_Prod_03!E$11,$M$1,Input_Prod_03!$G$9,$J$9,$E$30,Input_Prod_03!$B52,$L$1,$K$1)</f>
        <v>0</v>
      </c>
      <c r="F52" s="16">
        <f>_xll.DBRW($B$1,Input_Prod_03!$D$9,Input_Prod_03!F$11,$M$1,Input_Prod_03!$G$9,$J$9,$E$30,Input_Prod_03!$B52,$L$1,$K$1)</f>
        <v>0</v>
      </c>
      <c r="G52" s="16">
        <f>_xll.DBRW($B$1,Input_Prod_03!$D$9,Input_Prod_03!G$11,$M$1,Input_Prod_03!$G$9,$J$9,$E$30,Input_Prod_03!$B52,$L$1,$K$1)</f>
        <v>0</v>
      </c>
      <c r="H52" s="16">
        <f>_xll.DBRW($B$1,Input_Prod_03!$D$9,Input_Prod_03!H$11,$M$1,Input_Prod_03!$G$9,$J$9,$E$30,Input_Prod_03!$B52,$L$1,$K$1)</f>
        <v>0</v>
      </c>
      <c r="I52" s="16">
        <f>_xll.DBRW($B$1,Input_Prod_03!$D$9,Input_Prod_03!I$11,$M$1,Input_Prod_03!$G$9,$J$9,$E$30,Input_Prod_03!$B52,$L$1,$K$1)</f>
        <v>0</v>
      </c>
      <c r="J52" s="16">
        <f>_xll.DBRW($B$1,Input_Prod_03!$D$9,Input_Prod_03!J$11,$M$1,Input_Prod_03!$G$9,$J$9,$E$30,Input_Prod_03!$B52,$L$1,$K$1)</f>
        <v>0</v>
      </c>
      <c r="K52" s="16">
        <f>_xll.DBRW($B$1,Input_Prod_03!$D$9,Input_Prod_03!K$11,$M$1,Input_Prod_03!$G$9,$J$9,$E$30,Input_Prod_03!$B52,$L$1,$K$1)</f>
        <v>0</v>
      </c>
      <c r="L52" s="16">
        <f>_xll.DBRW($B$1,Input_Prod_03!$D$9,Input_Prod_03!L$11,$M$1,Input_Prod_03!$G$9,$J$9,$E$30,Input_Prod_03!$B52,$L$1,$K$1)</f>
        <v>0</v>
      </c>
      <c r="M52" s="16">
        <f>_xll.DBRW($B$1,Input_Prod_03!$D$9,Input_Prod_03!M$11,$M$1,Input_Prod_03!$G$9,$J$9,$E$30,Input_Prod_03!$B52,$L$1,$K$1)</f>
        <v>0</v>
      </c>
      <c r="N52" s="16">
        <f>_xll.DBRW($B$1,Input_Prod_03!$D$9,Input_Prod_03!N$11,$M$1,Input_Prod_03!$G$9,$J$9,$E$30,Input_Prod_03!$B52,$L$1,$K$1)</f>
        <v>0</v>
      </c>
    </row>
    <row r="53" spans="2:14" s="1" customFormat="1" ht="15.75" customHeight="1" x14ac:dyDescent="0.25">
      <c r="B53" s="17" t="s">
        <v>23</v>
      </c>
      <c r="C53" s="16">
        <f>_xll.DBRW($B$1,Input_Prod_03!$D$9,Input_Prod_03!C$11,$M$1,Input_Prod_03!$G$9,$J$9,$E$30,Input_Prod_03!$B53,$L$1,$K$1)</f>
        <v>0</v>
      </c>
      <c r="D53" s="16">
        <f>_xll.DBRW($B$1,Input_Prod_03!$D$9,Input_Prod_03!D$11,$M$1,Input_Prod_03!$G$9,$J$9,$E$30,Input_Prod_03!$B53,$L$1,$K$1)</f>
        <v>0</v>
      </c>
      <c r="E53" s="16">
        <f>_xll.DBRW($B$1,Input_Prod_03!$D$9,Input_Prod_03!E$11,$M$1,Input_Prod_03!$G$9,$J$9,$E$30,Input_Prod_03!$B53,$L$1,$K$1)</f>
        <v>0</v>
      </c>
      <c r="F53" s="16">
        <f>_xll.DBRW($B$1,Input_Prod_03!$D$9,Input_Prod_03!F$11,$M$1,Input_Prod_03!$G$9,$J$9,$E$30,Input_Prod_03!$B53,$L$1,$K$1)</f>
        <v>0</v>
      </c>
      <c r="G53" s="16">
        <f>_xll.DBRW($B$1,Input_Prod_03!$D$9,Input_Prod_03!G$11,$M$1,Input_Prod_03!$G$9,$J$9,$E$30,Input_Prod_03!$B53,$L$1,$K$1)</f>
        <v>0</v>
      </c>
      <c r="H53" s="16">
        <f>_xll.DBRW($B$1,Input_Prod_03!$D$9,Input_Prod_03!H$11,$M$1,Input_Prod_03!$G$9,$J$9,$E$30,Input_Prod_03!$B53,$L$1,$K$1)</f>
        <v>0</v>
      </c>
      <c r="I53" s="16">
        <f>_xll.DBRW($B$1,Input_Prod_03!$D$9,Input_Prod_03!I$11,$M$1,Input_Prod_03!$G$9,$J$9,$E$30,Input_Prod_03!$B53,$L$1,$K$1)</f>
        <v>0</v>
      </c>
      <c r="J53" s="16">
        <f>_xll.DBRW($B$1,Input_Prod_03!$D$9,Input_Prod_03!J$11,$M$1,Input_Prod_03!$G$9,$J$9,$E$30,Input_Prod_03!$B53,$L$1,$K$1)</f>
        <v>0</v>
      </c>
      <c r="K53" s="16">
        <f>_xll.DBRW($B$1,Input_Prod_03!$D$9,Input_Prod_03!K$11,$M$1,Input_Prod_03!$G$9,$J$9,$E$30,Input_Prod_03!$B53,$L$1,$K$1)</f>
        <v>0</v>
      </c>
      <c r="L53" s="16">
        <f>_xll.DBRW($B$1,Input_Prod_03!$D$9,Input_Prod_03!L$11,$M$1,Input_Prod_03!$G$9,$J$9,$E$30,Input_Prod_03!$B53,$L$1,$K$1)</f>
        <v>0</v>
      </c>
      <c r="M53" s="16">
        <f>_xll.DBRW($B$1,Input_Prod_03!$D$9,Input_Prod_03!M$11,$M$1,Input_Prod_03!$G$9,$J$9,$E$30,Input_Prod_03!$B53,$L$1,$K$1)</f>
        <v>0</v>
      </c>
      <c r="N53" s="16">
        <f>_xll.DBRW($B$1,Input_Prod_03!$D$9,Input_Prod_03!N$11,$M$1,Input_Prod_03!$G$9,$J$9,$E$30,Input_Prod_03!$B53,$L$1,$K$1)</f>
        <v>0</v>
      </c>
    </row>
    <row r="54" spans="2:14" s="1" customFormat="1" ht="15.75" customHeight="1" x14ac:dyDescent="0.25">
      <c r="B54" s="17" t="s">
        <v>24</v>
      </c>
      <c r="C54" s="16">
        <f>_xll.DBRW($B$1,Input_Prod_03!$D$9,Input_Prod_03!C$11,$M$1,Input_Prod_03!$G$9,$J$9,$E$30,Input_Prod_03!$B54,$L$1,$K$1)</f>
        <v>0</v>
      </c>
      <c r="D54" s="16">
        <f>_xll.DBRW($B$1,Input_Prod_03!$D$9,Input_Prod_03!D$11,$M$1,Input_Prod_03!$G$9,$J$9,$E$30,Input_Prod_03!$B54,$L$1,$K$1)</f>
        <v>0</v>
      </c>
      <c r="E54" s="16">
        <f>_xll.DBRW($B$1,Input_Prod_03!$D$9,Input_Prod_03!E$11,$M$1,Input_Prod_03!$G$9,$J$9,$E$30,Input_Prod_03!$B54,$L$1,$K$1)</f>
        <v>0</v>
      </c>
      <c r="F54" s="16">
        <f>_xll.DBRW($B$1,Input_Prod_03!$D$9,Input_Prod_03!F$11,$M$1,Input_Prod_03!$G$9,$J$9,$E$30,Input_Prod_03!$B54,$L$1,$K$1)</f>
        <v>0</v>
      </c>
      <c r="G54" s="16">
        <f>_xll.DBRW($B$1,Input_Prod_03!$D$9,Input_Prod_03!G$11,$M$1,Input_Prod_03!$G$9,$J$9,$E$30,Input_Prod_03!$B54,$L$1,$K$1)</f>
        <v>0</v>
      </c>
      <c r="H54" s="16">
        <f>_xll.DBRW($B$1,Input_Prod_03!$D$9,Input_Prod_03!H$11,$M$1,Input_Prod_03!$G$9,$J$9,$E$30,Input_Prod_03!$B54,$L$1,$K$1)</f>
        <v>0</v>
      </c>
      <c r="I54" s="16">
        <f>_xll.DBRW($B$1,Input_Prod_03!$D$9,Input_Prod_03!I$11,$M$1,Input_Prod_03!$G$9,$J$9,$E$30,Input_Prod_03!$B54,$L$1,$K$1)</f>
        <v>0</v>
      </c>
      <c r="J54" s="16">
        <f>_xll.DBRW($B$1,Input_Prod_03!$D$9,Input_Prod_03!J$11,$M$1,Input_Prod_03!$G$9,$J$9,$E$30,Input_Prod_03!$B54,$L$1,$K$1)</f>
        <v>0</v>
      </c>
      <c r="K54" s="16">
        <f>_xll.DBRW($B$1,Input_Prod_03!$D$9,Input_Prod_03!K$11,$M$1,Input_Prod_03!$G$9,$J$9,$E$30,Input_Prod_03!$B54,$L$1,$K$1)</f>
        <v>0</v>
      </c>
      <c r="L54" s="16">
        <f>_xll.DBRW($B$1,Input_Prod_03!$D$9,Input_Prod_03!L$11,$M$1,Input_Prod_03!$G$9,$J$9,$E$30,Input_Prod_03!$B54,$L$1,$K$1)</f>
        <v>0</v>
      </c>
      <c r="M54" s="16">
        <f>_xll.DBRW($B$1,Input_Prod_03!$D$9,Input_Prod_03!M$11,$M$1,Input_Prod_03!$G$9,$J$9,$E$30,Input_Prod_03!$B54,$L$1,$K$1)</f>
        <v>0</v>
      </c>
      <c r="N54" s="16">
        <f>_xll.DBRW($B$1,Input_Prod_03!$D$9,Input_Prod_03!N$11,$M$1,Input_Prod_03!$G$9,$J$9,$E$30,Input_Prod_03!$B54,$L$1,$K$1)</f>
        <v>0</v>
      </c>
    </row>
    <row r="55" spans="2:14" s="1" customFormat="1" ht="15.75" customHeight="1" x14ac:dyDescent="0.25">
      <c r="B55" s="24" t="s">
        <v>25</v>
      </c>
      <c r="C55" s="21">
        <f>_xll.DBRW($B$3,Input_Prod_03!$D$9,Input_Prod_03!C$11,$M$1,Input_Prod_03!$G$9,$J$9,$E$30,Input_Prod_03!$B55,$K$1)</f>
        <v>4.5543272198815101</v>
      </c>
      <c r="D55" s="21">
        <f>_xll.DBRW($B$3,Input_Prod_03!$D$9,Input_Prod_03!D$11,$M$1,Input_Prod_03!$G$9,$J$9,$E$30,Input_Prod_03!$B55,$K$1)</f>
        <v>5.7622666141656955</v>
      </c>
      <c r="E55" s="21">
        <f>_xll.DBRW($B$3,Input_Prod_03!$D$9,Input_Prod_03!E$11,$M$1,Input_Prod_03!$G$9,$J$9,$E$30,Input_Prod_03!$B55,$K$1)</f>
        <v>8.746296789407058</v>
      </c>
      <c r="F55" s="21">
        <f>_xll.DBRW($B$3,Input_Prod_03!$D$9,Input_Prod_03!F$11,$M$1,Input_Prod_03!$G$9,$J$9,$E$30,Input_Prod_03!$B55,$K$1)</f>
        <v>11.841364780830428</v>
      </c>
      <c r="G55" s="21">
        <f>_xll.DBRW($B$3,Input_Prod_03!$D$9,Input_Prod_03!G$11,$M$1,Input_Prod_03!$G$9,$J$9,$E$30,Input_Prod_03!$B55,$K$1)</f>
        <v>14.742495598342339</v>
      </c>
      <c r="H55" s="21">
        <f>_xll.DBRW($B$3,Input_Prod_03!$D$9,Input_Prod_03!H$11,$M$1,Input_Prod_03!$G$9,$J$9,$E$30,Input_Prod_03!$B55,$K$1)</f>
        <v>16.110621056289791</v>
      </c>
      <c r="I55" s="21">
        <f>_xll.DBRW($B$3,Input_Prod_03!$D$9,Input_Prod_03!I$11,$M$1,Input_Prod_03!$G$9,$J$9,$E$30,Input_Prod_03!$B55,$K$1)</f>
        <v>16.370244912355719</v>
      </c>
      <c r="J55" s="21">
        <f>_xll.DBRW($B$3,Input_Prod_03!$D$9,Input_Prod_03!J$11,$M$1,Input_Prod_03!$G$9,$J$9,$E$30,Input_Prod_03!$B55,$K$1)</f>
        <v>16.588313178127489</v>
      </c>
      <c r="K55" s="21">
        <f>_xll.DBRW($B$3,Input_Prod_03!$D$9,Input_Prod_03!K$11,$M$1,Input_Prod_03!$G$9,$J$9,$E$30,Input_Prod_03!$B55,$K$1)</f>
        <v>16.795431281235771</v>
      </c>
      <c r="L55" s="21">
        <f>_xll.DBRW($B$3,Input_Prod_03!$D$9,Input_Prod_03!L$11,$M$1,Input_Prod_03!$G$9,$J$9,$E$30,Input_Prod_03!$B55,$K$1)</f>
        <v>15.979950095149841</v>
      </c>
      <c r="M55" s="21">
        <f>_xll.DBRW($B$3,Input_Prod_03!$D$9,Input_Prod_03!M$11,$M$1,Input_Prod_03!$G$9,$J$9,$E$30,Input_Prod_03!$B55,$K$1)</f>
        <v>11.728817078676805</v>
      </c>
      <c r="N55" s="21">
        <f>_xll.DBRW($B$3,Input_Prod_03!$D$9,Input_Prod_03!N$11,$M$1,Input_Prod_03!$G$9,$J$9,$E$30,Input_Prod_03!$B55,$K$1)</f>
        <v>6.621605310471856</v>
      </c>
    </row>
    <row r="57" spans="2:14" s="1" customFormat="1" ht="15.75" customHeight="1" thickBot="1" x14ac:dyDescent="0.3">
      <c r="B57" s="10"/>
    </row>
    <row r="58" spans="2:14" s="1" customFormat="1" ht="21" thickTop="1" x14ac:dyDescent="0.25">
      <c r="B58" s="9" t="s">
        <v>75</v>
      </c>
    </row>
    <row r="60" spans="2:14" s="1" customFormat="1" ht="15.75" customHeight="1" x14ac:dyDescent="0.25">
      <c r="B60" s="5"/>
      <c r="C60" s="18" t="str">
        <f>$D$9&amp;"."&amp;C$11</f>
        <v>2026.01</v>
      </c>
      <c r="D60" s="18" t="str">
        <f t="shared" ref="D60:N60" si="3">$D$9&amp;"."&amp;D$11</f>
        <v>2026.02</v>
      </c>
      <c r="E60" s="18" t="str">
        <f t="shared" si="3"/>
        <v>2026.03</v>
      </c>
      <c r="F60" s="18" t="str">
        <f t="shared" si="3"/>
        <v>2026.04</v>
      </c>
      <c r="G60" s="18" t="str">
        <f t="shared" si="3"/>
        <v>2026.05</v>
      </c>
      <c r="H60" s="18" t="str">
        <f t="shared" si="3"/>
        <v>2026.06</v>
      </c>
      <c r="I60" s="18" t="str">
        <f t="shared" si="3"/>
        <v>2026.07</v>
      </c>
      <c r="J60" s="18" t="str">
        <f t="shared" si="3"/>
        <v>2026.08</v>
      </c>
      <c r="K60" s="18" t="str">
        <f t="shared" si="3"/>
        <v>2026.09</v>
      </c>
      <c r="L60" s="18" t="str">
        <f t="shared" si="3"/>
        <v>2026.10</v>
      </c>
      <c r="M60" s="18" t="str">
        <f t="shared" si="3"/>
        <v>2026.11</v>
      </c>
      <c r="N60" s="18" t="str">
        <f t="shared" si="3"/>
        <v>2026.12</v>
      </c>
    </row>
    <row r="61" spans="2:14" s="1" customFormat="1" ht="29.25" customHeight="1" x14ac:dyDescent="0.25">
      <c r="B61" s="17" t="s">
        <v>26</v>
      </c>
      <c r="C61" s="16">
        <f>_xll.DBRW($B$1,Input_Prod_03!$D$9,Input_Prod_03!C$11,$M$1,Input_Prod_03!$G$9,$J$9,$E$30,Input_Prod_03!$B61,$L$1,$K$1)</f>
        <v>0</v>
      </c>
      <c r="D61" s="16">
        <f>_xll.DBRW($B$1,Input_Prod_03!$D$9,Input_Prod_03!D$11,$M$1,Input_Prod_03!$G$9,$J$9,$E$30,Input_Prod_03!$B61,$L$1,$K$1)</f>
        <v>0</v>
      </c>
      <c r="E61" s="16">
        <f>_xll.DBRW($B$1,Input_Prod_03!$D$9,Input_Prod_03!E$11,$M$1,Input_Prod_03!$G$9,$J$9,$E$30,Input_Prod_03!$B61,$L$1,$K$1)</f>
        <v>0</v>
      </c>
      <c r="F61" s="16">
        <f>_xll.DBRW($B$1,Input_Prod_03!$D$9,Input_Prod_03!F$11,$M$1,Input_Prod_03!$G$9,$J$9,$E$30,Input_Prod_03!$B61,$L$1,$K$1)</f>
        <v>0</v>
      </c>
      <c r="G61" s="16">
        <f>_xll.DBRW($B$1,Input_Prod_03!$D$9,Input_Prod_03!G$11,$M$1,Input_Prod_03!$G$9,$J$9,$E$30,Input_Prod_03!$B61,$L$1,$K$1)</f>
        <v>0</v>
      </c>
      <c r="H61" s="16">
        <f>_xll.DBRW($B$1,Input_Prod_03!$D$9,Input_Prod_03!H$11,$M$1,Input_Prod_03!$G$9,$J$9,$E$30,Input_Prod_03!$B61,$L$1,$K$1)</f>
        <v>0</v>
      </c>
      <c r="I61" s="16">
        <f>_xll.DBRW($B$1,Input_Prod_03!$D$9,Input_Prod_03!I$11,$M$1,Input_Prod_03!$G$9,$J$9,$E$30,Input_Prod_03!$B61,$L$1,$K$1)</f>
        <v>0</v>
      </c>
      <c r="J61" s="16">
        <f>_xll.DBRW($B$1,Input_Prod_03!$D$9,Input_Prod_03!J$11,$M$1,Input_Prod_03!$G$9,$J$9,$E$30,Input_Prod_03!$B61,$L$1,$K$1)</f>
        <v>0</v>
      </c>
      <c r="K61" s="16">
        <f>_xll.DBRW($B$1,Input_Prod_03!$D$9,Input_Prod_03!K$11,$M$1,Input_Prod_03!$G$9,$J$9,$E$30,Input_Prod_03!$B61,$L$1,$K$1)</f>
        <v>0</v>
      </c>
      <c r="L61" s="16">
        <f>_xll.DBRW($B$1,Input_Prod_03!$D$9,Input_Prod_03!L$11,$M$1,Input_Prod_03!$G$9,$J$9,$E$30,Input_Prod_03!$B61,$L$1,$K$1)</f>
        <v>0</v>
      </c>
      <c r="M61" s="16">
        <f>_xll.DBRW($B$1,Input_Prod_03!$D$9,Input_Prod_03!M$11,$M$1,Input_Prod_03!$G$9,$J$9,$E$30,Input_Prod_03!$B61,$L$1,$K$1)</f>
        <v>0</v>
      </c>
      <c r="N61" s="16">
        <f>_xll.DBRW($B$1,Input_Prod_03!$D$9,Input_Prod_03!N$11,$M$1,Input_Prod_03!$G$9,$J$9,$E$30,Input_Prod_03!$B61,$L$1,$K$1)</f>
        <v>0</v>
      </c>
    </row>
    <row r="62" spans="2:14" s="1" customFormat="1" ht="15.75" customHeight="1" x14ac:dyDescent="0.25">
      <c r="B62" s="24" t="s">
        <v>25</v>
      </c>
      <c r="C62" s="21">
        <f>_xll.DBRW($B$3,Input_Prod_03!$D$9,Input_Prod_03!C$11,$M$1,Input_Prod_03!$G$9,$J$9,$E$30,Input_Prod_03!$B62,$K$1)</f>
        <v>4.5543272198815101</v>
      </c>
      <c r="D62" s="21">
        <f>_xll.DBRW($B$3,Input_Prod_03!$D$9,Input_Prod_03!D$11,$M$1,Input_Prod_03!$G$9,$J$9,$E$30,Input_Prod_03!$B62,$K$1)</f>
        <v>5.7622666141656955</v>
      </c>
      <c r="E62" s="21">
        <f>_xll.DBRW($B$3,Input_Prod_03!$D$9,Input_Prod_03!E$11,$M$1,Input_Prod_03!$G$9,$J$9,$E$30,Input_Prod_03!$B62,$K$1)</f>
        <v>8.746296789407058</v>
      </c>
      <c r="F62" s="21">
        <f>_xll.DBRW($B$3,Input_Prod_03!$D$9,Input_Prod_03!F$11,$M$1,Input_Prod_03!$G$9,$J$9,$E$30,Input_Prod_03!$B62,$K$1)</f>
        <v>11.841364780830428</v>
      </c>
      <c r="G62" s="21">
        <f>_xll.DBRW($B$3,Input_Prod_03!$D$9,Input_Prod_03!G$11,$M$1,Input_Prod_03!$G$9,$J$9,$E$30,Input_Prod_03!$B62,$K$1)</f>
        <v>14.742495598342339</v>
      </c>
      <c r="H62" s="21">
        <f>_xll.DBRW($B$3,Input_Prod_03!$D$9,Input_Prod_03!H$11,$M$1,Input_Prod_03!$G$9,$J$9,$E$30,Input_Prod_03!$B62,$K$1)</f>
        <v>16.110621056289791</v>
      </c>
      <c r="I62" s="21">
        <f>_xll.DBRW($B$3,Input_Prod_03!$D$9,Input_Prod_03!I$11,$M$1,Input_Prod_03!$G$9,$J$9,$E$30,Input_Prod_03!$B62,$K$1)</f>
        <v>16.370244912355719</v>
      </c>
      <c r="J62" s="21">
        <f>_xll.DBRW($B$3,Input_Prod_03!$D$9,Input_Prod_03!J$11,$M$1,Input_Prod_03!$G$9,$J$9,$E$30,Input_Prod_03!$B62,$K$1)</f>
        <v>16.588313178127489</v>
      </c>
      <c r="K62" s="21">
        <f>_xll.DBRW($B$3,Input_Prod_03!$D$9,Input_Prod_03!K$11,$M$1,Input_Prod_03!$G$9,$J$9,$E$30,Input_Prod_03!$B62,$K$1)</f>
        <v>16.795431281235771</v>
      </c>
      <c r="L62" s="21">
        <f>_xll.DBRW($B$3,Input_Prod_03!$D$9,Input_Prod_03!L$11,$M$1,Input_Prod_03!$G$9,$J$9,$E$30,Input_Prod_03!$B62,$K$1)</f>
        <v>15.979950095149841</v>
      </c>
      <c r="M62" s="21">
        <f>_xll.DBRW($B$3,Input_Prod_03!$D$9,Input_Prod_03!M$11,$M$1,Input_Prod_03!$G$9,$J$9,$E$30,Input_Prod_03!$B62,$K$1)</f>
        <v>11.728817078676805</v>
      </c>
      <c r="N62" s="21">
        <f>_xll.DBRW($B$3,Input_Prod_03!$D$9,Input_Prod_03!N$11,$M$1,Input_Prod_03!$G$9,$J$9,$E$30,Input_Prod_03!$B62,$K$1)</f>
        <v>6.621605310471856</v>
      </c>
    </row>
    <row r="63" spans="2:14" s="1" customFormat="1" ht="15.75" customHeight="1" x14ac:dyDescent="0.25">
      <c r="B63" s="22" t="s">
        <v>75</v>
      </c>
      <c r="C63" s="21">
        <f>_xll.DBRW($B$3,Input_Prod_03!$D$9,Input_Prod_03!C$11,$M$1,Input_Prod_03!$G$9,Input_Prod_03!$J$9,$E$30,Input_Prod_03!$B63,$K$1)</f>
        <v>4.5543272198815101</v>
      </c>
      <c r="D63" s="21">
        <f>_xll.DBRW($B$3,Input_Prod_03!$D$9,Input_Prod_03!D$11,$M$1,Input_Prod_03!$G$9,Input_Prod_03!$J$9,$E$30,Input_Prod_03!$B63,$K$1)</f>
        <v>5.7622666141656955</v>
      </c>
      <c r="E63" s="21">
        <f>_xll.DBRW($B$3,Input_Prod_03!$D$9,Input_Prod_03!E$11,$M$1,Input_Prod_03!$G$9,Input_Prod_03!$J$9,$E$30,Input_Prod_03!$B63,$K$1)</f>
        <v>8.746296789407058</v>
      </c>
      <c r="F63" s="21">
        <f>_xll.DBRW($B$3,Input_Prod_03!$D$9,Input_Prod_03!F$11,$M$1,Input_Prod_03!$G$9,Input_Prod_03!$J$9,$E$30,Input_Prod_03!$B63,$K$1)</f>
        <v>11.841364780830428</v>
      </c>
      <c r="G63" s="21">
        <f>_xll.DBRW($B$3,Input_Prod_03!$D$9,Input_Prod_03!G$11,$M$1,Input_Prod_03!$G$9,Input_Prod_03!$J$9,$E$30,Input_Prod_03!$B63,$K$1)</f>
        <v>14.742495598342339</v>
      </c>
      <c r="H63" s="21">
        <f>_xll.DBRW($B$3,Input_Prod_03!$D$9,Input_Prod_03!H$11,$M$1,Input_Prod_03!$G$9,Input_Prod_03!$J$9,$E$30,Input_Prod_03!$B63,$K$1)</f>
        <v>16.110621056289791</v>
      </c>
      <c r="I63" s="21">
        <f>_xll.DBRW($B$3,Input_Prod_03!$D$9,Input_Prod_03!I$11,$M$1,Input_Prod_03!$G$9,Input_Prod_03!$J$9,$E$30,Input_Prod_03!$B63,$K$1)</f>
        <v>16.370244912355719</v>
      </c>
      <c r="J63" s="21">
        <f>_xll.DBRW($B$3,Input_Prod_03!$D$9,Input_Prod_03!J$11,$M$1,Input_Prod_03!$G$9,Input_Prod_03!$J$9,$E$30,Input_Prod_03!$B63,$K$1)</f>
        <v>16.588313178127489</v>
      </c>
      <c r="K63" s="21">
        <f>_xll.DBRW($B$3,Input_Prod_03!$D$9,Input_Prod_03!K$11,$M$1,Input_Prod_03!$G$9,Input_Prod_03!$J$9,$E$30,Input_Prod_03!$B63,$K$1)</f>
        <v>16.795431281235771</v>
      </c>
      <c r="L63" s="21">
        <f>_xll.DBRW($B$3,Input_Prod_03!$D$9,Input_Prod_03!L$11,$M$1,Input_Prod_03!$G$9,Input_Prod_03!$J$9,$E$30,Input_Prod_03!$B63,$K$1)</f>
        <v>15.979950095149841</v>
      </c>
      <c r="M63" s="21">
        <f>_xll.DBRW($B$3,Input_Prod_03!$D$9,Input_Prod_03!M$11,$M$1,Input_Prod_03!$G$9,Input_Prod_03!$J$9,$E$30,Input_Prod_03!$B63,$K$1)</f>
        <v>11.728817078676805</v>
      </c>
      <c r="N63" s="21">
        <f>_xll.DBRW($B$3,Input_Prod_03!$D$9,Input_Prod_03!N$11,$M$1,Input_Prod_03!$G$9,Input_Prod_03!$J$9,$E$30,Input_Prod_03!$B63,$K$1)</f>
        <v>6.621605310471856</v>
      </c>
    </row>
    <row r="64" spans="2:14" s="1" customFormat="1" ht="15.75" customHeight="1" x14ac:dyDescent="0.25">
      <c r="B64"/>
      <c r="C64"/>
      <c r="D64"/>
      <c r="E64"/>
      <c r="F64"/>
      <c r="G64"/>
      <c r="H64"/>
      <c r="I64"/>
      <c r="J64"/>
      <c r="K64"/>
      <c r="L64"/>
      <c r="M64"/>
      <c r="N64"/>
    </row>
    <row r="65" spans="2:14" s="1" customFormat="1" ht="15.75" customHeight="1" thickBot="1" x14ac:dyDescent="0.3">
      <c r="B65" s="10"/>
      <c r="C65"/>
      <c r="D65"/>
      <c r="E65"/>
      <c r="F65"/>
      <c r="G65"/>
      <c r="H65"/>
      <c r="I65"/>
      <c r="J65"/>
      <c r="K65"/>
      <c r="L65"/>
      <c r="M65"/>
      <c r="N65"/>
    </row>
    <row r="66" spans="2:14" s="1" customFormat="1" ht="15.75" customHeight="1" thickTop="1" x14ac:dyDescent="0.25">
      <c r="B66" s="9" t="s">
        <v>76</v>
      </c>
    </row>
    <row r="68" spans="2:14" s="1" customFormat="1" ht="15.75" customHeight="1" x14ac:dyDescent="0.25">
      <c r="B68" s="5"/>
      <c r="C68" s="18" t="str">
        <f t="shared" ref="C68:N68" si="4">$D$9&amp;"."&amp;C$11</f>
        <v>2026.01</v>
      </c>
      <c r="D68" s="18" t="str">
        <f t="shared" si="4"/>
        <v>2026.02</v>
      </c>
      <c r="E68" s="18" t="str">
        <f t="shared" si="4"/>
        <v>2026.03</v>
      </c>
      <c r="F68" s="18" t="str">
        <f t="shared" si="4"/>
        <v>2026.04</v>
      </c>
      <c r="G68" s="18" t="str">
        <f t="shared" si="4"/>
        <v>2026.05</v>
      </c>
      <c r="H68" s="18" t="str">
        <f t="shared" si="4"/>
        <v>2026.06</v>
      </c>
      <c r="I68" s="18" t="str">
        <f t="shared" si="4"/>
        <v>2026.07</v>
      </c>
      <c r="J68" s="18" t="str">
        <f t="shared" si="4"/>
        <v>2026.08</v>
      </c>
      <c r="K68" s="18" t="str">
        <f t="shared" si="4"/>
        <v>2026.09</v>
      </c>
      <c r="L68" s="18" t="str">
        <f t="shared" si="4"/>
        <v>2026.10</v>
      </c>
      <c r="M68" s="18" t="str">
        <f t="shared" si="4"/>
        <v>2026.11</v>
      </c>
      <c r="N68" s="18" t="str">
        <f t="shared" si="4"/>
        <v>2026.12</v>
      </c>
    </row>
    <row r="69" spans="2:14" s="1" customFormat="1" ht="15.75" customHeight="1" x14ac:dyDescent="0.25">
      <c r="B69" s="17" t="s">
        <v>62</v>
      </c>
      <c r="C69" s="16">
        <f>_xll.DBRW($B$1,Input_Prod_03!$D$9,Input_Prod_03!C$11,$M$1,Input_Prod_03!$G$9,$J$9,$E$30,Input_Prod_03!$B69,$L$1,$K$1)</f>
        <v>0</v>
      </c>
      <c r="D69" s="16">
        <f>_xll.DBRW($B$1,Input_Prod_03!$D$9,Input_Prod_03!D$11,$M$1,Input_Prod_03!$G$9,$J$9,$E$30,Input_Prod_03!$B69,$L$1,$K$1)</f>
        <v>0</v>
      </c>
      <c r="E69" s="16">
        <f>_xll.DBRW($B$1,Input_Prod_03!$D$9,Input_Prod_03!E$11,$M$1,Input_Prod_03!$G$9,$J$9,$E$30,Input_Prod_03!$B69,$L$1,$K$1)</f>
        <v>0</v>
      </c>
      <c r="F69" s="16">
        <f>_xll.DBRW($B$1,Input_Prod_03!$D$9,Input_Prod_03!F$11,$M$1,Input_Prod_03!$G$9,$J$9,$E$30,Input_Prod_03!$B69,$L$1,$K$1)</f>
        <v>0</v>
      </c>
      <c r="G69" s="16">
        <f>_xll.DBRW($B$1,Input_Prod_03!$D$9,Input_Prod_03!G$11,$M$1,Input_Prod_03!$G$9,$J$9,$E$30,Input_Prod_03!$B69,$L$1,$K$1)</f>
        <v>0</v>
      </c>
      <c r="H69" s="16">
        <f>_xll.DBRW($B$1,Input_Prod_03!$D$9,Input_Prod_03!H$11,$M$1,Input_Prod_03!$G$9,$J$9,$E$30,Input_Prod_03!$B69,$L$1,$K$1)</f>
        <v>0</v>
      </c>
      <c r="I69" s="16">
        <f>_xll.DBRW($B$1,Input_Prod_03!$D$9,Input_Prod_03!I$11,$M$1,Input_Prod_03!$G$9,$J$9,$E$30,Input_Prod_03!$B69,$L$1,$K$1)</f>
        <v>0</v>
      </c>
      <c r="J69" s="16">
        <f>_xll.DBRW($B$1,Input_Prod_03!$D$9,Input_Prod_03!J$11,$M$1,Input_Prod_03!$G$9,$J$9,$E$30,Input_Prod_03!$B69,$L$1,$K$1)</f>
        <v>0</v>
      </c>
      <c r="K69" s="16">
        <f>_xll.DBRW($B$1,Input_Prod_03!$D$9,Input_Prod_03!K$11,$M$1,Input_Prod_03!$G$9,$J$9,$E$30,Input_Prod_03!$B69,$L$1,$K$1)</f>
        <v>0</v>
      </c>
      <c r="L69" s="16">
        <f>_xll.DBRW($B$1,Input_Prod_03!$D$9,Input_Prod_03!L$11,$M$1,Input_Prod_03!$G$9,$J$9,$E$30,Input_Prod_03!$B69,$L$1,$K$1)</f>
        <v>0</v>
      </c>
      <c r="M69" s="16">
        <f>_xll.DBRW($B$1,Input_Prod_03!$D$9,Input_Prod_03!M$11,$M$1,Input_Prod_03!$G$9,$J$9,$E$30,Input_Prod_03!$B69,$L$1,$K$1)</f>
        <v>0</v>
      </c>
      <c r="N69" s="16">
        <f>_xll.DBRW($B$1,Input_Prod_03!$D$9,Input_Prod_03!N$11,$M$1,Input_Prod_03!$G$9,$J$9,$E$30,Input_Prod_03!$B69,$L$1,$K$1)</f>
        <v>0</v>
      </c>
    </row>
    <row r="70" spans="2:14" s="1" customFormat="1" ht="15.75" customHeight="1" x14ac:dyDescent="0.25">
      <c r="B70" s="17" t="s">
        <v>63</v>
      </c>
      <c r="C70" s="16">
        <f>_xll.DBRW($B$1,Input_Prod_03!$D$9,Input_Prod_03!C$11,$M$1,Input_Prod_03!$G$9,$J$9,$E$30,Input_Prod_03!$B70,$L$1,$K$1)</f>
        <v>0</v>
      </c>
      <c r="D70" s="16">
        <f>_xll.DBRW($B$1,Input_Prod_03!$D$9,Input_Prod_03!D$11,$M$1,Input_Prod_03!$G$9,$J$9,$E$30,Input_Prod_03!$B70,$L$1,$K$1)</f>
        <v>0</v>
      </c>
      <c r="E70" s="16">
        <f>_xll.DBRW($B$1,Input_Prod_03!$D$9,Input_Prod_03!E$11,$M$1,Input_Prod_03!$G$9,$J$9,$E$30,Input_Prod_03!$B70,$L$1,$K$1)</f>
        <v>0</v>
      </c>
      <c r="F70" s="16">
        <f>_xll.DBRW($B$1,Input_Prod_03!$D$9,Input_Prod_03!F$11,$M$1,Input_Prod_03!$G$9,$J$9,$E$30,Input_Prod_03!$B70,$L$1,$K$1)</f>
        <v>0</v>
      </c>
      <c r="G70" s="16">
        <f>_xll.DBRW($B$1,Input_Prod_03!$D$9,Input_Prod_03!G$11,$M$1,Input_Prod_03!$G$9,$J$9,$E$30,Input_Prod_03!$B70,$L$1,$K$1)</f>
        <v>0</v>
      </c>
      <c r="H70" s="16">
        <f>_xll.DBRW($B$1,Input_Prod_03!$D$9,Input_Prod_03!H$11,$M$1,Input_Prod_03!$G$9,$J$9,$E$30,Input_Prod_03!$B70,$L$1,$K$1)</f>
        <v>0</v>
      </c>
      <c r="I70" s="16">
        <f>_xll.DBRW($B$1,Input_Prod_03!$D$9,Input_Prod_03!I$11,$M$1,Input_Prod_03!$G$9,$J$9,$E$30,Input_Prod_03!$B70,$L$1,$K$1)</f>
        <v>0</v>
      </c>
      <c r="J70" s="16">
        <f>_xll.DBRW($B$1,Input_Prod_03!$D$9,Input_Prod_03!J$11,$M$1,Input_Prod_03!$G$9,$J$9,$E$30,Input_Prod_03!$B70,$L$1,$K$1)</f>
        <v>0</v>
      </c>
      <c r="K70" s="16">
        <f>_xll.DBRW($B$1,Input_Prod_03!$D$9,Input_Prod_03!K$11,$M$1,Input_Prod_03!$G$9,$J$9,$E$30,Input_Prod_03!$B70,$L$1,$K$1)</f>
        <v>0</v>
      </c>
      <c r="L70" s="16">
        <f>_xll.DBRW($B$1,Input_Prod_03!$D$9,Input_Prod_03!L$11,$M$1,Input_Prod_03!$G$9,$J$9,$E$30,Input_Prod_03!$B70,$L$1,$K$1)</f>
        <v>0</v>
      </c>
      <c r="M70" s="16">
        <f>_xll.DBRW($B$1,Input_Prod_03!$D$9,Input_Prod_03!M$11,$M$1,Input_Prod_03!$G$9,$J$9,$E$30,Input_Prod_03!$B70,$L$1,$K$1)</f>
        <v>0</v>
      </c>
      <c r="N70" s="16">
        <f>_xll.DBRW($B$1,Input_Prod_03!$D$9,Input_Prod_03!N$11,$M$1,Input_Prod_03!$G$9,$J$9,$E$30,Input_Prod_03!$B70,$L$1,$K$1)</f>
        <v>0</v>
      </c>
    </row>
    <row r="71" spans="2:14" s="1" customFormat="1" ht="15.75" customHeight="1" x14ac:dyDescent="0.25">
      <c r="B71" s="24" t="s">
        <v>27</v>
      </c>
      <c r="C71" s="21">
        <f>_xll.DBRW($B$3,Input_Prod_03!$D$9,Input_Prod_03!C$11,$M$1,Input_Prod_03!$G$9,Input_Prod_03!$J$9,$E$30,Input_Prod_03!$B71,$K$1)</f>
        <v>0</v>
      </c>
      <c r="D71" s="21">
        <f>_xll.DBRW($B$3,Input_Prod_03!$D$9,Input_Prod_03!D$11,$M$1,Input_Prod_03!$G$9,Input_Prod_03!$J$9,$E$30,Input_Prod_03!$B71,$K$1)</f>
        <v>0</v>
      </c>
      <c r="E71" s="21">
        <f>_xll.DBRW($B$3,Input_Prod_03!$D$9,Input_Prod_03!E$11,$M$1,Input_Prod_03!$G$9,Input_Prod_03!$J$9,$E$30,Input_Prod_03!$B71,$K$1)</f>
        <v>0</v>
      </c>
      <c r="F71" s="21">
        <f>_xll.DBRW($B$3,Input_Prod_03!$D$9,Input_Prod_03!F$11,$M$1,Input_Prod_03!$G$9,Input_Prod_03!$J$9,$E$30,Input_Prod_03!$B71,$K$1)</f>
        <v>0</v>
      </c>
      <c r="G71" s="21">
        <f>_xll.DBRW($B$3,Input_Prod_03!$D$9,Input_Prod_03!G$11,$M$1,Input_Prod_03!$G$9,Input_Prod_03!$J$9,$E$30,Input_Prod_03!$B71,$K$1)</f>
        <v>0</v>
      </c>
      <c r="H71" s="21">
        <f>_xll.DBRW($B$3,Input_Prod_03!$D$9,Input_Prod_03!H$11,$M$1,Input_Prod_03!$G$9,Input_Prod_03!$J$9,$E$30,Input_Prod_03!$B71,$K$1)</f>
        <v>0</v>
      </c>
      <c r="I71" s="21">
        <f>_xll.DBRW($B$3,Input_Prod_03!$D$9,Input_Prod_03!I$11,$M$1,Input_Prod_03!$G$9,Input_Prod_03!$J$9,$E$30,Input_Prod_03!$B71,$K$1)</f>
        <v>0</v>
      </c>
      <c r="J71" s="21">
        <f>_xll.DBRW($B$3,Input_Prod_03!$D$9,Input_Prod_03!J$11,$M$1,Input_Prod_03!$G$9,Input_Prod_03!$J$9,$E$30,Input_Prod_03!$B71,$K$1)</f>
        <v>0</v>
      </c>
      <c r="K71" s="21">
        <f>_xll.DBRW($B$3,Input_Prod_03!$D$9,Input_Prod_03!K$11,$M$1,Input_Prod_03!$G$9,Input_Prod_03!$J$9,$E$30,Input_Prod_03!$B71,$K$1)</f>
        <v>0</v>
      </c>
      <c r="L71" s="21">
        <f>_xll.DBRW($B$3,Input_Prod_03!$D$9,Input_Prod_03!L$11,$M$1,Input_Prod_03!$G$9,Input_Prod_03!$J$9,$E$30,Input_Prod_03!$B71,$K$1)</f>
        <v>0</v>
      </c>
      <c r="M71" s="21">
        <f>_xll.DBRW($B$3,Input_Prod_03!$D$9,Input_Prod_03!M$11,$M$1,Input_Prod_03!$G$9,Input_Prod_03!$J$9,$E$30,Input_Prod_03!$B71,$K$1)</f>
        <v>0</v>
      </c>
      <c r="N71" s="21">
        <f>_xll.DBRW($B$3,Input_Prod_03!$D$9,Input_Prod_03!N$11,$M$1,Input_Prod_03!$G$9,Input_Prod_03!$J$9,$E$30,Input_Prod_03!$B71,$K$1)</f>
        <v>0</v>
      </c>
    </row>
    <row r="72" spans="2:14" s="1" customFormat="1" ht="15.75" customHeight="1" x14ac:dyDescent="0.25">
      <c r="B72" s="22" t="s">
        <v>76</v>
      </c>
      <c r="C72" s="21">
        <f>_xll.DBRW($B$3,Input_Prod_03!$D$9,Input_Prod_03!C$11,$M$1,Input_Prod_03!$G$9,Input_Prod_03!$J$9,$E$30,Input_Prod_03!$B72,$K$1)</f>
        <v>4.5543272198815101</v>
      </c>
      <c r="D72" s="21">
        <f>_xll.DBRW($B$3,Input_Prod_03!$D$9,Input_Prod_03!D$11,$M$1,Input_Prod_03!$G$9,Input_Prod_03!$J$9,$E$30,Input_Prod_03!$B72,$K$1)</f>
        <v>5.7622666141656955</v>
      </c>
      <c r="E72" s="21">
        <f>_xll.DBRW($B$3,Input_Prod_03!$D$9,Input_Prod_03!E$11,$M$1,Input_Prod_03!$G$9,Input_Prod_03!$J$9,$E$30,Input_Prod_03!$B72,$K$1)</f>
        <v>8.746296789407058</v>
      </c>
      <c r="F72" s="21">
        <f>_xll.DBRW($B$3,Input_Prod_03!$D$9,Input_Prod_03!F$11,$M$1,Input_Prod_03!$G$9,Input_Prod_03!$J$9,$E$30,Input_Prod_03!$B72,$K$1)</f>
        <v>11.841364780830428</v>
      </c>
      <c r="G72" s="21">
        <f>_xll.DBRW($B$3,Input_Prod_03!$D$9,Input_Prod_03!G$11,$M$1,Input_Prod_03!$G$9,Input_Prod_03!$J$9,$E$30,Input_Prod_03!$B72,$K$1)</f>
        <v>14.742495598342339</v>
      </c>
      <c r="H72" s="21">
        <f>_xll.DBRW($B$3,Input_Prod_03!$D$9,Input_Prod_03!H$11,$M$1,Input_Prod_03!$G$9,Input_Prod_03!$J$9,$E$30,Input_Prod_03!$B72,$K$1)</f>
        <v>16.110621056289791</v>
      </c>
      <c r="I72" s="21">
        <f>_xll.DBRW($B$3,Input_Prod_03!$D$9,Input_Prod_03!I$11,$M$1,Input_Prod_03!$G$9,Input_Prod_03!$J$9,$E$30,Input_Prod_03!$B72,$K$1)</f>
        <v>16.370244912355719</v>
      </c>
      <c r="J72" s="21">
        <f>_xll.DBRW($B$3,Input_Prod_03!$D$9,Input_Prod_03!J$11,$M$1,Input_Prod_03!$G$9,Input_Prod_03!$J$9,$E$30,Input_Prod_03!$B72,$K$1)</f>
        <v>16.588313178127489</v>
      </c>
      <c r="K72" s="21">
        <f>_xll.DBRW($B$3,Input_Prod_03!$D$9,Input_Prod_03!K$11,$M$1,Input_Prod_03!$G$9,Input_Prod_03!$J$9,$E$30,Input_Prod_03!$B72,$K$1)</f>
        <v>16.795431281235771</v>
      </c>
      <c r="L72" s="21">
        <f>_xll.DBRW($B$3,Input_Prod_03!$D$9,Input_Prod_03!L$11,$M$1,Input_Prod_03!$G$9,Input_Prod_03!$J$9,$E$30,Input_Prod_03!$B72,$K$1)</f>
        <v>15.979950095149841</v>
      </c>
      <c r="M72" s="21">
        <f>_xll.DBRW($B$3,Input_Prod_03!$D$9,Input_Prod_03!M$11,$M$1,Input_Prod_03!$G$9,Input_Prod_03!$J$9,$E$30,Input_Prod_03!$B72,$K$1)</f>
        <v>11.728817078676805</v>
      </c>
      <c r="N72" s="21">
        <f>_xll.DBRW($B$3,Input_Prod_03!$D$9,Input_Prod_03!N$11,$M$1,Input_Prod_03!$G$9,Input_Prod_03!$J$9,$E$30,Input_Prod_03!$B72,$K$1)</f>
        <v>6.621605310471856</v>
      </c>
    </row>
    <row r="74" spans="2:14" s="1" customFormat="1" ht="15.75" customHeight="1" thickBot="1" x14ac:dyDescent="0.3">
      <c r="B74" s="10"/>
    </row>
    <row r="75" spans="2:14" s="1" customFormat="1" ht="15.75" customHeight="1" thickTop="1" x14ac:dyDescent="0.25">
      <c r="B75" s="9" t="s">
        <v>77</v>
      </c>
    </row>
    <row r="77" spans="2:14" s="1" customFormat="1" ht="15.75" customHeight="1" x14ac:dyDescent="0.25">
      <c r="B77" s="5"/>
      <c r="C77" s="18" t="str">
        <f t="shared" ref="C77:N77" si="5">$D$9&amp;"."&amp;C$11</f>
        <v>2026.01</v>
      </c>
      <c r="D77" s="18" t="str">
        <f t="shared" si="5"/>
        <v>2026.02</v>
      </c>
      <c r="E77" s="18" t="str">
        <f t="shared" si="5"/>
        <v>2026.03</v>
      </c>
      <c r="F77" s="18" t="str">
        <f t="shared" si="5"/>
        <v>2026.04</v>
      </c>
      <c r="G77" s="18" t="str">
        <f t="shared" si="5"/>
        <v>2026.05</v>
      </c>
      <c r="H77" s="18" t="str">
        <f t="shared" si="5"/>
        <v>2026.06</v>
      </c>
      <c r="I77" s="18" t="str">
        <f t="shared" si="5"/>
        <v>2026.07</v>
      </c>
      <c r="J77" s="18" t="str">
        <f t="shared" si="5"/>
        <v>2026.08</v>
      </c>
      <c r="K77" s="18" t="str">
        <f t="shared" si="5"/>
        <v>2026.09</v>
      </c>
      <c r="L77" s="18" t="str">
        <f t="shared" si="5"/>
        <v>2026.10</v>
      </c>
      <c r="M77" s="18" t="str">
        <f t="shared" si="5"/>
        <v>2026.11</v>
      </c>
      <c r="N77" s="18" t="str">
        <f t="shared" si="5"/>
        <v>2026.12</v>
      </c>
    </row>
    <row r="78" spans="2:14" s="1" customFormat="1" ht="15.75" customHeight="1" x14ac:dyDescent="0.25">
      <c r="B78" s="17" t="s">
        <v>28</v>
      </c>
      <c r="C78" s="16">
        <f>_xll.DBRW($B$1,Input_Prod_03!$D$9,Input_Prod_03!C$11,$M$1,Input_Prod_03!$G$9,$J$9,$E$30,Input_Prod_03!$B78,$L$1,$K$1)</f>
        <v>0</v>
      </c>
      <c r="D78" s="16">
        <f>_xll.DBRW($B$1,Input_Prod_03!$D$9,Input_Prod_03!D$11,$M$1,Input_Prod_03!$G$9,$J$9,$E$30,Input_Prod_03!$B78,$L$1,$K$1)</f>
        <v>0</v>
      </c>
      <c r="E78" s="16">
        <f>_xll.DBRW($B$1,Input_Prod_03!$D$9,Input_Prod_03!E$11,$M$1,Input_Prod_03!$G$9,$J$9,$E$30,Input_Prod_03!$B78,$L$1,$K$1)</f>
        <v>0</v>
      </c>
      <c r="F78" s="16">
        <f>_xll.DBRW($B$1,Input_Prod_03!$D$9,Input_Prod_03!F$11,$M$1,Input_Prod_03!$G$9,$J$9,$E$30,Input_Prod_03!$B78,$L$1,$K$1)</f>
        <v>0</v>
      </c>
      <c r="G78" s="16">
        <f>_xll.DBRW($B$1,Input_Prod_03!$D$9,Input_Prod_03!G$11,$M$1,Input_Prod_03!$G$9,$J$9,$E$30,Input_Prod_03!$B78,$L$1,$K$1)</f>
        <v>0</v>
      </c>
      <c r="H78" s="16">
        <f>_xll.DBRW($B$1,Input_Prod_03!$D$9,Input_Prod_03!H$11,$M$1,Input_Prod_03!$G$9,$J$9,$E$30,Input_Prod_03!$B78,$L$1,$K$1)</f>
        <v>0</v>
      </c>
      <c r="I78" s="16">
        <f>_xll.DBRW($B$1,Input_Prod_03!$D$9,Input_Prod_03!I$11,$M$1,Input_Prod_03!$G$9,$J$9,$E$30,Input_Prod_03!$B78,$L$1,$K$1)</f>
        <v>0</v>
      </c>
      <c r="J78" s="16">
        <f>_xll.DBRW($B$1,Input_Prod_03!$D$9,Input_Prod_03!J$11,$M$1,Input_Prod_03!$G$9,$J$9,$E$30,Input_Prod_03!$B78,$L$1,$K$1)</f>
        <v>0</v>
      </c>
      <c r="K78" s="16">
        <f>_xll.DBRW($B$1,Input_Prod_03!$D$9,Input_Prod_03!K$11,$M$1,Input_Prod_03!$G$9,$J$9,$E$30,Input_Prod_03!$B78,$L$1,$K$1)</f>
        <v>0</v>
      </c>
      <c r="L78" s="16">
        <f>_xll.DBRW($B$1,Input_Prod_03!$D$9,Input_Prod_03!L$11,$M$1,Input_Prod_03!$G$9,$J$9,$E$30,Input_Prod_03!$B78,$L$1,$K$1)</f>
        <v>0</v>
      </c>
      <c r="M78" s="16">
        <f>_xll.DBRW($B$1,Input_Prod_03!$D$9,Input_Prod_03!M$11,$M$1,Input_Prod_03!$G$9,$J$9,$E$30,Input_Prod_03!$B78,$L$1,$K$1)</f>
        <v>0</v>
      </c>
      <c r="N78" s="16">
        <f>_xll.DBRW($B$1,Input_Prod_03!$D$9,Input_Prod_03!N$11,$M$1,Input_Prod_03!$G$9,$J$9,$E$30,Input_Prod_03!$B78,$L$1,$K$1)</f>
        <v>0</v>
      </c>
    </row>
    <row r="79" spans="2:14" s="1" customFormat="1" ht="15.75" customHeight="1" x14ac:dyDescent="0.25">
      <c r="B79" s="25" t="s">
        <v>78</v>
      </c>
      <c r="C79" s="26">
        <f>_xll.DBRW($C$1,Input_Prod_03!$D$9,Input_Prod_03!C$11,$M$1,$J$9,Input_Prod_03!$B79,$K$1)</f>
        <v>0</v>
      </c>
      <c r="D79" s="26">
        <f>_xll.DBRW($C$1,Input_Prod_03!$D$9,Input_Prod_03!D$11,$M$1,$J$9,Input_Prod_03!$B79,$K$1)</f>
        <v>0</v>
      </c>
      <c r="E79" s="26">
        <f>_xll.DBRW($C$1,Input_Prod_03!$D$9,Input_Prod_03!E$11,$M$1,$J$9,Input_Prod_03!$B79,$K$1)</f>
        <v>0</v>
      </c>
      <c r="F79" s="26">
        <f>_xll.DBRW($C$1,Input_Prod_03!$D$9,Input_Prod_03!F$11,$M$1,$J$9,Input_Prod_03!$B79,$K$1)</f>
        <v>0</v>
      </c>
      <c r="G79" s="26">
        <f>_xll.DBRW($C$1,Input_Prod_03!$D$9,Input_Prod_03!G$11,$M$1,$J$9,Input_Prod_03!$B79,$K$1)</f>
        <v>0</v>
      </c>
      <c r="H79" s="26">
        <f>_xll.DBRW($C$1,Input_Prod_03!$D$9,Input_Prod_03!H$11,$M$1,$J$9,Input_Prod_03!$B79,$K$1)</f>
        <v>0</v>
      </c>
      <c r="I79" s="26">
        <f>_xll.DBRW($C$1,Input_Prod_03!$D$9,Input_Prod_03!I$11,$M$1,$J$9,Input_Prod_03!$B79,$K$1)</f>
        <v>0</v>
      </c>
      <c r="J79" s="26">
        <f>_xll.DBRW($C$1,Input_Prod_03!$D$9,Input_Prod_03!J$11,$M$1,$J$9,Input_Prod_03!$B79,$K$1)</f>
        <v>0</v>
      </c>
      <c r="K79" s="26">
        <f>_xll.DBRW($C$1,Input_Prod_03!$D$9,Input_Prod_03!K$11,$M$1,$J$9,Input_Prod_03!$B79,$K$1)</f>
        <v>0</v>
      </c>
      <c r="L79" s="26">
        <f>_xll.DBRW($C$1,Input_Prod_03!$D$9,Input_Prod_03!L$11,$M$1,$J$9,Input_Prod_03!$B79,$K$1)</f>
        <v>0</v>
      </c>
      <c r="M79" s="26">
        <f>_xll.DBRW($C$1,Input_Prod_03!$D$9,Input_Prod_03!M$11,$M$1,$J$9,Input_Prod_03!$B79,$K$1)</f>
        <v>0</v>
      </c>
      <c r="N79" s="26">
        <f>_xll.DBRW($C$1,Input_Prod_03!$D$9,Input_Prod_03!N$11,$M$1,$J$9,Input_Prod_03!$B79,$K$1)</f>
        <v>0</v>
      </c>
    </row>
    <row r="80" spans="2:14" s="1" customFormat="1" ht="15.75" customHeight="1" x14ac:dyDescent="0.25">
      <c r="B80" s="24" t="s">
        <v>29</v>
      </c>
      <c r="C80" s="21">
        <f>_xll.DBRW($B$3,Input_Prod_03!$D$9,Input_Prod_03!C$11,$M$1,Input_Prod_03!$G$9,Input_Prod_03!$J$9,$E$30,Input_Prod_03!$B80,$K$1)</f>
        <v>0</v>
      </c>
      <c r="D80" s="21">
        <f>_xll.DBRW($B$3,Input_Prod_03!$D$9,Input_Prod_03!D$11,$M$1,Input_Prod_03!$G$9,Input_Prod_03!$J$9,$E$30,Input_Prod_03!$B80,$K$1)</f>
        <v>0</v>
      </c>
      <c r="E80" s="21">
        <f>_xll.DBRW($B$3,Input_Prod_03!$D$9,Input_Prod_03!E$11,$M$1,Input_Prod_03!$G$9,Input_Prod_03!$J$9,$E$30,Input_Prod_03!$B80,$K$1)</f>
        <v>0</v>
      </c>
      <c r="F80" s="21">
        <f>_xll.DBRW($B$3,Input_Prod_03!$D$9,Input_Prod_03!F$11,$M$1,Input_Prod_03!$G$9,Input_Prod_03!$J$9,$E$30,Input_Prod_03!$B80,$K$1)</f>
        <v>0</v>
      </c>
      <c r="G80" s="21">
        <f>_xll.DBRW($B$3,Input_Prod_03!$D$9,Input_Prod_03!G$11,$M$1,Input_Prod_03!$G$9,Input_Prod_03!$J$9,$E$30,Input_Prod_03!$B80,$K$1)</f>
        <v>0</v>
      </c>
      <c r="H80" s="21">
        <f>_xll.DBRW($B$3,Input_Prod_03!$D$9,Input_Prod_03!H$11,$M$1,Input_Prod_03!$G$9,Input_Prod_03!$J$9,$E$30,Input_Prod_03!$B80,$K$1)</f>
        <v>0</v>
      </c>
      <c r="I80" s="21">
        <f>_xll.DBRW($B$3,Input_Prod_03!$D$9,Input_Prod_03!I$11,$M$1,Input_Prod_03!$G$9,Input_Prod_03!$J$9,$E$30,Input_Prod_03!$B80,$K$1)</f>
        <v>0</v>
      </c>
      <c r="J80" s="21">
        <f>_xll.DBRW($B$3,Input_Prod_03!$D$9,Input_Prod_03!J$11,$M$1,Input_Prod_03!$G$9,Input_Prod_03!$J$9,$E$30,Input_Prod_03!$B80,$K$1)</f>
        <v>0</v>
      </c>
      <c r="K80" s="21">
        <f>_xll.DBRW($B$3,Input_Prod_03!$D$9,Input_Prod_03!K$11,$M$1,Input_Prod_03!$G$9,Input_Prod_03!$J$9,$E$30,Input_Prod_03!$B80,$K$1)</f>
        <v>0</v>
      </c>
      <c r="L80" s="21">
        <f>_xll.DBRW($B$3,Input_Prod_03!$D$9,Input_Prod_03!L$11,$M$1,Input_Prod_03!$G$9,Input_Prod_03!$J$9,$E$30,Input_Prod_03!$B80,$K$1)</f>
        <v>0</v>
      </c>
      <c r="M80" s="21">
        <f>_xll.DBRW($B$3,Input_Prod_03!$D$9,Input_Prod_03!M$11,$M$1,Input_Prod_03!$G$9,Input_Prod_03!$J$9,$E$30,Input_Prod_03!$B80,$K$1)</f>
        <v>0</v>
      </c>
      <c r="N80" s="21">
        <f>_xll.DBRW($B$3,Input_Prod_03!$D$9,Input_Prod_03!N$11,$M$1,Input_Prod_03!$G$9,Input_Prod_03!$J$9,$E$30,Input_Prod_03!$B80,$K$1)</f>
        <v>0</v>
      </c>
    </row>
    <row r="81" spans="2:14" s="1" customFormat="1" ht="15.75" customHeight="1" x14ac:dyDescent="0.25">
      <c r="B81" s="24" t="s">
        <v>77</v>
      </c>
      <c r="C81" s="21">
        <f>_xll.DBRW($B$3,Input_Prod_03!$D$9,Input_Prod_03!C$11,$M$1,Input_Prod_03!$G$9,Input_Prod_03!$J$9,$E$30,Input_Prod_03!$B81,$K$1)</f>
        <v>4.5543272198815101</v>
      </c>
      <c r="D81" s="21">
        <f>_xll.DBRW($B$3,Input_Prod_03!$D$9,Input_Prod_03!D$11,$M$1,Input_Prod_03!$G$9,Input_Prod_03!$J$9,$E$30,Input_Prod_03!$B81,$K$1)</f>
        <v>5.7622666141656955</v>
      </c>
      <c r="E81" s="21">
        <f>_xll.DBRW($B$3,Input_Prod_03!$D$9,Input_Prod_03!E$11,$M$1,Input_Prod_03!$G$9,Input_Prod_03!$J$9,$E$30,Input_Prod_03!$B81,$K$1)</f>
        <v>8.746296789407058</v>
      </c>
      <c r="F81" s="21">
        <f>_xll.DBRW($B$3,Input_Prod_03!$D$9,Input_Prod_03!F$11,$M$1,Input_Prod_03!$G$9,Input_Prod_03!$J$9,$E$30,Input_Prod_03!$B81,$K$1)</f>
        <v>11.841364780830428</v>
      </c>
      <c r="G81" s="21">
        <f>_xll.DBRW($B$3,Input_Prod_03!$D$9,Input_Prod_03!G$11,$M$1,Input_Prod_03!$G$9,Input_Prod_03!$J$9,$E$30,Input_Prod_03!$B81,$K$1)</f>
        <v>14.742495598342339</v>
      </c>
      <c r="H81" s="21">
        <f>_xll.DBRW($B$3,Input_Prod_03!$D$9,Input_Prod_03!H$11,$M$1,Input_Prod_03!$G$9,Input_Prod_03!$J$9,$E$30,Input_Prod_03!$B81,$K$1)</f>
        <v>16.110621056289791</v>
      </c>
      <c r="I81" s="21">
        <f>_xll.DBRW($B$3,Input_Prod_03!$D$9,Input_Prod_03!I$11,$M$1,Input_Prod_03!$G$9,Input_Prod_03!$J$9,$E$30,Input_Prod_03!$B81,$K$1)</f>
        <v>16.370244912355719</v>
      </c>
      <c r="J81" s="21">
        <f>_xll.DBRW($B$3,Input_Prod_03!$D$9,Input_Prod_03!J$11,$M$1,Input_Prod_03!$G$9,Input_Prod_03!$J$9,$E$30,Input_Prod_03!$B81,$K$1)</f>
        <v>16.588313178127489</v>
      </c>
      <c r="K81" s="21">
        <f>_xll.DBRW($B$3,Input_Prod_03!$D$9,Input_Prod_03!K$11,$M$1,Input_Prod_03!$G$9,Input_Prod_03!$J$9,$E$30,Input_Prod_03!$B81,$K$1)</f>
        <v>16.795431281235771</v>
      </c>
      <c r="L81" s="21">
        <f>_xll.DBRW($B$3,Input_Prod_03!$D$9,Input_Prod_03!L$11,$M$1,Input_Prod_03!$G$9,Input_Prod_03!$J$9,$E$30,Input_Prod_03!$B81,$K$1)</f>
        <v>15.979950095149841</v>
      </c>
      <c r="M81" s="21">
        <f>_xll.DBRW($B$3,Input_Prod_03!$D$9,Input_Prod_03!M$11,$M$1,Input_Prod_03!$G$9,Input_Prod_03!$J$9,$E$30,Input_Prod_03!$B81,$K$1)</f>
        <v>11.728817078676805</v>
      </c>
      <c r="N81" s="21">
        <f>_xll.DBRW($B$3,Input_Prod_03!$D$9,Input_Prod_03!N$11,$M$1,Input_Prod_03!$G$9,Input_Prod_03!$J$9,$E$30,Input_Prod_03!$B81,$K$1)</f>
        <v>6.621605310471856</v>
      </c>
    </row>
    <row r="84" spans="2:14" s="1" customFormat="1" ht="15.75" customHeight="1" x14ac:dyDescent="0.25">
      <c r="B84" s="9" t="s">
        <v>80</v>
      </c>
    </row>
    <row r="86" spans="2:14" s="1" customFormat="1" ht="15.75" customHeight="1" x14ac:dyDescent="0.25">
      <c r="B86" s="5"/>
      <c r="C86" s="18" t="str">
        <f t="shared" ref="C86:N86" si="6">$D$9&amp;"."&amp;C$11</f>
        <v>2026.01</v>
      </c>
      <c r="D86" s="18" t="str">
        <f t="shared" si="6"/>
        <v>2026.02</v>
      </c>
      <c r="E86" s="18" t="str">
        <f t="shared" si="6"/>
        <v>2026.03</v>
      </c>
      <c r="F86" s="18" t="str">
        <f t="shared" si="6"/>
        <v>2026.04</v>
      </c>
      <c r="G86" s="18" t="str">
        <f t="shared" si="6"/>
        <v>2026.05</v>
      </c>
      <c r="H86" s="18" t="str">
        <f t="shared" si="6"/>
        <v>2026.06</v>
      </c>
      <c r="I86" s="18" t="str">
        <f t="shared" si="6"/>
        <v>2026.07</v>
      </c>
      <c r="J86" s="18" t="str">
        <f t="shared" si="6"/>
        <v>2026.08</v>
      </c>
      <c r="K86" s="18" t="str">
        <f t="shared" si="6"/>
        <v>2026.09</v>
      </c>
      <c r="L86" s="18" t="str">
        <f t="shared" si="6"/>
        <v>2026.10</v>
      </c>
      <c r="M86" s="18" t="str">
        <f t="shared" si="6"/>
        <v>2026.11</v>
      </c>
      <c r="N86" s="18" t="str">
        <f t="shared" si="6"/>
        <v>2026.12</v>
      </c>
    </row>
    <row r="87" spans="2:14" s="1" customFormat="1" ht="15.75" customHeight="1" x14ac:dyDescent="0.25">
      <c r="B87" s="25" t="s">
        <v>79</v>
      </c>
      <c r="C87" s="26">
        <f>_xll.DBRW($C$1,Input_Prod_03!$D$9,Input_Prod_03!C$11,$M$1,$J$9,Input_Prod_03!$B87,$K$1)</f>
        <v>0.17</v>
      </c>
      <c r="D87" s="26">
        <f>_xll.DBRW($C$1,Input_Prod_03!$D$9,Input_Prod_03!D$11,$M$1,$J$9,Input_Prod_03!$B87,$K$1)</f>
        <v>0.17</v>
      </c>
      <c r="E87" s="26">
        <f>_xll.DBRW($C$1,Input_Prod_03!$D$9,Input_Prod_03!E$11,$M$1,$J$9,Input_Prod_03!$B87,$K$1)</f>
        <v>0.17</v>
      </c>
      <c r="F87" s="26">
        <f>_xll.DBRW($C$1,Input_Prod_03!$D$9,Input_Prod_03!F$11,$M$1,$J$9,Input_Prod_03!$B87,$K$1)</f>
        <v>0.17</v>
      </c>
      <c r="G87" s="26">
        <f>_xll.DBRW($C$1,Input_Prod_03!$D$9,Input_Prod_03!G$11,$M$1,$J$9,Input_Prod_03!$B87,$K$1)</f>
        <v>0.17</v>
      </c>
      <c r="H87" s="26">
        <f>_xll.DBRW($C$1,Input_Prod_03!$D$9,Input_Prod_03!H$11,$M$1,$J$9,Input_Prod_03!$B87,$K$1)</f>
        <v>0.17</v>
      </c>
      <c r="I87" s="26">
        <f>_xll.DBRW($C$1,Input_Prod_03!$D$9,Input_Prod_03!I$11,$M$1,$J$9,Input_Prod_03!$B87,$K$1)</f>
        <v>0.17</v>
      </c>
      <c r="J87" s="26">
        <f>_xll.DBRW($C$1,Input_Prod_03!$D$9,Input_Prod_03!J$11,$M$1,$J$9,Input_Prod_03!$B87,$K$1)</f>
        <v>0.17</v>
      </c>
      <c r="K87" s="26">
        <f>_xll.DBRW($C$1,Input_Prod_03!$D$9,Input_Prod_03!K$11,$M$1,$J$9,Input_Prod_03!$B87,$K$1)</f>
        <v>0.17</v>
      </c>
      <c r="L87" s="26">
        <f>_xll.DBRW($C$1,Input_Prod_03!$D$9,Input_Prod_03!L$11,$M$1,$J$9,Input_Prod_03!$B87,$K$1)</f>
        <v>0.17</v>
      </c>
      <c r="M87" s="26">
        <f>_xll.DBRW($C$1,Input_Prod_03!$D$9,Input_Prod_03!M$11,$M$1,$J$9,Input_Prod_03!$B87,$K$1)</f>
        <v>0.17</v>
      </c>
      <c r="N87" s="26">
        <f>_xll.DBRW($C$1,Input_Prod_03!$D$9,Input_Prod_03!N$11,$M$1,$J$9,Input_Prod_03!$B87,$K$1)</f>
        <v>0.17</v>
      </c>
    </row>
    <row r="88" spans="2:14" s="1" customFormat="1" ht="15.75" customHeight="1" x14ac:dyDescent="0.25">
      <c r="B88" s="24" t="s">
        <v>81</v>
      </c>
      <c r="C88" s="21">
        <f>_xll.DBRW($B$3,Input_Prod_03!$D$9,Input_Prod_03!C$11,$M$1,Input_Prod_03!$G$9,Input_Prod_03!$J$9,$E$30,Input_Prod_03!$B88,$K$1)</f>
        <v>0.77423562737985674</v>
      </c>
      <c r="D88" s="21">
        <f>_xll.DBRW($B$3,Input_Prod_03!$D$9,Input_Prod_03!D$11,$M$1,Input_Prod_03!$G$9,Input_Prod_03!$J$9,$E$30,Input_Prod_03!$B88,$K$1)</f>
        <v>0.97958532440816826</v>
      </c>
      <c r="E88" s="21">
        <f>_xll.DBRW($B$3,Input_Prod_03!$D$9,Input_Prod_03!E$11,$M$1,Input_Prod_03!$G$9,Input_Prod_03!$J$9,$E$30,Input_Prod_03!$B88,$K$1)</f>
        <v>1.4868704541991999</v>
      </c>
      <c r="F88" s="21">
        <f>_xll.DBRW($B$3,Input_Prod_03!$D$9,Input_Prod_03!F$11,$M$1,Input_Prod_03!$G$9,Input_Prod_03!$J$9,$E$30,Input_Prod_03!$B88,$K$1)</f>
        <v>2.0130320127411729</v>
      </c>
      <c r="G88" s="21">
        <f>_xll.DBRW($B$3,Input_Prod_03!$D$9,Input_Prod_03!G$11,$M$1,Input_Prod_03!$G$9,Input_Prod_03!$J$9,$E$30,Input_Prod_03!$B88,$K$1)</f>
        <v>2.5062242517181978</v>
      </c>
      <c r="H88" s="21">
        <f>_xll.DBRW($B$3,Input_Prod_03!$D$9,Input_Prod_03!H$11,$M$1,Input_Prod_03!$G$9,Input_Prod_03!$J$9,$E$30,Input_Prod_03!$B88,$K$1)</f>
        <v>2.7388055795692647</v>
      </c>
      <c r="I88" s="21">
        <f>_xll.DBRW($B$3,Input_Prod_03!$D$9,Input_Prod_03!I$11,$M$1,Input_Prod_03!$G$9,Input_Prod_03!$J$9,$E$30,Input_Prod_03!$B88,$K$1)</f>
        <v>2.7829416351004723</v>
      </c>
      <c r="J88" s="21">
        <f>_xll.DBRW($B$3,Input_Prod_03!$D$9,Input_Prod_03!J$11,$M$1,Input_Prod_03!$G$9,Input_Prod_03!$J$9,$E$30,Input_Prod_03!$B88,$K$1)</f>
        <v>2.8200132402816735</v>
      </c>
      <c r="K88" s="21">
        <f>_xll.DBRW($B$3,Input_Prod_03!$D$9,Input_Prod_03!K$11,$M$1,Input_Prod_03!$G$9,Input_Prod_03!$J$9,$E$30,Input_Prod_03!$B88,$K$1)</f>
        <v>2.8552233178100814</v>
      </c>
      <c r="L88" s="21">
        <f>_xll.DBRW($B$3,Input_Prod_03!$D$9,Input_Prod_03!L$11,$M$1,Input_Prod_03!$G$9,Input_Prod_03!$J$9,$E$30,Input_Prod_03!$B88,$K$1)</f>
        <v>2.7165915161754732</v>
      </c>
      <c r="M88" s="21">
        <f>_xll.DBRW($B$3,Input_Prod_03!$D$9,Input_Prod_03!M$11,$M$1,Input_Prod_03!$G$9,Input_Prod_03!$J$9,$E$30,Input_Prod_03!$B88,$K$1)</f>
        <v>1.9938989033750569</v>
      </c>
      <c r="N88" s="21">
        <f>_xll.DBRW($B$3,Input_Prod_03!$D$9,Input_Prod_03!N$11,$M$1,Input_Prod_03!$G$9,Input_Prod_03!$J$9,$E$30,Input_Prod_03!$B88,$K$1)</f>
        <v>1.1256729027802157</v>
      </c>
    </row>
    <row r="89" spans="2:14" s="1" customFormat="1" ht="15.75" customHeight="1" x14ac:dyDescent="0.25">
      <c r="B89" s="24" t="s">
        <v>80</v>
      </c>
      <c r="C89" s="21">
        <f>_xll.DBRW($B$3,Input_Prod_03!$D$9,Input_Prod_03!C$11,$M$1,Input_Prod_03!$G$9,Input_Prod_03!$J$9,$E$30,Input_Prod_03!$B89,$K$1)</f>
        <v>3.7800915925016536</v>
      </c>
      <c r="D89" s="21">
        <f>_xll.DBRW($B$3,Input_Prod_03!$D$9,Input_Prod_03!D$11,$M$1,Input_Prod_03!$G$9,Input_Prod_03!$J$9,$E$30,Input_Prod_03!$B89,$K$1)</f>
        <v>4.7826812897575275</v>
      </c>
      <c r="E89" s="21">
        <f>_xll.DBRW($B$3,Input_Prod_03!$D$9,Input_Prod_03!E$11,$M$1,Input_Prod_03!$G$9,Input_Prod_03!$J$9,$E$30,Input_Prod_03!$B89,$K$1)</f>
        <v>7.2594263352078583</v>
      </c>
      <c r="F89" s="21">
        <f>_xll.DBRW($B$3,Input_Prod_03!$D$9,Input_Prod_03!F$11,$M$1,Input_Prod_03!$G$9,Input_Prod_03!$J$9,$E$30,Input_Prod_03!$B89,$K$1)</f>
        <v>9.8283327680892558</v>
      </c>
      <c r="G89" s="21">
        <f>_xll.DBRW($B$3,Input_Prod_03!$D$9,Input_Prod_03!G$11,$M$1,Input_Prod_03!$G$9,Input_Prod_03!$J$9,$E$30,Input_Prod_03!$B89,$K$1)</f>
        <v>12.236271346624141</v>
      </c>
      <c r="H89" s="21">
        <f>_xll.DBRW($B$3,Input_Prod_03!$D$9,Input_Prod_03!H$11,$M$1,Input_Prod_03!$G$9,Input_Prod_03!$J$9,$E$30,Input_Prod_03!$B89,$K$1)</f>
        <v>13.371815476720526</v>
      </c>
      <c r="I89" s="21">
        <f>_xll.DBRW($B$3,Input_Prod_03!$D$9,Input_Prod_03!I$11,$M$1,Input_Prod_03!$G$9,Input_Prod_03!$J$9,$E$30,Input_Prod_03!$B89,$K$1)</f>
        <v>13.587303277255247</v>
      </c>
      <c r="J89" s="21">
        <f>_xll.DBRW($B$3,Input_Prod_03!$D$9,Input_Prod_03!J$11,$M$1,Input_Prod_03!$G$9,Input_Prod_03!$J$9,$E$30,Input_Prod_03!$B89,$K$1)</f>
        <v>13.768299937845816</v>
      </c>
      <c r="K89" s="21">
        <f>_xll.DBRW($B$3,Input_Prod_03!$D$9,Input_Prod_03!K$11,$M$1,Input_Prod_03!$G$9,Input_Prod_03!$J$9,$E$30,Input_Prod_03!$B89,$K$1)</f>
        <v>13.94020796342569</v>
      </c>
      <c r="L89" s="21">
        <f>_xll.DBRW($B$3,Input_Prod_03!$D$9,Input_Prod_03!L$11,$M$1,Input_Prod_03!$G$9,Input_Prod_03!$J$9,$E$30,Input_Prod_03!$B89,$K$1)</f>
        <v>13.263358578974367</v>
      </c>
      <c r="M89" s="21">
        <f>_xll.DBRW($B$3,Input_Prod_03!$D$9,Input_Prod_03!M$11,$M$1,Input_Prod_03!$G$9,Input_Prod_03!$J$9,$E$30,Input_Prod_03!$B89,$K$1)</f>
        <v>9.7349181753017486</v>
      </c>
      <c r="N89" s="21">
        <f>_xll.DBRW($B$3,Input_Prod_03!$D$9,Input_Prod_03!N$11,$M$1,Input_Prod_03!$G$9,Input_Prod_03!$J$9,$E$30,Input_Prod_03!$B89,$K$1)</f>
        <v>5.4959324076916403</v>
      </c>
    </row>
  </sheetData>
  <mergeCells count="2">
    <mergeCell ref="L7:M7"/>
    <mergeCell ref="E30:G30"/>
  </mergeCells>
  <conditionalFormatting sqref="C13:N27">
    <cfRule type="expression" dxfId="33" priority="10">
      <formula>C$5="ACTUAL"</formula>
    </cfRule>
  </conditionalFormatting>
  <conditionalFormatting sqref="C34:N40">
    <cfRule type="expression" dxfId="32" priority="9">
      <formula>C$5="ACTUAL"</formula>
    </cfRule>
  </conditionalFormatting>
  <conditionalFormatting sqref="C50:N54">
    <cfRule type="expression" dxfId="31" priority="8">
      <formula>C$5="ACTUAL"</formula>
    </cfRule>
  </conditionalFormatting>
  <conditionalFormatting sqref="C61:N61">
    <cfRule type="expression" dxfId="30" priority="7">
      <formula>C$5="ACTUAL"</formula>
    </cfRule>
  </conditionalFormatting>
  <conditionalFormatting sqref="C69:N70">
    <cfRule type="expression" dxfId="29" priority="2">
      <formula>C$5="ACTUAL"</formula>
    </cfRule>
  </conditionalFormatting>
  <conditionalFormatting sqref="C78:N79">
    <cfRule type="expression" dxfId="28" priority="1">
      <formula>C$5="ACTUAL"</formula>
    </cfRule>
  </conditionalFormatting>
  <conditionalFormatting sqref="C87:N87">
    <cfRule type="expression" dxfId="27" priority="5">
      <formula>C$5="ACTUAL"</formula>
    </cfRule>
  </conditionalFormatting>
  <conditionalFormatting sqref="D69:N69">
    <cfRule type="expression" dxfId="26" priority="6">
      <formula>D$5="ACTUAL"</formula>
    </cfRule>
  </conditionalFormatting>
  <conditionalFormatting sqref="N7">
    <cfRule type="cellIs" dxfId="25" priority="3" operator="equal">
      <formula>"Open"</formula>
    </cfRule>
    <cfRule type="cellIs" dxfId="24" priority="4" operator="equal">
      <formula>"Closed"</formula>
    </cfRule>
  </conditionalFormatting>
  <dataValidations count="1">
    <dataValidation type="list" errorStyle="information" allowBlank="1" showInputMessage="1" sqref="D5:N5" xr:uid="{76E6B342-70DA-43ED-B077-EAF76A864B69}">
      <formula1>cafe_validation_temp</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FBAF7-1EFC-4BE6-A346-774B9C897DF2}">
  <dimension ref="A1:X89"/>
  <sheetViews>
    <sheetView showGridLines="0" topLeftCell="A34" zoomScaleNormal="100" workbookViewId="0">
      <selection activeCell="C51" sqref="C51:N51"/>
    </sheetView>
  </sheetViews>
  <sheetFormatPr defaultColWidth="12.42578125" defaultRowHeight="15.75" customHeight="1" x14ac:dyDescent="0.25"/>
  <cols>
    <col min="1" max="1" width="3.28515625" style="1" customWidth="1"/>
    <col min="2" max="2" width="43.42578125" style="1" customWidth="1"/>
    <col min="3" max="3" width="14.140625" style="1" customWidth="1"/>
    <col min="4" max="6" width="17.7109375" style="1" bestFit="1" customWidth="1"/>
    <col min="7" max="7" width="17.5703125" style="1" bestFit="1" customWidth="1"/>
    <col min="8" max="10" width="17.7109375" style="1" bestFit="1" customWidth="1"/>
    <col min="11" max="11" width="18.85546875" style="1" bestFit="1" customWidth="1"/>
    <col min="12" max="13" width="17.7109375" style="1" bestFit="1" customWidth="1"/>
    <col min="14" max="14" width="16.5703125" style="1" customWidth="1"/>
    <col min="15" max="24" width="12.42578125" style="1"/>
  </cols>
  <sheetData>
    <row r="1" spans="2:14" s="1" customFormat="1" ht="19.5" hidden="1" customHeight="1" x14ac:dyDescent="0.25">
      <c r="B1" s="1" t="str">
        <f>_xll.VIEW("CONS_VC:STG.100.DataBase_Uploads",D9)</f>
        <v>CONS_VC:STG.100.DataBase_Uploads:-752698549-1902182206</v>
      </c>
      <c r="C1" s="1" t="str">
        <f>_xll.VIEW("CONS_VC:ALL.015.Region_Assumptions")</f>
        <v>CONS_VC:ALL.015.Region_Assumptions:-752698549258174119</v>
      </c>
      <c r="D1" s="1" t="str">
        <f>_xll.VIEW("CONS_VC:DFS.120.Financial_Results")</f>
        <v>CONS_VC:DFS.120.Financial_Results:-752698549-2066065942</v>
      </c>
      <c r="K1" s="1" t="s">
        <v>72</v>
      </c>
      <c r="L1" s="1" t="s">
        <v>66</v>
      </c>
      <c r="M1" s="12" t="str">
        <f>_xll.SUBNM("CONS_VC:ALL.D.Version","","T4")</f>
        <v>T4</v>
      </c>
      <c r="N1" s="1" t="s">
        <v>73</v>
      </c>
    </row>
    <row r="2" spans="2:14" s="1" customFormat="1" ht="33" hidden="1" customHeight="1" x14ac:dyDescent="0.25">
      <c r="B2" s="1" t="str">
        <f>_xll.VIEW("CONS_VC:REV.100.Revenue_Consolidated")</f>
        <v>CONS_VC:REV.100.Revenue_Consolidated:-752698549-1327645200</v>
      </c>
      <c r="C2" s="1" t="str">
        <f>_xll.VIEW("CONS_VC:ALL.010.Economic_Assumptions")</f>
        <v>CONS_VC:ALL.010.Economic_Assumptions:-752698549181929805</v>
      </c>
      <c r="D2" s="1" t="str">
        <f>_xll.VIEW("CONS_VC:DFS.140.Indirect_Cash_Flow")</f>
        <v>CONS_VC:DFS.140.Indirect_Cash_Flow:-752698549163220048</v>
      </c>
      <c r="K2" s="1" t="s">
        <v>71</v>
      </c>
      <c r="N2" s="1" t="s">
        <v>74</v>
      </c>
    </row>
    <row r="3" spans="2:14" s="1" customFormat="1" ht="29.25" hidden="1" customHeight="1" x14ac:dyDescent="0.25">
      <c r="B3" s="1" t="str">
        <f>_xll.VIEW("CONS_VC:DFS.100.Profit_and_Loss")</f>
        <v>CONS_VC:DFS.100.Profit_and_Loss:-752698549179359388</v>
      </c>
      <c r="C3" s="1" t="str">
        <f>_xll.VIEW("CONS_VC:DFS.160.Working_Capital")</f>
        <v>CONS_VC:DFS.160.Working_Capital:-752698549-1074525749</v>
      </c>
      <c r="D3" s="1" t="str">
        <f>_xll.VIEW("CONS_VC:ALL.004.Uploads_Status_Planning")</f>
        <v>CONS_VC:ALL.004.Uploads_Status_Planning:-7526985491647013994</v>
      </c>
      <c r="G3" s="1" t="s">
        <v>82</v>
      </c>
    </row>
    <row r="4" spans="2:14" s="1" customFormat="1" ht="33" hidden="1" customHeight="1" x14ac:dyDescent="0.25">
      <c r="B4" s="1" t="str">
        <f>_xll.VIEW("CONS_VC:ALL.001.Actual_Control")</f>
        <v>CONS_VC:ALL.001.Actual_Control:-7526985491741876373</v>
      </c>
      <c r="C4" s="1" t="str">
        <f>_xll.VIEW("CONS_VC:DFS.180.Gross_Debt")</f>
        <v>CONS_VC:DFS.180.Gross_Debt:-7526985491637846489</v>
      </c>
    </row>
    <row r="5" spans="2:14" s="1" customFormat="1" ht="30" hidden="1" customHeight="1" x14ac:dyDescent="0.25">
      <c r="C5" s="11" t="str">
        <f>_xll.DBRW(Input_Prod_04!$B$4,Input_Prod_04!$D$9,Input_Prod_04!C11,$M$1,$G$3)</f>
        <v>PLAN</v>
      </c>
      <c r="D5" s="11" t="str">
        <f>_xll.DBRW(Input_Prod_04!$B$4,Input_Prod_04!$D$9,Input_Prod_04!D11,$M$1,$G$3)</f>
        <v>PLAN</v>
      </c>
      <c r="E5" s="11" t="str">
        <f>_xll.DBRW(Input_Prod_04!$B$4,Input_Prod_04!$D$9,Input_Prod_04!E11,$M$1,$G$3)</f>
        <v>PLAN</v>
      </c>
      <c r="F5" s="11" t="str">
        <f>_xll.DBRW(Input_Prod_04!$B$4,Input_Prod_04!$D$9,Input_Prod_04!F11,$M$1,$G$3)</f>
        <v>PLAN</v>
      </c>
      <c r="G5" s="11" t="str">
        <f>_xll.DBRW(Input_Prod_04!$B$4,Input_Prod_04!$D$9,Input_Prod_04!G11,$M$1,$G$3)</f>
        <v>PLAN</v>
      </c>
      <c r="H5" s="11" t="str">
        <f>_xll.DBRW(Input_Prod_04!$B$4,Input_Prod_04!$D$9,Input_Prod_04!H11,$M$1,$G$3)</f>
        <v>PLAN</v>
      </c>
      <c r="I5" s="11" t="str">
        <f>_xll.DBRW(Input_Prod_04!$B$4,Input_Prod_04!$D$9,Input_Prod_04!I11,$M$1,$G$3)</f>
        <v>PLAN</v>
      </c>
      <c r="J5" s="11" t="str">
        <f>_xll.DBRW(Input_Prod_04!$B$4,Input_Prod_04!$D$9,Input_Prod_04!J11,$M$1,$G$3)</f>
        <v>PLAN</v>
      </c>
      <c r="K5" s="11" t="str">
        <f>_xll.DBRW(Input_Prod_04!$B$4,Input_Prod_04!$D$9,Input_Prod_04!K11,$M$1,$G$3)</f>
        <v>PLAN</v>
      </c>
      <c r="L5" s="11" t="str">
        <f>_xll.DBRW(Input_Prod_04!$B$4,Input_Prod_04!$D$9,Input_Prod_04!L11,$M$1,$G$3)</f>
        <v>PLAN</v>
      </c>
      <c r="M5" s="11" t="str">
        <f>_xll.DBRW(Input_Prod_04!$B$4,Input_Prod_04!$D$9,Input_Prod_04!M11,$M$1,$G$3)</f>
        <v>PLAN</v>
      </c>
      <c r="N5" s="11" t="str">
        <f>_xll.DBRW(Input_Prod_04!$B$4,Input_Prod_04!$D$9,Input_Prod_04!N11,$M$1,$G$3)</f>
        <v>PLAN</v>
      </c>
    </row>
    <row r="6" spans="2:14" s="1" customFormat="1" ht="19.5" customHeight="1" x14ac:dyDescent="0.25"/>
    <row r="7" spans="2:14" s="1" customFormat="1" ht="24" customHeight="1" thickBot="1" x14ac:dyDescent="0.3">
      <c r="B7" s="10"/>
      <c r="L7" s="49" t="s">
        <v>145</v>
      </c>
      <c r="M7" s="49"/>
      <c r="N7" s="29" t="str">
        <f>_xll.DBRW($D$3,$M$1,$J$9,"Status")</f>
        <v>Closed</v>
      </c>
    </row>
    <row r="8" spans="2:14" s="1" customFormat="1" ht="15.75" customHeight="1" thickTop="1" x14ac:dyDescent="0.25">
      <c r="B8" s="9" t="s">
        <v>0</v>
      </c>
      <c r="M8" s="28"/>
    </row>
    <row r="9" spans="2:14" s="1" customFormat="1" ht="15.75" customHeight="1" thickBot="1" x14ac:dyDescent="0.3">
      <c r="C9" s="19" t="s">
        <v>67</v>
      </c>
      <c r="D9" s="35" t="str">
        <f>_xll.SUBNM("CONS_VC:ALL.D.Year","SYS_Picklist","2026","MEMBER_NAME")</f>
        <v>2026</v>
      </c>
      <c r="F9" s="19" t="s">
        <v>68</v>
      </c>
      <c r="G9" s="35" t="str">
        <f>_xll.SUBNM("CONS_VC:ALL.D.Currency","PAX","USD","Nome alternativo")</f>
        <v>USD</v>
      </c>
      <c r="I9" s="28" t="s">
        <v>69</v>
      </c>
      <c r="J9" s="35" t="str">
        <f>_xll.SUBNM("CONS_VC:ALL.D.Region","Nível 0","VCNA","MEMBER_NAME")</f>
        <v>VCNA</v>
      </c>
    </row>
    <row r="10" spans="2:14" s="1" customFormat="1" ht="15.75" customHeight="1" thickTop="1" x14ac:dyDescent="0.25">
      <c r="B10" s="9"/>
      <c r="C10" s="13"/>
      <c r="D10" s="14"/>
    </row>
    <row r="11" spans="2:14" s="1" customFormat="1" ht="45" hidden="1" customHeight="1" x14ac:dyDescent="0.25">
      <c r="C11" s="15" t="s">
        <v>46</v>
      </c>
      <c r="D11" s="15" t="s">
        <v>47</v>
      </c>
      <c r="E11" s="15" t="s">
        <v>48</v>
      </c>
      <c r="F11" s="15" t="s">
        <v>49</v>
      </c>
      <c r="G11" s="15" t="s">
        <v>50</v>
      </c>
      <c r="H11" s="15" t="s">
        <v>51</v>
      </c>
      <c r="I11" s="15" t="s">
        <v>52</v>
      </c>
      <c r="J11" s="15" t="s">
        <v>53</v>
      </c>
      <c r="K11" s="15" t="s">
        <v>54</v>
      </c>
      <c r="L11" s="15" t="s">
        <v>55</v>
      </c>
      <c r="M11" s="15" t="s">
        <v>56</v>
      </c>
      <c r="N11" s="15" t="s">
        <v>57</v>
      </c>
    </row>
    <row r="12" spans="2:14" s="4" customFormat="1" ht="15.75" customHeight="1" x14ac:dyDescent="0.25">
      <c r="B12" s="5"/>
      <c r="C12" s="18" t="str">
        <f>$D$9&amp;"."&amp;C11</f>
        <v>2026.01</v>
      </c>
      <c r="D12" s="18" t="str">
        <f t="shared" ref="D12:N12" si="0">$D$9&amp;"."&amp;D11</f>
        <v>2026.02</v>
      </c>
      <c r="E12" s="18" t="str">
        <f t="shared" si="0"/>
        <v>2026.03</v>
      </c>
      <c r="F12" s="18" t="str">
        <f t="shared" si="0"/>
        <v>2026.04</v>
      </c>
      <c r="G12" s="18" t="str">
        <f t="shared" si="0"/>
        <v>2026.05</v>
      </c>
      <c r="H12" s="18" t="str">
        <f t="shared" si="0"/>
        <v>2026.06</v>
      </c>
      <c r="I12" s="18" t="str">
        <f t="shared" si="0"/>
        <v>2026.07</v>
      </c>
      <c r="J12" s="18" t="str">
        <f t="shared" si="0"/>
        <v>2026.08</v>
      </c>
      <c r="K12" s="18" t="str">
        <f t="shared" si="0"/>
        <v>2026.09</v>
      </c>
      <c r="L12" s="18" t="str">
        <f t="shared" si="0"/>
        <v>2026.10</v>
      </c>
      <c r="M12" s="18" t="str">
        <f t="shared" si="0"/>
        <v>2026.11</v>
      </c>
      <c r="N12" s="18" t="str">
        <f t="shared" si="0"/>
        <v>2026.12</v>
      </c>
    </row>
    <row r="13" spans="2:14" s="1" customFormat="1" ht="15.75" customHeight="1" x14ac:dyDescent="0.25">
      <c r="B13" s="17" t="s">
        <v>1</v>
      </c>
      <c r="C13" s="27">
        <f>_xll.DBRW($C$2,Input_Prod_04!$D$9,Input_Prod_04!$C$11,$M$1,$B13,$K$1)</f>
        <v>0</v>
      </c>
      <c r="D13" s="27">
        <f>_xll.DBRW($C$2,Input_Prod_04!$D$9,Input_Prod_04!$C$11,$M$1,$B13,$K$1)</f>
        <v>0</v>
      </c>
      <c r="E13" s="27">
        <f>_xll.DBRW($C$2,Input_Prod_04!$D$9,Input_Prod_04!$C$11,$M$1,$B13,$K$1)</f>
        <v>0</v>
      </c>
      <c r="F13" s="27">
        <f>_xll.DBRW($C$2,Input_Prod_04!$D$9,Input_Prod_04!$C$11,$M$1,$B13,$K$1)</f>
        <v>0</v>
      </c>
      <c r="G13" s="27">
        <f>_xll.DBRW($C$2,Input_Prod_04!$D$9,Input_Prod_04!$C$11,$M$1,$B13,$K$1)</f>
        <v>0</v>
      </c>
      <c r="H13" s="27">
        <f>_xll.DBRW($C$2,Input_Prod_04!$D$9,Input_Prod_04!$C$11,$M$1,$B13,$K$1)</f>
        <v>0</v>
      </c>
      <c r="I13" s="27">
        <f>_xll.DBRW($C$2,Input_Prod_04!$D$9,Input_Prod_04!$C$11,$M$1,$B13,$K$1)</f>
        <v>0</v>
      </c>
      <c r="J13" s="27">
        <f>_xll.DBRW($C$2,Input_Prod_04!$D$9,Input_Prod_04!$C$11,$M$1,$B13,$K$1)</f>
        <v>0</v>
      </c>
      <c r="K13" s="27">
        <f>_xll.DBRW($C$2,Input_Prod_04!$D$9,Input_Prod_04!$C$11,$M$1,$B13,$K$1)</f>
        <v>0</v>
      </c>
      <c r="L13" s="27">
        <f>_xll.DBRW($C$2,Input_Prod_04!$D$9,Input_Prod_04!$C$11,$M$1,$B13,$K$1)</f>
        <v>0</v>
      </c>
      <c r="M13" s="27">
        <f>_xll.DBRW($C$2,Input_Prod_04!$D$9,Input_Prod_04!$C$11,$M$1,$B13,$K$1)</f>
        <v>0</v>
      </c>
      <c r="N13" s="27">
        <f>_xll.DBRW($C$2,Input_Prod_04!$D$9,Input_Prod_04!$C$11,$M$1,$B13,$K$1)</f>
        <v>0</v>
      </c>
    </row>
    <row r="14" spans="2:14" s="1" customFormat="1" ht="15.75" customHeight="1" x14ac:dyDescent="0.25">
      <c r="B14" s="17" t="s">
        <v>2</v>
      </c>
      <c r="C14" s="27">
        <f>_xll.DBRW($C$2,Input_Prod_04!$D$9,Input_Prod_04!$C$11,$M$1,$B14,$K$1)</f>
        <v>0</v>
      </c>
      <c r="D14" s="27">
        <f>_xll.DBRW($C$2,Input_Prod_04!$D$9,Input_Prod_04!$C$11,$M$1,$B14,$K$1)</f>
        <v>0</v>
      </c>
      <c r="E14" s="27">
        <f>_xll.DBRW($C$2,Input_Prod_04!$D$9,Input_Prod_04!$C$11,$M$1,$B14,$K$1)</f>
        <v>0</v>
      </c>
      <c r="F14" s="27">
        <f>_xll.DBRW($C$2,Input_Prod_04!$D$9,Input_Prod_04!$C$11,$M$1,$B14,$K$1)</f>
        <v>0</v>
      </c>
      <c r="G14" s="27">
        <f>_xll.DBRW($C$2,Input_Prod_04!$D$9,Input_Prod_04!$C$11,$M$1,$B14,$K$1)</f>
        <v>0</v>
      </c>
      <c r="H14" s="27">
        <f>_xll.DBRW($C$2,Input_Prod_04!$D$9,Input_Prod_04!$C$11,$M$1,$B14,$K$1)</f>
        <v>0</v>
      </c>
      <c r="I14" s="27">
        <f>_xll.DBRW($C$2,Input_Prod_04!$D$9,Input_Prod_04!$C$11,$M$1,$B14,$K$1)</f>
        <v>0</v>
      </c>
      <c r="J14" s="27">
        <f>_xll.DBRW($C$2,Input_Prod_04!$D$9,Input_Prod_04!$C$11,$M$1,$B14,$K$1)</f>
        <v>0</v>
      </c>
      <c r="K14" s="27">
        <f>_xll.DBRW($C$2,Input_Prod_04!$D$9,Input_Prod_04!$C$11,$M$1,$B14,$K$1)</f>
        <v>0</v>
      </c>
      <c r="L14" s="27">
        <f>_xll.DBRW($C$2,Input_Prod_04!$D$9,Input_Prod_04!$C$11,$M$1,$B14,$K$1)</f>
        <v>0</v>
      </c>
      <c r="M14" s="27">
        <f>_xll.DBRW($C$2,Input_Prod_04!$D$9,Input_Prod_04!$C$11,$M$1,$B14,$K$1)</f>
        <v>0</v>
      </c>
      <c r="N14" s="27">
        <f>_xll.DBRW($C$2,Input_Prod_04!$D$9,Input_Prod_04!$C$11,$M$1,$B14,$K$1)</f>
        <v>0</v>
      </c>
    </row>
    <row r="15" spans="2:14" s="1" customFormat="1" ht="15.75" customHeight="1" x14ac:dyDescent="0.25">
      <c r="B15" s="17" t="s">
        <v>3</v>
      </c>
      <c r="C15" s="27">
        <f>_xll.DBRW($C$2,Input_Prod_04!$D$9,Input_Prod_04!$C$11,$M$1,$B15,$K$1)</f>
        <v>0</v>
      </c>
      <c r="D15" s="27">
        <f>_xll.DBRW($C$2,Input_Prod_04!$D$9,Input_Prod_04!$C$11,$M$1,$B15,$K$1)</f>
        <v>0</v>
      </c>
      <c r="E15" s="27">
        <f>_xll.DBRW($C$2,Input_Prod_04!$D$9,Input_Prod_04!$C$11,$M$1,$B15,$K$1)</f>
        <v>0</v>
      </c>
      <c r="F15" s="27">
        <f>_xll.DBRW($C$2,Input_Prod_04!$D$9,Input_Prod_04!$C$11,$M$1,$B15,$K$1)</f>
        <v>0</v>
      </c>
      <c r="G15" s="27">
        <f>_xll.DBRW($C$2,Input_Prod_04!$D$9,Input_Prod_04!$C$11,$M$1,$B15,$K$1)</f>
        <v>0</v>
      </c>
      <c r="H15" s="27">
        <f>_xll.DBRW($C$2,Input_Prod_04!$D$9,Input_Prod_04!$C$11,$M$1,$B15,$K$1)</f>
        <v>0</v>
      </c>
      <c r="I15" s="27">
        <f>_xll.DBRW($C$2,Input_Prod_04!$D$9,Input_Prod_04!$C$11,$M$1,$B15,$K$1)</f>
        <v>0</v>
      </c>
      <c r="J15" s="27">
        <f>_xll.DBRW($C$2,Input_Prod_04!$D$9,Input_Prod_04!$C$11,$M$1,$B15,$K$1)</f>
        <v>0</v>
      </c>
      <c r="K15" s="27">
        <f>_xll.DBRW($C$2,Input_Prod_04!$D$9,Input_Prod_04!$C$11,$M$1,$B15,$K$1)</f>
        <v>0</v>
      </c>
      <c r="L15" s="27">
        <f>_xll.DBRW($C$2,Input_Prod_04!$D$9,Input_Prod_04!$C$11,$M$1,$B15,$K$1)</f>
        <v>0</v>
      </c>
      <c r="M15" s="27">
        <f>_xll.DBRW($C$2,Input_Prod_04!$D$9,Input_Prod_04!$C$11,$M$1,$B15,$K$1)</f>
        <v>0</v>
      </c>
      <c r="N15" s="27">
        <f>_xll.DBRW($C$2,Input_Prod_04!$D$9,Input_Prod_04!$C$11,$M$1,$B15,$K$1)</f>
        <v>0</v>
      </c>
    </row>
    <row r="16" spans="2:14" s="1" customFormat="1" ht="15.75" customHeight="1" x14ac:dyDescent="0.25">
      <c r="B16" s="17" t="s">
        <v>4</v>
      </c>
      <c r="C16" s="27">
        <f>_xll.DBRW($C$2,Input_Prod_04!$D$9,Input_Prod_04!$C$11,$M$1,$B16,$K$1)</f>
        <v>0</v>
      </c>
      <c r="D16" s="27">
        <f>_xll.DBRW($C$2,Input_Prod_04!$D$9,Input_Prod_04!$C$11,$M$1,$B16,$K$1)</f>
        <v>0</v>
      </c>
      <c r="E16" s="27">
        <f>_xll.DBRW($C$2,Input_Prod_04!$D$9,Input_Prod_04!$C$11,$M$1,$B16,$K$1)</f>
        <v>0</v>
      </c>
      <c r="F16" s="27">
        <f>_xll.DBRW($C$2,Input_Prod_04!$D$9,Input_Prod_04!$C$11,$M$1,$B16,$K$1)</f>
        <v>0</v>
      </c>
      <c r="G16" s="27">
        <f>_xll.DBRW($C$2,Input_Prod_04!$D$9,Input_Prod_04!$C$11,$M$1,$B16,$K$1)</f>
        <v>0</v>
      </c>
      <c r="H16" s="27">
        <f>_xll.DBRW($C$2,Input_Prod_04!$D$9,Input_Prod_04!$C$11,$M$1,$B16,$K$1)</f>
        <v>0</v>
      </c>
      <c r="I16" s="27">
        <f>_xll.DBRW($C$2,Input_Prod_04!$D$9,Input_Prod_04!$C$11,$M$1,$B16,$K$1)</f>
        <v>0</v>
      </c>
      <c r="J16" s="27">
        <f>_xll.DBRW($C$2,Input_Prod_04!$D$9,Input_Prod_04!$C$11,$M$1,$B16,$K$1)</f>
        <v>0</v>
      </c>
      <c r="K16" s="27">
        <f>_xll.DBRW($C$2,Input_Prod_04!$D$9,Input_Prod_04!$C$11,$M$1,$B16,$K$1)</f>
        <v>0</v>
      </c>
      <c r="L16" s="27">
        <f>_xll.DBRW($C$2,Input_Prod_04!$D$9,Input_Prod_04!$C$11,$M$1,$B16,$K$1)</f>
        <v>0</v>
      </c>
      <c r="M16" s="27">
        <f>_xll.DBRW($C$2,Input_Prod_04!$D$9,Input_Prod_04!$C$11,$M$1,$B16,$K$1)</f>
        <v>0</v>
      </c>
      <c r="N16" s="27">
        <f>_xll.DBRW($C$2,Input_Prod_04!$D$9,Input_Prod_04!$C$11,$M$1,$B16,$K$1)</f>
        <v>0</v>
      </c>
    </row>
    <row r="17" spans="2:14" s="1" customFormat="1" ht="15.75" customHeight="1" x14ac:dyDescent="0.25">
      <c r="B17" s="17" t="s">
        <v>5</v>
      </c>
      <c r="C17" s="27">
        <f>_xll.DBRW($C$2,Input_Prod_04!$D$9,Input_Prod_04!$C$11,$M$1,$B17,$K$1)</f>
        <v>5</v>
      </c>
      <c r="D17" s="27">
        <f>_xll.DBRW($C$2,Input_Prod_04!$D$9,Input_Prod_04!$C$11,$M$1,$B17,$K$1)</f>
        <v>5</v>
      </c>
      <c r="E17" s="27">
        <f>_xll.DBRW($C$2,Input_Prod_04!$D$9,Input_Prod_04!$C$11,$M$1,$B17,$K$1)</f>
        <v>5</v>
      </c>
      <c r="F17" s="27">
        <f>_xll.DBRW($C$2,Input_Prod_04!$D$9,Input_Prod_04!$C$11,$M$1,$B17,$K$1)</f>
        <v>5</v>
      </c>
      <c r="G17" s="27">
        <f>_xll.DBRW($C$2,Input_Prod_04!$D$9,Input_Prod_04!$C$11,$M$1,$B17,$K$1)</f>
        <v>5</v>
      </c>
      <c r="H17" s="27">
        <f>_xll.DBRW($C$2,Input_Prod_04!$D$9,Input_Prod_04!$C$11,$M$1,$B17,$K$1)</f>
        <v>5</v>
      </c>
      <c r="I17" s="27">
        <f>_xll.DBRW($C$2,Input_Prod_04!$D$9,Input_Prod_04!$C$11,$M$1,$B17,$K$1)</f>
        <v>5</v>
      </c>
      <c r="J17" s="27">
        <f>_xll.DBRW($C$2,Input_Prod_04!$D$9,Input_Prod_04!$C$11,$M$1,$B17,$K$1)</f>
        <v>5</v>
      </c>
      <c r="K17" s="27">
        <f>_xll.DBRW($C$2,Input_Prod_04!$D$9,Input_Prod_04!$C$11,$M$1,$B17,$K$1)</f>
        <v>5</v>
      </c>
      <c r="L17" s="27">
        <f>_xll.DBRW($C$2,Input_Prod_04!$D$9,Input_Prod_04!$C$11,$M$1,$B17,$K$1)</f>
        <v>5</v>
      </c>
      <c r="M17" s="27">
        <f>_xll.DBRW($C$2,Input_Prod_04!$D$9,Input_Prod_04!$C$11,$M$1,$B17,$K$1)</f>
        <v>5</v>
      </c>
      <c r="N17" s="27">
        <f>_xll.DBRW($C$2,Input_Prod_04!$D$9,Input_Prod_04!$C$11,$M$1,$B17,$K$1)</f>
        <v>5</v>
      </c>
    </row>
    <row r="18" spans="2:14" s="1" customFormat="1" ht="15.75" customHeight="1" x14ac:dyDescent="0.25">
      <c r="B18" s="17" t="s">
        <v>6</v>
      </c>
      <c r="C18" s="27">
        <f>_xll.DBRW($C$2,Input_Prod_04!$D$9,Input_Prod_04!$C$11,$M$1,$B18,$K$1)</f>
        <v>0</v>
      </c>
      <c r="D18" s="27">
        <f>_xll.DBRW($C$2,Input_Prod_04!$D$9,Input_Prod_04!$C$11,$M$1,$B18,$K$1)</f>
        <v>0</v>
      </c>
      <c r="E18" s="27">
        <f>_xll.DBRW($C$2,Input_Prod_04!$D$9,Input_Prod_04!$C$11,$M$1,$B18,$K$1)</f>
        <v>0</v>
      </c>
      <c r="F18" s="27">
        <f>_xll.DBRW($C$2,Input_Prod_04!$D$9,Input_Prod_04!$C$11,$M$1,$B18,$K$1)</f>
        <v>0</v>
      </c>
      <c r="G18" s="27">
        <f>_xll.DBRW($C$2,Input_Prod_04!$D$9,Input_Prod_04!$C$11,$M$1,$B18,$K$1)</f>
        <v>0</v>
      </c>
      <c r="H18" s="27">
        <f>_xll.DBRW($C$2,Input_Prod_04!$D$9,Input_Prod_04!$C$11,$M$1,$B18,$K$1)</f>
        <v>0</v>
      </c>
      <c r="I18" s="27">
        <f>_xll.DBRW($C$2,Input_Prod_04!$D$9,Input_Prod_04!$C$11,$M$1,$B18,$K$1)</f>
        <v>0</v>
      </c>
      <c r="J18" s="27">
        <f>_xll.DBRW($C$2,Input_Prod_04!$D$9,Input_Prod_04!$C$11,$M$1,$B18,$K$1)</f>
        <v>0</v>
      </c>
      <c r="K18" s="27">
        <f>_xll.DBRW($C$2,Input_Prod_04!$D$9,Input_Prod_04!$C$11,$M$1,$B18,$K$1)</f>
        <v>0</v>
      </c>
      <c r="L18" s="27">
        <f>_xll.DBRW($C$2,Input_Prod_04!$D$9,Input_Prod_04!$C$11,$M$1,$B18,$K$1)</f>
        <v>0</v>
      </c>
      <c r="M18" s="27">
        <f>_xll.DBRW($C$2,Input_Prod_04!$D$9,Input_Prod_04!$C$11,$M$1,$B18,$K$1)</f>
        <v>0</v>
      </c>
      <c r="N18" s="27">
        <f>_xll.DBRW($C$2,Input_Prod_04!$D$9,Input_Prod_04!$C$11,$M$1,$B18,$K$1)</f>
        <v>0</v>
      </c>
    </row>
    <row r="19" spans="2:14" s="1" customFormat="1" ht="15.75" customHeight="1" x14ac:dyDescent="0.25">
      <c r="B19" s="17" t="s">
        <v>7</v>
      </c>
      <c r="C19" s="27">
        <f>_xll.DBRW($C$2,Input_Prod_04!$D$9,Input_Prod_04!$C$11,$M$1,$B19,$K$1)</f>
        <v>0</v>
      </c>
      <c r="D19" s="27">
        <f>_xll.DBRW($C$2,Input_Prod_04!$D$9,Input_Prod_04!$C$11,$M$1,$B19,$K$1)</f>
        <v>0</v>
      </c>
      <c r="E19" s="27">
        <f>_xll.DBRW($C$2,Input_Prod_04!$D$9,Input_Prod_04!$C$11,$M$1,$B19,$K$1)</f>
        <v>0</v>
      </c>
      <c r="F19" s="27">
        <f>_xll.DBRW($C$2,Input_Prod_04!$D$9,Input_Prod_04!$C$11,$M$1,$B19,$K$1)</f>
        <v>0</v>
      </c>
      <c r="G19" s="27">
        <f>_xll.DBRW($C$2,Input_Prod_04!$D$9,Input_Prod_04!$C$11,$M$1,$B19,$K$1)</f>
        <v>0</v>
      </c>
      <c r="H19" s="27">
        <f>_xll.DBRW($C$2,Input_Prod_04!$D$9,Input_Prod_04!$C$11,$M$1,$B19,$K$1)</f>
        <v>0</v>
      </c>
      <c r="I19" s="27">
        <f>_xll.DBRW($C$2,Input_Prod_04!$D$9,Input_Prod_04!$C$11,$M$1,$B19,$K$1)</f>
        <v>0</v>
      </c>
      <c r="J19" s="27">
        <f>_xll.DBRW($C$2,Input_Prod_04!$D$9,Input_Prod_04!$C$11,$M$1,$B19,$K$1)</f>
        <v>0</v>
      </c>
      <c r="K19" s="27">
        <f>_xll.DBRW($C$2,Input_Prod_04!$D$9,Input_Prod_04!$C$11,$M$1,$B19,$K$1)</f>
        <v>0</v>
      </c>
      <c r="L19" s="27">
        <f>_xll.DBRW($C$2,Input_Prod_04!$D$9,Input_Prod_04!$C$11,$M$1,$B19,$K$1)</f>
        <v>0</v>
      </c>
      <c r="M19" s="27">
        <f>_xll.DBRW($C$2,Input_Prod_04!$D$9,Input_Prod_04!$C$11,$M$1,$B19,$K$1)</f>
        <v>0</v>
      </c>
      <c r="N19" s="27">
        <f>_xll.DBRW($C$2,Input_Prod_04!$D$9,Input_Prod_04!$C$11,$M$1,$B19,$K$1)</f>
        <v>0</v>
      </c>
    </row>
    <row r="20" spans="2:14" s="1" customFormat="1" ht="15.75" customHeight="1" x14ac:dyDescent="0.25">
      <c r="B20" s="17" t="s">
        <v>8</v>
      </c>
      <c r="C20" s="27">
        <f>_xll.DBRW($C$2,Input_Prod_04!$D$9,Input_Prod_04!$C$11,$M$1,$B20,$K$1)</f>
        <v>0</v>
      </c>
      <c r="D20" s="27">
        <f>_xll.DBRW($C$2,Input_Prod_04!$D$9,Input_Prod_04!$C$11,$M$1,$B20,$K$1)</f>
        <v>0</v>
      </c>
      <c r="E20" s="27">
        <f>_xll.DBRW($C$2,Input_Prod_04!$D$9,Input_Prod_04!$C$11,$M$1,$B20,$K$1)</f>
        <v>0</v>
      </c>
      <c r="F20" s="27">
        <f>_xll.DBRW($C$2,Input_Prod_04!$D$9,Input_Prod_04!$C$11,$M$1,$B20,$K$1)</f>
        <v>0</v>
      </c>
      <c r="G20" s="27">
        <f>_xll.DBRW($C$2,Input_Prod_04!$D$9,Input_Prod_04!$C$11,$M$1,$B20,$K$1)</f>
        <v>0</v>
      </c>
      <c r="H20" s="27">
        <f>_xll.DBRW($C$2,Input_Prod_04!$D$9,Input_Prod_04!$C$11,$M$1,$B20,$K$1)</f>
        <v>0</v>
      </c>
      <c r="I20" s="27">
        <f>_xll.DBRW($C$2,Input_Prod_04!$D$9,Input_Prod_04!$C$11,$M$1,$B20,$K$1)</f>
        <v>0</v>
      </c>
      <c r="J20" s="27">
        <f>_xll.DBRW($C$2,Input_Prod_04!$D$9,Input_Prod_04!$C$11,$M$1,$B20,$K$1)</f>
        <v>0</v>
      </c>
      <c r="K20" s="27">
        <f>_xll.DBRW($C$2,Input_Prod_04!$D$9,Input_Prod_04!$C$11,$M$1,$B20,$K$1)</f>
        <v>0</v>
      </c>
      <c r="L20" s="27">
        <f>_xll.DBRW($C$2,Input_Prod_04!$D$9,Input_Prod_04!$C$11,$M$1,$B20,$K$1)</f>
        <v>0</v>
      </c>
      <c r="M20" s="27">
        <f>_xll.DBRW($C$2,Input_Prod_04!$D$9,Input_Prod_04!$C$11,$M$1,$B20,$K$1)</f>
        <v>0</v>
      </c>
      <c r="N20" s="27">
        <f>_xll.DBRW($C$2,Input_Prod_04!$D$9,Input_Prod_04!$C$11,$M$1,$B20,$K$1)</f>
        <v>0</v>
      </c>
    </row>
    <row r="21" spans="2:14" s="1" customFormat="1" ht="15.75" customHeight="1" x14ac:dyDescent="0.25">
      <c r="B21" s="17" t="s">
        <v>9</v>
      </c>
      <c r="C21" s="27">
        <f>_xll.DBRW($C$2,Input_Prod_04!$D$9,Input_Prod_04!$C$11,$M$1,$B21,$K$1)</f>
        <v>0</v>
      </c>
      <c r="D21" s="27">
        <f>_xll.DBRW($C$2,Input_Prod_04!$D$9,Input_Prod_04!$C$11,$M$1,$B21,$K$1)</f>
        <v>0</v>
      </c>
      <c r="E21" s="27">
        <f>_xll.DBRW($C$2,Input_Prod_04!$D$9,Input_Prod_04!$C$11,$M$1,$B21,$K$1)</f>
        <v>0</v>
      </c>
      <c r="F21" s="27">
        <f>_xll.DBRW($C$2,Input_Prod_04!$D$9,Input_Prod_04!$C$11,$M$1,$B21,$K$1)</f>
        <v>0</v>
      </c>
      <c r="G21" s="27">
        <f>_xll.DBRW($C$2,Input_Prod_04!$D$9,Input_Prod_04!$C$11,$M$1,$B21,$K$1)</f>
        <v>0</v>
      </c>
      <c r="H21" s="27">
        <f>_xll.DBRW($C$2,Input_Prod_04!$D$9,Input_Prod_04!$C$11,$M$1,$B21,$K$1)</f>
        <v>0</v>
      </c>
      <c r="I21" s="27">
        <f>_xll.DBRW($C$2,Input_Prod_04!$D$9,Input_Prod_04!$C$11,$M$1,$B21,$K$1)</f>
        <v>0</v>
      </c>
      <c r="J21" s="27">
        <f>_xll.DBRW($C$2,Input_Prod_04!$D$9,Input_Prod_04!$C$11,$M$1,$B21,$K$1)</f>
        <v>0</v>
      </c>
      <c r="K21" s="27">
        <f>_xll.DBRW($C$2,Input_Prod_04!$D$9,Input_Prod_04!$C$11,$M$1,$B21,$K$1)</f>
        <v>0</v>
      </c>
      <c r="L21" s="27">
        <f>_xll.DBRW($C$2,Input_Prod_04!$D$9,Input_Prod_04!$C$11,$M$1,$B21,$K$1)</f>
        <v>0</v>
      </c>
      <c r="M21" s="27">
        <f>_xll.DBRW($C$2,Input_Prod_04!$D$9,Input_Prod_04!$C$11,$M$1,$B21,$K$1)</f>
        <v>0</v>
      </c>
      <c r="N21" s="27">
        <f>_xll.DBRW($C$2,Input_Prod_04!$D$9,Input_Prod_04!$C$11,$M$1,$B21,$K$1)</f>
        <v>0</v>
      </c>
    </row>
    <row r="22" spans="2:14" s="1" customFormat="1" ht="15.75" customHeight="1" x14ac:dyDescent="0.25">
      <c r="B22" s="17" t="s">
        <v>10</v>
      </c>
      <c r="C22" s="27">
        <f>_xll.DBRW($C$2,Input_Prod_04!$D$9,Input_Prod_04!$C$11,$M$1,$B22,$K$1)</f>
        <v>0</v>
      </c>
      <c r="D22" s="27">
        <f>_xll.DBRW($C$2,Input_Prod_04!$D$9,Input_Prod_04!$C$11,$M$1,$B22,$K$1)</f>
        <v>0</v>
      </c>
      <c r="E22" s="27">
        <f>_xll.DBRW($C$2,Input_Prod_04!$D$9,Input_Prod_04!$C$11,$M$1,$B22,$K$1)</f>
        <v>0</v>
      </c>
      <c r="F22" s="27">
        <f>_xll.DBRW($C$2,Input_Prod_04!$D$9,Input_Prod_04!$C$11,$M$1,$B22,$K$1)</f>
        <v>0</v>
      </c>
      <c r="G22" s="27">
        <f>_xll.DBRW($C$2,Input_Prod_04!$D$9,Input_Prod_04!$C$11,$M$1,$B22,$K$1)</f>
        <v>0</v>
      </c>
      <c r="H22" s="27">
        <f>_xll.DBRW($C$2,Input_Prod_04!$D$9,Input_Prod_04!$C$11,$M$1,$B22,$K$1)</f>
        <v>0</v>
      </c>
      <c r="I22" s="27">
        <f>_xll.DBRW($C$2,Input_Prod_04!$D$9,Input_Prod_04!$C$11,$M$1,$B22,$K$1)</f>
        <v>0</v>
      </c>
      <c r="J22" s="27">
        <f>_xll.DBRW($C$2,Input_Prod_04!$D$9,Input_Prod_04!$C$11,$M$1,$B22,$K$1)</f>
        <v>0</v>
      </c>
      <c r="K22" s="27">
        <f>_xll.DBRW($C$2,Input_Prod_04!$D$9,Input_Prod_04!$C$11,$M$1,$B22,$K$1)</f>
        <v>0</v>
      </c>
      <c r="L22" s="27">
        <f>_xll.DBRW($C$2,Input_Prod_04!$D$9,Input_Prod_04!$C$11,$M$1,$B22,$K$1)</f>
        <v>0</v>
      </c>
      <c r="M22" s="27">
        <f>_xll.DBRW($C$2,Input_Prod_04!$D$9,Input_Prod_04!$C$11,$M$1,$B22,$K$1)</f>
        <v>0</v>
      </c>
      <c r="N22" s="27">
        <f>_xll.DBRW($C$2,Input_Prod_04!$D$9,Input_Prod_04!$C$11,$M$1,$B22,$K$1)</f>
        <v>0</v>
      </c>
    </row>
    <row r="23" spans="2:14" s="1" customFormat="1" ht="15.75" customHeight="1" x14ac:dyDescent="0.25">
      <c r="B23" s="17" t="s">
        <v>11</v>
      </c>
      <c r="C23" s="27">
        <f>_xll.DBRW($C$2,Input_Prod_04!$D$9,Input_Prod_04!$C$11,$M$1,$B23,$K$1)</f>
        <v>0</v>
      </c>
      <c r="D23" s="27">
        <f>_xll.DBRW($C$2,Input_Prod_04!$D$9,Input_Prod_04!$C$11,$M$1,$B23,$K$1)</f>
        <v>0</v>
      </c>
      <c r="E23" s="27">
        <f>_xll.DBRW($C$2,Input_Prod_04!$D$9,Input_Prod_04!$C$11,$M$1,$B23,$K$1)</f>
        <v>0</v>
      </c>
      <c r="F23" s="27">
        <f>_xll.DBRW($C$2,Input_Prod_04!$D$9,Input_Prod_04!$C$11,$M$1,$B23,$K$1)</f>
        <v>0</v>
      </c>
      <c r="G23" s="27">
        <f>_xll.DBRW($C$2,Input_Prod_04!$D$9,Input_Prod_04!$C$11,$M$1,$B23,$K$1)</f>
        <v>0</v>
      </c>
      <c r="H23" s="27">
        <f>_xll.DBRW($C$2,Input_Prod_04!$D$9,Input_Prod_04!$C$11,$M$1,$B23,$K$1)</f>
        <v>0</v>
      </c>
      <c r="I23" s="27">
        <f>_xll.DBRW($C$2,Input_Prod_04!$D$9,Input_Prod_04!$C$11,$M$1,$B23,$K$1)</f>
        <v>0</v>
      </c>
      <c r="J23" s="27">
        <f>_xll.DBRW($C$2,Input_Prod_04!$D$9,Input_Prod_04!$C$11,$M$1,$B23,$K$1)</f>
        <v>0</v>
      </c>
      <c r="K23" s="27">
        <f>_xll.DBRW($C$2,Input_Prod_04!$D$9,Input_Prod_04!$C$11,$M$1,$B23,$K$1)</f>
        <v>0</v>
      </c>
      <c r="L23" s="27">
        <f>_xll.DBRW($C$2,Input_Prod_04!$D$9,Input_Prod_04!$C$11,$M$1,$B23,$K$1)</f>
        <v>0</v>
      </c>
      <c r="M23" s="27">
        <f>_xll.DBRW($C$2,Input_Prod_04!$D$9,Input_Prod_04!$C$11,$M$1,$B23,$K$1)</f>
        <v>0</v>
      </c>
      <c r="N23" s="27">
        <f>_xll.DBRW($C$2,Input_Prod_04!$D$9,Input_Prod_04!$C$11,$M$1,$B23,$K$1)</f>
        <v>0</v>
      </c>
    </row>
    <row r="24" spans="2:14" s="1" customFormat="1" ht="15.75" customHeight="1" x14ac:dyDescent="0.25">
      <c r="B24" s="17" t="s">
        <v>12</v>
      </c>
      <c r="C24" s="27">
        <f>_xll.DBRW($C$2,Input_Prod_04!$D$9,Input_Prod_04!$C$11,$M$1,$B24,$K$1)</f>
        <v>0</v>
      </c>
      <c r="D24" s="27">
        <f>_xll.DBRW($C$2,Input_Prod_04!$D$9,Input_Prod_04!$C$11,$M$1,$B24,$K$1)</f>
        <v>0</v>
      </c>
      <c r="E24" s="27">
        <f>_xll.DBRW($C$2,Input_Prod_04!$D$9,Input_Prod_04!$C$11,$M$1,$B24,$K$1)</f>
        <v>0</v>
      </c>
      <c r="F24" s="27">
        <f>_xll.DBRW($C$2,Input_Prod_04!$D$9,Input_Prod_04!$C$11,$M$1,$B24,$K$1)</f>
        <v>0</v>
      </c>
      <c r="G24" s="27">
        <f>_xll.DBRW($C$2,Input_Prod_04!$D$9,Input_Prod_04!$C$11,$M$1,$B24,$K$1)</f>
        <v>0</v>
      </c>
      <c r="H24" s="27">
        <f>_xll.DBRW($C$2,Input_Prod_04!$D$9,Input_Prod_04!$C$11,$M$1,$B24,$K$1)</f>
        <v>0</v>
      </c>
      <c r="I24" s="27">
        <f>_xll.DBRW($C$2,Input_Prod_04!$D$9,Input_Prod_04!$C$11,$M$1,$B24,$K$1)</f>
        <v>0</v>
      </c>
      <c r="J24" s="27">
        <f>_xll.DBRW($C$2,Input_Prod_04!$D$9,Input_Prod_04!$C$11,$M$1,$B24,$K$1)</f>
        <v>0</v>
      </c>
      <c r="K24" s="27">
        <f>_xll.DBRW($C$2,Input_Prod_04!$D$9,Input_Prod_04!$C$11,$M$1,$B24,$K$1)</f>
        <v>0</v>
      </c>
      <c r="L24" s="27">
        <f>_xll.DBRW($C$2,Input_Prod_04!$D$9,Input_Prod_04!$C$11,$M$1,$B24,$K$1)</f>
        <v>0</v>
      </c>
      <c r="M24" s="27">
        <f>_xll.DBRW($C$2,Input_Prod_04!$D$9,Input_Prod_04!$C$11,$M$1,$B24,$K$1)</f>
        <v>0</v>
      </c>
      <c r="N24" s="27">
        <f>_xll.DBRW($C$2,Input_Prod_04!$D$9,Input_Prod_04!$C$11,$M$1,$B24,$K$1)</f>
        <v>0</v>
      </c>
    </row>
    <row r="25" spans="2:14" s="1" customFormat="1" ht="15.75" customHeight="1" x14ac:dyDescent="0.25">
      <c r="B25" s="17" t="s">
        <v>13</v>
      </c>
      <c r="C25" s="27">
        <f>_xll.DBRW($C$2,Input_Prod_04!$D$9,Input_Prod_04!$C$11,$M$1,$B25,$K$1)</f>
        <v>0</v>
      </c>
      <c r="D25" s="27">
        <f>_xll.DBRW($C$2,Input_Prod_04!$D$9,Input_Prod_04!$C$11,$M$1,$B25,$K$1)</f>
        <v>0</v>
      </c>
      <c r="E25" s="27">
        <f>_xll.DBRW($C$2,Input_Prod_04!$D$9,Input_Prod_04!$C$11,$M$1,$B25,$K$1)</f>
        <v>0</v>
      </c>
      <c r="F25" s="27">
        <f>_xll.DBRW($C$2,Input_Prod_04!$D$9,Input_Prod_04!$C$11,$M$1,$B25,$K$1)</f>
        <v>0</v>
      </c>
      <c r="G25" s="27">
        <f>_xll.DBRW($C$2,Input_Prod_04!$D$9,Input_Prod_04!$C$11,$M$1,$B25,$K$1)</f>
        <v>0</v>
      </c>
      <c r="H25" s="27">
        <f>_xll.DBRW($C$2,Input_Prod_04!$D$9,Input_Prod_04!$C$11,$M$1,$B25,$K$1)</f>
        <v>0</v>
      </c>
      <c r="I25" s="27">
        <f>_xll.DBRW($C$2,Input_Prod_04!$D$9,Input_Prod_04!$C$11,$M$1,$B25,$K$1)</f>
        <v>0</v>
      </c>
      <c r="J25" s="27">
        <f>_xll.DBRW($C$2,Input_Prod_04!$D$9,Input_Prod_04!$C$11,$M$1,$B25,$K$1)</f>
        <v>0</v>
      </c>
      <c r="K25" s="27">
        <f>_xll.DBRW($C$2,Input_Prod_04!$D$9,Input_Prod_04!$C$11,$M$1,$B25,$K$1)</f>
        <v>0</v>
      </c>
      <c r="L25" s="27">
        <f>_xll.DBRW($C$2,Input_Prod_04!$D$9,Input_Prod_04!$C$11,$M$1,$B25,$K$1)</f>
        <v>0</v>
      </c>
      <c r="M25" s="27">
        <f>_xll.DBRW($C$2,Input_Prod_04!$D$9,Input_Prod_04!$C$11,$M$1,$B25,$K$1)</f>
        <v>0</v>
      </c>
      <c r="N25" s="27">
        <f>_xll.DBRW($C$2,Input_Prod_04!$D$9,Input_Prod_04!$C$11,$M$1,$B25,$K$1)</f>
        <v>0</v>
      </c>
    </row>
    <row r="26" spans="2:14" s="1" customFormat="1" ht="15.75" customHeight="1" x14ac:dyDescent="0.25">
      <c r="B26" s="17" t="s">
        <v>14</v>
      </c>
      <c r="C26" s="27">
        <f>_xll.DBRW($C$2,Input_Prod_04!$D$9,Input_Prod_04!$C$11,$M$1,$B26,$K$1)</f>
        <v>0</v>
      </c>
      <c r="D26" s="27">
        <f>_xll.DBRW($C$2,Input_Prod_04!$D$9,Input_Prod_04!$C$11,$M$1,$B26,$K$1)</f>
        <v>0</v>
      </c>
      <c r="E26" s="27">
        <f>_xll.DBRW($C$2,Input_Prod_04!$D$9,Input_Prod_04!$C$11,$M$1,$B26,$K$1)</f>
        <v>0</v>
      </c>
      <c r="F26" s="27">
        <f>_xll.DBRW($C$2,Input_Prod_04!$D$9,Input_Prod_04!$C$11,$M$1,$B26,$K$1)</f>
        <v>0</v>
      </c>
      <c r="G26" s="27">
        <f>_xll.DBRW($C$2,Input_Prod_04!$D$9,Input_Prod_04!$C$11,$M$1,$B26,$K$1)</f>
        <v>0</v>
      </c>
      <c r="H26" s="27">
        <f>_xll.DBRW($C$2,Input_Prod_04!$D$9,Input_Prod_04!$C$11,$M$1,$B26,$K$1)</f>
        <v>0</v>
      </c>
      <c r="I26" s="27">
        <f>_xll.DBRW($C$2,Input_Prod_04!$D$9,Input_Prod_04!$C$11,$M$1,$B26,$K$1)</f>
        <v>0</v>
      </c>
      <c r="J26" s="27">
        <f>_xll.DBRW($C$2,Input_Prod_04!$D$9,Input_Prod_04!$C$11,$M$1,$B26,$K$1)</f>
        <v>0</v>
      </c>
      <c r="K26" s="27">
        <f>_xll.DBRW($C$2,Input_Prod_04!$D$9,Input_Prod_04!$C$11,$M$1,$B26,$K$1)</f>
        <v>0</v>
      </c>
      <c r="L26" s="27">
        <f>_xll.DBRW($C$2,Input_Prod_04!$D$9,Input_Prod_04!$C$11,$M$1,$B26,$K$1)</f>
        <v>0</v>
      </c>
      <c r="M26" s="27">
        <f>_xll.DBRW($C$2,Input_Prod_04!$D$9,Input_Prod_04!$C$11,$M$1,$B26,$K$1)</f>
        <v>0</v>
      </c>
      <c r="N26" s="27">
        <f>_xll.DBRW($C$2,Input_Prod_04!$D$9,Input_Prod_04!$C$11,$M$1,$B26,$K$1)</f>
        <v>0</v>
      </c>
    </row>
    <row r="27" spans="2:14" s="1" customFormat="1" ht="15.75" customHeight="1" x14ac:dyDescent="0.25">
      <c r="B27" s="17" t="s">
        <v>15</v>
      </c>
      <c r="C27" s="27">
        <f>_xll.DBRW($C$2,Input_Prod_04!$D$9,Input_Prod_04!$C$11,$M$1,$B27,$K$1)</f>
        <v>31</v>
      </c>
      <c r="D27" s="27">
        <f>_xll.DBRW($C$2,Input_Prod_04!$D$9,Input_Prod_04!$C$11,$M$1,$B27,$K$1)</f>
        <v>31</v>
      </c>
      <c r="E27" s="27">
        <f>_xll.DBRW($C$2,Input_Prod_04!$D$9,Input_Prod_04!$C$11,$M$1,$B27,$K$1)</f>
        <v>31</v>
      </c>
      <c r="F27" s="27">
        <f>_xll.DBRW($C$2,Input_Prod_04!$D$9,Input_Prod_04!$C$11,$M$1,$B27,$K$1)</f>
        <v>31</v>
      </c>
      <c r="G27" s="27">
        <f>_xll.DBRW($C$2,Input_Prod_04!$D$9,Input_Prod_04!$C$11,$M$1,$B27,$K$1)</f>
        <v>31</v>
      </c>
      <c r="H27" s="27">
        <f>_xll.DBRW($C$2,Input_Prod_04!$D$9,Input_Prod_04!$C$11,$M$1,$B27,$K$1)</f>
        <v>31</v>
      </c>
      <c r="I27" s="27">
        <f>_xll.DBRW($C$2,Input_Prod_04!$D$9,Input_Prod_04!$C$11,$M$1,$B27,$K$1)</f>
        <v>31</v>
      </c>
      <c r="J27" s="27">
        <f>_xll.DBRW($C$2,Input_Prod_04!$D$9,Input_Prod_04!$C$11,$M$1,$B27,$K$1)</f>
        <v>31</v>
      </c>
      <c r="K27" s="27">
        <f>_xll.DBRW($C$2,Input_Prod_04!$D$9,Input_Prod_04!$C$11,$M$1,$B27,$K$1)</f>
        <v>31</v>
      </c>
      <c r="L27" s="27">
        <f>_xll.DBRW($C$2,Input_Prod_04!$D$9,Input_Prod_04!$C$11,$M$1,$B27,$K$1)</f>
        <v>31</v>
      </c>
      <c r="M27" s="27">
        <f>_xll.DBRW($C$2,Input_Prod_04!$D$9,Input_Prod_04!$C$11,$M$1,$B27,$K$1)</f>
        <v>31</v>
      </c>
      <c r="N27" s="27">
        <f>_xll.DBRW($C$2,Input_Prod_04!$D$9,Input_Prod_04!$C$11,$M$1,$B27,$K$1)</f>
        <v>31</v>
      </c>
    </row>
    <row r="29" spans="2:14" s="1" customFormat="1" ht="15.75" customHeight="1" thickBot="1" x14ac:dyDescent="0.3">
      <c r="B29" s="10"/>
    </row>
    <row r="30" spans="2:14" s="1" customFormat="1" ht="15.75" customHeight="1" thickTop="1" thickBot="1" x14ac:dyDescent="0.3">
      <c r="B30" s="9" t="s">
        <v>64</v>
      </c>
      <c r="D30" s="19" t="s">
        <v>65</v>
      </c>
      <c r="E30" s="50" t="str">
        <f>_xll.SUBNM("CONS_VC:ALL.D.Products","Nivel_0","PROD099 - Others","Código e Descrição")</f>
        <v>PROD099 - Others</v>
      </c>
      <c r="F30" s="50"/>
      <c r="G30" s="50"/>
    </row>
    <row r="31" spans="2:14" s="1" customFormat="1" ht="15.75" customHeight="1" thickTop="1" x14ac:dyDescent="0.25">
      <c r="B31" s="9"/>
    </row>
    <row r="33" spans="2:14" s="1" customFormat="1" ht="15.75" customHeight="1" x14ac:dyDescent="0.25">
      <c r="B33" s="5"/>
      <c r="C33" s="18" t="str">
        <f>$D$9&amp;"."&amp;C11</f>
        <v>2026.01</v>
      </c>
      <c r="D33" s="18" t="str">
        <f t="shared" ref="D33:N33" si="1">$D$9&amp;"."&amp;D11</f>
        <v>2026.02</v>
      </c>
      <c r="E33" s="18" t="str">
        <f t="shared" si="1"/>
        <v>2026.03</v>
      </c>
      <c r="F33" s="18" t="str">
        <f t="shared" si="1"/>
        <v>2026.04</v>
      </c>
      <c r="G33" s="18" t="str">
        <f t="shared" si="1"/>
        <v>2026.05</v>
      </c>
      <c r="H33" s="18" t="str">
        <f t="shared" si="1"/>
        <v>2026.06</v>
      </c>
      <c r="I33" s="18" t="str">
        <f t="shared" si="1"/>
        <v>2026.07</v>
      </c>
      <c r="J33" s="18" t="str">
        <f t="shared" si="1"/>
        <v>2026.08</v>
      </c>
      <c r="K33" s="18" t="str">
        <f t="shared" si="1"/>
        <v>2026.09</v>
      </c>
      <c r="L33" s="18" t="str">
        <f t="shared" si="1"/>
        <v>2026.10</v>
      </c>
      <c r="M33" s="18" t="str">
        <f t="shared" si="1"/>
        <v>2026.11</v>
      </c>
      <c r="N33" s="18" t="str">
        <f t="shared" si="1"/>
        <v>2026.12</v>
      </c>
    </row>
    <row r="34" spans="2:14" s="1" customFormat="1" ht="15.75" customHeight="1" x14ac:dyDescent="0.25">
      <c r="B34" s="17" t="s">
        <v>58</v>
      </c>
      <c r="C34" s="34">
        <f>_xll.DBRW($B$1,Input_Prod_04!$D$9,Input_Prod_04!C$11,$M$1,Input_Prod_04!$G$9,$J$9,Input_Prod_04!$E$30,Input_Prod_04!$B34,$L$1,$K$1)</f>
        <v>0</v>
      </c>
      <c r="D34" s="34">
        <f>_xll.DBRW($B$1,Input_Prod_04!$D$9,Input_Prod_04!D$11,$M$1,Input_Prod_04!$G$9,$J$9,Input_Prod_04!$E$30,Input_Prod_04!$B34,$L$1,$K$1)</f>
        <v>0</v>
      </c>
      <c r="E34" s="34">
        <f>_xll.DBRW($B$1,Input_Prod_04!$D$9,Input_Prod_04!E$11,$M$1,Input_Prod_04!$G$9,$J$9,Input_Prod_04!$E$30,Input_Prod_04!$B34,$L$1,$K$1)</f>
        <v>0</v>
      </c>
      <c r="F34" s="34">
        <f>_xll.DBRW($B$1,Input_Prod_04!$D$9,Input_Prod_04!F$11,$M$1,Input_Prod_04!$G$9,$J$9,Input_Prod_04!$E$30,Input_Prod_04!$B34,$L$1,$K$1)</f>
        <v>0</v>
      </c>
      <c r="G34" s="34">
        <f>_xll.DBRW($B$1,Input_Prod_04!$D$9,Input_Prod_04!G$11,$M$1,Input_Prod_04!$G$9,$J$9,Input_Prod_04!$E$30,Input_Prod_04!$B34,$L$1,$K$1)</f>
        <v>0</v>
      </c>
      <c r="H34" s="34">
        <f>_xll.DBRW($B$1,Input_Prod_04!$D$9,Input_Prod_04!H$11,$M$1,Input_Prod_04!$G$9,$J$9,Input_Prod_04!$E$30,Input_Prod_04!$B34,$L$1,$K$1)</f>
        <v>0</v>
      </c>
      <c r="I34" s="34">
        <f>_xll.DBRW($B$1,Input_Prod_04!$D$9,Input_Prod_04!I$11,$M$1,Input_Prod_04!$G$9,$J$9,Input_Prod_04!$E$30,Input_Prod_04!$B34,$L$1,$K$1)</f>
        <v>0</v>
      </c>
      <c r="J34" s="34">
        <f>_xll.DBRW($B$1,Input_Prod_04!$D$9,Input_Prod_04!J$11,$M$1,Input_Prod_04!$G$9,$J$9,Input_Prod_04!$E$30,Input_Prod_04!$B34,$L$1,$K$1)</f>
        <v>0</v>
      </c>
      <c r="K34" s="34">
        <f>_xll.DBRW($B$1,Input_Prod_04!$D$9,Input_Prod_04!K$11,$M$1,Input_Prod_04!$G$9,$J$9,Input_Prod_04!$E$30,Input_Prod_04!$B34,$L$1,$K$1)</f>
        <v>0</v>
      </c>
      <c r="L34" s="34">
        <f>_xll.DBRW($B$1,Input_Prod_04!$D$9,Input_Prod_04!L$11,$M$1,Input_Prod_04!$G$9,$J$9,Input_Prod_04!$E$30,Input_Prod_04!$B34,$L$1,$K$1)</f>
        <v>0</v>
      </c>
      <c r="M34" s="34">
        <f>_xll.DBRW($B$1,Input_Prod_04!$D$9,Input_Prod_04!M$11,$M$1,Input_Prod_04!$G$9,$J$9,Input_Prod_04!$E$30,Input_Prod_04!$B34,$L$1,$K$1)</f>
        <v>0</v>
      </c>
      <c r="N34" s="34">
        <f>_xll.DBRW($B$1,Input_Prod_04!$D$9,Input_Prod_04!N$11,$M$1,Input_Prod_04!$G$9,$J$9,Input_Prod_04!$E$30,Input_Prod_04!$B34,$L$1,$K$1)</f>
        <v>0</v>
      </c>
    </row>
    <row r="35" spans="2:14" s="1" customFormat="1" ht="15.75" customHeight="1" x14ac:dyDescent="0.25">
      <c r="B35" s="17" t="s">
        <v>16</v>
      </c>
      <c r="C35" s="34">
        <f>_xll.DBRW($B$1,Input_Prod_04!$D$9,Input_Prod_04!C$11,$M$1,Input_Prod_04!$G$9,$J$9,Input_Prod_04!$E$30,Input_Prod_04!$B35,$L$1,$K$1)</f>
        <v>0</v>
      </c>
      <c r="D35" s="34">
        <f>_xll.DBRW($B$1,Input_Prod_04!$D$9,Input_Prod_04!D$11,$M$1,Input_Prod_04!$G$9,$J$9,Input_Prod_04!$E$30,Input_Prod_04!$B35,$L$1,$K$1)</f>
        <v>0</v>
      </c>
      <c r="E35" s="34">
        <f>_xll.DBRW($B$1,Input_Prod_04!$D$9,Input_Prod_04!E$11,$M$1,Input_Prod_04!$G$9,$J$9,Input_Prod_04!$E$30,Input_Prod_04!$B35,$L$1,$K$1)</f>
        <v>0</v>
      </c>
      <c r="F35" s="34">
        <f>_xll.DBRW($B$1,Input_Prod_04!$D$9,Input_Prod_04!F$11,$M$1,Input_Prod_04!$G$9,$J$9,Input_Prod_04!$E$30,Input_Prod_04!$B35,$L$1,$K$1)</f>
        <v>0</v>
      </c>
      <c r="G35" s="34">
        <f>_xll.DBRW($B$1,Input_Prod_04!$D$9,Input_Prod_04!G$11,$M$1,Input_Prod_04!$G$9,$J$9,Input_Prod_04!$E$30,Input_Prod_04!$B35,$L$1,$K$1)</f>
        <v>0</v>
      </c>
      <c r="H35" s="34">
        <f>_xll.DBRW($B$1,Input_Prod_04!$D$9,Input_Prod_04!H$11,$M$1,Input_Prod_04!$G$9,$J$9,Input_Prod_04!$E$30,Input_Prod_04!$B35,$L$1,$K$1)</f>
        <v>0</v>
      </c>
      <c r="I35" s="34">
        <f>_xll.DBRW($B$1,Input_Prod_04!$D$9,Input_Prod_04!I$11,$M$1,Input_Prod_04!$G$9,$J$9,Input_Prod_04!$E$30,Input_Prod_04!$B35,$L$1,$K$1)</f>
        <v>0</v>
      </c>
      <c r="J35" s="34">
        <f>_xll.DBRW($B$1,Input_Prod_04!$D$9,Input_Prod_04!J$11,$M$1,Input_Prod_04!$G$9,$J$9,Input_Prod_04!$E$30,Input_Prod_04!$B35,$L$1,$K$1)</f>
        <v>0</v>
      </c>
      <c r="K35" s="34">
        <f>_xll.DBRW($B$1,Input_Prod_04!$D$9,Input_Prod_04!K$11,$M$1,Input_Prod_04!$G$9,$J$9,Input_Prod_04!$E$30,Input_Prod_04!$B35,$L$1,$K$1)</f>
        <v>0</v>
      </c>
      <c r="L35" s="34">
        <f>_xll.DBRW($B$1,Input_Prod_04!$D$9,Input_Prod_04!L$11,$M$1,Input_Prod_04!$G$9,$J$9,Input_Prod_04!$E$30,Input_Prod_04!$B35,$L$1,$K$1)</f>
        <v>0</v>
      </c>
      <c r="M35" s="34">
        <f>_xll.DBRW($B$1,Input_Prod_04!$D$9,Input_Prod_04!M$11,$M$1,Input_Prod_04!$G$9,$J$9,Input_Prod_04!$E$30,Input_Prod_04!$B35,$L$1,$K$1)</f>
        <v>0</v>
      </c>
      <c r="N35" s="34">
        <f>_xll.DBRW($B$1,Input_Prod_04!$D$9,Input_Prod_04!N$11,$M$1,Input_Prod_04!$G$9,$J$9,Input_Prod_04!$E$30,Input_Prod_04!$B35,$L$1,$K$1)</f>
        <v>0</v>
      </c>
    </row>
    <row r="36" spans="2:14" s="1" customFormat="1" ht="15.75" customHeight="1" x14ac:dyDescent="0.25">
      <c r="B36" s="17" t="s">
        <v>17</v>
      </c>
      <c r="C36" s="34">
        <f>_xll.DBRW($B$1,Input_Prod_04!$D$9,Input_Prod_04!C$11,$M$1,Input_Prod_04!$G$9,$J$9,Input_Prod_04!$E$30,Input_Prod_04!$B36,$L$1,$K$1)</f>
        <v>1000</v>
      </c>
      <c r="D36" s="34">
        <f>_xll.DBRW($B$1,Input_Prod_04!$D$9,Input_Prod_04!D$11,$M$1,Input_Prod_04!$G$9,$J$9,Input_Prod_04!$E$30,Input_Prod_04!$B36,$L$1,$K$1)</f>
        <v>1000</v>
      </c>
      <c r="E36" s="34">
        <f>_xll.DBRW($B$1,Input_Prod_04!$D$9,Input_Prod_04!E$11,$M$1,Input_Prod_04!$G$9,$J$9,Input_Prod_04!$E$30,Input_Prod_04!$B36,$L$1,$K$1)</f>
        <v>1000</v>
      </c>
      <c r="F36" s="34">
        <f>_xll.DBRW($B$1,Input_Prod_04!$D$9,Input_Prod_04!F$11,$M$1,Input_Prod_04!$G$9,$J$9,Input_Prod_04!$E$30,Input_Prod_04!$B36,$L$1,$K$1)</f>
        <v>1000</v>
      </c>
      <c r="G36" s="34">
        <f>_xll.DBRW($B$1,Input_Prod_04!$D$9,Input_Prod_04!G$11,$M$1,Input_Prod_04!$G$9,$J$9,Input_Prod_04!$E$30,Input_Prod_04!$B36,$L$1,$K$1)</f>
        <v>1000</v>
      </c>
      <c r="H36" s="34">
        <f>_xll.DBRW($B$1,Input_Prod_04!$D$9,Input_Prod_04!H$11,$M$1,Input_Prod_04!$G$9,$J$9,Input_Prod_04!$E$30,Input_Prod_04!$B36,$L$1,$K$1)</f>
        <v>1000</v>
      </c>
      <c r="I36" s="34">
        <f>_xll.DBRW($B$1,Input_Prod_04!$D$9,Input_Prod_04!I$11,$M$1,Input_Prod_04!$G$9,$J$9,Input_Prod_04!$E$30,Input_Prod_04!$B36,$L$1,$K$1)</f>
        <v>1000</v>
      </c>
      <c r="J36" s="34">
        <f>_xll.DBRW($B$1,Input_Prod_04!$D$9,Input_Prod_04!J$11,$M$1,Input_Prod_04!$G$9,$J$9,Input_Prod_04!$E$30,Input_Prod_04!$B36,$L$1,$K$1)</f>
        <v>1000</v>
      </c>
      <c r="K36" s="34">
        <f>_xll.DBRW($B$1,Input_Prod_04!$D$9,Input_Prod_04!K$11,$M$1,Input_Prod_04!$G$9,$J$9,Input_Prod_04!$E$30,Input_Prod_04!$B36,$L$1,$K$1)</f>
        <v>1000</v>
      </c>
      <c r="L36" s="34">
        <f>_xll.DBRW($B$1,Input_Prod_04!$D$9,Input_Prod_04!L$11,$M$1,Input_Prod_04!$G$9,$J$9,Input_Prod_04!$E$30,Input_Prod_04!$B36,$L$1,$K$1)</f>
        <v>1000</v>
      </c>
      <c r="M36" s="34">
        <f>_xll.DBRW($B$1,Input_Prod_04!$D$9,Input_Prod_04!M$11,$M$1,Input_Prod_04!$G$9,$J$9,Input_Prod_04!$E$30,Input_Prod_04!$B36,$L$1,$K$1)</f>
        <v>1000</v>
      </c>
      <c r="N36" s="34">
        <f>_xll.DBRW($B$1,Input_Prod_04!$D$9,Input_Prod_04!N$11,$M$1,Input_Prod_04!$G$9,$J$9,Input_Prod_04!$E$30,Input_Prod_04!$B36,$L$1,$K$1)</f>
        <v>1000</v>
      </c>
    </row>
    <row r="37" spans="2:14" s="1" customFormat="1" ht="15.75" customHeight="1" x14ac:dyDescent="0.25">
      <c r="B37" s="17" t="s">
        <v>19</v>
      </c>
      <c r="C37" s="34">
        <f>_xll.DBRW($B$1,Input_Prod_04!$D$9,Input_Prod_04!C$11,$M$1,Input_Prod_04!$G$9,$J$9,Input_Prod_04!$E$30,Input_Prod_04!$B37,$L$1,$K$1)</f>
        <v>0</v>
      </c>
      <c r="D37" s="34">
        <f>_xll.DBRW($B$1,Input_Prod_04!$D$9,Input_Prod_04!D$11,$M$1,Input_Prod_04!$G$9,$J$9,Input_Prod_04!$E$30,Input_Prod_04!$B37,$L$1,$K$1)</f>
        <v>0</v>
      </c>
      <c r="E37" s="34">
        <f>_xll.DBRW($B$1,Input_Prod_04!$D$9,Input_Prod_04!E$11,$M$1,Input_Prod_04!$G$9,$J$9,Input_Prod_04!$E$30,Input_Prod_04!$B37,$L$1,$K$1)</f>
        <v>0</v>
      </c>
      <c r="F37" s="34">
        <f>_xll.DBRW($B$1,Input_Prod_04!$D$9,Input_Prod_04!F$11,$M$1,Input_Prod_04!$G$9,$J$9,Input_Prod_04!$E$30,Input_Prod_04!$B37,$L$1,$K$1)</f>
        <v>0</v>
      </c>
      <c r="G37" s="34">
        <f>_xll.DBRW($B$1,Input_Prod_04!$D$9,Input_Prod_04!G$11,$M$1,Input_Prod_04!$G$9,$J$9,Input_Prod_04!$E$30,Input_Prod_04!$B37,$L$1,$K$1)</f>
        <v>0</v>
      </c>
      <c r="H37" s="34">
        <f>_xll.DBRW($B$1,Input_Prod_04!$D$9,Input_Prod_04!H$11,$M$1,Input_Prod_04!$G$9,$J$9,Input_Prod_04!$E$30,Input_Prod_04!$B37,$L$1,$K$1)</f>
        <v>0</v>
      </c>
      <c r="I37" s="34">
        <f>_xll.DBRW($B$1,Input_Prod_04!$D$9,Input_Prod_04!I$11,$M$1,Input_Prod_04!$G$9,$J$9,Input_Prod_04!$E$30,Input_Prod_04!$B37,$L$1,$K$1)</f>
        <v>0</v>
      </c>
      <c r="J37" s="34">
        <f>_xll.DBRW($B$1,Input_Prod_04!$D$9,Input_Prod_04!J$11,$M$1,Input_Prod_04!$G$9,$J$9,Input_Prod_04!$E$30,Input_Prod_04!$B37,$L$1,$K$1)</f>
        <v>0</v>
      </c>
      <c r="K37" s="34">
        <f>_xll.DBRW($B$1,Input_Prod_04!$D$9,Input_Prod_04!K$11,$M$1,Input_Prod_04!$G$9,$J$9,Input_Prod_04!$E$30,Input_Prod_04!$B37,$L$1,$K$1)</f>
        <v>0</v>
      </c>
      <c r="L37" s="34">
        <f>_xll.DBRW($B$1,Input_Prod_04!$D$9,Input_Prod_04!L$11,$M$1,Input_Prod_04!$G$9,$J$9,Input_Prod_04!$E$30,Input_Prod_04!$B37,$L$1,$K$1)</f>
        <v>0</v>
      </c>
      <c r="M37" s="34">
        <f>_xll.DBRW($B$1,Input_Prod_04!$D$9,Input_Prod_04!M$11,$M$1,Input_Prod_04!$G$9,$J$9,Input_Prod_04!$E$30,Input_Prod_04!$B37,$L$1,$K$1)</f>
        <v>0</v>
      </c>
      <c r="N37" s="34">
        <f>_xll.DBRW($B$1,Input_Prod_04!$D$9,Input_Prod_04!N$11,$M$1,Input_Prod_04!$G$9,$J$9,Input_Prod_04!$E$30,Input_Prod_04!$B37,$L$1,$K$1)</f>
        <v>0</v>
      </c>
    </row>
    <row r="38" spans="2:14" s="1" customFormat="1" ht="15.75" customHeight="1" x14ac:dyDescent="0.25">
      <c r="B38" s="17" t="s">
        <v>59</v>
      </c>
      <c r="C38" s="34">
        <f>_xll.DBRW($B$1,Input_Prod_04!$D$9,Input_Prod_04!C$11,$M$1,Input_Prod_04!$G$9,$J$9,Input_Prod_04!$E$30,Input_Prod_04!$B38,$L$1,$K$1)</f>
        <v>0</v>
      </c>
      <c r="D38" s="34">
        <f>_xll.DBRW($B$1,Input_Prod_04!$D$9,Input_Prod_04!D$11,$M$1,Input_Prod_04!$G$9,$J$9,Input_Prod_04!$E$30,Input_Prod_04!$B38,$L$1,$K$1)</f>
        <v>0</v>
      </c>
      <c r="E38" s="34">
        <f>_xll.DBRW($B$1,Input_Prod_04!$D$9,Input_Prod_04!E$11,$M$1,Input_Prod_04!$G$9,$J$9,Input_Prod_04!$E$30,Input_Prod_04!$B38,$L$1,$K$1)</f>
        <v>0</v>
      </c>
      <c r="F38" s="34">
        <f>_xll.DBRW($B$1,Input_Prod_04!$D$9,Input_Prod_04!F$11,$M$1,Input_Prod_04!$G$9,$J$9,Input_Prod_04!$E$30,Input_Prod_04!$B38,$L$1,$K$1)</f>
        <v>0</v>
      </c>
      <c r="G38" s="34">
        <f>_xll.DBRW($B$1,Input_Prod_04!$D$9,Input_Prod_04!G$11,$M$1,Input_Prod_04!$G$9,$J$9,Input_Prod_04!$E$30,Input_Prod_04!$B38,$L$1,$K$1)</f>
        <v>0</v>
      </c>
      <c r="H38" s="34">
        <f>_xll.DBRW($B$1,Input_Prod_04!$D$9,Input_Prod_04!H$11,$M$1,Input_Prod_04!$G$9,$J$9,Input_Prod_04!$E$30,Input_Prod_04!$B38,$L$1,$K$1)</f>
        <v>0</v>
      </c>
      <c r="I38" s="34">
        <f>_xll.DBRW($B$1,Input_Prod_04!$D$9,Input_Prod_04!I$11,$M$1,Input_Prod_04!$G$9,$J$9,Input_Prod_04!$E$30,Input_Prod_04!$B38,$L$1,$K$1)</f>
        <v>0</v>
      </c>
      <c r="J38" s="34">
        <f>_xll.DBRW($B$1,Input_Prod_04!$D$9,Input_Prod_04!J$11,$M$1,Input_Prod_04!$G$9,$J$9,Input_Prod_04!$E$30,Input_Prod_04!$B38,$L$1,$K$1)</f>
        <v>0</v>
      </c>
      <c r="K38" s="34">
        <f>_xll.DBRW($B$1,Input_Prod_04!$D$9,Input_Prod_04!K$11,$M$1,Input_Prod_04!$G$9,$J$9,Input_Prod_04!$E$30,Input_Prod_04!$B38,$L$1,$K$1)</f>
        <v>0</v>
      </c>
      <c r="L38" s="34">
        <f>_xll.DBRW($B$1,Input_Prod_04!$D$9,Input_Prod_04!L$11,$M$1,Input_Prod_04!$G$9,$J$9,Input_Prod_04!$E$30,Input_Prod_04!$B38,$L$1,$K$1)</f>
        <v>0</v>
      </c>
      <c r="M38" s="34">
        <f>_xll.DBRW($B$1,Input_Prod_04!$D$9,Input_Prod_04!M$11,$M$1,Input_Prod_04!$G$9,$J$9,Input_Prod_04!$E$30,Input_Prod_04!$B38,$L$1,$K$1)</f>
        <v>0</v>
      </c>
      <c r="N38" s="34">
        <f>_xll.DBRW($B$1,Input_Prod_04!$D$9,Input_Prod_04!N$11,$M$1,Input_Prod_04!$G$9,$J$9,Input_Prod_04!$E$30,Input_Prod_04!$B38,$L$1,$K$1)</f>
        <v>0</v>
      </c>
    </row>
    <row r="39" spans="2:14" s="1" customFormat="1" ht="15.75" customHeight="1" x14ac:dyDescent="0.25">
      <c r="B39" s="17" t="s">
        <v>60</v>
      </c>
      <c r="C39" s="34">
        <f>_xll.DBRW($B$1,Input_Prod_04!$D$9,Input_Prod_04!C$11,$M$1,Input_Prod_04!$G$9,$J$9,Input_Prod_04!$E$30,Input_Prod_04!$B39,$L$1,$K$1)</f>
        <v>-0.74774588018289601</v>
      </c>
      <c r="D39" s="34">
        <f>_xll.DBRW($B$1,Input_Prod_04!$D$9,Input_Prod_04!D$11,$M$1,Input_Prod_04!$G$9,$J$9,Input_Prod_04!$E$30,Input_Prod_04!$B39,$L$1,$K$1)</f>
        <v>-7.3117249830781796</v>
      </c>
      <c r="E39" s="34">
        <f>_xll.DBRW($B$1,Input_Prod_04!$D$9,Input_Prod_04!E$11,$M$1,Input_Prod_04!$G$9,$J$9,Input_Prod_04!$E$30,Input_Prod_04!$B39,$L$1,$K$1)</f>
        <v>-8.1184816857994804</v>
      </c>
      <c r="F39" s="34">
        <f>_xll.DBRW($B$1,Input_Prod_04!$D$9,Input_Prod_04!F$11,$M$1,Input_Prod_04!$G$9,$J$9,Input_Prod_04!$E$30,Input_Prod_04!$B39,$L$1,$K$1)</f>
        <v>-11.3719888329315</v>
      </c>
      <c r="G39" s="34">
        <f>_xll.DBRW($B$1,Input_Prod_04!$D$9,Input_Prod_04!G$11,$M$1,Input_Prod_04!$G$9,$J$9,Input_Prod_04!$E$30,Input_Prod_04!$B39,$L$1,$K$1)</f>
        <v>-13.227793097486799</v>
      </c>
      <c r="H39" s="34">
        <f>_xll.DBRW($B$1,Input_Prod_04!$D$9,Input_Prod_04!H$11,$M$1,Input_Prod_04!$G$9,$J$9,Input_Prod_04!$E$30,Input_Prod_04!$B39,$L$1,$K$1)</f>
        <v>-15.591387633558901</v>
      </c>
      <c r="I39" s="34">
        <f>_xll.DBRW($B$1,Input_Prod_04!$D$9,Input_Prod_04!I$11,$M$1,Input_Prod_04!$G$9,$J$9,Input_Prod_04!$E$30,Input_Prod_04!$B39,$L$1,$K$1)</f>
        <v>-13.473688288431299</v>
      </c>
      <c r="J39" s="34">
        <f>_xll.DBRW($B$1,Input_Prod_04!$D$9,Input_Prod_04!J$11,$M$1,Input_Prod_04!$G$9,$J$9,Input_Prod_04!$E$30,Input_Prod_04!$B39,$L$1,$K$1)</f>
        <v>-12.5326558508267</v>
      </c>
      <c r="K39" s="34">
        <f>_xll.DBRW($B$1,Input_Prod_04!$D$9,Input_Prod_04!K$11,$M$1,Input_Prod_04!$G$9,$J$9,Input_Prod_04!$E$30,Input_Prod_04!$B39,$L$1,$K$1)</f>
        <v>-13.0609132201297</v>
      </c>
      <c r="L39" s="34">
        <f>_xll.DBRW($B$1,Input_Prod_04!$D$9,Input_Prod_04!L$11,$M$1,Input_Prod_04!$G$9,$J$9,Input_Prod_04!$E$30,Input_Prod_04!$B39,$L$1,$K$1)</f>
        <v>-12.2627891514454</v>
      </c>
      <c r="M39" s="34">
        <f>_xll.DBRW($B$1,Input_Prod_04!$D$9,Input_Prod_04!M$11,$M$1,Input_Prod_04!$G$9,$J$9,Input_Prod_04!$E$30,Input_Prod_04!$B39,$L$1,$K$1)</f>
        <v>-9.8496656429129406</v>
      </c>
      <c r="N39" s="34">
        <f>_xll.DBRW($B$1,Input_Prod_04!$D$9,Input_Prod_04!N$11,$M$1,Input_Prod_04!$G$9,$J$9,Input_Prod_04!$E$30,Input_Prod_04!$B39,$L$1,$K$1)</f>
        <v>-6.5481781298959403</v>
      </c>
    </row>
    <row r="40" spans="2:14" s="1" customFormat="1" ht="15.75" customHeight="1" x14ac:dyDescent="0.25">
      <c r="B40" s="17" t="s">
        <v>61</v>
      </c>
      <c r="C40" s="26">
        <f>_xll.DBRW($B$1,Input_Prod_04!$D$9,Input_Prod_04!C$11,$M$1,Input_Prod_04!$G$9,$J$9,Input_Prod_04!$E$30,Input_Prod_04!$B40,$L$1,$K$1)</f>
        <v>0</v>
      </c>
      <c r="D40" s="26">
        <f>_xll.DBRW($B$1,Input_Prod_04!$D$9,Input_Prod_04!D$11,$M$1,Input_Prod_04!$G$9,$J$9,Input_Prod_04!$E$30,Input_Prod_04!$B40,$L$1,$K$1)</f>
        <v>0</v>
      </c>
      <c r="E40" s="26">
        <f>_xll.DBRW($B$1,Input_Prod_04!$D$9,Input_Prod_04!E$11,$M$1,Input_Prod_04!$G$9,$J$9,Input_Prod_04!$E$30,Input_Prod_04!$B40,$L$1,$K$1)</f>
        <v>0</v>
      </c>
      <c r="F40" s="26">
        <f>_xll.DBRW($B$1,Input_Prod_04!$D$9,Input_Prod_04!F$11,$M$1,Input_Prod_04!$G$9,$J$9,Input_Prod_04!$E$30,Input_Prod_04!$B40,$L$1,$K$1)</f>
        <v>0</v>
      </c>
      <c r="G40" s="26">
        <f>_xll.DBRW($B$1,Input_Prod_04!$D$9,Input_Prod_04!G$11,$M$1,Input_Prod_04!$G$9,$J$9,Input_Prod_04!$E$30,Input_Prod_04!$B40,$L$1,$K$1)</f>
        <v>0</v>
      </c>
      <c r="H40" s="26">
        <f>_xll.DBRW($B$1,Input_Prod_04!$D$9,Input_Prod_04!H$11,$M$1,Input_Prod_04!$G$9,$J$9,Input_Prod_04!$E$30,Input_Prod_04!$B40,$L$1,$K$1)</f>
        <v>0</v>
      </c>
      <c r="I40" s="26">
        <f>_xll.DBRW($B$1,Input_Prod_04!$D$9,Input_Prod_04!I$11,$M$1,Input_Prod_04!$G$9,$J$9,Input_Prod_04!$E$30,Input_Prod_04!$B40,$L$1,$K$1)</f>
        <v>0</v>
      </c>
      <c r="J40" s="26">
        <f>_xll.DBRW($B$1,Input_Prod_04!$D$9,Input_Prod_04!J$11,$M$1,Input_Prod_04!$G$9,$J$9,Input_Prod_04!$E$30,Input_Prod_04!$B40,$L$1,$K$1)</f>
        <v>0</v>
      </c>
      <c r="K40" s="26">
        <f>_xll.DBRW($B$1,Input_Prod_04!$D$9,Input_Prod_04!K$11,$M$1,Input_Prod_04!$G$9,$J$9,Input_Prod_04!$E$30,Input_Prod_04!$B40,$L$1,$K$1)</f>
        <v>0</v>
      </c>
      <c r="L40" s="26">
        <f>_xll.DBRW($B$1,Input_Prod_04!$D$9,Input_Prod_04!L$11,$M$1,Input_Prod_04!$G$9,$J$9,Input_Prod_04!$E$30,Input_Prod_04!$B40,$L$1,$K$1)</f>
        <v>0</v>
      </c>
      <c r="M40" s="26">
        <f>_xll.DBRW($B$1,Input_Prod_04!$D$9,Input_Prod_04!M$11,$M$1,Input_Prod_04!$G$9,$J$9,Input_Prod_04!$E$30,Input_Prod_04!$B40,$L$1,$K$1)</f>
        <v>0</v>
      </c>
      <c r="N40" s="26">
        <f>_xll.DBRW($B$1,Input_Prod_04!$D$9,Input_Prod_04!N$11,$M$1,Input_Prod_04!$G$9,$J$9,Input_Prod_04!$E$30,Input_Prod_04!$B40,$L$1,$K$1)</f>
        <v>0</v>
      </c>
    </row>
    <row r="41" spans="2:14" s="1" customFormat="1" ht="15.75" customHeight="1" x14ac:dyDescent="0.25">
      <c r="B41" s="20" t="s">
        <v>18</v>
      </c>
      <c r="C41" s="21">
        <f>_xll.DBRW($B$2,Input_Prod_04!$D$9,Input_Prod_04!C$11,$M$1,Input_Prod_04!$G$9,$J$9,$E$30,$K$2,$B$41)</f>
        <v>-0.74774588018289601</v>
      </c>
      <c r="D41" s="21">
        <f>_xll.DBRW($B$2,Input_Prod_04!$D$9,Input_Prod_04!D$11,$M$1,Input_Prod_04!$G$9,$J$9,$E$30,$K$2,$B$41)</f>
        <v>-7.3117249830781796</v>
      </c>
      <c r="E41" s="21">
        <f>_xll.DBRW($B$2,Input_Prod_04!$D$9,Input_Prod_04!E$11,$M$1,Input_Prod_04!$G$9,$J$9,$E$30,$K$2,$B$41)</f>
        <v>-8.1184816857994804</v>
      </c>
      <c r="F41" s="21">
        <f>_xll.DBRW($B$2,Input_Prod_04!$D$9,Input_Prod_04!F$11,$M$1,Input_Prod_04!$G$9,$J$9,$E$30,$K$2,$B$41)</f>
        <v>-11.3719888329315</v>
      </c>
      <c r="G41" s="21">
        <f>_xll.DBRW($B$2,Input_Prod_04!$D$9,Input_Prod_04!G$11,$M$1,Input_Prod_04!$G$9,$J$9,$E$30,$K$2,$B$41)</f>
        <v>-13.227793097486799</v>
      </c>
      <c r="H41" s="21">
        <f>_xll.DBRW($B$2,Input_Prod_04!$D$9,Input_Prod_04!H$11,$M$1,Input_Prod_04!$G$9,$J$9,$E$30,$K$2,$B$41)</f>
        <v>-15.591387633558901</v>
      </c>
      <c r="I41" s="21">
        <f>_xll.DBRW($B$2,Input_Prod_04!$D$9,Input_Prod_04!I$11,$M$1,Input_Prod_04!$G$9,$J$9,$E$30,$K$2,$B$41)</f>
        <v>-13.473688288431299</v>
      </c>
      <c r="J41" s="21">
        <f>_xll.DBRW($B$2,Input_Prod_04!$D$9,Input_Prod_04!J$11,$M$1,Input_Prod_04!$G$9,$J$9,$E$30,$K$2,$B$41)</f>
        <v>-12.532655850826702</v>
      </c>
      <c r="K41" s="21">
        <f>_xll.DBRW($B$2,Input_Prod_04!$D$9,Input_Prod_04!K$11,$M$1,Input_Prod_04!$G$9,$J$9,$E$30,$K$2,$B$41)</f>
        <v>-13.0609132201297</v>
      </c>
      <c r="L41" s="21">
        <f>_xll.DBRW($B$2,Input_Prod_04!$D$9,Input_Prod_04!L$11,$M$1,Input_Prod_04!$G$9,$J$9,$E$30,$K$2,$B$41)</f>
        <v>-12.2627891514454</v>
      </c>
      <c r="M41" s="21">
        <f>_xll.DBRW($B$2,Input_Prod_04!$D$9,Input_Prod_04!M$11,$M$1,Input_Prod_04!$G$9,$J$9,$E$30,$K$2,$B$41)</f>
        <v>-9.8496656429129406</v>
      </c>
      <c r="N41" s="21">
        <f>_xll.DBRW($B$2,Input_Prod_04!$D$9,Input_Prod_04!N$11,$M$1,Input_Prod_04!$G$9,$J$9,$E$30,$K$2,$B$41)</f>
        <v>-6.5481781298959403</v>
      </c>
    </row>
    <row r="42" spans="2:14" s="1" customFormat="1" ht="15.75" customHeight="1" x14ac:dyDescent="0.25">
      <c r="B42" s="22" t="s">
        <v>70</v>
      </c>
      <c r="C42" s="23">
        <f>_xll.DBRW($B$2,Input_Prod_04!$D$9,Input_Prod_04!C$11,$M$1,Input_Prod_04!$G$9,$J$9,$E$30,$K$2,$B$42)</f>
        <v>-0.74774588018289601</v>
      </c>
      <c r="D42" s="23">
        <f>_xll.DBRW($B$2,Input_Prod_04!$D$9,Input_Prod_04!D$11,$M$1,Input_Prod_04!$G$9,$J$9,$E$30,$K$2,$B$42)</f>
        <v>-7.3117249830781796</v>
      </c>
      <c r="E42" s="23">
        <f>_xll.DBRW($B$2,Input_Prod_04!$D$9,Input_Prod_04!E$11,$M$1,Input_Prod_04!$G$9,$J$9,$E$30,$K$2,$B$42)</f>
        <v>-8.1184816857994804</v>
      </c>
      <c r="F42" s="23">
        <f>_xll.DBRW($B$2,Input_Prod_04!$D$9,Input_Prod_04!F$11,$M$1,Input_Prod_04!$G$9,$J$9,$E$30,$K$2,$B$42)</f>
        <v>-11.3719888329315</v>
      </c>
      <c r="G42" s="23">
        <f>_xll.DBRW($B$2,Input_Prod_04!$D$9,Input_Prod_04!G$11,$M$1,Input_Prod_04!$G$9,$J$9,$E$30,$K$2,$B$42)</f>
        <v>-13.227793097486799</v>
      </c>
      <c r="H42" s="23">
        <f>_xll.DBRW($B$2,Input_Prod_04!$D$9,Input_Prod_04!H$11,$M$1,Input_Prod_04!$G$9,$J$9,$E$30,$K$2,$B$42)</f>
        <v>-15.591387633558901</v>
      </c>
      <c r="I42" s="23">
        <f>_xll.DBRW($B$2,Input_Prod_04!$D$9,Input_Prod_04!I$11,$M$1,Input_Prod_04!$G$9,$J$9,$E$30,$K$2,$B$42)</f>
        <v>-13.473688288431299</v>
      </c>
      <c r="J42" s="23">
        <f>_xll.DBRW($B$2,Input_Prod_04!$D$9,Input_Prod_04!J$11,$M$1,Input_Prod_04!$G$9,$J$9,$E$30,$K$2,$B$42)</f>
        <v>-12.532655850826702</v>
      </c>
      <c r="K42" s="23">
        <f>_xll.DBRW($B$2,Input_Prod_04!$D$9,Input_Prod_04!K$11,$M$1,Input_Prod_04!$G$9,$J$9,$E$30,$K$2,$B$42)</f>
        <v>-13.0609132201297</v>
      </c>
      <c r="L42" s="23">
        <f>_xll.DBRW($B$2,Input_Prod_04!$D$9,Input_Prod_04!L$11,$M$1,Input_Prod_04!$G$9,$J$9,$E$30,$K$2,$B$42)</f>
        <v>-12.2627891514454</v>
      </c>
      <c r="M42" s="23">
        <f>_xll.DBRW($B$2,Input_Prod_04!$D$9,Input_Prod_04!M$11,$M$1,Input_Prod_04!$G$9,$J$9,$E$30,$K$2,$B$42)</f>
        <v>-9.8496656429129406</v>
      </c>
      <c r="N42" s="23">
        <f>_xll.DBRW($B$2,Input_Prod_04!$D$9,Input_Prod_04!N$11,$M$1,Input_Prod_04!$G$9,$J$9,$E$30,$K$2,$B$42)</f>
        <v>-6.5481781298959403</v>
      </c>
    </row>
    <row r="45" spans="2:14" s="1" customFormat="1" ht="15.75" customHeight="1" thickBot="1" x14ac:dyDescent="0.3">
      <c r="B45" s="10"/>
    </row>
    <row r="46" spans="2:14" s="1" customFormat="1" ht="15.75" customHeight="1" thickTop="1" x14ac:dyDescent="0.25">
      <c r="B46" s="9" t="s">
        <v>30</v>
      </c>
    </row>
    <row r="47" spans="2:14" s="1" customFormat="1" ht="15.75" customHeight="1" x14ac:dyDescent="0.25"/>
    <row r="48" spans="2:14" s="1" customFormat="1" ht="15.75" customHeight="1" x14ac:dyDescent="0.25"/>
    <row r="49" spans="2:14" s="1" customFormat="1" ht="15.75" customHeight="1" x14ac:dyDescent="0.25">
      <c r="B49" s="5"/>
      <c r="C49" s="18" t="str">
        <f>$D$9&amp;"."&amp;C$11</f>
        <v>2026.01</v>
      </c>
      <c r="D49" s="18" t="str">
        <f t="shared" ref="D49:N49" si="2">$D$9&amp;"."&amp;D$11</f>
        <v>2026.02</v>
      </c>
      <c r="E49" s="18" t="str">
        <f t="shared" si="2"/>
        <v>2026.03</v>
      </c>
      <c r="F49" s="18" t="str">
        <f t="shared" si="2"/>
        <v>2026.04</v>
      </c>
      <c r="G49" s="18" t="str">
        <f t="shared" si="2"/>
        <v>2026.05</v>
      </c>
      <c r="H49" s="18" t="str">
        <f t="shared" si="2"/>
        <v>2026.06</v>
      </c>
      <c r="I49" s="18" t="str">
        <f t="shared" si="2"/>
        <v>2026.07</v>
      </c>
      <c r="J49" s="18" t="str">
        <f t="shared" si="2"/>
        <v>2026.08</v>
      </c>
      <c r="K49" s="18" t="str">
        <f t="shared" si="2"/>
        <v>2026.09</v>
      </c>
      <c r="L49" s="18" t="str">
        <f t="shared" si="2"/>
        <v>2026.10</v>
      </c>
      <c r="M49" s="18" t="str">
        <f t="shared" si="2"/>
        <v>2026.11</v>
      </c>
      <c r="N49" s="18" t="str">
        <f t="shared" si="2"/>
        <v>2026.12</v>
      </c>
    </row>
    <row r="50" spans="2:14" s="1" customFormat="1" ht="15.75" customHeight="1" x14ac:dyDescent="0.25">
      <c r="B50" s="17" t="s">
        <v>20</v>
      </c>
      <c r="C50" s="16">
        <f>_xll.DBRW($B$1,Input_Prod_04!$D$9,Input_Prod_04!C$11,$M$1,Input_Prod_04!$G$9,$J$9,$E$30,Input_Prod_04!$B50,$L$1,$K$1)</f>
        <v>10.7554146155436</v>
      </c>
      <c r="D50" s="16">
        <f>_xll.DBRW($B$1,Input_Prod_04!$D$9,Input_Prod_04!D$11,$M$1,Input_Prod_04!$G$9,$J$9,$E$30,Input_Prod_04!$B50,$L$1,$K$1)</f>
        <v>11.1943537043938</v>
      </c>
      <c r="E50" s="16">
        <f>_xll.DBRW($B$1,Input_Prod_04!$D$9,Input_Prod_04!E$11,$M$1,Input_Prod_04!$G$9,$J$9,$E$30,Input_Prod_04!$B50,$L$1,$K$1)</f>
        <v>17.865267420461102</v>
      </c>
      <c r="F50" s="16">
        <f>_xll.DBRW($B$1,Input_Prod_04!$D$9,Input_Prod_04!F$11,$M$1,Input_Prod_04!$G$9,$J$9,$E$30,Input_Prod_04!$B50,$L$1,$K$1)</f>
        <v>25.541580688974101</v>
      </c>
      <c r="G50" s="16">
        <f>_xll.DBRW($B$1,Input_Prod_04!$D$9,Input_Prod_04!G$11,$M$1,Input_Prod_04!$G$9,$J$9,$E$30,Input_Prod_04!$B50,$L$1,$K$1)</f>
        <v>32.0650366515885</v>
      </c>
      <c r="H50" s="16">
        <f>_xll.DBRW($B$1,Input_Prod_04!$D$9,Input_Prod_04!H$11,$M$1,Input_Prod_04!$G$9,$J$9,$E$30,Input_Prod_04!$B50,$L$1,$K$1)</f>
        <v>32.164269677287301</v>
      </c>
      <c r="I50" s="16">
        <f>_xll.DBRW($B$1,Input_Prod_04!$D$9,Input_Prod_04!I$11,$M$1,Input_Prod_04!$G$9,$J$9,$E$30,Input_Prod_04!$B50,$L$1,$K$1)</f>
        <v>33.559232837786702</v>
      </c>
      <c r="J50" s="16">
        <f>_xll.DBRW($B$1,Input_Prod_04!$D$9,Input_Prod_04!J$11,$M$1,Input_Prod_04!$G$9,$J$9,$E$30,Input_Prod_04!$B50,$L$1,$K$1)</f>
        <v>33.758893535134703</v>
      </c>
      <c r="K50" s="16">
        <f>_xll.DBRW($B$1,Input_Prod_04!$D$9,Input_Prod_04!K$11,$M$1,Input_Prod_04!$G$9,$J$9,$E$30,Input_Prod_04!$B50,$L$1,$K$1)</f>
        <v>34.329246492568899</v>
      </c>
      <c r="L50" s="16">
        <f>_xll.DBRW($B$1,Input_Prod_04!$D$9,Input_Prod_04!L$11,$M$1,Input_Prod_04!$G$9,$J$9,$E$30,Input_Prod_04!$B50,$L$1,$K$1)</f>
        <v>34.576147396086299</v>
      </c>
      <c r="M50" s="16">
        <f>_xll.DBRW($B$1,Input_Prod_04!$D$9,Input_Prod_04!M$11,$M$1,Input_Prod_04!$G$9,$J$9,$E$30,Input_Prod_04!$B50,$L$1,$K$1)</f>
        <v>28.685322874173998</v>
      </c>
      <c r="N50" s="16">
        <f>_xll.DBRW($B$1,Input_Prod_04!$D$9,Input_Prod_04!N$11,$M$1,Input_Prod_04!$G$9,$J$9,$E$30,Input_Prod_04!$B50,$L$1,$K$1)</f>
        <v>17.751297086993599</v>
      </c>
    </row>
    <row r="51" spans="2:14" s="1" customFormat="1" ht="15.75" customHeight="1" x14ac:dyDescent="0.25">
      <c r="B51" s="17" t="s">
        <v>21</v>
      </c>
      <c r="C51" s="34">
        <f>_xll.DBRW($B$1,Input_Prod_04!$D$9,Input_Prod_04!C$11,$M$1,Input_Prod_04!$G$9,$J$9,$E$30,Input_Prod_04!$B51,$L$1,$K$1)</f>
        <v>-0.83477585743431204</v>
      </c>
      <c r="D51" s="34">
        <f>_xll.DBRW($B$1,Input_Prod_04!$D$9,Input_Prod_04!D$11,$M$1,Input_Prod_04!$G$9,$J$9,$E$30,Input_Prod_04!$B51,$L$1,$K$1)</f>
        <v>-6.6860776834086701</v>
      </c>
      <c r="E51" s="34">
        <f>_xll.DBRW($B$1,Input_Prod_04!$D$9,Input_Prod_04!E$11,$M$1,Input_Prod_04!$G$9,$J$9,$E$30,Input_Prod_04!$B51,$L$1,$K$1)</f>
        <v>-8.4347271091550908</v>
      </c>
      <c r="F51" s="34">
        <f>_xll.DBRW($B$1,Input_Prod_04!$D$9,Input_Prod_04!F$11,$M$1,Input_Prod_04!$G$9,$J$9,$E$30,Input_Prod_04!$B51,$L$1,$K$1)</f>
        <v>-14.034569035162701</v>
      </c>
      <c r="G51" s="34">
        <f>_xll.DBRW($B$1,Input_Prod_04!$D$9,Input_Prod_04!G$11,$M$1,Input_Prod_04!$G$9,$J$9,$E$30,Input_Prod_04!$B51,$L$1,$K$1)</f>
        <v>-17.1066789575687</v>
      </c>
      <c r="H51" s="34">
        <f>_xll.DBRW($B$1,Input_Prod_04!$D$9,Input_Prod_04!H$11,$M$1,Input_Prod_04!$G$9,$J$9,$E$30,Input_Prod_04!$B51,$L$1,$K$1)</f>
        <v>-20.034927881417101</v>
      </c>
      <c r="I51" s="34">
        <f>_xll.DBRW($B$1,Input_Prod_04!$D$9,Input_Prod_04!I$11,$M$1,Input_Prod_04!$G$9,$J$9,$E$30,Input_Prod_04!$B51,$L$1,$K$1)</f>
        <v>-18.194699017017101</v>
      </c>
      <c r="J51" s="34">
        <f>_xll.DBRW($B$1,Input_Prod_04!$D$9,Input_Prod_04!J$11,$M$1,Input_Prod_04!$G$9,$J$9,$E$30,Input_Prod_04!$B51,$L$1,$K$1)</f>
        <v>-16.617002902935599</v>
      </c>
      <c r="K51" s="34">
        <f>_xll.DBRW($B$1,Input_Prod_04!$D$9,Input_Prod_04!K$11,$M$1,Input_Prod_04!$G$9,$J$9,$E$30,Input_Prod_04!$B51,$L$1,$K$1)</f>
        <v>-17.146155476785498</v>
      </c>
      <c r="L51" s="34">
        <f>_xll.DBRW($B$1,Input_Prod_04!$D$9,Input_Prod_04!L$11,$M$1,Input_Prod_04!$G$9,$J$9,$E$30,Input_Prod_04!$B51,$L$1,$K$1)</f>
        <v>-16.3034432225251</v>
      </c>
      <c r="M51" s="34">
        <f>_xll.DBRW($B$1,Input_Prod_04!$D$9,Input_Prod_04!M$11,$M$1,Input_Prod_04!$G$9,$J$9,$E$30,Input_Prod_04!$B51,$L$1,$K$1)</f>
        <v>-12.699174685736301</v>
      </c>
      <c r="N51" s="34">
        <f>_xll.DBRW($B$1,Input_Prod_04!$D$9,Input_Prod_04!N$11,$M$1,Input_Prod_04!$G$9,$J$9,$E$30,Input_Prod_04!$B51,$L$1,$K$1)</f>
        <v>-8.2186775138152299</v>
      </c>
    </row>
    <row r="52" spans="2:14" s="1" customFormat="1" ht="15.75" customHeight="1" x14ac:dyDescent="0.25">
      <c r="B52" s="17" t="s">
        <v>22</v>
      </c>
      <c r="C52" s="16">
        <f>_xll.DBRW($B$1,Input_Prod_04!$D$9,Input_Prod_04!C$11,$M$1,Input_Prod_04!$G$9,$J$9,$E$30,Input_Prod_04!$B52,$L$1,$K$1)</f>
        <v>34.839500003718697</v>
      </c>
      <c r="D52" s="16">
        <f>_xll.DBRW($B$1,Input_Prod_04!$D$9,Input_Prod_04!D$11,$M$1,Input_Prod_04!$G$9,$J$9,$E$30,Input_Prod_04!$B52,$L$1,$K$1)</f>
        <v>37.1945584673255</v>
      </c>
      <c r="E52" s="16">
        <f>_xll.DBRW($B$1,Input_Prod_04!$D$9,Input_Prod_04!E$11,$M$1,Input_Prod_04!$G$9,$J$9,$E$30,Input_Prod_04!$B52,$L$1,$K$1)</f>
        <v>31.431682360163901</v>
      </c>
      <c r="F52" s="16">
        <f>_xll.DBRW($B$1,Input_Prod_04!$D$9,Input_Prod_04!F$11,$M$1,Input_Prod_04!$G$9,$J$9,$E$30,Input_Prod_04!$B52,$L$1,$K$1)</f>
        <v>30.091597006529401</v>
      </c>
      <c r="G52" s="16">
        <f>_xll.DBRW($B$1,Input_Prod_04!$D$9,Input_Prod_04!G$11,$M$1,Input_Prod_04!$G$9,$J$9,$E$30,Input_Prod_04!$B52,$L$1,$K$1)</f>
        <v>20.521550940515699</v>
      </c>
      <c r="H52" s="16">
        <f>_xll.DBRW($B$1,Input_Prod_04!$D$9,Input_Prod_04!H$11,$M$1,Input_Prod_04!$G$9,$J$9,$E$30,Input_Prod_04!$B52,$L$1,$K$1)</f>
        <v>23.325895086466598</v>
      </c>
      <c r="I52" s="16">
        <f>_xll.DBRW($B$1,Input_Prod_04!$D$9,Input_Prod_04!I$11,$M$1,Input_Prod_04!$G$9,$J$9,$E$30,Input_Prod_04!$B52,$L$1,$K$1)</f>
        <v>21.784901746058299</v>
      </c>
      <c r="J52" s="16">
        <f>_xll.DBRW($B$1,Input_Prod_04!$D$9,Input_Prod_04!J$11,$M$1,Input_Prod_04!$G$9,$J$9,$E$30,Input_Prod_04!$B52,$L$1,$K$1)</f>
        <v>20.351640670984299</v>
      </c>
      <c r="K52" s="16">
        <f>_xll.DBRW($B$1,Input_Prod_04!$D$9,Input_Prod_04!K$11,$M$1,Input_Prod_04!$G$9,$J$9,$E$30,Input_Prod_04!$B52,$L$1,$K$1)</f>
        <v>24.672143867149099</v>
      </c>
      <c r="L52" s="16">
        <f>_xll.DBRW($B$1,Input_Prod_04!$D$9,Input_Prod_04!L$11,$M$1,Input_Prod_04!$G$9,$J$9,$E$30,Input_Prod_04!$B52,$L$1,$K$1)</f>
        <v>23.267132627917299</v>
      </c>
      <c r="M52" s="16">
        <f>_xll.DBRW($B$1,Input_Prod_04!$D$9,Input_Prod_04!M$11,$M$1,Input_Prod_04!$G$9,$J$9,$E$30,Input_Prod_04!$B52,$L$1,$K$1)</f>
        <v>17.442709072067402</v>
      </c>
      <c r="N52" s="16">
        <f>_xll.DBRW($B$1,Input_Prod_04!$D$9,Input_Prod_04!N$11,$M$1,Input_Prod_04!$G$9,$J$9,$E$30,Input_Prod_04!$B52,$L$1,$K$1)</f>
        <v>16.299831988151901</v>
      </c>
    </row>
    <row r="53" spans="2:14" s="1" customFormat="1" ht="15.75" customHeight="1" x14ac:dyDescent="0.25">
      <c r="B53" s="17" t="s">
        <v>23</v>
      </c>
      <c r="C53" s="16">
        <f>_xll.DBRW($B$1,Input_Prod_04!$D$9,Input_Prod_04!C$11,$M$1,Input_Prod_04!$G$9,$J$9,$E$30,Input_Prod_04!$B53,$L$1,$K$1)</f>
        <v>7.6474136504325703</v>
      </c>
      <c r="D53" s="16">
        <f>_xll.DBRW($B$1,Input_Prod_04!$D$9,Input_Prod_04!D$11,$M$1,Input_Prod_04!$G$9,$J$9,$E$30,Input_Prod_04!$B53,$L$1,$K$1)</f>
        <v>8.1854402531327395</v>
      </c>
      <c r="E53" s="16">
        <f>_xll.DBRW($B$1,Input_Prod_04!$D$9,Input_Prod_04!E$11,$M$1,Input_Prod_04!$G$9,$J$9,$E$30,Input_Prod_04!$B53,$L$1,$K$1)</f>
        <v>9.5925389128211798</v>
      </c>
      <c r="F53" s="16">
        <f>_xll.DBRW($B$1,Input_Prod_04!$D$9,Input_Prod_04!F$11,$M$1,Input_Prod_04!$G$9,$J$9,$E$30,Input_Prod_04!$B53,$L$1,$K$1)</f>
        <v>8.5181995962472996</v>
      </c>
      <c r="G53" s="16">
        <f>_xll.DBRW($B$1,Input_Prod_04!$D$9,Input_Prod_04!G$11,$M$1,Input_Prod_04!$G$9,$J$9,$E$30,Input_Prod_04!$B53,$L$1,$K$1)</f>
        <v>8.4528475459821308</v>
      </c>
      <c r="H53" s="16">
        <f>_xll.DBRW($B$1,Input_Prod_04!$D$9,Input_Prod_04!H$11,$M$1,Input_Prod_04!$G$9,$J$9,$E$30,Input_Prod_04!$B53,$L$1,$K$1)</f>
        <v>9.69979177992108</v>
      </c>
      <c r="I53" s="16">
        <f>_xll.DBRW($B$1,Input_Prod_04!$D$9,Input_Prod_04!I$11,$M$1,Input_Prod_04!$G$9,$J$9,$E$30,Input_Prod_04!$B53,$L$1,$K$1)</f>
        <v>9.0077323998827197</v>
      </c>
      <c r="J53" s="16">
        <f>_xll.DBRW($B$1,Input_Prod_04!$D$9,Input_Prod_04!J$11,$M$1,Input_Prod_04!$G$9,$J$9,$E$30,Input_Prod_04!$B53,$L$1,$K$1)</f>
        <v>8.7638409009594191</v>
      </c>
      <c r="K53" s="16">
        <f>_xll.DBRW($B$1,Input_Prod_04!$D$9,Input_Prod_04!K$11,$M$1,Input_Prod_04!$G$9,$J$9,$E$30,Input_Prod_04!$B53,$L$1,$K$1)</f>
        <v>9.62618667320789</v>
      </c>
      <c r="L53" s="16">
        <f>_xll.DBRW($B$1,Input_Prod_04!$D$9,Input_Prod_04!L$11,$M$1,Input_Prod_04!$G$9,$J$9,$E$30,Input_Prod_04!$B53,$L$1,$K$1)</f>
        <v>9.4764856951811094</v>
      </c>
      <c r="M53" s="16">
        <f>_xll.DBRW($B$1,Input_Prod_04!$D$9,Input_Prod_04!M$11,$M$1,Input_Prod_04!$G$9,$J$9,$E$30,Input_Prod_04!$B53,$L$1,$K$1)</f>
        <v>9.2016373767288009</v>
      </c>
      <c r="N53" s="16">
        <f>_xll.DBRW($B$1,Input_Prod_04!$D$9,Input_Prod_04!N$11,$M$1,Input_Prod_04!$G$9,$J$9,$E$30,Input_Prod_04!$B53,$L$1,$K$1)</f>
        <v>9.7192234149976997</v>
      </c>
    </row>
    <row r="54" spans="2:14" s="1" customFormat="1" ht="15.75" customHeight="1" x14ac:dyDescent="0.25">
      <c r="B54" s="17" t="s">
        <v>24</v>
      </c>
      <c r="C54" s="16">
        <f>_xll.DBRW($B$1,Input_Prod_04!$D$9,Input_Prod_04!C$11,$M$1,Input_Prod_04!$G$9,$J$9,$E$30,Input_Prod_04!$B54,$L$1,$K$1)</f>
        <v>-1.2662444984762501E-2</v>
      </c>
      <c r="D54" s="16">
        <f>_xll.DBRW($B$1,Input_Prod_04!$D$9,Input_Prod_04!D$11,$M$1,Input_Prod_04!$G$9,$J$9,$E$30,Input_Prod_04!$B54,$L$1,$K$1)</f>
        <v>1.54693543390593</v>
      </c>
      <c r="E54" s="16">
        <f>_xll.DBRW($B$1,Input_Prod_04!$D$9,Input_Prod_04!E$11,$M$1,Input_Prod_04!$G$9,$J$9,$E$30,Input_Prod_04!$B54,$L$1,$K$1)</f>
        <v>-4.2525422531516002E-3</v>
      </c>
      <c r="F54" s="16">
        <f>_xll.DBRW($B$1,Input_Prod_04!$D$9,Input_Prod_04!F$11,$M$1,Input_Prod_04!$G$9,$J$9,$E$30,Input_Prod_04!$B54,$L$1,$K$1)</f>
        <v>-0.26754938614770202</v>
      </c>
      <c r="G54" s="16">
        <f>_xll.DBRW($B$1,Input_Prod_04!$D$9,Input_Prod_04!G$11,$M$1,Input_Prod_04!$G$9,$J$9,$E$30,Input_Prod_04!$B54,$L$1,$K$1)</f>
        <v>-0.38664296640207502</v>
      </c>
      <c r="H54" s="16">
        <f>_xll.DBRW($B$1,Input_Prod_04!$D$9,Input_Prod_04!H$11,$M$1,Input_Prod_04!$G$9,$J$9,$E$30,Input_Prod_04!$B54,$L$1,$K$1)</f>
        <v>-0.78180852292995695</v>
      </c>
      <c r="I54" s="16">
        <f>_xll.DBRW($B$1,Input_Prod_04!$D$9,Input_Prod_04!I$11,$M$1,Input_Prod_04!$G$9,$J$9,$E$30,Input_Prod_04!$B54,$L$1,$K$1)</f>
        <v>-0.231417091843304</v>
      </c>
      <c r="J54" s="16">
        <f>_xll.DBRW($B$1,Input_Prod_04!$D$9,Input_Prod_04!J$11,$M$1,Input_Prod_04!$G$9,$J$9,$E$30,Input_Prod_04!$B54,$L$1,$K$1)</f>
        <v>-0.39261890244862502</v>
      </c>
      <c r="K54" s="16">
        <f>_xll.DBRW($B$1,Input_Prod_04!$D$9,Input_Prod_04!K$11,$M$1,Input_Prod_04!$G$9,$J$9,$E$30,Input_Prod_04!$B54,$L$1,$K$1)</f>
        <v>-0.15120375580776099</v>
      </c>
      <c r="L54" s="16">
        <f>_xll.DBRW($B$1,Input_Prod_04!$D$9,Input_Prod_04!L$11,$M$1,Input_Prod_04!$G$9,$J$9,$E$30,Input_Prod_04!$B54,$L$1,$K$1)</f>
        <v>2.2845720961780902</v>
      </c>
      <c r="M54" s="16">
        <f>_xll.DBRW($B$1,Input_Prod_04!$D$9,Input_Prod_04!M$11,$M$1,Input_Prod_04!$G$9,$J$9,$E$30,Input_Prod_04!$B54,$L$1,$K$1)</f>
        <v>3.28792529190769</v>
      </c>
      <c r="N54" s="16">
        <f>_xll.DBRW($B$1,Input_Prod_04!$D$9,Input_Prod_04!N$11,$M$1,Input_Prod_04!$G$9,$J$9,$E$30,Input_Prod_04!$B54,$L$1,$K$1)</f>
        <v>1.03996773785176</v>
      </c>
    </row>
    <row r="55" spans="2:14" s="1" customFormat="1" ht="15.75" customHeight="1" x14ac:dyDescent="0.25">
      <c r="B55" s="24" t="s">
        <v>25</v>
      </c>
      <c r="C55" s="21">
        <f>_xll.DBRW($B$3,Input_Prod_04!$D$9,Input_Prod_04!C$11,$M$1,Input_Prod_04!$G$9,$J$9,$E$30,Input_Prod_04!$B55,$K$1)</f>
        <v>-53.141977256155165</v>
      </c>
      <c r="D55" s="21">
        <f>_xll.DBRW($B$3,Input_Prod_04!$D$9,Input_Prod_04!D$11,$M$1,Input_Prod_04!$G$9,$J$9,$E$30,Input_Prod_04!$B55,$K$1)</f>
        <v>-56.529853660413437</v>
      </c>
      <c r="E55" s="21">
        <f>_xll.DBRW($B$3,Input_Prod_04!$D$9,Input_Prod_04!E$11,$M$1,Input_Prod_04!$G$9,$J$9,$E$30,Input_Prod_04!$B55,$K$1)</f>
        <v>-58.57749581234372</v>
      </c>
      <c r="F55" s="21">
        <f>_xll.DBRW($B$3,Input_Prod_04!$D$9,Input_Prod_04!F$11,$M$1,Input_Prod_04!$G$9,$J$9,$E$30,Input_Prod_04!$B55,$K$1)</f>
        <v>-61.7563464756673</v>
      </c>
      <c r="G55" s="21">
        <f>_xll.DBRW($B$3,Input_Prod_04!$D$9,Input_Prod_04!G$11,$M$1,Input_Prod_04!$G$9,$J$9,$E$30,Input_Prod_04!$B55,$K$1)</f>
        <v>-57.547192244406503</v>
      </c>
      <c r="H55" s="21">
        <f>_xll.DBRW($B$3,Input_Prod_04!$D$9,Input_Prod_04!H$11,$M$1,Input_Prod_04!$G$9,$J$9,$E$30,Input_Prod_04!$B55,$K$1)</f>
        <v>-61.528224818746736</v>
      </c>
      <c r="I55" s="21">
        <f>_xll.DBRW($B$3,Input_Prod_04!$D$9,Input_Prod_04!I$11,$M$1,Input_Prod_04!$G$9,$J$9,$E$30,Input_Prod_04!$B55,$K$1)</f>
        <v>-59.862273346985219</v>
      </c>
      <c r="J55" s="21">
        <f>_xll.DBRW($B$3,Input_Prod_04!$D$9,Input_Prod_04!J$11,$M$1,Input_Prod_04!$G$9,$J$9,$E$30,Input_Prod_04!$B55,$K$1)</f>
        <v>-59.18264695741815</v>
      </c>
      <c r="K55" s="21">
        <f>_xll.DBRW($B$3,Input_Prod_04!$D$9,Input_Prod_04!K$11,$M$1,Input_Prod_04!$G$9,$J$9,$E$30,Input_Prod_04!$B55,$K$1)</f>
        <v>-64.693538532077838</v>
      </c>
      <c r="L55" s="21">
        <f>_xll.DBRW($B$3,Input_Prod_04!$D$9,Input_Prod_04!L$11,$M$1,Input_Prod_04!$G$9,$J$9,$E$30,Input_Prod_04!$B55,$K$1)</f>
        <v>-60.994539551926927</v>
      </c>
      <c r="M55" s="21">
        <f>_xll.DBRW($B$3,Input_Prod_04!$D$9,Input_Prod_04!M$11,$M$1,Input_Prod_04!$G$9,$J$9,$E$30,Input_Prod_04!$B55,$K$1)</f>
        <v>-49.192234988239143</v>
      </c>
      <c r="N55" s="21">
        <f>_xll.DBRW($B$3,Input_Prod_04!$D$9,Input_Prod_04!N$11,$M$1,Input_Prod_04!$G$9,$J$9,$E$30,Input_Prod_04!$B55,$K$1)</f>
        <v>-41.05988536837215</v>
      </c>
    </row>
    <row r="57" spans="2:14" s="1" customFormat="1" ht="15.75" customHeight="1" thickBot="1" x14ac:dyDescent="0.3">
      <c r="B57" s="10"/>
    </row>
    <row r="58" spans="2:14" s="1" customFormat="1" ht="21" thickTop="1" x14ac:dyDescent="0.25">
      <c r="B58" s="9" t="s">
        <v>75</v>
      </c>
    </row>
    <row r="60" spans="2:14" s="1" customFormat="1" ht="15.75" customHeight="1" x14ac:dyDescent="0.25">
      <c r="B60" s="5"/>
      <c r="C60" s="18" t="str">
        <f>$D$9&amp;"."&amp;C$11</f>
        <v>2026.01</v>
      </c>
      <c r="D60" s="18" t="str">
        <f t="shared" ref="D60:N60" si="3">$D$9&amp;"."&amp;D$11</f>
        <v>2026.02</v>
      </c>
      <c r="E60" s="18" t="str">
        <f t="shared" si="3"/>
        <v>2026.03</v>
      </c>
      <c r="F60" s="18" t="str">
        <f t="shared" si="3"/>
        <v>2026.04</v>
      </c>
      <c r="G60" s="18" t="str">
        <f t="shared" si="3"/>
        <v>2026.05</v>
      </c>
      <c r="H60" s="18" t="str">
        <f t="shared" si="3"/>
        <v>2026.06</v>
      </c>
      <c r="I60" s="18" t="str">
        <f t="shared" si="3"/>
        <v>2026.07</v>
      </c>
      <c r="J60" s="18" t="str">
        <f t="shared" si="3"/>
        <v>2026.08</v>
      </c>
      <c r="K60" s="18" t="str">
        <f t="shared" si="3"/>
        <v>2026.09</v>
      </c>
      <c r="L60" s="18" t="str">
        <f t="shared" si="3"/>
        <v>2026.10</v>
      </c>
      <c r="M60" s="18" t="str">
        <f t="shared" si="3"/>
        <v>2026.11</v>
      </c>
      <c r="N60" s="18" t="str">
        <f t="shared" si="3"/>
        <v>2026.12</v>
      </c>
    </row>
    <row r="61" spans="2:14" s="1" customFormat="1" ht="29.25" customHeight="1" x14ac:dyDescent="0.25">
      <c r="B61" s="17" t="s">
        <v>26</v>
      </c>
      <c r="C61" s="16">
        <f>_xll.DBRW($B$1,Input_Prod_04!$D$9,Input_Prod_04!C$11,$M$1,Input_Prod_04!$G$9,$J$9,$E$30,Input_Prod_04!$B61,$L$1,$K$1)</f>
        <v>15.3526691154304</v>
      </c>
      <c r="D61" s="16">
        <f>_xll.DBRW($B$1,Input_Prod_04!$D$9,Input_Prod_04!D$11,$M$1,Input_Prod_04!$G$9,$J$9,$E$30,Input_Prod_04!$B61,$L$1,$K$1)</f>
        <v>15.5366943863453</v>
      </c>
      <c r="E61" s="16">
        <f>_xll.DBRW($B$1,Input_Prod_04!$D$9,Input_Prod_04!E$11,$M$1,Input_Prod_04!$G$9,$J$9,$E$30,Input_Prod_04!$B61,$L$1,$K$1)</f>
        <v>16.603117612869202</v>
      </c>
      <c r="F61" s="16">
        <f>_xll.DBRW($B$1,Input_Prod_04!$D$9,Input_Prod_04!F$11,$M$1,Input_Prod_04!$G$9,$J$9,$E$30,Input_Prod_04!$B61,$L$1,$K$1)</f>
        <v>16.662677661043499</v>
      </c>
      <c r="G61" s="16">
        <f>_xll.DBRW($B$1,Input_Prod_04!$D$9,Input_Prod_04!G$11,$M$1,Input_Prod_04!$G$9,$J$9,$E$30,Input_Prod_04!$B61,$L$1,$K$1)</f>
        <v>16.728463966828102</v>
      </c>
      <c r="H61" s="16">
        <f>_xll.DBRW($B$1,Input_Prod_04!$D$9,Input_Prod_04!H$11,$M$1,Input_Prod_04!$G$9,$J$9,$E$30,Input_Prod_04!$B61,$L$1,$K$1)</f>
        <v>17.065598661956599</v>
      </c>
      <c r="I61" s="16">
        <f>_xll.DBRW($B$1,Input_Prod_04!$D$9,Input_Prod_04!I$11,$M$1,Input_Prod_04!$G$9,$J$9,$E$30,Input_Prod_04!$B61,$L$1,$K$1)</f>
        <v>16.709347997983699</v>
      </c>
      <c r="J61" s="16">
        <f>_xll.DBRW($B$1,Input_Prod_04!$D$9,Input_Prod_04!J$11,$M$1,Input_Prod_04!$G$9,$J$9,$E$30,Input_Prod_04!$B61,$L$1,$K$1)</f>
        <v>16.725033621744199</v>
      </c>
      <c r="K61" s="16">
        <f>_xll.DBRW($B$1,Input_Prod_04!$D$9,Input_Prod_04!K$11,$M$1,Input_Prod_04!$G$9,$J$9,$E$30,Input_Prod_04!$B61,$L$1,$K$1)</f>
        <v>16.797667270118499</v>
      </c>
      <c r="L61" s="16">
        <f>_xll.DBRW($B$1,Input_Prod_04!$D$9,Input_Prod_04!L$11,$M$1,Input_Prod_04!$G$9,$J$9,$E$30,Input_Prod_04!$B61,$L$1,$K$1)</f>
        <v>16.7141026736324</v>
      </c>
      <c r="M61" s="16">
        <f>_xll.DBRW($B$1,Input_Prod_04!$D$9,Input_Prod_04!M$11,$M$1,Input_Prod_04!$G$9,$J$9,$E$30,Input_Prod_04!$B61,$L$1,$K$1)</f>
        <v>16.6129234633237</v>
      </c>
      <c r="N61" s="16">
        <f>_xll.DBRW($B$1,Input_Prod_04!$D$9,Input_Prod_04!N$11,$M$1,Input_Prod_04!$G$9,$J$9,$E$30,Input_Prod_04!$B61,$L$1,$K$1)</f>
        <v>16.325930754117199</v>
      </c>
    </row>
    <row r="62" spans="2:14" s="1" customFormat="1" ht="15.75" customHeight="1" x14ac:dyDescent="0.25">
      <c r="B62" s="24" t="s">
        <v>25</v>
      </c>
      <c r="C62" s="21">
        <f>_xll.DBRW($B$3,Input_Prod_04!$D$9,Input_Prod_04!C$11,$M$1,Input_Prod_04!$G$9,$J$9,$E$30,Input_Prod_04!$B62,$K$1)</f>
        <v>-53.141977256155165</v>
      </c>
      <c r="D62" s="21">
        <f>_xll.DBRW($B$3,Input_Prod_04!$D$9,Input_Prod_04!D$11,$M$1,Input_Prod_04!$G$9,$J$9,$E$30,Input_Prod_04!$B62,$K$1)</f>
        <v>-56.529853660413437</v>
      </c>
      <c r="E62" s="21">
        <f>_xll.DBRW($B$3,Input_Prod_04!$D$9,Input_Prod_04!E$11,$M$1,Input_Prod_04!$G$9,$J$9,$E$30,Input_Prod_04!$B62,$K$1)</f>
        <v>-58.57749581234372</v>
      </c>
      <c r="F62" s="21">
        <f>_xll.DBRW($B$3,Input_Prod_04!$D$9,Input_Prod_04!F$11,$M$1,Input_Prod_04!$G$9,$J$9,$E$30,Input_Prod_04!$B62,$K$1)</f>
        <v>-61.7563464756673</v>
      </c>
      <c r="G62" s="21">
        <f>_xll.DBRW($B$3,Input_Prod_04!$D$9,Input_Prod_04!G$11,$M$1,Input_Prod_04!$G$9,$J$9,$E$30,Input_Prod_04!$B62,$K$1)</f>
        <v>-57.547192244406503</v>
      </c>
      <c r="H62" s="21">
        <f>_xll.DBRW($B$3,Input_Prod_04!$D$9,Input_Prod_04!H$11,$M$1,Input_Prod_04!$G$9,$J$9,$E$30,Input_Prod_04!$B62,$K$1)</f>
        <v>-61.528224818746736</v>
      </c>
      <c r="I62" s="21">
        <f>_xll.DBRW($B$3,Input_Prod_04!$D$9,Input_Prod_04!I$11,$M$1,Input_Prod_04!$G$9,$J$9,$E$30,Input_Prod_04!$B62,$K$1)</f>
        <v>-59.862273346985219</v>
      </c>
      <c r="J62" s="21">
        <f>_xll.DBRW($B$3,Input_Prod_04!$D$9,Input_Prod_04!J$11,$M$1,Input_Prod_04!$G$9,$J$9,$E$30,Input_Prod_04!$B62,$K$1)</f>
        <v>-59.18264695741815</v>
      </c>
      <c r="K62" s="21">
        <f>_xll.DBRW($B$3,Input_Prod_04!$D$9,Input_Prod_04!K$11,$M$1,Input_Prod_04!$G$9,$J$9,$E$30,Input_Prod_04!$B62,$K$1)</f>
        <v>-64.693538532077838</v>
      </c>
      <c r="L62" s="21">
        <f>_xll.DBRW($B$3,Input_Prod_04!$D$9,Input_Prod_04!L$11,$M$1,Input_Prod_04!$G$9,$J$9,$E$30,Input_Prod_04!$B62,$K$1)</f>
        <v>-60.994539551926927</v>
      </c>
      <c r="M62" s="21">
        <f>_xll.DBRW($B$3,Input_Prod_04!$D$9,Input_Prod_04!M$11,$M$1,Input_Prod_04!$G$9,$J$9,$E$30,Input_Prod_04!$B62,$K$1)</f>
        <v>-49.192234988239143</v>
      </c>
      <c r="N62" s="21">
        <f>_xll.DBRW($B$3,Input_Prod_04!$D$9,Input_Prod_04!N$11,$M$1,Input_Prod_04!$G$9,$J$9,$E$30,Input_Prod_04!$B62,$K$1)</f>
        <v>-41.05988536837215</v>
      </c>
    </row>
    <row r="63" spans="2:14" s="1" customFormat="1" ht="15.75" customHeight="1" x14ac:dyDescent="0.25">
      <c r="B63" s="22" t="s">
        <v>75</v>
      </c>
      <c r="C63" s="21">
        <f>_xll.DBRW($B$3,Input_Prod_04!$D$9,Input_Prod_04!C$11,$M$1,Input_Prod_04!$G$9,Input_Prod_04!$J$9,$E$30,Input_Prod_04!$B63,$K$1)</f>
        <v>-68.49464637158556</v>
      </c>
      <c r="D63" s="21">
        <f>_xll.DBRW($B$3,Input_Prod_04!$D$9,Input_Prod_04!D$11,$M$1,Input_Prod_04!$G$9,Input_Prod_04!$J$9,$E$30,Input_Prod_04!$B63,$K$1)</f>
        <v>-72.06654804675874</v>
      </c>
      <c r="E63" s="21">
        <f>_xll.DBRW($B$3,Input_Prod_04!$D$9,Input_Prod_04!E$11,$M$1,Input_Prod_04!$G$9,Input_Prod_04!$J$9,$E$30,Input_Prod_04!$B63,$K$1)</f>
        <v>-75.180613425212925</v>
      </c>
      <c r="F63" s="21">
        <f>_xll.DBRW($B$3,Input_Prod_04!$D$9,Input_Prod_04!F$11,$M$1,Input_Prod_04!$G$9,Input_Prod_04!$J$9,$E$30,Input_Prod_04!$B63,$K$1)</f>
        <v>-78.419024136710803</v>
      </c>
      <c r="G63" s="21">
        <f>_xll.DBRW($B$3,Input_Prod_04!$D$9,Input_Prod_04!G$11,$M$1,Input_Prod_04!$G$9,Input_Prod_04!$J$9,$E$30,Input_Prod_04!$B63,$K$1)</f>
        <v>-74.275656211234605</v>
      </c>
      <c r="H63" s="21">
        <f>_xll.DBRW($B$3,Input_Prod_04!$D$9,Input_Prod_04!H$11,$M$1,Input_Prod_04!$G$9,Input_Prod_04!$J$9,$E$30,Input_Prod_04!$B63,$K$1)</f>
        <v>-78.593823480703335</v>
      </c>
      <c r="I63" s="21">
        <f>_xll.DBRW($B$3,Input_Prod_04!$D$9,Input_Prod_04!I$11,$M$1,Input_Prod_04!$G$9,Input_Prod_04!$J$9,$E$30,Input_Prod_04!$B63,$K$1)</f>
        <v>-76.571621344968918</v>
      </c>
      <c r="J63" s="21">
        <f>_xll.DBRW($B$3,Input_Prod_04!$D$9,Input_Prod_04!J$11,$M$1,Input_Prod_04!$G$9,Input_Prod_04!$J$9,$E$30,Input_Prod_04!$B63,$K$1)</f>
        <v>-75.907680579162346</v>
      </c>
      <c r="K63" s="21">
        <f>_xll.DBRW($B$3,Input_Prod_04!$D$9,Input_Prod_04!K$11,$M$1,Input_Prod_04!$G$9,Input_Prod_04!$J$9,$E$30,Input_Prod_04!$B63,$K$1)</f>
        <v>-81.491205802196333</v>
      </c>
      <c r="L63" s="21">
        <f>_xll.DBRW($B$3,Input_Prod_04!$D$9,Input_Prod_04!L$11,$M$1,Input_Prod_04!$G$9,Input_Prod_04!$J$9,$E$30,Input_Prod_04!$B63,$K$1)</f>
        <v>-77.708642225559331</v>
      </c>
      <c r="M63" s="21">
        <f>_xll.DBRW($B$3,Input_Prod_04!$D$9,Input_Prod_04!M$11,$M$1,Input_Prod_04!$G$9,Input_Prod_04!$J$9,$E$30,Input_Prod_04!$B63,$K$1)</f>
        <v>-65.805158451562846</v>
      </c>
      <c r="N63" s="21">
        <f>_xll.DBRW($B$3,Input_Prod_04!$D$9,Input_Prod_04!N$11,$M$1,Input_Prod_04!$G$9,Input_Prod_04!$J$9,$E$30,Input_Prod_04!$B63,$K$1)</f>
        <v>-57.385816122489345</v>
      </c>
    </row>
    <row r="64" spans="2:14" s="1" customFormat="1" ht="15.75" customHeight="1" x14ac:dyDescent="0.25">
      <c r="B64"/>
      <c r="C64"/>
      <c r="D64"/>
      <c r="E64"/>
      <c r="F64"/>
      <c r="G64"/>
      <c r="H64"/>
      <c r="I64"/>
      <c r="J64"/>
      <c r="K64"/>
      <c r="L64"/>
      <c r="M64"/>
      <c r="N64"/>
    </row>
    <row r="65" spans="2:14" s="1" customFormat="1" ht="15.75" customHeight="1" thickBot="1" x14ac:dyDescent="0.3">
      <c r="B65" s="10"/>
      <c r="C65"/>
      <c r="D65"/>
      <c r="E65"/>
      <c r="F65"/>
      <c r="G65"/>
      <c r="H65"/>
      <c r="I65"/>
      <c r="J65"/>
      <c r="K65"/>
      <c r="L65"/>
      <c r="M65"/>
      <c r="N65"/>
    </row>
    <row r="66" spans="2:14" s="1" customFormat="1" ht="15.75" customHeight="1" thickTop="1" x14ac:dyDescent="0.25">
      <c r="B66" s="9" t="s">
        <v>76</v>
      </c>
    </row>
    <row r="68" spans="2:14" s="1" customFormat="1" ht="15.75" customHeight="1" x14ac:dyDescent="0.25">
      <c r="B68" s="5"/>
      <c r="C68" s="18" t="str">
        <f t="shared" ref="C68:N68" si="4">$D$9&amp;"."&amp;C$11</f>
        <v>2026.01</v>
      </c>
      <c r="D68" s="18" t="str">
        <f t="shared" si="4"/>
        <v>2026.02</v>
      </c>
      <c r="E68" s="18" t="str">
        <f t="shared" si="4"/>
        <v>2026.03</v>
      </c>
      <c r="F68" s="18" t="str">
        <f t="shared" si="4"/>
        <v>2026.04</v>
      </c>
      <c r="G68" s="18" t="str">
        <f t="shared" si="4"/>
        <v>2026.05</v>
      </c>
      <c r="H68" s="18" t="str">
        <f t="shared" si="4"/>
        <v>2026.06</v>
      </c>
      <c r="I68" s="18" t="str">
        <f t="shared" si="4"/>
        <v>2026.07</v>
      </c>
      <c r="J68" s="18" t="str">
        <f t="shared" si="4"/>
        <v>2026.08</v>
      </c>
      <c r="K68" s="18" t="str">
        <f t="shared" si="4"/>
        <v>2026.09</v>
      </c>
      <c r="L68" s="18" t="str">
        <f t="shared" si="4"/>
        <v>2026.10</v>
      </c>
      <c r="M68" s="18" t="str">
        <f t="shared" si="4"/>
        <v>2026.11</v>
      </c>
      <c r="N68" s="18" t="str">
        <f t="shared" si="4"/>
        <v>2026.12</v>
      </c>
    </row>
    <row r="69" spans="2:14" s="1" customFormat="1" ht="15.75" customHeight="1" x14ac:dyDescent="0.25">
      <c r="B69" s="17" t="s">
        <v>62</v>
      </c>
      <c r="C69" s="16">
        <f>_xll.DBRW($B$1,Input_Prod_04!$D$9,Input_Prod_04!C$11,$M$1,Input_Prod_04!$G$9,$J$9,$E$30,Input_Prod_04!$B69,$L$1,$K$1)</f>
        <v>-0.32575547715125602</v>
      </c>
      <c r="D69" s="16">
        <f>_xll.DBRW($B$1,Input_Prod_04!$D$9,Input_Prod_04!D$11,$M$1,Input_Prod_04!$G$9,$J$9,$E$30,Input_Prod_04!$B69,$L$1,$K$1)</f>
        <v>-0.58191421770163299</v>
      </c>
      <c r="E69" s="16">
        <f>_xll.DBRW($B$1,Input_Prod_04!$D$9,Input_Prod_04!E$11,$M$1,Input_Prod_04!$G$9,$J$9,$E$30,Input_Prod_04!$B69,$L$1,$K$1)</f>
        <v>-2.8114876612691599E-2</v>
      </c>
      <c r="F69" s="16">
        <f>_xll.DBRW($B$1,Input_Prod_04!$D$9,Input_Prod_04!F$11,$M$1,Input_Prod_04!$G$9,$J$9,$E$30,Input_Prod_04!$B69,$L$1,$K$1)</f>
        <v>3.44947734005812E-3</v>
      </c>
      <c r="G69" s="16">
        <f>_xll.DBRW($B$1,Input_Prod_04!$D$9,Input_Prod_04!G$11,$M$1,Input_Prod_04!$G$9,$J$9,$E$30,Input_Prod_04!$B69,$L$1,$K$1)</f>
        <v>0.33324573813276498</v>
      </c>
      <c r="H69" s="16">
        <f>_xll.DBRW($B$1,Input_Prod_04!$D$9,Input_Prod_04!H$11,$M$1,Input_Prod_04!$G$9,$J$9,$E$30,Input_Prod_04!$B69,$L$1,$K$1)</f>
        <v>0.35928552752723703</v>
      </c>
      <c r="I69" s="16">
        <f>_xll.DBRW($B$1,Input_Prod_04!$D$9,Input_Prod_04!I$11,$M$1,Input_Prod_04!$G$9,$J$9,$E$30,Input_Prod_04!$B69,$L$1,$K$1)</f>
        <v>0.33968065157723198</v>
      </c>
      <c r="J69" s="16">
        <f>_xll.DBRW($B$1,Input_Prod_04!$D$9,Input_Prod_04!J$11,$M$1,Input_Prod_04!$G$9,$J$9,$E$30,Input_Prod_04!$B69,$L$1,$K$1)</f>
        <v>0.52090552510323895</v>
      </c>
      <c r="K69" s="16">
        <f>_xll.DBRW($B$1,Input_Prod_04!$D$9,Input_Prod_04!K$11,$M$1,Input_Prod_04!$G$9,$J$9,$E$30,Input_Prod_04!$B69,$L$1,$K$1)</f>
        <v>0.497814818125348</v>
      </c>
      <c r="L69" s="16">
        <f>_xll.DBRW($B$1,Input_Prod_04!$D$9,Input_Prod_04!L$11,$M$1,Input_Prod_04!$G$9,$J$9,$E$30,Input_Prod_04!$B69,$L$1,$K$1)</f>
        <v>0.57018008824644695</v>
      </c>
      <c r="M69" s="16">
        <f>_xll.DBRW($B$1,Input_Prod_04!$D$9,Input_Prod_04!M$11,$M$1,Input_Prod_04!$G$9,$J$9,$E$30,Input_Prod_04!$B69,$L$1,$K$1)</f>
        <v>0.46684338523470797</v>
      </c>
      <c r="N69" s="16">
        <f>_xll.DBRW($B$1,Input_Prod_04!$D$9,Input_Prod_04!N$11,$M$1,Input_Prod_04!$G$9,$J$9,$E$30,Input_Prod_04!$B69,$L$1,$K$1)</f>
        <v>0.237631787645492</v>
      </c>
    </row>
    <row r="70" spans="2:14" s="1" customFormat="1" ht="15.75" customHeight="1" x14ac:dyDescent="0.25">
      <c r="B70" s="17" t="s">
        <v>63</v>
      </c>
      <c r="C70" s="16">
        <f>_xll.DBRW($B$1,Input_Prod_04!$D$9,Input_Prod_04!C$11,$M$1,Input_Prod_04!$G$9,$J$9,$E$30,Input_Prod_04!$B70,$L$1,$K$1)</f>
        <v>0</v>
      </c>
      <c r="D70" s="16">
        <f>_xll.DBRW($B$1,Input_Prod_04!$D$9,Input_Prod_04!D$11,$M$1,Input_Prod_04!$G$9,$J$9,$E$30,Input_Prod_04!$B70,$L$1,$K$1)</f>
        <v>0</v>
      </c>
      <c r="E70" s="16">
        <f>_xll.DBRW($B$1,Input_Prod_04!$D$9,Input_Prod_04!E$11,$M$1,Input_Prod_04!$G$9,$J$9,$E$30,Input_Prod_04!$B70,$L$1,$K$1)</f>
        <v>0</v>
      </c>
      <c r="F70" s="16">
        <f>_xll.DBRW($B$1,Input_Prod_04!$D$9,Input_Prod_04!F$11,$M$1,Input_Prod_04!$G$9,$J$9,$E$30,Input_Prod_04!$B70,$L$1,$K$1)</f>
        <v>0</v>
      </c>
      <c r="G70" s="16">
        <f>_xll.DBRW($B$1,Input_Prod_04!$D$9,Input_Prod_04!G$11,$M$1,Input_Prod_04!$G$9,$J$9,$E$30,Input_Prod_04!$B70,$L$1,$K$1)</f>
        <v>0</v>
      </c>
      <c r="H70" s="16">
        <f>_xll.DBRW($B$1,Input_Prod_04!$D$9,Input_Prod_04!H$11,$M$1,Input_Prod_04!$G$9,$J$9,$E$30,Input_Prod_04!$B70,$L$1,$K$1)</f>
        <v>0</v>
      </c>
      <c r="I70" s="16">
        <f>_xll.DBRW($B$1,Input_Prod_04!$D$9,Input_Prod_04!I$11,$M$1,Input_Prod_04!$G$9,$J$9,$E$30,Input_Prod_04!$B70,$L$1,$K$1)</f>
        <v>0</v>
      </c>
      <c r="J70" s="16">
        <f>_xll.DBRW($B$1,Input_Prod_04!$D$9,Input_Prod_04!J$11,$M$1,Input_Prod_04!$G$9,$J$9,$E$30,Input_Prod_04!$B70,$L$1,$K$1)</f>
        <v>0</v>
      </c>
      <c r="K70" s="16">
        <f>_xll.DBRW($B$1,Input_Prod_04!$D$9,Input_Prod_04!K$11,$M$1,Input_Prod_04!$G$9,$J$9,$E$30,Input_Prod_04!$B70,$L$1,$K$1)</f>
        <v>0</v>
      </c>
      <c r="L70" s="16">
        <f>_xll.DBRW($B$1,Input_Prod_04!$D$9,Input_Prod_04!L$11,$M$1,Input_Prod_04!$G$9,$J$9,$E$30,Input_Prod_04!$B70,$L$1,$K$1)</f>
        <v>0</v>
      </c>
      <c r="M70" s="16">
        <f>_xll.DBRW($B$1,Input_Prod_04!$D$9,Input_Prod_04!M$11,$M$1,Input_Prod_04!$G$9,$J$9,$E$30,Input_Prod_04!$B70,$L$1,$K$1)</f>
        <v>0</v>
      </c>
      <c r="N70" s="16">
        <f>_xll.DBRW($B$1,Input_Prod_04!$D$9,Input_Prod_04!N$11,$M$1,Input_Prod_04!$G$9,$J$9,$E$30,Input_Prod_04!$B70,$L$1,$K$1)</f>
        <v>0</v>
      </c>
    </row>
    <row r="71" spans="2:14" s="1" customFormat="1" ht="15.75" customHeight="1" x14ac:dyDescent="0.25">
      <c r="B71" s="24" t="s">
        <v>27</v>
      </c>
      <c r="C71" s="21">
        <f>_xll.DBRW($B$3,Input_Prod_04!$D$9,Input_Prod_04!C$11,$M$1,Input_Prod_04!$G$9,Input_Prod_04!$J$9,$E$30,Input_Prod_04!$B71,$K$1)</f>
        <v>1.7295281990036104</v>
      </c>
      <c r="D71" s="21">
        <f>_xll.DBRW($B$3,Input_Prod_04!$D$9,Input_Prod_04!D$11,$M$1,Input_Prod_04!$G$9,Input_Prod_04!$J$9,$E$30,Input_Prod_04!$B71,$K$1)</f>
        <v>-5.4000290820190386</v>
      </c>
      <c r="E71" s="21">
        <f>_xll.DBRW($B$3,Input_Prod_04!$D$9,Input_Prod_04!E$11,$M$1,Input_Prod_04!$G$9,Input_Prod_04!$J$9,$E$30,Input_Prod_04!$B71,$K$1)</f>
        <v>-6.8554214023186795</v>
      </c>
      <c r="F71" s="21">
        <f>_xll.DBRW($B$3,Input_Prod_04!$D$9,Input_Prod_04!F$11,$M$1,Input_Prod_04!$G$9,Input_Prod_04!$J$9,$E$30,Input_Prod_04!$B71,$K$1)</f>
        <v>-6.9932326587626497</v>
      </c>
      <c r="G71" s="21">
        <f>_xll.DBRW($B$3,Input_Prod_04!$D$9,Input_Prod_04!G$11,$M$1,Input_Prod_04!$G$9,Input_Prod_04!$J$9,$E$30,Input_Prod_04!$B71,$K$1)</f>
        <v>-6.2571222829202497</v>
      </c>
      <c r="H71" s="21">
        <f>_xll.DBRW($B$3,Input_Prod_04!$D$9,Input_Prod_04!H$11,$M$1,Input_Prod_04!$G$9,Input_Prod_04!$J$9,$E$30,Input_Prod_04!$B71,$K$1)</f>
        <v>-8.4361242333059998</v>
      </c>
      <c r="I71" s="21">
        <f>_xll.DBRW($B$3,Input_Prod_04!$D$9,Input_Prod_04!I$11,$M$1,Input_Prod_04!$G$9,Input_Prod_04!$J$9,$E$30,Input_Prod_04!$B71,$K$1)</f>
        <v>-4.9359175848213344</v>
      </c>
      <c r="J71" s="21">
        <f>_xll.DBRW($B$3,Input_Prod_04!$D$9,Input_Prod_04!J$11,$M$1,Input_Prod_04!$G$9,Input_Prod_04!$J$9,$E$30,Input_Prod_04!$B71,$K$1)</f>
        <v>-7.0739169178564403</v>
      </c>
      <c r="K71" s="21">
        <f>_xll.DBRW($B$3,Input_Prod_04!$D$9,Input_Prod_04!K$11,$M$1,Input_Prod_04!$G$9,Input_Prod_04!$J$9,$E$30,Input_Prod_04!$B71,$K$1)</f>
        <v>-8.07665852987083</v>
      </c>
      <c r="L71" s="21">
        <f>_xll.DBRW($B$3,Input_Prod_04!$D$9,Input_Prod_04!L$11,$M$1,Input_Prod_04!$G$9,Input_Prod_04!$J$9,$E$30,Input_Prod_04!$B71,$K$1)</f>
        <v>-7.3251159693399899</v>
      </c>
      <c r="M71" s="21">
        <f>_xll.DBRW($B$3,Input_Prod_04!$D$9,Input_Prod_04!M$11,$M$1,Input_Prod_04!$G$9,Input_Prod_04!$J$9,$E$30,Input_Prod_04!$B71,$K$1)</f>
        <v>-6.5676838294969899</v>
      </c>
      <c r="N71" s="21">
        <f>_xll.DBRW($B$3,Input_Prod_04!$D$9,Input_Prod_04!N$11,$M$1,Input_Prod_04!$G$9,Input_Prod_04!$J$9,$E$30,Input_Prod_04!$B71,$K$1)</f>
        <v>-7.2190236468359004</v>
      </c>
    </row>
    <row r="72" spans="2:14" s="1" customFormat="1" ht="15.75" customHeight="1" x14ac:dyDescent="0.25">
      <c r="B72" s="22" t="s">
        <v>76</v>
      </c>
      <c r="C72" s="21">
        <f>_xll.DBRW($B$3,Input_Prod_04!$D$9,Input_Prod_04!C$11,$M$1,Input_Prod_04!$G$9,Input_Prod_04!$J$9,$E$30,Input_Prod_04!$B72,$K$1)</f>
        <v>-67.090873649733211</v>
      </c>
      <c r="D72" s="21">
        <f>_xll.DBRW($B$3,Input_Prod_04!$D$9,Input_Prod_04!D$11,$M$1,Input_Prod_04!$G$9,Input_Prod_04!$J$9,$E$30,Input_Prod_04!$B72,$K$1)</f>
        <v>-78.048491346479409</v>
      </c>
      <c r="E72" s="21">
        <f>_xll.DBRW($B$3,Input_Prod_04!$D$9,Input_Prod_04!E$11,$M$1,Input_Prod_04!$G$9,Input_Prod_04!$J$9,$E$30,Input_Prod_04!$B72,$K$1)</f>
        <v>-82.064149704144299</v>
      </c>
      <c r="F72" s="21">
        <f>_xll.DBRW($B$3,Input_Prod_04!$D$9,Input_Prod_04!F$11,$M$1,Input_Prod_04!$G$9,Input_Prod_04!$J$9,$E$30,Input_Prod_04!$B72,$K$1)</f>
        <v>-85.408807318133398</v>
      </c>
      <c r="G72" s="21">
        <f>_xll.DBRW($B$3,Input_Prod_04!$D$9,Input_Prod_04!G$11,$M$1,Input_Prod_04!$G$9,Input_Prod_04!$J$9,$E$30,Input_Prod_04!$B72,$K$1)</f>
        <v>-80.199532756022094</v>
      </c>
      <c r="H72" s="21">
        <f>_xll.DBRW($B$3,Input_Prod_04!$D$9,Input_Prod_04!H$11,$M$1,Input_Prod_04!$G$9,Input_Prod_04!$J$9,$E$30,Input_Prod_04!$B72,$K$1)</f>
        <v>-86.670662186482105</v>
      </c>
      <c r="I72" s="21">
        <f>_xll.DBRW($B$3,Input_Prod_04!$D$9,Input_Prod_04!I$11,$M$1,Input_Prod_04!$G$9,Input_Prod_04!$J$9,$E$30,Input_Prod_04!$B72,$K$1)</f>
        <v>-81.167858278213032</v>
      </c>
      <c r="J72" s="21">
        <f>_xll.DBRW($B$3,Input_Prod_04!$D$9,Input_Prod_04!J$11,$M$1,Input_Prod_04!$G$9,Input_Prod_04!$J$9,$E$30,Input_Prod_04!$B72,$K$1)</f>
        <v>-82.460691971915537</v>
      </c>
      <c r="K72" s="21">
        <f>_xll.DBRW($B$3,Input_Prod_04!$D$9,Input_Prod_04!K$11,$M$1,Input_Prod_04!$G$9,Input_Prod_04!$J$9,$E$30,Input_Prod_04!$B72,$K$1)</f>
        <v>-89.070049513941811</v>
      </c>
      <c r="L72" s="21">
        <f>_xll.DBRW($B$3,Input_Prod_04!$D$9,Input_Prod_04!L$11,$M$1,Input_Prod_04!$G$9,Input_Prod_04!$J$9,$E$30,Input_Prod_04!$B72,$K$1)</f>
        <v>-84.463578106652875</v>
      </c>
      <c r="M72" s="21">
        <f>_xll.DBRW($B$3,Input_Prod_04!$D$9,Input_Prod_04!M$11,$M$1,Input_Prod_04!$G$9,Input_Prod_04!$J$9,$E$30,Input_Prod_04!$B72,$K$1)</f>
        <v>-71.905998895825121</v>
      </c>
      <c r="N72" s="21">
        <f>_xll.DBRW($B$3,Input_Prod_04!$D$9,Input_Prod_04!N$11,$M$1,Input_Prod_04!$G$9,Input_Prod_04!$J$9,$E$30,Input_Prod_04!$B72,$K$1)</f>
        <v>-64.367207981679755</v>
      </c>
    </row>
    <row r="74" spans="2:14" s="1" customFormat="1" ht="15.75" customHeight="1" thickBot="1" x14ac:dyDescent="0.3">
      <c r="B74" s="10"/>
    </row>
    <row r="75" spans="2:14" s="1" customFormat="1" ht="15.75" customHeight="1" thickTop="1" x14ac:dyDescent="0.25">
      <c r="B75" s="9" t="s">
        <v>77</v>
      </c>
    </row>
    <row r="77" spans="2:14" s="1" customFormat="1" ht="15.75" customHeight="1" x14ac:dyDescent="0.25">
      <c r="B77" s="5"/>
      <c r="C77" s="18" t="str">
        <f t="shared" ref="C77:N77" si="5">$D$9&amp;"."&amp;C$11</f>
        <v>2026.01</v>
      </c>
      <c r="D77" s="18" t="str">
        <f t="shared" si="5"/>
        <v>2026.02</v>
      </c>
      <c r="E77" s="18" t="str">
        <f t="shared" si="5"/>
        <v>2026.03</v>
      </c>
      <c r="F77" s="18" t="str">
        <f t="shared" si="5"/>
        <v>2026.04</v>
      </c>
      <c r="G77" s="18" t="str">
        <f t="shared" si="5"/>
        <v>2026.05</v>
      </c>
      <c r="H77" s="18" t="str">
        <f t="shared" si="5"/>
        <v>2026.06</v>
      </c>
      <c r="I77" s="18" t="str">
        <f t="shared" si="5"/>
        <v>2026.07</v>
      </c>
      <c r="J77" s="18" t="str">
        <f t="shared" si="5"/>
        <v>2026.08</v>
      </c>
      <c r="K77" s="18" t="str">
        <f t="shared" si="5"/>
        <v>2026.09</v>
      </c>
      <c r="L77" s="18" t="str">
        <f t="shared" si="5"/>
        <v>2026.10</v>
      </c>
      <c r="M77" s="18" t="str">
        <f t="shared" si="5"/>
        <v>2026.11</v>
      </c>
      <c r="N77" s="18" t="str">
        <f t="shared" si="5"/>
        <v>2026.12</v>
      </c>
    </row>
    <row r="78" spans="2:14" s="1" customFormat="1" ht="15.75" customHeight="1" x14ac:dyDescent="0.25">
      <c r="B78" s="17" t="s">
        <v>28</v>
      </c>
      <c r="C78" s="16">
        <f>_xll.DBRW($B$1,Input_Prod_04!$D$9,Input_Prod_04!C$11,$M$1,Input_Prod_04!$G$9,$J$9,$E$30,Input_Prod_04!$B78,$L$1,$K$1)</f>
        <v>0</v>
      </c>
      <c r="D78" s="16">
        <f>_xll.DBRW($B$1,Input_Prod_04!$D$9,Input_Prod_04!D$11,$M$1,Input_Prod_04!$G$9,$J$9,$E$30,Input_Prod_04!$B78,$L$1,$K$1)</f>
        <v>0</v>
      </c>
      <c r="E78" s="16">
        <f>_xll.DBRW($B$1,Input_Prod_04!$D$9,Input_Prod_04!E$11,$M$1,Input_Prod_04!$G$9,$J$9,$E$30,Input_Prod_04!$B78,$L$1,$K$1)</f>
        <v>0</v>
      </c>
      <c r="F78" s="16">
        <f>_xll.DBRW($B$1,Input_Prod_04!$D$9,Input_Prod_04!F$11,$M$1,Input_Prod_04!$G$9,$J$9,$E$30,Input_Prod_04!$B78,$L$1,$K$1)</f>
        <v>0</v>
      </c>
      <c r="G78" s="16">
        <f>_xll.DBRW($B$1,Input_Prod_04!$D$9,Input_Prod_04!G$11,$M$1,Input_Prod_04!$G$9,$J$9,$E$30,Input_Prod_04!$B78,$L$1,$K$1)</f>
        <v>0</v>
      </c>
      <c r="H78" s="16">
        <f>_xll.DBRW($B$1,Input_Prod_04!$D$9,Input_Prod_04!H$11,$M$1,Input_Prod_04!$G$9,$J$9,$E$30,Input_Prod_04!$B78,$L$1,$K$1)</f>
        <v>0</v>
      </c>
      <c r="I78" s="16">
        <f>_xll.DBRW($B$1,Input_Prod_04!$D$9,Input_Prod_04!I$11,$M$1,Input_Prod_04!$G$9,$J$9,$E$30,Input_Prod_04!$B78,$L$1,$K$1)</f>
        <v>0</v>
      </c>
      <c r="J78" s="16">
        <f>_xll.DBRW($B$1,Input_Prod_04!$D$9,Input_Prod_04!J$11,$M$1,Input_Prod_04!$G$9,$J$9,$E$30,Input_Prod_04!$B78,$L$1,$K$1)</f>
        <v>0</v>
      </c>
      <c r="K78" s="16">
        <f>_xll.DBRW($B$1,Input_Prod_04!$D$9,Input_Prod_04!K$11,$M$1,Input_Prod_04!$G$9,$J$9,$E$30,Input_Prod_04!$B78,$L$1,$K$1)</f>
        <v>0</v>
      </c>
      <c r="L78" s="16">
        <f>_xll.DBRW($B$1,Input_Prod_04!$D$9,Input_Prod_04!L$11,$M$1,Input_Prod_04!$G$9,$J$9,$E$30,Input_Prod_04!$B78,$L$1,$K$1)</f>
        <v>0</v>
      </c>
      <c r="M78" s="16">
        <f>_xll.DBRW($B$1,Input_Prod_04!$D$9,Input_Prod_04!M$11,$M$1,Input_Prod_04!$G$9,$J$9,$E$30,Input_Prod_04!$B78,$L$1,$K$1)</f>
        <v>0</v>
      </c>
      <c r="N78" s="16">
        <f>_xll.DBRW($B$1,Input_Prod_04!$D$9,Input_Prod_04!N$11,$M$1,Input_Prod_04!$G$9,$J$9,$E$30,Input_Prod_04!$B78,$L$1,$K$1)</f>
        <v>0</v>
      </c>
    </row>
    <row r="79" spans="2:14" s="1" customFormat="1" ht="15.75" customHeight="1" x14ac:dyDescent="0.25">
      <c r="B79" s="25" t="s">
        <v>78</v>
      </c>
      <c r="C79" s="26">
        <f>_xll.DBRW($C$1,Input_Prod_04!$D$9,Input_Prod_04!C$11,$M$1,$J$9,Input_Prod_04!$B79,$K$1)</f>
        <v>0</v>
      </c>
      <c r="D79" s="26">
        <f>_xll.DBRW($C$1,Input_Prod_04!$D$9,Input_Prod_04!D$11,$M$1,$J$9,Input_Prod_04!$B79,$K$1)</f>
        <v>0</v>
      </c>
      <c r="E79" s="26">
        <f>_xll.DBRW($C$1,Input_Prod_04!$D$9,Input_Prod_04!E$11,$M$1,$J$9,Input_Prod_04!$B79,$K$1)</f>
        <v>0</v>
      </c>
      <c r="F79" s="26">
        <f>_xll.DBRW($C$1,Input_Prod_04!$D$9,Input_Prod_04!F$11,$M$1,$J$9,Input_Prod_04!$B79,$K$1)</f>
        <v>0</v>
      </c>
      <c r="G79" s="26">
        <f>_xll.DBRW($C$1,Input_Prod_04!$D$9,Input_Prod_04!G$11,$M$1,$J$9,Input_Prod_04!$B79,$K$1)</f>
        <v>0</v>
      </c>
      <c r="H79" s="26">
        <f>_xll.DBRW($C$1,Input_Prod_04!$D$9,Input_Prod_04!H$11,$M$1,$J$9,Input_Prod_04!$B79,$K$1)</f>
        <v>0</v>
      </c>
      <c r="I79" s="26">
        <f>_xll.DBRW($C$1,Input_Prod_04!$D$9,Input_Prod_04!I$11,$M$1,$J$9,Input_Prod_04!$B79,$K$1)</f>
        <v>0</v>
      </c>
      <c r="J79" s="26">
        <f>_xll.DBRW($C$1,Input_Prod_04!$D$9,Input_Prod_04!J$11,$M$1,$J$9,Input_Prod_04!$B79,$K$1)</f>
        <v>0</v>
      </c>
      <c r="K79" s="26">
        <f>_xll.DBRW($C$1,Input_Prod_04!$D$9,Input_Prod_04!K$11,$M$1,$J$9,Input_Prod_04!$B79,$K$1)</f>
        <v>0</v>
      </c>
      <c r="L79" s="26">
        <f>_xll.DBRW($C$1,Input_Prod_04!$D$9,Input_Prod_04!L$11,$M$1,$J$9,Input_Prod_04!$B79,$K$1)</f>
        <v>0</v>
      </c>
      <c r="M79" s="26">
        <f>_xll.DBRW($C$1,Input_Prod_04!$D$9,Input_Prod_04!M$11,$M$1,$J$9,Input_Prod_04!$B79,$K$1)</f>
        <v>0</v>
      </c>
      <c r="N79" s="26">
        <f>_xll.DBRW($C$1,Input_Prod_04!$D$9,Input_Prod_04!N$11,$M$1,$J$9,Input_Prod_04!$B79,$K$1)</f>
        <v>0</v>
      </c>
    </row>
    <row r="80" spans="2:14" s="1" customFormat="1" ht="15.75" customHeight="1" x14ac:dyDescent="0.25">
      <c r="B80" s="24" t="s">
        <v>29</v>
      </c>
      <c r="C80" s="21">
        <f>_xll.DBRW($B$3,Input_Prod_04!$D$9,Input_Prod_04!C$11,$M$1,Input_Prod_04!$G$9,Input_Prod_04!$J$9,$E$30,Input_Prod_04!$B80,$K$1)</f>
        <v>-10.003639776183601</v>
      </c>
      <c r="D80" s="21">
        <f>_xll.DBRW($B$3,Input_Prod_04!$D$9,Input_Prod_04!D$11,$M$1,Input_Prod_04!$G$9,Input_Prod_04!$J$9,$E$30,Input_Prod_04!$B80,$K$1)</f>
        <v>-11.6073752913127</v>
      </c>
      <c r="E80" s="21">
        <f>_xll.DBRW($B$3,Input_Prod_04!$D$9,Input_Prod_04!E$11,$M$1,Input_Prod_04!$G$9,Input_Prod_04!$J$9,$E$30,Input_Prod_04!$B80,$K$1)</f>
        <v>-5.2767612970507898</v>
      </c>
      <c r="F80" s="21">
        <f>_xll.DBRW($B$3,Input_Prod_04!$D$9,Input_Prod_04!F$11,$M$1,Input_Prod_04!$G$9,Input_Prod_04!$J$9,$E$30,Input_Prod_04!$B80,$K$1)</f>
        <v>1.0117658902203399</v>
      </c>
      <c r="G80" s="21">
        <f>_xll.DBRW($B$3,Input_Prod_04!$D$9,Input_Prod_04!G$11,$M$1,Input_Prod_04!$G$9,Input_Prod_04!$J$9,$E$30,Input_Prod_04!$B80,$K$1)</f>
        <v>8.0034337148478905</v>
      </c>
      <c r="H80" s="21">
        <f>_xll.DBRW($B$3,Input_Prod_04!$D$9,Input_Prod_04!H$11,$M$1,Input_Prod_04!$G$9,Input_Prod_04!$J$9,$E$30,Input_Prod_04!$B80,$K$1)</f>
        <v>9.7859701908686905</v>
      </c>
      <c r="I80" s="21">
        <f>_xll.DBRW($B$3,Input_Prod_04!$D$9,Input_Prod_04!I$11,$M$1,Input_Prod_04!$G$9,Input_Prod_04!$J$9,$E$30,Input_Prod_04!$B80,$K$1)</f>
        <v>11.015265789307</v>
      </c>
      <c r="J80" s="21">
        <f>_xll.DBRW($B$3,Input_Prod_04!$D$9,Input_Prod_04!J$11,$M$1,Input_Prod_04!$G$9,Input_Prod_04!$J$9,$E$30,Input_Prod_04!$B80,$K$1)</f>
        <v>10.2058655041123</v>
      </c>
      <c r="K80" s="21">
        <f>_xll.DBRW($B$3,Input_Prod_04!$D$9,Input_Prod_04!K$11,$M$1,Input_Prod_04!$G$9,Input_Prod_04!$J$9,$E$30,Input_Prod_04!$B80,$K$1)</f>
        <v>8.5085016091267995</v>
      </c>
      <c r="L80" s="21">
        <f>_xll.DBRW($B$3,Input_Prod_04!$D$9,Input_Prod_04!L$11,$M$1,Input_Prod_04!$G$9,Input_Prod_04!$J$9,$E$30,Input_Prod_04!$B80,$K$1)</f>
        <v>7.3439118494500297</v>
      </c>
      <c r="M80" s="21">
        <f>_xll.DBRW($B$3,Input_Prod_04!$D$9,Input_Prod_04!M$11,$M$1,Input_Prod_04!$G$9,Input_Prod_04!$J$9,$E$30,Input_Prod_04!$B80,$K$1)</f>
        <v>4.9656596929652004</v>
      </c>
      <c r="N80" s="21">
        <f>_xll.DBRW($B$3,Input_Prod_04!$D$9,Input_Prod_04!N$11,$M$1,Input_Prod_04!$G$9,Input_Prod_04!$J$9,$E$30,Input_Prod_04!$B80,$K$1)</f>
        <v>4.3826529415587503</v>
      </c>
    </row>
    <row r="81" spans="2:14" s="1" customFormat="1" ht="15.75" customHeight="1" x14ac:dyDescent="0.25">
      <c r="B81" s="24" t="s">
        <v>77</v>
      </c>
      <c r="C81" s="21">
        <f>_xll.DBRW($B$3,Input_Prod_04!$D$9,Input_Prod_04!C$11,$M$1,Input_Prod_04!$G$9,Input_Prod_04!$J$9,$E$30,Input_Prod_04!$B81,$K$1)</f>
        <v>-57.087233873549607</v>
      </c>
      <c r="D81" s="21">
        <f>_xll.DBRW($B$3,Input_Prod_04!$D$9,Input_Prod_04!D$11,$M$1,Input_Prod_04!$G$9,Input_Prod_04!$J$9,$E$30,Input_Prod_04!$B81,$K$1)</f>
        <v>-66.441116055166702</v>
      </c>
      <c r="E81" s="21">
        <f>_xll.DBRW($B$3,Input_Prod_04!$D$9,Input_Prod_04!E$11,$M$1,Input_Prod_04!$G$9,Input_Prod_04!$J$9,$E$30,Input_Prod_04!$B81,$K$1)</f>
        <v>-76.787388407093516</v>
      </c>
      <c r="F81" s="21">
        <f>_xll.DBRW($B$3,Input_Prod_04!$D$9,Input_Prod_04!F$11,$M$1,Input_Prod_04!$G$9,Input_Prod_04!$J$9,$E$30,Input_Prod_04!$B81,$K$1)</f>
        <v>-86.420573208353744</v>
      </c>
      <c r="G81" s="21">
        <f>_xll.DBRW($B$3,Input_Prod_04!$D$9,Input_Prod_04!G$11,$M$1,Input_Prod_04!$G$9,Input_Prod_04!$J$9,$E$30,Input_Prod_04!$B81,$K$1)</f>
        <v>-88.202966470869981</v>
      </c>
      <c r="H81" s="21">
        <f>_xll.DBRW($B$3,Input_Prod_04!$D$9,Input_Prod_04!H$11,$M$1,Input_Prod_04!$G$9,Input_Prod_04!$J$9,$E$30,Input_Prod_04!$B81,$K$1)</f>
        <v>-96.4566323773508</v>
      </c>
      <c r="I81" s="21">
        <f>_xll.DBRW($B$3,Input_Prod_04!$D$9,Input_Prod_04!I$11,$M$1,Input_Prod_04!$G$9,Input_Prod_04!$J$9,$E$30,Input_Prod_04!$B81,$K$1)</f>
        <v>-92.183124067520026</v>
      </c>
      <c r="J81" s="21">
        <f>_xll.DBRW($B$3,Input_Prod_04!$D$9,Input_Prod_04!J$11,$M$1,Input_Prod_04!$G$9,Input_Prod_04!$J$9,$E$30,Input_Prod_04!$B81,$K$1)</f>
        <v>-92.666557476027833</v>
      </c>
      <c r="K81" s="21">
        <f>_xll.DBRW($B$3,Input_Prod_04!$D$9,Input_Prod_04!K$11,$M$1,Input_Prod_04!$G$9,Input_Prod_04!$J$9,$E$30,Input_Prod_04!$B81,$K$1)</f>
        <v>-97.578551123068607</v>
      </c>
      <c r="L81" s="21">
        <f>_xll.DBRW($B$3,Input_Prod_04!$D$9,Input_Prod_04!L$11,$M$1,Input_Prod_04!$G$9,Input_Prod_04!$J$9,$E$30,Input_Prod_04!$B81,$K$1)</f>
        <v>-91.807489956102899</v>
      </c>
      <c r="M81" s="21">
        <f>_xll.DBRW($B$3,Input_Prod_04!$D$9,Input_Prod_04!M$11,$M$1,Input_Prod_04!$G$9,Input_Prod_04!$J$9,$E$30,Input_Prod_04!$B81,$K$1)</f>
        <v>-76.871658588790325</v>
      </c>
      <c r="N81" s="21">
        <f>_xll.DBRW($B$3,Input_Prod_04!$D$9,Input_Prod_04!N$11,$M$1,Input_Prod_04!$G$9,Input_Prod_04!$J$9,$E$30,Input_Prod_04!$B81,$K$1)</f>
        <v>-68.749860923238501</v>
      </c>
    </row>
    <row r="84" spans="2:14" s="1" customFormat="1" ht="15.75" customHeight="1" x14ac:dyDescent="0.25">
      <c r="B84" s="9" t="s">
        <v>80</v>
      </c>
    </row>
    <row r="86" spans="2:14" s="1" customFormat="1" ht="15.75" customHeight="1" x14ac:dyDescent="0.25">
      <c r="B86" s="5"/>
      <c r="C86" s="18" t="str">
        <f t="shared" ref="C86:N86" si="6">$D$9&amp;"."&amp;C$11</f>
        <v>2026.01</v>
      </c>
      <c r="D86" s="18" t="str">
        <f t="shared" si="6"/>
        <v>2026.02</v>
      </c>
      <c r="E86" s="18" t="str">
        <f t="shared" si="6"/>
        <v>2026.03</v>
      </c>
      <c r="F86" s="18" t="str">
        <f t="shared" si="6"/>
        <v>2026.04</v>
      </c>
      <c r="G86" s="18" t="str">
        <f t="shared" si="6"/>
        <v>2026.05</v>
      </c>
      <c r="H86" s="18" t="str">
        <f t="shared" si="6"/>
        <v>2026.06</v>
      </c>
      <c r="I86" s="18" t="str">
        <f t="shared" si="6"/>
        <v>2026.07</v>
      </c>
      <c r="J86" s="18" t="str">
        <f t="shared" si="6"/>
        <v>2026.08</v>
      </c>
      <c r="K86" s="18" t="str">
        <f t="shared" si="6"/>
        <v>2026.09</v>
      </c>
      <c r="L86" s="18" t="str">
        <f t="shared" si="6"/>
        <v>2026.10</v>
      </c>
      <c r="M86" s="18" t="str">
        <f t="shared" si="6"/>
        <v>2026.11</v>
      </c>
      <c r="N86" s="18" t="str">
        <f t="shared" si="6"/>
        <v>2026.12</v>
      </c>
    </row>
    <row r="87" spans="2:14" s="1" customFormat="1" ht="15.75" customHeight="1" x14ac:dyDescent="0.25">
      <c r="B87" s="25" t="s">
        <v>79</v>
      </c>
      <c r="C87" s="26">
        <f>_xll.DBRW($C$1,Input_Prod_04!$D$9,Input_Prod_04!C$11,$M$1,$J$9,Input_Prod_04!$B87,$K$1)</f>
        <v>0.17</v>
      </c>
      <c r="D87" s="26">
        <f>_xll.DBRW($C$1,Input_Prod_04!$D$9,Input_Prod_04!D$11,$M$1,$J$9,Input_Prod_04!$B87,$K$1)</f>
        <v>0.17</v>
      </c>
      <c r="E87" s="26">
        <f>_xll.DBRW($C$1,Input_Prod_04!$D$9,Input_Prod_04!E$11,$M$1,$J$9,Input_Prod_04!$B87,$K$1)</f>
        <v>0.17</v>
      </c>
      <c r="F87" s="26">
        <f>_xll.DBRW($C$1,Input_Prod_04!$D$9,Input_Prod_04!F$11,$M$1,$J$9,Input_Prod_04!$B87,$K$1)</f>
        <v>0.17</v>
      </c>
      <c r="G87" s="26">
        <f>_xll.DBRW($C$1,Input_Prod_04!$D$9,Input_Prod_04!G$11,$M$1,$J$9,Input_Prod_04!$B87,$K$1)</f>
        <v>0.17</v>
      </c>
      <c r="H87" s="26">
        <f>_xll.DBRW($C$1,Input_Prod_04!$D$9,Input_Prod_04!H$11,$M$1,$J$9,Input_Prod_04!$B87,$K$1)</f>
        <v>0.17</v>
      </c>
      <c r="I87" s="26">
        <f>_xll.DBRW($C$1,Input_Prod_04!$D$9,Input_Prod_04!I$11,$M$1,$J$9,Input_Prod_04!$B87,$K$1)</f>
        <v>0.17</v>
      </c>
      <c r="J87" s="26">
        <f>_xll.DBRW($C$1,Input_Prod_04!$D$9,Input_Prod_04!J$11,$M$1,$J$9,Input_Prod_04!$B87,$K$1)</f>
        <v>0.17</v>
      </c>
      <c r="K87" s="26">
        <f>_xll.DBRW($C$1,Input_Prod_04!$D$9,Input_Prod_04!K$11,$M$1,$J$9,Input_Prod_04!$B87,$K$1)</f>
        <v>0.17</v>
      </c>
      <c r="L87" s="26">
        <f>_xll.DBRW($C$1,Input_Prod_04!$D$9,Input_Prod_04!L$11,$M$1,$J$9,Input_Prod_04!$B87,$K$1)</f>
        <v>0.17</v>
      </c>
      <c r="M87" s="26">
        <f>_xll.DBRW($C$1,Input_Prod_04!$D$9,Input_Prod_04!M$11,$M$1,$J$9,Input_Prod_04!$B87,$K$1)</f>
        <v>0.17</v>
      </c>
      <c r="N87" s="26">
        <f>_xll.DBRW($C$1,Input_Prod_04!$D$9,Input_Prod_04!N$11,$M$1,$J$9,Input_Prod_04!$B87,$K$1)</f>
        <v>0.17</v>
      </c>
    </row>
    <row r="88" spans="2:14" s="1" customFormat="1" ht="15.75" customHeight="1" x14ac:dyDescent="0.25">
      <c r="B88" s="24" t="s">
        <v>81</v>
      </c>
      <c r="C88" s="21">
        <f>_xll.DBRW($B$3,Input_Prod_04!$D$9,Input_Prod_04!C$11,$M$1,Input_Prod_04!$G$9,Input_Prod_04!$J$9,$E$30,Input_Prod_04!$B88,$K$1)</f>
        <v>-9.7048297585034344</v>
      </c>
      <c r="D88" s="21">
        <f>_xll.DBRW($B$3,Input_Prod_04!$D$9,Input_Prod_04!D$11,$M$1,Input_Prod_04!$G$9,Input_Prod_04!$J$9,$E$30,Input_Prod_04!$B88,$K$1)</f>
        <v>-11.29498972937834</v>
      </c>
      <c r="E88" s="21">
        <f>_xll.DBRW($B$3,Input_Prod_04!$D$9,Input_Prod_04!E$11,$M$1,Input_Prod_04!$G$9,Input_Prod_04!$J$9,$E$30,Input_Prod_04!$B88,$K$1)</f>
        <v>-13.053856029205898</v>
      </c>
      <c r="F88" s="21">
        <f>_xll.DBRW($B$3,Input_Prod_04!$D$9,Input_Prod_04!F$11,$M$1,Input_Prod_04!$G$9,Input_Prod_04!$J$9,$E$30,Input_Prod_04!$B88,$K$1)</f>
        <v>-14.691497445420138</v>
      </c>
      <c r="G88" s="21">
        <f>_xll.DBRW($B$3,Input_Prod_04!$D$9,Input_Prod_04!G$11,$M$1,Input_Prod_04!$G$9,Input_Prod_04!$J$9,$E$30,Input_Prod_04!$B88,$K$1)</f>
        <v>-14.994504300047899</v>
      </c>
      <c r="H88" s="21">
        <f>_xll.DBRW($B$3,Input_Prod_04!$D$9,Input_Prod_04!H$11,$M$1,Input_Prod_04!$G$9,Input_Prod_04!$J$9,$E$30,Input_Prod_04!$B88,$K$1)</f>
        <v>-16.397627504149636</v>
      </c>
      <c r="I88" s="21">
        <f>_xll.DBRW($B$3,Input_Prod_04!$D$9,Input_Prod_04!I$11,$M$1,Input_Prod_04!$G$9,Input_Prod_04!$J$9,$E$30,Input_Prod_04!$B88,$K$1)</f>
        <v>-15.671131091478406</v>
      </c>
      <c r="J88" s="21">
        <f>_xll.DBRW($B$3,Input_Prod_04!$D$9,Input_Prod_04!J$11,$M$1,Input_Prod_04!$G$9,Input_Prod_04!$J$9,$E$30,Input_Prod_04!$B88,$K$1)</f>
        <v>-15.753314770924733</v>
      </c>
      <c r="K88" s="21">
        <f>_xll.DBRW($B$3,Input_Prod_04!$D$9,Input_Prod_04!K$11,$M$1,Input_Prod_04!$G$9,Input_Prod_04!$J$9,$E$30,Input_Prod_04!$B88,$K$1)</f>
        <v>-16.588353690921664</v>
      </c>
      <c r="L88" s="21">
        <f>_xll.DBRW($B$3,Input_Prod_04!$D$9,Input_Prod_04!L$11,$M$1,Input_Prod_04!$G$9,Input_Prod_04!$J$9,$E$30,Input_Prod_04!$B88,$K$1)</f>
        <v>-15.607273292537494</v>
      </c>
      <c r="M88" s="21">
        <f>_xll.DBRW($B$3,Input_Prod_04!$D$9,Input_Prod_04!M$11,$M$1,Input_Prod_04!$G$9,Input_Prod_04!$J$9,$E$30,Input_Prod_04!$B88,$K$1)</f>
        <v>-13.068181960094357</v>
      </c>
      <c r="N88" s="21">
        <f>_xll.DBRW($B$3,Input_Prod_04!$D$9,Input_Prod_04!N$11,$M$1,Input_Prod_04!$G$9,Input_Prod_04!$J$9,$E$30,Input_Prod_04!$B88,$K$1)</f>
        <v>-11.687476356950546</v>
      </c>
    </row>
    <row r="89" spans="2:14" s="1" customFormat="1" ht="15.75" customHeight="1" x14ac:dyDescent="0.25">
      <c r="B89" s="24" t="s">
        <v>80</v>
      </c>
      <c r="C89" s="21">
        <f>_xll.DBRW($B$3,Input_Prod_04!$D$9,Input_Prod_04!C$11,$M$1,Input_Prod_04!$G$9,Input_Prod_04!$J$9,$E$30,Input_Prod_04!$B89,$K$1)</f>
        <v>-47.382404115046171</v>
      </c>
      <c r="D89" s="21">
        <f>_xll.DBRW($B$3,Input_Prod_04!$D$9,Input_Prod_04!D$11,$M$1,Input_Prod_04!$G$9,Input_Prod_04!$J$9,$E$30,Input_Prod_04!$B89,$K$1)</f>
        <v>-55.146126325788359</v>
      </c>
      <c r="E89" s="21">
        <f>_xll.DBRW($B$3,Input_Prod_04!$D$9,Input_Prod_04!E$11,$M$1,Input_Prod_04!$G$9,Input_Prod_04!$J$9,$E$30,Input_Prod_04!$B89,$K$1)</f>
        <v>-63.73353237788762</v>
      </c>
      <c r="F89" s="21">
        <f>_xll.DBRW($B$3,Input_Prod_04!$D$9,Input_Prod_04!F$11,$M$1,Input_Prod_04!$G$9,Input_Prod_04!$J$9,$E$30,Input_Prod_04!$B89,$K$1)</f>
        <v>-71.729075762933604</v>
      </c>
      <c r="G89" s="21">
        <f>_xll.DBRW($B$3,Input_Prod_04!$D$9,Input_Prod_04!G$11,$M$1,Input_Prod_04!$G$9,Input_Prod_04!$J$9,$E$30,Input_Prod_04!$B89,$K$1)</f>
        <v>-73.208462170822088</v>
      </c>
      <c r="H89" s="21">
        <f>_xll.DBRW($B$3,Input_Prod_04!$D$9,Input_Prod_04!H$11,$M$1,Input_Prod_04!$G$9,Input_Prod_04!$J$9,$E$30,Input_Prod_04!$B89,$K$1)</f>
        <v>-80.059004873201161</v>
      </c>
      <c r="I89" s="21">
        <f>_xll.DBRW($B$3,Input_Prod_04!$D$9,Input_Prod_04!I$11,$M$1,Input_Prod_04!$G$9,Input_Prod_04!$J$9,$E$30,Input_Prod_04!$B89,$K$1)</f>
        <v>-76.511992976041626</v>
      </c>
      <c r="J89" s="21">
        <f>_xll.DBRW($B$3,Input_Prod_04!$D$9,Input_Prod_04!J$11,$M$1,Input_Prod_04!$G$9,Input_Prod_04!$J$9,$E$30,Input_Prod_04!$B89,$K$1)</f>
        <v>-76.913242705103102</v>
      </c>
      <c r="K89" s="21">
        <f>_xll.DBRW($B$3,Input_Prod_04!$D$9,Input_Prod_04!K$11,$M$1,Input_Prod_04!$G$9,Input_Prod_04!$J$9,$E$30,Input_Prod_04!$B89,$K$1)</f>
        <v>-80.990197432146942</v>
      </c>
      <c r="L89" s="21">
        <f>_xll.DBRW($B$3,Input_Prod_04!$D$9,Input_Prod_04!L$11,$M$1,Input_Prod_04!$G$9,Input_Prod_04!$J$9,$E$30,Input_Prod_04!$B89,$K$1)</f>
        <v>-76.200216663565399</v>
      </c>
      <c r="M89" s="21">
        <f>_xll.DBRW($B$3,Input_Prod_04!$D$9,Input_Prod_04!M$11,$M$1,Input_Prod_04!$G$9,Input_Prod_04!$J$9,$E$30,Input_Prod_04!$B89,$K$1)</f>
        <v>-63.803476628695968</v>
      </c>
      <c r="N89" s="21">
        <f>_xll.DBRW($B$3,Input_Prod_04!$D$9,Input_Prod_04!N$11,$M$1,Input_Prod_04!$G$9,Input_Prod_04!$J$9,$E$30,Input_Prod_04!$B89,$K$1)</f>
        <v>-57.062384566287953</v>
      </c>
    </row>
  </sheetData>
  <mergeCells count="2">
    <mergeCell ref="L7:M7"/>
    <mergeCell ref="E30:G30"/>
  </mergeCells>
  <conditionalFormatting sqref="C13:N27">
    <cfRule type="expression" dxfId="23" priority="10">
      <formula>C$5="ACTUAL"</formula>
    </cfRule>
  </conditionalFormatting>
  <conditionalFormatting sqref="C34:N40">
    <cfRule type="expression" dxfId="22" priority="9">
      <formula>C$5="ACTUAL"</formula>
    </cfRule>
  </conditionalFormatting>
  <conditionalFormatting sqref="C50:N54">
    <cfRule type="expression" dxfId="21" priority="8">
      <formula>C$5="ACTUAL"</formula>
    </cfRule>
  </conditionalFormatting>
  <conditionalFormatting sqref="C61:N61">
    <cfRule type="expression" dxfId="20" priority="7">
      <formula>C$5="ACTUAL"</formula>
    </cfRule>
  </conditionalFormatting>
  <conditionalFormatting sqref="C69:N70">
    <cfRule type="expression" dxfId="19" priority="2">
      <formula>C$5="ACTUAL"</formula>
    </cfRule>
  </conditionalFormatting>
  <conditionalFormatting sqref="C78:N79">
    <cfRule type="expression" dxfId="18" priority="1">
      <formula>C$5="ACTUAL"</formula>
    </cfRule>
  </conditionalFormatting>
  <conditionalFormatting sqref="C87:N87">
    <cfRule type="expression" dxfId="17" priority="5">
      <formula>C$5="ACTUAL"</formula>
    </cfRule>
  </conditionalFormatting>
  <conditionalFormatting sqref="D69:N69">
    <cfRule type="expression" dxfId="16" priority="6">
      <formula>D$5="ACTUAL"</formula>
    </cfRule>
  </conditionalFormatting>
  <conditionalFormatting sqref="N7">
    <cfRule type="cellIs" dxfId="15" priority="3" operator="equal">
      <formula>"Open"</formula>
    </cfRule>
    <cfRule type="cellIs" dxfId="14" priority="4" operator="equal">
      <formula>"Closed"</formula>
    </cfRule>
  </conditionalFormatting>
  <dataValidations count="1">
    <dataValidation type="list" errorStyle="information" allowBlank="1" showInputMessage="1" sqref="D5:N5" xr:uid="{7E253472-01C6-482C-8E75-D6B4545F918E}">
      <formula1>cafe_validation_temp</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010D-16C4-48D7-9508-A3ABE9ACECA3}">
  <dimension ref="A1:Y249"/>
  <sheetViews>
    <sheetView showGridLines="0" topLeftCell="A25" zoomScaleNormal="100" workbookViewId="0">
      <selection activeCell="D37" sqref="D37"/>
    </sheetView>
  </sheetViews>
  <sheetFormatPr defaultColWidth="12.42578125" defaultRowHeight="15.75" customHeight="1" x14ac:dyDescent="0.25"/>
  <cols>
    <col min="1" max="1" width="3.28515625" style="1" customWidth="1"/>
    <col min="2" max="2" width="29.7109375" style="1" customWidth="1"/>
    <col min="3" max="3" width="36.140625" style="1" customWidth="1"/>
    <col min="4" max="4" width="14.140625" style="1" customWidth="1"/>
    <col min="5" max="5" width="16.42578125" style="1" bestFit="1" customWidth="1"/>
    <col min="6" max="11" width="17.5703125" style="1" bestFit="1" customWidth="1"/>
    <col min="12" max="12" width="18.42578125" style="1" bestFit="1" customWidth="1"/>
    <col min="13" max="14" width="16.42578125" style="1" bestFit="1" customWidth="1"/>
    <col min="15" max="15" width="16.5703125" style="1" customWidth="1"/>
    <col min="16" max="25" width="12.42578125" style="1"/>
  </cols>
  <sheetData>
    <row r="1" spans="2:25" s="1" customFormat="1" ht="19.5" hidden="1" customHeight="1" x14ac:dyDescent="0.25">
      <c r="B1" s="1" t="str">
        <f>_xll.VIEW("CONS_VC:STG.100.DataBase_Uploads",E11)</f>
        <v>CONS_VC:STG.100.DataBase_Uploads:-752698549488540935</v>
      </c>
      <c r="D1" s="1" t="str">
        <f>_xll.VIEW("CONS_VC:ALL.015.Region_Assumptions")</f>
        <v>CONS_VC:ALL.015.Region_Assumptions:-752698549-1904714180</v>
      </c>
      <c r="E1" s="1" t="str">
        <f>_xll.VIEW("CONS_VC:DFS.120.Financial_Results")</f>
        <v>CONS_VC:DFS.120.Financial_Results:-752698549-278819515</v>
      </c>
      <c r="L1" s="1" t="s">
        <v>72</v>
      </c>
      <c r="M1" s="1" t="s">
        <v>66</v>
      </c>
      <c r="N1" s="12" t="str">
        <f>_xll.SUBNM("CONS_VC:ALL.D.Version","","T4")</f>
        <v>T4</v>
      </c>
      <c r="O1" s="1" t="s">
        <v>73</v>
      </c>
    </row>
    <row r="2" spans="2:25" s="1" customFormat="1" ht="33" hidden="1" customHeight="1" x14ac:dyDescent="0.25">
      <c r="B2" s="1" t="str">
        <f>_xll.VIEW("CONS_VC:REV.100.Revenue_Consolidated")</f>
        <v>CONS_VC:REV.100.Revenue_Consolidated:-752698549-1339572136</v>
      </c>
      <c r="D2" s="1" t="str">
        <f>_xll.VIEW("CONS_VC:ALL.010.Economic_Assumptions")</f>
        <v>CONS_VC:ALL.010.Economic_Assumptions:-752698549-2131120575</v>
      </c>
      <c r="E2" s="1" t="str">
        <f>_xll.VIEW("CONS_VC:DFS.140.Indirect_Cash_Flow")</f>
        <v>CONS_VC:DFS.140.Indirect_Cash_Flow:-752698549-560628559</v>
      </c>
      <c r="L2" s="1" t="s">
        <v>71</v>
      </c>
      <c r="O2" s="1" t="s">
        <v>74</v>
      </c>
    </row>
    <row r="3" spans="2:25" s="1" customFormat="1" ht="29.25" hidden="1" customHeight="1" x14ac:dyDescent="0.25">
      <c r="B3" s="1" t="str">
        <f>_xll.VIEW("CONS_VC:DFS.100.Profit_and_Loss")</f>
        <v>CONS_VC:DFS.100.Profit_and_Loss:-752698549-1425902959</v>
      </c>
      <c r="D3" s="1" t="str">
        <f>_xll.VIEW("CONS_VC:DFS.160.Working_Capital")</f>
        <v>CONS_VC:DFS.160.Working_Capital:-7526985491271688039</v>
      </c>
      <c r="E3" s="1" t="str">
        <f>_xll.VIEW("CONS_VC:ALL.004.Uploads_Status_Planning")</f>
        <v>CONS_VC:ALL.004.Uploads_Status_Planning:-752698549-785622781</v>
      </c>
      <c r="H3" s="1" t="s">
        <v>82</v>
      </c>
    </row>
    <row r="4" spans="2:25" s="1" customFormat="1" ht="33" hidden="1" customHeight="1" x14ac:dyDescent="0.25">
      <c r="B4" s="1" t="str">
        <f>_xll.VIEW("CONS_VC:ALL.001.Actual_Control")</f>
        <v>CONS_VC:ALL.001.Actual_Control:-752698549533019719</v>
      </c>
      <c r="D4" s="1" t="str">
        <f>_xll.VIEW("CONS_VC:DFS.180.Gross_Debt")</f>
        <v>CONS_VC:DFS.180.Gross_Debt:-752698549-1256690685</v>
      </c>
    </row>
    <row r="5" spans="2:25" s="1" customFormat="1" ht="30" hidden="1" customHeight="1" x14ac:dyDescent="0.25">
      <c r="D5" s="11" t="str">
        <f>_xll.DBRW(Opening!$B$4,Opening!$E$11,Opening!D8,$N$1,$H$3)</f>
        <v>PLAN</v>
      </c>
      <c r="E5" s="11" t="str">
        <f>_xll.DBRW(Opening!$B$4,Opening!$E$11,Opening!E8,$N$1,$H$3)</f>
        <v>PLAN</v>
      </c>
      <c r="F5" s="11" t="str">
        <f>_xll.DBRW(Opening!$B$4,Opening!$E$11,Opening!F8,$N$1,$H$3)</f>
        <v>PLAN</v>
      </c>
      <c r="G5" s="11" t="str">
        <f>_xll.DBRW(Opening!$B$4,Opening!$E$11,Opening!G8,$N$1,$H$3)</f>
        <v>PLAN</v>
      </c>
      <c r="H5" s="11" t="str">
        <f>_xll.DBRW(Opening!$B$4,Opening!$E$11,Opening!H8,$N$1,$H$3)</f>
        <v>PLAN</v>
      </c>
      <c r="I5" s="11" t="str">
        <f>_xll.DBRW(Opening!$B$4,Opening!$E$11,Opening!I8,$N$1,$H$3)</f>
        <v>PLAN</v>
      </c>
      <c r="J5" s="11" t="str">
        <f>_xll.DBRW(Opening!$B$4,Opening!$E$11,Opening!J8,$N$1,$H$3)</f>
        <v>PLAN</v>
      </c>
      <c r="K5" s="11" t="str">
        <f>_xll.DBRW(Opening!$B$4,Opening!$E$11,Opening!K8,$N$1,$H$3)</f>
        <v>PLAN</v>
      </c>
      <c r="L5" s="11" t="str">
        <f>_xll.DBRW(Opening!$B$4,Opening!$E$11,Opening!L8,$N$1,$H$3)</f>
        <v>PLAN</v>
      </c>
      <c r="M5" s="11" t="str">
        <f>_xll.DBRW(Opening!$B$4,Opening!$E$11,Opening!M8,$N$1,$H$3)</f>
        <v>PLAN</v>
      </c>
      <c r="N5" s="11" t="str">
        <f>_xll.DBRW(Opening!$B$4,Opening!$E$11,Opening!N8,$N$1,$H$3)</f>
        <v>PLAN</v>
      </c>
      <c r="O5" s="11" t="str">
        <f>_xll.DBRW(Opening!$B$4,Opening!$E$11,Opening!O8,$N$1,$H$3)</f>
        <v>PLAN</v>
      </c>
    </row>
    <row r="6" spans="2:25" s="1" customFormat="1" ht="19.5" hidden="1" customHeight="1" x14ac:dyDescent="0.25"/>
    <row r="7" spans="2:25" s="1" customFormat="1" ht="24" customHeight="1" x14ac:dyDescent="0.25">
      <c r="C7" s="32"/>
      <c r="M7" s="49" t="s">
        <v>145</v>
      </c>
      <c r="N7" s="49"/>
      <c r="O7" s="29" t="str">
        <f>_xll.DBRW($E$3,$N$1,$K$11,"Status")</f>
        <v>Closed</v>
      </c>
    </row>
    <row r="8" spans="2:25" s="1" customFormat="1" ht="45" hidden="1" customHeight="1" x14ac:dyDescent="0.25">
      <c r="D8" s="15" t="s">
        <v>46</v>
      </c>
      <c r="E8" s="15" t="s">
        <v>47</v>
      </c>
      <c r="F8" s="15" t="s">
        <v>48</v>
      </c>
      <c r="G8" s="15" t="s">
        <v>49</v>
      </c>
      <c r="H8" s="15" t="s">
        <v>50</v>
      </c>
      <c r="I8" s="15" t="s">
        <v>51</v>
      </c>
      <c r="J8" s="15" t="s">
        <v>52</v>
      </c>
      <c r="K8" s="15" t="s">
        <v>53</v>
      </c>
      <c r="L8" s="15" t="s">
        <v>54</v>
      </c>
      <c r="M8" s="15" t="s">
        <v>55</v>
      </c>
      <c r="N8" s="15" t="s">
        <v>56</v>
      </c>
      <c r="O8" s="15" t="s">
        <v>57</v>
      </c>
    </row>
    <row r="9" spans="2:25" s="1" customFormat="1" ht="15.75" customHeight="1" x14ac:dyDescent="0.25"/>
    <row r="10" spans="2:25" ht="15.75" customHeight="1" thickBot="1" x14ac:dyDescent="0.3">
      <c r="B10" s="10"/>
      <c r="C10" s="32"/>
      <c r="D10" s="32"/>
      <c r="E10" s="32"/>
      <c r="F10" s="32"/>
      <c r="G10" s="32"/>
      <c r="H10" s="32"/>
      <c r="I10" s="32"/>
      <c r="J10" s="32"/>
      <c r="K10" s="32"/>
      <c r="L10" s="32"/>
      <c r="M10" s="32"/>
      <c r="N10" s="32"/>
      <c r="O10" s="32"/>
      <c r="P10"/>
      <c r="Q10"/>
      <c r="R10"/>
      <c r="S10"/>
      <c r="T10"/>
      <c r="U10"/>
      <c r="V10"/>
      <c r="W10"/>
      <c r="X10"/>
      <c r="Y10"/>
    </row>
    <row r="11" spans="2:25" ht="15.75" customHeight="1" thickTop="1" thickBot="1" x14ac:dyDescent="0.3">
      <c r="B11" s="9" t="s">
        <v>212</v>
      </c>
      <c r="C11" s="32"/>
      <c r="D11" s="19" t="s">
        <v>67</v>
      </c>
      <c r="E11" s="35" t="str">
        <f>_xll.SUBNM("CONS_VC:ALL.D.Year","SYS_Picklist","2026","MEMBER_NAME")</f>
        <v>2026</v>
      </c>
      <c r="G11" s="19" t="s">
        <v>68</v>
      </c>
      <c r="H11" s="35" t="str">
        <f>_xll.SUBNM("CONS_VC:ALL.D.Currency","PAX","USD","Nome alternativo")</f>
        <v>USD</v>
      </c>
      <c r="J11" s="19" t="s">
        <v>69</v>
      </c>
      <c r="K11" s="35" t="str">
        <f>_xll.SUBNM("CONS_VC:ALL.D.Region","Nível 0","VCNA","MEMBER_NAME")</f>
        <v>VCNA</v>
      </c>
      <c r="L11" s="32"/>
      <c r="M11" s="32"/>
      <c r="N11" s="32"/>
      <c r="O11" s="32"/>
      <c r="P11"/>
      <c r="Q11"/>
      <c r="R11"/>
      <c r="S11"/>
      <c r="T11"/>
      <c r="U11"/>
      <c r="V11"/>
      <c r="W11"/>
      <c r="X11"/>
      <c r="Y11"/>
    </row>
    <row r="12" spans="2:25" ht="15.75" customHeight="1" thickTop="1" x14ac:dyDescent="0.25">
      <c r="P12"/>
      <c r="Q12"/>
      <c r="R12"/>
      <c r="S12"/>
      <c r="T12"/>
      <c r="U12"/>
      <c r="V12"/>
      <c r="W12"/>
      <c r="X12"/>
      <c r="Y12"/>
    </row>
    <row r="13" spans="2:25" ht="15.75" customHeight="1" x14ac:dyDescent="0.25">
      <c r="B13" s="5"/>
      <c r="C13" s="5"/>
      <c r="D13" s="18" t="str">
        <f t="shared" ref="D13:O13" si="0">$E$11&amp;"."&amp;D$8</f>
        <v>2026.01</v>
      </c>
      <c r="E13" s="18" t="str">
        <f t="shared" si="0"/>
        <v>2026.02</v>
      </c>
      <c r="F13" s="18" t="str">
        <f t="shared" si="0"/>
        <v>2026.03</v>
      </c>
      <c r="G13" s="18" t="str">
        <f t="shared" si="0"/>
        <v>2026.04</v>
      </c>
      <c r="H13" s="18" t="str">
        <f t="shared" si="0"/>
        <v>2026.05</v>
      </c>
      <c r="I13" s="18" t="str">
        <f t="shared" si="0"/>
        <v>2026.06</v>
      </c>
      <c r="J13" s="18" t="str">
        <f t="shared" si="0"/>
        <v>2026.07</v>
      </c>
      <c r="K13" s="18" t="str">
        <f t="shared" si="0"/>
        <v>2026.08</v>
      </c>
      <c r="L13" s="18" t="str">
        <f t="shared" si="0"/>
        <v>2026.09</v>
      </c>
      <c r="M13" s="18" t="str">
        <f t="shared" si="0"/>
        <v>2026.10</v>
      </c>
      <c r="N13" s="18" t="str">
        <f t="shared" si="0"/>
        <v>2026.11</v>
      </c>
      <c r="O13" s="18" t="str">
        <f t="shared" si="0"/>
        <v>2026.12</v>
      </c>
      <c r="P13"/>
      <c r="Q13"/>
      <c r="R13"/>
      <c r="S13"/>
      <c r="T13"/>
      <c r="U13"/>
      <c r="V13"/>
      <c r="W13"/>
      <c r="X13"/>
      <c r="Y13"/>
    </row>
    <row r="14" spans="2:25" ht="15.75" customHeight="1" x14ac:dyDescent="0.25">
      <c r="B14" s="24" t="s">
        <v>24</v>
      </c>
      <c r="C14" s="24" t="s">
        <v>278</v>
      </c>
      <c r="D14" s="21">
        <f>_xll.DBRW($B$1,Opening!$E$11,Opening!D$8,$N$1,Opening!$H$11,Opening!$K$11,$O$1,Opening!$B14,$C14,$L$1)</f>
        <v>1.3321036288281499E-2</v>
      </c>
      <c r="E14" s="21">
        <f>_xll.DBRW($B$1,Opening!$E$11,Opening!E$8,$N$1,Opening!$H$11,Opening!$K$11,$O$1,Opening!$B14,$C14,$L$1)</f>
        <v>0.67014606410811306</v>
      </c>
      <c r="F14" s="21">
        <f>_xll.DBRW($B$1,Opening!$E$11,Opening!F$8,$N$1,Opening!$H$11,Opening!$K$11,$O$1,Opening!$B14,$C14,$L$1)</f>
        <v>-4.2525422531516002E-3</v>
      </c>
      <c r="G14" s="21">
        <f>_xll.DBRW($B$1,Opening!$E$11,Opening!G$8,$N$1,Opening!$H$11,Opening!$K$11,$O$1,Opening!$B14,$C14,$L$1)</f>
        <v>-0.26754938614770202</v>
      </c>
      <c r="H14" s="21">
        <f>_xll.DBRW($B$1,Opening!$E$11,Opening!H$8,$N$1,Opening!$H$11,Opening!$K$11,$O$1,Opening!$B14,$C14,$L$1)</f>
        <v>-0.38664296640207502</v>
      </c>
      <c r="I14" s="21">
        <f>_xll.DBRW($B$1,Opening!$E$11,Opening!I$8,$N$1,Opening!$H$11,Opening!$K$11,$O$1,Opening!$B14,$C14,$L$1)</f>
        <v>-0.78180852292995695</v>
      </c>
      <c r="J14" s="21">
        <f>_xll.DBRW($B$1,Opening!$E$11,Opening!J$8,$N$1,Opening!$H$11,Opening!$K$11,$O$1,Opening!$B14,$C14,$L$1)</f>
        <v>-0.231417091843304</v>
      </c>
      <c r="K14" s="21">
        <f>_xll.DBRW($B$1,Opening!$E$11,Opening!K$8,$N$1,Opening!$H$11,Opening!$K$11,$O$1,Opening!$B14,$C14,$L$1)</f>
        <v>-0.39261890244862502</v>
      </c>
      <c r="L14" s="21">
        <f>_xll.DBRW($B$1,Opening!$E$11,Opening!L$8,$N$1,Opening!$H$11,Opening!$K$11,$O$1,Opening!$B14,$C14,$L$1)</f>
        <v>-0.15120375580776099</v>
      </c>
      <c r="M14" s="21">
        <f>_xll.DBRW($B$1,Opening!$E$11,Opening!M$8,$N$1,Opening!$H$11,Opening!$K$11,$O$1,Opening!$B14,$C14,$L$1)</f>
        <v>2.2845720961780902</v>
      </c>
      <c r="N14" s="21">
        <f>_xll.DBRW($B$1,Opening!$E$11,Opening!N$8,$N$1,Opening!$H$11,Opening!$K$11,$O$1,Opening!$B14,$C14,$L$1)</f>
        <v>3.28792529190769</v>
      </c>
      <c r="O14" s="21">
        <f>_xll.DBRW($B$1,Opening!$E$11,Opening!O$8,$N$1,Opening!$H$11,Opening!$K$11,$O$1,Opening!$B14,$C14,$L$1)</f>
        <v>1.03996773785176</v>
      </c>
      <c r="P14"/>
      <c r="Q14"/>
      <c r="R14"/>
      <c r="S14"/>
      <c r="T14"/>
      <c r="U14"/>
      <c r="V14"/>
      <c r="W14"/>
      <c r="X14"/>
      <c r="Y14"/>
    </row>
    <row r="15" spans="2:25" ht="15.75" customHeight="1" x14ac:dyDescent="0.25">
      <c r="B15" s="42" t="s">
        <v>24</v>
      </c>
      <c r="C15" s="42" t="s">
        <v>195</v>
      </c>
      <c r="D15" s="43">
        <f>_xll.DBRW($B$1,Opening!$E$11,Opening!D$8,$N$1,Opening!$H$11,Opening!$K$11,$O$1,Opening!$B15,$C15,$L$1)</f>
        <v>0</v>
      </c>
      <c r="E15" s="43">
        <f>_xll.DBRW($B$1,Opening!$E$11,Opening!E$8,$N$1,Opening!$H$11,Opening!$K$11,$O$1,Opening!$B15,$C15,$L$1)</f>
        <v>0</v>
      </c>
      <c r="F15" s="43">
        <f>_xll.DBRW($B$1,Opening!$E$11,Opening!F$8,$N$1,Opening!$H$11,Opening!$K$11,$O$1,Opening!$B15,$C15,$L$1)</f>
        <v>0</v>
      </c>
      <c r="G15" s="46">
        <f>_xll.DBRW($B$1,Opening!$E$11,Opening!G$8,$N$1,Opening!$H$11,Opening!$K$11,$O$1,Opening!$B15,$C15,$L$1)</f>
        <v>0</v>
      </c>
      <c r="H15" s="46">
        <f>_xll.DBRW($B$1,Opening!$E$11,Opening!H$8,$N$1,Opening!$H$11,Opening!$K$11,$O$1,Opening!$B15,$C15,$L$1)</f>
        <v>0</v>
      </c>
      <c r="I15" s="46">
        <f>_xll.DBRW($B$1,Opening!$E$11,Opening!I$8,$N$1,Opening!$H$11,Opening!$K$11,$O$1,Opening!$B15,$C15,$L$1)</f>
        <v>0</v>
      </c>
      <c r="J15" s="46">
        <f>_xll.DBRW($B$1,Opening!$E$11,Opening!J$8,$N$1,Opening!$H$11,Opening!$K$11,$O$1,Opening!$B15,$C15,$L$1)</f>
        <v>0</v>
      </c>
      <c r="K15" s="46">
        <f>_xll.DBRW($B$1,Opening!$E$11,Opening!K$8,$N$1,Opening!$H$11,Opening!$K$11,$O$1,Opening!$B15,$C15,$L$1)</f>
        <v>0</v>
      </c>
      <c r="L15" s="46">
        <f>_xll.DBRW($B$1,Opening!$E$11,Opening!L$8,$N$1,Opening!$H$11,Opening!$K$11,$O$1,Opening!$B15,$C15,$L$1)</f>
        <v>0</v>
      </c>
      <c r="M15" s="46">
        <f>_xll.DBRW($B$1,Opening!$E$11,Opening!M$8,$N$1,Opening!$H$11,Opening!$K$11,$O$1,Opening!$B15,$C15,$L$1)</f>
        <v>0</v>
      </c>
      <c r="N15" s="46">
        <f>_xll.DBRW($B$1,Opening!$E$11,Opening!N$8,$N$1,Opening!$H$11,Opening!$K$11,$O$1,Opening!$B15,$C15,$L$1)</f>
        <v>0</v>
      </c>
      <c r="O15" s="46">
        <f>_xll.DBRW($B$1,Opening!$E$11,Opening!O$8,$N$1,Opening!$H$11,Opening!$K$11,$O$1,Opening!$B15,$C15,$L$1)</f>
        <v>0</v>
      </c>
      <c r="P15"/>
      <c r="Q15"/>
      <c r="R15"/>
      <c r="S15"/>
      <c r="T15"/>
      <c r="U15"/>
      <c r="V15"/>
      <c r="W15"/>
      <c r="X15"/>
      <c r="Y15"/>
    </row>
    <row r="16" spans="2:25" ht="15.75" customHeight="1" x14ac:dyDescent="0.25">
      <c r="B16" s="44" t="s">
        <v>24</v>
      </c>
      <c r="C16" s="45" t="s">
        <v>196</v>
      </c>
      <c r="D16" s="46">
        <f>_xll.DBRW($B$1,Opening!$E$11,Opening!D$8,$N$1,Opening!$H$11,Opening!$K$11,$O$1,Opening!$B16,$C16,$L$1)</f>
        <v>0</v>
      </c>
      <c r="E16" s="46">
        <f>_xll.DBRW($B$1,Opening!$E$11,Opening!E$8,$N$1,Opening!$H$11,Opening!$K$11,$O$1,Opening!$B16,$C16,$L$1)</f>
        <v>0</v>
      </c>
      <c r="F16" s="46">
        <f>_xll.DBRW($B$1,Opening!$E$11,Opening!F$8,$N$1,Opening!$H$11,Opening!$K$11,$O$1,Opening!$B16,$C16,$L$1)</f>
        <v>0</v>
      </c>
      <c r="G16" s="46">
        <f>_xll.DBRW($B$1,Opening!$E$11,Opening!G$8,$N$1,Opening!$H$11,Opening!$K$11,$O$1,Opening!$B16,$C16,$L$1)</f>
        <v>0</v>
      </c>
      <c r="H16" s="46">
        <f>_xll.DBRW($B$1,Opening!$E$11,Opening!H$8,$N$1,Opening!$H$11,Opening!$K$11,$O$1,Opening!$B16,$C16,$L$1)</f>
        <v>0</v>
      </c>
      <c r="I16" s="46">
        <f>_xll.DBRW($B$1,Opening!$E$11,Opening!I$8,$N$1,Opening!$H$11,Opening!$K$11,$O$1,Opening!$B16,$C16,$L$1)</f>
        <v>0</v>
      </c>
      <c r="J16" s="46">
        <f>_xll.DBRW($B$1,Opening!$E$11,Opening!J$8,$N$1,Opening!$H$11,Opening!$K$11,$O$1,Opening!$B16,$C16,$L$1)</f>
        <v>0</v>
      </c>
      <c r="K16" s="46">
        <f>_xll.DBRW($B$1,Opening!$E$11,Opening!K$8,$N$1,Opening!$H$11,Opening!$K$11,$O$1,Opening!$B16,$C16,$L$1)</f>
        <v>0</v>
      </c>
      <c r="L16" s="46">
        <f>_xll.DBRW($B$1,Opening!$E$11,Opening!L$8,$N$1,Opening!$H$11,Opening!$K$11,$O$1,Opening!$B16,$C16,$L$1)</f>
        <v>0</v>
      </c>
      <c r="M16" s="46">
        <f>_xll.DBRW($B$1,Opening!$E$11,Opening!M$8,$N$1,Opening!$H$11,Opening!$K$11,$O$1,Opening!$B16,$C16,$L$1)</f>
        <v>0</v>
      </c>
      <c r="N16" s="46">
        <f>_xll.DBRW($B$1,Opening!$E$11,Opening!N$8,$N$1,Opening!$H$11,Opening!$K$11,$O$1,Opening!$B16,$C16,$L$1)</f>
        <v>0</v>
      </c>
      <c r="O16" s="46">
        <f>_xll.DBRW($B$1,Opening!$E$11,Opening!O$8,$N$1,Opening!$H$11,Opening!$K$11,$O$1,Opening!$B16,$C16,$L$1)</f>
        <v>0</v>
      </c>
      <c r="P16"/>
      <c r="Q16"/>
      <c r="R16"/>
      <c r="S16"/>
      <c r="T16"/>
      <c r="U16"/>
      <c r="V16"/>
      <c r="W16"/>
      <c r="X16"/>
      <c r="Y16"/>
    </row>
    <row r="17" spans="2:25" ht="15.75" customHeight="1" x14ac:dyDescent="0.25">
      <c r="B17" s="44" t="s">
        <v>24</v>
      </c>
      <c r="C17" s="45" t="s">
        <v>197</v>
      </c>
      <c r="D17" s="46">
        <f>_xll.DBRW($B$1,Opening!$E$11,Opening!D$8,$N$1,Opening!$H$11,Opening!$K$11,$O$1,Opening!$B17,$C17,$L$1)</f>
        <v>0</v>
      </c>
      <c r="E17" s="46">
        <f>_xll.DBRW($B$1,Opening!$E$11,Opening!E$8,$N$1,Opening!$H$11,Opening!$K$11,$O$1,Opening!$B17,$C17,$L$1)</f>
        <v>0</v>
      </c>
      <c r="F17" s="46">
        <f>_xll.DBRW($B$1,Opening!$E$11,Opening!F$8,$N$1,Opening!$H$11,Opening!$K$11,$O$1,Opening!$B17,$C17,$L$1)</f>
        <v>0</v>
      </c>
      <c r="G17" s="46">
        <f>_xll.DBRW($B$1,Opening!$E$11,Opening!G$8,$N$1,Opening!$H$11,Opening!$K$11,$O$1,Opening!$B17,$C17,$L$1)</f>
        <v>0</v>
      </c>
      <c r="H17" s="46">
        <f>_xll.DBRW($B$1,Opening!$E$11,Opening!H$8,$N$1,Opening!$H$11,Opening!$K$11,$O$1,Opening!$B17,$C17,$L$1)</f>
        <v>0</v>
      </c>
      <c r="I17" s="46">
        <f>_xll.DBRW($B$1,Opening!$E$11,Opening!I$8,$N$1,Opening!$H$11,Opening!$K$11,$O$1,Opening!$B17,$C17,$L$1)</f>
        <v>0</v>
      </c>
      <c r="J17" s="46">
        <f>_xll.DBRW($B$1,Opening!$E$11,Opening!J$8,$N$1,Opening!$H$11,Opening!$K$11,$O$1,Opening!$B17,$C17,$L$1)</f>
        <v>0</v>
      </c>
      <c r="K17" s="46">
        <f>_xll.DBRW($B$1,Opening!$E$11,Opening!K$8,$N$1,Opening!$H$11,Opening!$K$11,$O$1,Opening!$B17,$C17,$L$1)</f>
        <v>0</v>
      </c>
      <c r="L17" s="46">
        <f>_xll.DBRW($B$1,Opening!$E$11,Opening!L$8,$N$1,Opening!$H$11,Opening!$K$11,$O$1,Opening!$B17,$C17,$L$1)</f>
        <v>0</v>
      </c>
      <c r="M17" s="46">
        <f>_xll.DBRW($B$1,Opening!$E$11,Opening!M$8,$N$1,Opening!$H$11,Opening!$K$11,$O$1,Opening!$B17,$C17,$L$1)</f>
        <v>0</v>
      </c>
      <c r="N17" s="46">
        <f>_xll.DBRW($B$1,Opening!$E$11,Opening!N$8,$N$1,Opening!$H$11,Opening!$K$11,$O$1,Opening!$B17,$C17,$L$1)</f>
        <v>0</v>
      </c>
      <c r="O17" s="46">
        <f>_xll.DBRW($B$1,Opening!$E$11,Opening!O$8,$N$1,Opening!$H$11,Opening!$K$11,$O$1,Opening!$B17,$C17,$L$1)</f>
        <v>0</v>
      </c>
      <c r="P17"/>
      <c r="Q17"/>
      <c r="R17"/>
      <c r="S17"/>
      <c r="T17"/>
      <c r="U17"/>
      <c r="V17"/>
      <c r="W17"/>
      <c r="X17"/>
      <c r="Y17"/>
    </row>
    <row r="18" spans="2:25" ht="15.75" customHeight="1" x14ac:dyDescent="0.25">
      <c r="B18" s="44" t="s">
        <v>24</v>
      </c>
      <c r="C18" s="45" t="s">
        <v>198</v>
      </c>
      <c r="D18" s="46">
        <f>_xll.DBRW($B$1,Opening!$E$11,Opening!D$8,$N$1,Opening!$H$11,Opening!$K$11,$O$1,Opening!$B18,$C18,$L$1)</f>
        <v>0</v>
      </c>
      <c r="E18" s="46">
        <f>_xll.DBRW($B$1,Opening!$E$11,Opening!E$8,$N$1,Opening!$H$11,Opening!$K$11,$O$1,Opening!$B18,$C18,$L$1)</f>
        <v>0</v>
      </c>
      <c r="F18" s="46">
        <f>_xll.DBRW($B$1,Opening!$E$11,Opening!F$8,$N$1,Opening!$H$11,Opening!$K$11,$O$1,Opening!$B18,$C18,$L$1)</f>
        <v>0</v>
      </c>
      <c r="G18" s="46">
        <f>_xll.DBRW($B$1,Opening!$E$11,Opening!G$8,$N$1,Opening!$H$11,Opening!$K$11,$O$1,Opening!$B18,$C18,$L$1)</f>
        <v>0</v>
      </c>
      <c r="H18" s="46">
        <f>_xll.DBRW($B$1,Opening!$E$11,Opening!H$8,$N$1,Opening!$H$11,Opening!$K$11,$O$1,Opening!$B18,$C18,$L$1)</f>
        <v>0</v>
      </c>
      <c r="I18" s="46">
        <f>_xll.DBRW($B$1,Opening!$E$11,Opening!I$8,$N$1,Opening!$H$11,Opening!$K$11,$O$1,Opening!$B18,$C18,$L$1)</f>
        <v>0</v>
      </c>
      <c r="J18" s="46">
        <f>_xll.DBRW($B$1,Opening!$E$11,Opening!J$8,$N$1,Opening!$H$11,Opening!$K$11,$O$1,Opening!$B18,$C18,$L$1)</f>
        <v>0</v>
      </c>
      <c r="K18" s="46">
        <f>_xll.DBRW($B$1,Opening!$E$11,Opening!K$8,$N$1,Opening!$H$11,Opening!$K$11,$O$1,Opening!$B18,$C18,$L$1)</f>
        <v>0</v>
      </c>
      <c r="L18" s="46">
        <f>_xll.DBRW($B$1,Opening!$E$11,Opening!L$8,$N$1,Opening!$H$11,Opening!$K$11,$O$1,Opening!$B18,$C18,$L$1)</f>
        <v>0</v>
      </c>
      <c r="M18" s="46">
        <f>_xll.DBRW($B$1,Opening!$E$11,Opening!M$8,$N$1,Opening!$H$11,Opening!$K$11,$O$1,Opening!$B18,$C18,$L$1)</f>
        <v>0</v>
      </c>
      <c r="N18" s="46">
        <f>_xll.DBRW($B$1,Opening!$E$11,Opening!N$8,$N$1,Opening!$H$11,Opening!$K$11,$O$1,Opening!$B18,$C18,$L$1)</f>
        <v>0</v>
      </c>
      <c r="O18" s="46">
        <f>_xll.DBRW($B$1,Opening!$E$11,Opening!O$8,$N$1,Opening!$H$11,Opening!$K$11,$O$1,Opening!$B18,$C18,$L$1)</f>
        <v>0</v>
      </c>
      <c r="P18"/>
      <c r="Q18"/>
      <c r="R18"/>
      <c r="S18"/>
      <c r="T18"/>
      <c r="U18"/>
      <c r="V18"/>
      <c r="W18"/>
      <c r="X18"/>
      <c r="Y18"/>
    </row>
    <row r="19" spans="2:25" ht="15.75" customHeight="1" x14ac:dyDescent="0.25">
      <c r="B19" s="44" t="s">
        <v>24</v>
      </c>
      <c r="C19" s="45" t="s">
        <v>199</v>
      </c>
      <c r="D19" s="46">
        <f>_xll.DBRW($B$1,Opening!$E$11,Opening!D$8,$N$1,Opening!$H$11,Opening!$K$11,$O$1,Opening!$B19,$C19,$L$1)</f>
        <v>0</v>
      </c>
      <c r="E19" s="46">
        <f>_xll.DBRW($B$1,Opening!$E$11,Opening!E$8,$N$1,Opening!$H$11,Opening!$K$11,$O$1,Opening!$B19,$C19,$L$1)</f>
        <v>0</v>
      </c>
      <c r="F19" s="46">
        <f>_xll.DBRW($B$1,Opening!$E$11,Opening!F$8,$N$1,Opening!$H$11,Opening!$K$11,$O$1,Opening!$B19,$C19,$L$1)</f>
        <v>0</v>
      </c>
      <c r="G19" s="46">
        <f>_xll.DBRW($B$1,Opening!$E$11,Opening!G$8,$N$1,Opening!$H$11,Opening!$K$11,$O$1,Opening!$B19,$C19,$L$1)</f>
        <v>0</v>
      </c>
      <c r="H19" s="46">
        <f>_xll.DBRW($B$1,Opening!$E$11,Opening!H$8,$N$1,Opening!$H$11,Opening!$K$11,$O$1,Opening!$B19,$C19,$L$1)</f>
        <v>0</v>
      </c>
      <c r="I19" s="46">
        <f>_xll.DBRW($B$1,Opening!$E$11,Opening!I$8,$N$1,Opening!$H$11,Opening!$K$11,$O$1,Opening!$B19,$C19,$L$1)</f>
        <v>0</v>
      </c>
      <c r="J19" s="46">
        <f>_xll.DBRW($B$1,Opening!$E$11,Opening!J$8,$N$1,Opening!$H$11,Opening!$K$11,$O$1,Opening!$B19,$C19,$L$1)</f>
        <v>0</v>
      </c>
      <c r="K19" s="46">
        <f>_xll.DBRW($B$1,Opening!$E$11,Opening!K$8,$N$1,Opening!$H$11,Opening!$K$11,$O$1,Opening!$B19,$C19,$L$1)</f>
        <v>0</v>
      </c>
      <c r="L19" s="46">
        <f>_xll.DBRW($B$1,Opening!$E$11,Opening!L$8,$N$1,Opening!$H$11,Opening!$K$11,$O$1,Opening!$B19,$C19,$L$1)</f>
        <v>0</v>
      </c>
      <c r="M19" s="46">
        <f>_xll.DBRW($B$1,Opening!$E$11,Opening!M$8,$N$1,Opening!$H$11,Opening!$K$11,$O$1,Opening!$B19,$C19,$L$1)</f>
        <v>0</v>
      </c>
      <c r="N19" s="46">
        <f>_xll.DBRW($B$1,Opening!$E$11,Opening!N$8,$N$1,Opening!$H$11,Opening!$K$11,$O$1,Opening!$B19,$C19,$L$1)</f>
        <v>0</v>
      </c>
      <c r="O19" s="46">
        <f>_xll.DBRW($B$1,Opening!$E$11,Opening!O$8,$N$1,Opening!$H$11,Opening!$K$11,$O$1,Opening!$B19,$C19,$L$1)</f>
        <v>0</v>
      </c>
      <c r="P19"/>
      <c r="Q19"/>
      <c r="R19"/>
      <c r="S19"/>
      <c r="T19"/>
      <c r="U19"/>
      <c r="V19"/>
      <c r="W19"/>
      <c r="X19"/>
      <c r="Y19"/>
    </row>
    <row r="20" spans="2:25" ht="15.75" customHeight="1" x14ac:dyDescent="0.25">
      <c r="B20" s="44" t="s">
        <v>24</v>
      </c>
      <c r="C20" s="45" t="s">
        <v>205</v>
      </c>
      <c r="D20" s="46">
        <f>_xll.DBRW($B$1,Opening!$E$11,Opening!D$8,$N$1,Opening!$H$11,Opening!$K$11,$O$1,Opening!$B20,$C20,$L$1)</f>
        <v>2.5983481273044E-2</v>
      </c>
      <c r="E20" s="46">
        <f>_xll.DBRW($B$1,Opening!$E$11,Opening!E$8,$N$1,Opening!$H$11,Opening!$K$11,$O$1,Opening!$B20,$C20,$L$1)</f>
        <v>-0.87678936979781696</v>
      </c>
      <c r="F20" s="46">
        <f>_xll.DBRW($B$1,Opening!$E$11,Opening!F$8,$N$1,Opening!$H$11,Opening!$K$11,$O$1,Opening!$B20,$C20,$L$1)</f>
        <v>0</v>
      </c>
      <c r="G20" s="46">
        <f>_xll.DBRW($B$1,Opening!$E$11,Opening!G$8,$N$1,Opening!$H$11,Opening!$K$11,$O$1,Opening!$B20,$C20,$L$1)</f>
        <v>0</v>
      </c>
      <c r="H20" s="46">
        <f>_xll.DBRW($B$1,Opening!$E$11,Opening!H$8,$N$1,Opening!$H$11,Opening!$K$11,$O$1,Opening!$B20,$C20,$L$1)</f>
        <v>0</v>
      </c>
      <c r="I20" s="46">
        <f>_xll.DBRW($B$1,Opening!$E$11,Opening!I$8,$N$1,Opening!$H$11,Opening!$K$11,$O$1,Opening!$B20,$C20,$L$1)</f>
        <v>0</v>
      </c>
      <c r="J20" s="46">
        <f>_xll.DBRW($B$1,Opening!$E$11,Opening!J$8,$N$1,Opening!$H$11,Opening!$K$11,$O$1,Opening!$B20,$C20,$L$1)</f>
        <v>0</v>
      </c>
      <c r="K20" s="46">
        <f>_xll.DBRW($B$1,Opening!$E$11,Opening!K$8,$N$1,Opening!$H$11,Opening!$K$11,$O$1,Opening!$B20,$C20,$L$1)</f>
        <v>0</v>
      </c>
      <c r="L20" s="46">
        <f>_xll.DBRW($B$1,Opening!$E$11,Opening!L$8,$N$1,Opening!$H$11,Opening!$K$11,$O$1,Opening!$B20,$C20,$L$1)</f>
        <v>0</v>
      </c>
      <c r="M20" s="46">
        <f>_xll.DBRW($B$1,Opening!$E$11,Opening!M$8,$N$1,Opening!$H$11,Opening!$K$11,$O$1,Opening!$B20,$C20,$L$1)</f>
        <v>0</v>
      </c>
      <c r="N20" s="46">
        <f>_xll.DBRW($B$1,Opening!$E$11,Opening!N$8,$N$1,Opening!$H$11,Opening!$K$11,$O$1,Opening!$B20,$C20,$L$1)</f>
        <v>0</v>
      </c>
      <c r="O20" s="46">
        <f>_xll.DBRW($B$1,Opening!$E$11,Opening!O$8,$N$1,Opening!$H$11,Opening!$K$11,$O$1,Opening!$B20,$C20,$L$1)</f>
        <v>0</v>
      </c>
      <c r="P20"/>
      <c r="Q20"/>
      <c r="R20"/>
      <c r="S20"/>
      <c r="T20"/>
      <c r="U20"/>
      <c r="V20"/>
      <c r="W20"/>
      <c r="X20"/>
      <c r="Y20"/>
    </row>
    <row r="21" spans="2:25" ht="15.75" customHeight="1" x14ac:dyDescent="0.25">
      <c r="B21" s="44" t="s">
        <v>24</v>
      </c>
      <c r="C21" s="45" t="s">
        <v>206</v>
      </c>
      <c r="D21" s="46">
        <f>_xll.DBRW($B$1,Opening!$E$11,Opening!D$8,$N$1,Opening!$H$11,Opening!$K$11,$O$1,Opening!$B21,$C21,$L$1)</f>
        <v>0</v>
      </c>
      <c r="E21" s="46">
        <f>_xll.DBRW($B$1,Opening!$E$11,Opening!E$8,$N$1,Opening!$H$11,Opening!$K$11,$O$1,Opening!$B21,$C21,$L$1)</f>
        <v>0</v>
      </c>
      <c r="F21" s="46">
        <f>_xll.DBRW($B$1,Opening!$E$11,Opening!F$8,$N$1,Opening!$H$11,Opening!$K$11,$O$1,Opening!$B21,$C21,$L$1)</f>
        <v>0</v>
      </c>
      <c r="G21" s="46">
        <f>_xll.DBRW($B$1,Opening!$E$11,Opening!G$8,$N$1,Opening!$H$11,Opening!$K$11,$O$1,Opening!$B21,$C21,$L$1)</f>
        <v>0</v>
      </c>
      <c r="H21" s="46">
        <f>_xll.DBRW($B$1,Opening!$E$11,Opening!H$8,$N$1,Opening!$H$11,Opening!$K$11,$O$1,Opening!$B21,$C21,$L$1)</f>
        <v>0</v>
      </c>
      <c r="I21" s="46">
        <f>_xll.DBRW($B$1,Opening!$E$11,Opening!I$8,$N$1,Opening!$H$11,Opening!$K$11,$O$1,Opening!$B21,$C21,$L$1)</f>
        <v>0</v>
      </c>
      <c r="J21" s="46">
        <f>_xll.DBRW($B$1,Opening!$E$11,Opening!J$8,$N$1,Opening!$H$11,Opening!$K$11,$O$1,Opening!$B21,$C21,$L$1)</f>
        <v>0</v>
      </c>
      <c r="K21" s="46">
        <f>_xll.DBRW($B$1,Opening!$E$11,Opening!K$8,$N$1,Opening!$H$11,Opening!$K$11,$O$1,Opening!$B21,$C21,$L$1)</f>
        <v>0</v>
      </c>
      <c r="L21" s="46">
        <f>_xll.DBRW($B$1,Opening!$E$11,Opening!L$8,$N$1,Opening!$H$11,Opening!$K$11,$O$1,Opening!$B21,$C21,$L$1)</f>
        <v>0</v>
      </c>
      <c r="M21" s="46">
        <f>_xll.DBRW($B$1,Opening!$E$11,Opening!M$8,$N$1,Opening!$H$11,Opening!$K$11,$O$1,Opening!$B21,$C21,$L$1)</f>
        <v>0</v>
      </c>
      <c r="N21" s="46">
        <f>_xll.DBRW($B$1,Opening!$E$11,Opening!N$8,$N$1,Opening!$H$11,Opening!$K$11,$O$1,Opening!$B21,$C21,$L$1)</f>
        <v>0</v>
      </c>
      <c r="O21" s="46">
        <f>_xll.DBRW($B$1,Opening!$E$11,Opening!O$8,$N$1,Opening!$H$11,Opening!$K$11,$O$1,Opening!$B21,$C21,$L$1)</f>
        <v>0</v>
      </c>
      <c r="P21"/>
      <c r="Q21"/>
      <c r="R21"/>
      <c r="S21"/>
      <c r="T21"/>
      <c r="U21"/>
      <c r="V21"/>
      <c r="W21"/>
      <c r="X21"/>
      <c r="Y21"/>
    </row>
    <row r="22" spans="2:25" ht="15.75" customHeight="1" x14ac:dyDescent="0.25">
      <c r="B22" s="44" t="s">
        <v>24</v>
      </c>
      <c r="C22" s="45" t="s">
        <v>200</v>
      </c>
      <c r="D22" s="46">
        <f>_xll.DBRW($B$1,Opening!$E$11,Opening!D$8,$N$1,Opening!$H$11,Opening!$K$11,$O$1,Opening!$B22,$C22,$L$1)</f>
        <v>0</v>
      </c>
      <c r="E22" s="46">
        <f>_xll.DBRW($B$1,Opening!$E$11,Opening!E$8,$N$1,Opening!$H$11,Opening!$K$11,$O$1,Opening!$B22,$C22,$L$1)</f>
        <v>0</v>
      </c>
      <c r="F22" s="46">
        <f>_xll.DBRW($B$1,Opening!$E$11,Opening!F$8,$N$1,Opening!$H$11,Opening!$K$11,$O$1,Opening!$B22,$C22,$L$1)</f>
        <v>0</v>
      </c>
      <c r="G22" s="46">
        <f>_xll.DBRW($B$1,Opening!$E$11,Opening!G$8,$N$1,Opening!$H$11,Opening!$K$11,$O$1,Opening!$B22,$C22,$L$1)</f>
        <v>0</v>
      </c>
      <c r="H22" s="46">
        <f>_xll.DBRW($B$1,Opening!$E$11,Opening!H$8,$N$1,Opening!$H$11,Opening!$K$11,$O$1,Opening!$B22,$C22,$L$1)</f>
        <v>0</v>
      </c>
      <c r="I22" s="46">
        <f>_xll.DBRW($B$1,Opening!$E$11,Opening!I$8,$N$1,Opening!$H$11,Opening!$K$11,$O$1,Opening!$B22,$C22,$L$1)</f>
        <v>0</v>
      </c>
      <c r="J22" s="46">
        <f>_xll.DBRW($B$1,Opening!$E$11,Opening!J$8,$N$1,Opening!$H$11,Opening!$K$11,$O$1,Opening!$B22,$C22,$L$1)</f>
        <v>0</v>
      </c>
      <c r="K22" s="46">
        <f>_xll.DBRW($B$1,Opening!$E$11,Opening!K$8,$N$1,Opening!$H$11,Opening!$K$11,$O$1,Opening!$B22,$C22,$L$1)</f>
        <v>0</v>
      </c>
      <c r="L22" s="46">
        <f>_xll.DBRW($B$1,Opening!$E$11,Opening!L$8,$N$1,Opening!$H$11,Opening!$K$11,$O$1,Opening!$B22,$C22,$L$1)</f>
        <v>0</v>
      </c>
      <c r="M22" s="46">
        <f>_xll.DBRW($B$1,Opening!$E$11,Opening!M$8,$N$1,Opening!$H$11,Opening!$K$11,$O$1,Opening!$B22,$C22,$L$1)</f>
        <v>0</v>
      </c>
      <c r="N22" s="46">
        <f>_xll.DBRW($B$1,Opening!$E$11,Opening!N$8,$N$1,Opening!$H$11,Opening!$K$11,$O$1,Opening!$B22,$C22,$L$1)</f>
        <v>0</v>
      </c>
      <c r="O22" s="46">
        <f>_xll.DBRW($B$1,Opening!$E$11,Opening!O$8,$N$1,Opening!$H$11,Opening!$K$11,$O$1,Opening!$B22,$C22,$L$1)</f>
        <v>0</v>
      </c>
      <c r="P22"/>
      <c r="Q22"/>
      <c r="R22"/>
      <c r="S22"/>
      <c r="T22"/>
      <c r="U22"/>
      <c r="V22"/>
      <c r="W22"/>
      <c r="X22"/>
      <c r="Y22"/>
    </row>
    <row r="23" spans="2:25" ht="15.75" customHeight="1" x14ac:dyDescent="0.25">
      <c r="B23" s="44" t="s">
        <v>24</v>
      </c>
      <c r="C23" s="45" t="s">
        <v>201</v>
      </c>
      <c r="D23" s="46">
        <f>_xll.DBRW($B$1,Opening!$E$11,Opening!D$8,$N$1,Opening!$H$11,Opening!$K$11,$O$1,Opening!$B23,$C23,$L$1)</f>
        <v>0</v>
      </c>
      <c r="E23" s="46">
        <f>_xll.DBRW($B$1,Opening!$E$11,Opening!E$8,$N$1,Opening!$H$11,Opening!$K$11,$O$1,Opening!$B23,$C23,$L$1)</f>
        <v>0</v>
      </c>
      <c r="F23" s="46">
        <f>_xll.DBRW($B$1,Opening!$E$11,Opening!F$8,$N$1,Opening!$H$11,Opening!$K$11,$O$1,Opening!$B23,$C23,$L$1)</f>
        <v>0</v>
      </c>
      <c r="G23" s="46">
        <f>_xll.DBRW($B$1,Opening!$E$11,Opening!G$8,$N$1,Opening!$H$11,Opening!$K$11,$O$1,Opening!$B23,$C23,$L$1)</f>
        <v>0</v>
      </c>
      <c r="H23" s="46">
        <f>_xll.DBRW($B$1,Opening!$E$11,Opening!H$8,$N$1,Opening!$H$11,Opening!$K$11,$O$1,Opening!$B23,$C23,$L$1)</f>
        <v>0</v>
      </c>
      <c r="I23" s="46">
        <f>_xll.DBRW($B$1,Opening!$E$11,Opening!I$8,$N$1,Opening!$H$11,Opening!$K$11,$O$1,Opening!$B23,$C23,$L$1)</f>
        <v>0</v>
      </c>
      <c r="J23" s="46">
        <f>_xll.DBRW($B$1,Opening!$E$11,Opening!J$8,$N$1,Opening!$H$11,Opening!$K$11,$O$1,Opening!$B23,$C23,$L$1)</f>
        <v>0</v>
      </c>
      <c r="K23" s="46">
        <f>_xll.DBRW($B$1,Opening!$E$11,Opening!K$8,$N$1,Opening!$H$11,Opening!$K$11,$O$1,Opening!$B23,$C23,$L$1)</f>
        <v>0</v>
      </c>
      <c r="L23" s="46">
        <f>_xll.DBRW($B$1,Opening!$E$11,Opening!L$8,$N$1,Opening!$H$11,Opening!$K$11,$O$1,Opening!$B23,$C23,$L$1)</f>
        <v>0</v>
      </c>
      <c r="M23" s="46">
        <f>_xll.DBRW($B$1,Opening!$E$11,Opening!M$8,$N$1,Opening!$H$11,Opening!$K$11,$O$1,Opening!$B23,$C23,$L$1)</f>
        <v>0</v>
      </c>
      <c r="N23" s="46">
        <f>_xll.DBRW($B$1,Opening!$E$11,Opening!N$8,$N$1,Opening!$H$11,Opening!$K$11,$O$1,Opening!$B23,$C23,$L$1)</f>
        <v>0</v>
      </c>
      <c r="O23" s="46">
        <f>_xll.DBRW($B$1,Opening!$E$11,Opening!O$8,$N$1,Opening!$H$11,Opening!$K$11,$O$1,Opening!$B23,$C23,$L$1)</f>
        <v>0</v>
      </c>
      <c r="P23"/>
      <c r="Q23"/>
      <c r="R23"/>
      <c r="S23"/>
      <c r="T23"/>
      <c r="U23"/>
      <c r="V23"/>
      <c r="W23"/>
      <c r="X23"/>
      <c r="Y23"/>
    </row>
    <row r="24" spans="2:25" ht="15.75" customHeight="1" x14ac:dyDescent="0.25">
      <c r="B24" s="44" t="s">
        <v>24</v>
      </c>
      <c r="C24" s="45" t="s">
        <v>207</v>
      </c>
      <c r="D24" s="46">
        <f>_xll.DBRW($B$1,Opening!$E$11,Opening!D$8,$N$1,Opening!$H$11,Opening!$K$11,$O$1,Opening!$B24,$C24,$L$1)</f>
        <v>0</v>
      </c>
      <c r="E24" s="46">
        <f>_xll.DBRW($B$1,Opening!$E$11,Opening!E$8,$N$1,Opening!$H$11,Opening!$K$11,$O$1,Opening!$B24,$C24,$L$1)</f>
        <v>0</v>
      </c>
      <c r="F24" s="46">
        <f>_xll.DBRW($B$1,Opening!$E$11,Opening!F$8,$N$1,Opening!$H$11,Opening!$K$11,$O$1,Opening!$B24,$C24,$L$1)</f>
        <v>0</v>
      </c>
      <c r="G24" s="46">
        <f>_xll.DBRW($B$1,Opening!$E$11,Opening!G$8,$N$1,Opening!$H$11,Opening!$K$11,$O$1,Opening!$B24,$C24,$L$1)</f>
        <v>0</v>
      </c>
      <c r="H24" s="46">
        <f>_xll.DBRW($B$1,Opening!$E$11,Opening!H$8,$N$1,Opening!$H$11,Opening!$K$11,$O$1,Opening!$B24,$C24,$L$1)</f>
        <v>0</v>
      </c>
      <c r="I24" s="46">
        <f>_xll.DBRW($B$1,Opening!$E$11,Opening!I$8,$N$1,Opening!$H$11,Opening!$K$11,$O$1,Opening!$B24,$C24,$L$1)</f>
        <v>0</v>
      </c>
      <c r="J24" s="46">
        <f>_xll.DBRW($B$1,Opening!$E$11,Opening!J$8,$N$1,Opening!$H$11,Opening!$K$11,$O$1,Opening!$B24,$C24,$L$1)</f>
        <v>0</v>
      </c>
      <c r="K24" s="46">
        <f>_xll.DBRW($B$1,Opening!$E$11,Opening!K$8,$N$1,Opening!$H$11,Opening!$K$11,$O$1,Opening!$B24,$C24,$L$1)</f>
        <v>0</v>
      </c>
      <c r="L24" s="46">
        <f>_xll.DBRW($B$1,Opening!$E$11,Opening!L$8,$N$1,Opening!$H$11,Opening!$K$11,$O$1,Opening!$B24,$C24,$L$1)</f>
        <v>0</v>
      </c>
      <c r="M24" s="46">
        <f>_xll.DBRW($B$1,Opening!$E$11,Opening!M$8,$N$1,Opening!$H$11,Opening!$K$11,$O$1,Opening!$B24,$C24,$L$1)</f>
        <v>0</v>
      </c>
      <c r="N24" s="46">
        <f>_xll.DBRW($B$1,Opening!$E$11,Opening!N$8,$N$1,Opening!$H$11,Opening!$K$11,$O$1,Opening!$B24,$C24,$L$1)</f>
        <v>0</v>
      </c>
      <c r="O24" s="46">
        <f>_xll.DBRW($B$1,Opening!$E$11,Opening!O$8,$N$1,Opening!$H$11,Opening!$K$11,$O$1,Opening!$B24,$C24,$L$1)</f>
        <v>0</v>
      </c>
      <c r="P24"/>
      <c r="Q24"/>
      <c r="R24"/>
      <c r="S24"/>
      <c r="T24"/>
      <c r="U24"/>
      <c r="V24"/>
      <c r="W24"/>
      <c r="X24"/>
      <c r="Y24"/>
    </row>
    <row r="25" spans="2:25" ht="15.75" customHeight="1" x14ac:dyDescent="0.25">
      <c r="B25" s="44" t="s">
        <v>24</v>
      </c>
      <c r="C25" s="45" t="s">
        <v>208</v>
      </c>
      <c r="D25" s="46">
        <f>_xll.DBRW($B$1,Opening!$E$11,Opening!D$8,$N$1,Opening!$H$11,Opening!$K$11,$O$1,Opening!$B25,$C25,$L$1)</f>
        <v>0</v>
      </c>
      <c r="E25" s="46">
        <f>_xll.DBRW($B$1,Opening!$E$11,Opening!E$8,$N$1,Opening!$H$11,Opening!$K$11,$O$1,Opening!$B25,$C25,$L$1)</f>
        <v>0</v>
      </c>
      <c r="F25" s="46">
        <f>_xll.DBRW($B$1,Opening!$E$11,Opening!F$8,$N$1,Opening!$H$11,Opening!$K$11,$O$1,Opening!$B25,$C25,$L$1)</f>
        <v>0</v>
      </c>
      <c r="G25" s="46">
        <f>_xll.DBRW($B$1,Opening!$E$11,Opening!G$8,$N$1,Opening!$H$11,Opening!$K$11,$O$1,Opening!$B25,$C25,$L$1)</f>
        <v>0</v>
      </c>
      <c r="H25" s="46">
        <f>_xll.DBRW($B$1,Opening!$E$11,Opening!H$8,$N$1,Opening!$H$11,Opening!$K$11,$O$1,Opening!$B25,$C25,$L$1)</f>
        <v>0</v>
      </c>
      <c r="I25" s="46">
        <f>_xll.DBRW($B$1,Opening!$E$11,Opening!I$8,$N$1,Opening!$H$11,Opening!$K$11,$O$1,Opening!$B25,$C25,$L$1)</f>
        <v>0</v>
      </c>
      <c r="J25" s="46">
        <f>_xll.DBRW($B$1,Opening!$E$11,Opening!J$8,$N$1,Opening!$H$11,Opening!$K$11,$O$1,Opening!$B25,$C25,$L$1)</f>
        <v>0</v>
      </c>
      <c r="K25" s="46">
        <f>_xll.DBRW($B$1,Opening!$E$11,Opening!K$8,$N$1,Opening!$H$11,Opening!$K$11,$O$1,Opening!$B25,$C25,$L$1)</f>
        <v>0</v>
      </c>
      <c r="L25" s="46">
        <f>_xll.DBRW($B$1,Opening!$E$11,Opening!L$8,$N$1,Opening!$H$11,Opening!$K$11,$O$1,Opening!$B25,$C25,$L$1)</f>
        <v>0</v>
      </c>
      <c r="M25" s="46">
        <f>_xll.DBRW($B$1,Opening!$E$11,Opening!M$8,$N$1,Opening!$H$11,Opening!$K$11,$O$1,Opening!$B25,$C25,$L$1)</f>
        <v>0</v>
      </c>
      <c r="N25" s="46">
        <f>_xll.DBRW($B$1,Opening!$E$11,Opening!N$8,$N$1,Opening!$H$11,Opening!$K$11,$O$1,Opening!$B25,$C25,$L$1)</f>
        <v>0</v>
      </c>
      <c r="O25" s="46">
        <f>_xll.DBRW($B$1,Opening!$E$11,Opening!O$8,$N$1,Opening!$H$11,Opening!$K$11,$O$1,Opening!$B25,$C25,$L$1)</f>
        <v>0</v>
      </c>
      <c r="P25"/>
      <c r="Q25"/>
      <c r="R25"/>
      <c r="S25"/>
      <c r="T25"/>
      <c r="U25"/>
      <c r="V25"/>
      <c r="W25"/>
      <c r="X25"/>
      <c r="Y25"/>
    </row>
    <row r="26" spans="2:25" ht="15.75" customHeight="1" x14ac:dyDescent="0.25">
      <c r="B26" s="44" t="s">
        <v>24</v>
      </c>
      <c r="C26" s="45" t="s">
        <v>202</v>
      </c>
      <c r="D26" s="46">
        <f>_xll.DBRW($B$1,Opening!$E$11,Opening!D$8,$N$1,Opening!$H$11,Opening!$K$11,$O$1,Opening!$B26,$C26,$L$1)</f>
        <v>0</v>
      </c>
      <c r="E26" s="46">
        <f>_xll.DBRW($B$1,Opening!$E$11,Opening!E$8,$N$1,Opening!$H$11,Opening!$K$11,$O$1,Opening!$B26,$C26,$L$1)</f>
        <v>0</v>
      </c>
      <c r="F26" s="46">
        <f>_xll.DBRW($B$1,Opening!$E$11,Opening!F$8,$N$1,Opening!$H$11,Opening!$K$11,$O$1,Opening!$B26,$C26,$L$1)</f>
        <v>0</v>
      </c>
      <c r="G26" s="46">
        <f>_xll.DBRW($B$1,Opening!$E$11,Opening!G$8,$N$1,Opening!$H$11,Opening!$K$11,$O$1,Opening!$B26,$C26,$L$1)</f>
        <v>0</v>
      </c>
      <c r="H26" s="46">
        <f>_xll.DBRW($B$1,Opening!$E$11,Opening!H$8,$N$1,Opening!$H$11,Opening!$K$11,$O$1,Opening!$B26,$C26,$L$1)</f>
        <v>0</v>
      </c>
      <c r="I26" s="46">
        <f>_xll.DBRW($B$1,Opening!$E$11,Opening!I$8,$N$1,Opening!$H$11,Opening!$K$11,$O$1,Opening!$B26,$C26,$L$1)</f>
        <v>0</v>
      </c>
      <c r="J26" s="46">
        <f>_xll.DBRW($B$1,Opening!$E$11,Opening!J$8,$N$1,Opening!$H$11,Opening!$K$11,$O$1,Opening!$B26,$C26,$L$1)</f>
        <v>0</v>
      </c>
      <c r="K26" s="46">
        <f>_xll.DBRW($B$1,Opening!$E$11,Opening!K$8,$N$1,Opening!$H$11,Opening!$K$11,$O$1,Opening!$B26,$C26,$L$1)</f>
        <v>0</v>
      </c>
      <c r="L26" s="46">
        <f>_xll.DBRW($B$1,Opening!$E$11,Opening!L$8,$N$1,Opening!$H$11,Opening!$K$11,$O$1,Opening!$B26,$C26,$L$1)</f>
        <v>0</v>
      </c>
      <c r="M26" s="46">
        <f>_xll.DBRW($B$1,Opening!$E$11,Opening!M$8,$N$1,Opening!$H$11,Opening!$K$11,$O$1,Opening!$B26,$C26,$L$1)</f>
        <v>0</v>
      </c>
      <c r="N26" s="46">
        <f>_xll.DBRW($B$1,Opening!$E$11,Opening!N$8,$N$1,Opening!$H$11,Opening!$K$11,$O$1,Opening!$B26,$C26,$L$1)</f>
        <v>0</v>
      </c>
      <c r="O26" s="46">
        <f>_xll.DBRW($B$1,Opening!$E$11,Opening!O$8,$N$1,Opening!$H$11,Opening!$K$11,$O$1,Opening!$B26,$C26,$L$1)</f>
        <v>0</v>
      </c>
      <c r="P26"/>
      <c r="Q26"/>
      <c r="R26"/>
      <c r="S26"/>
      <c r="T26"/>
      <c r="U26"/>
      <c r="V26"/>
      <c r="W26"/>
      <c r="X26"/>
      <c r="Y26"/>
    </row>
    <row r="27" spans="2:25" ht="15.75" customHeight="1" x14ac:dyDescent="0.25">
      <c r="B27" s="44" t="s">
        <v>24</v>
      </c>
      <c r="C27" s="45" t="s">
        <v>209</v>
      </c>
      <c r="D27" s="46">
        <f>_xll.DBRW($B$1,Opening!$E$11,Opening!D$8,$N$1,Opening!$H$11,Opening!$K$11,$O$1,Opening!$B27,$C27,$L$1)</f>
        <v>0</v>
      </c>
      <c r="E27" s="46">
        <f>_xll.DBRW($B$1,Opening!$E$11,Opening!E$8,$N$1,Opening!$H$11,Opening!$K$11,$O$1,Opening!$B27,$C27,$L$1)</f>
        <v>0</v>
      </c>
      <c r="F27" s="46">
        <f>_xll.DBRW($B$1,Opening!$E$11,Opening!F$8,$N$1,Opening!$H$11,Opening!$K$11,$O$1,Opening!$B27,$C27,$L$1)</f>
        <v>0</v>
      </c>
      <c r="G27" s="46">
        <f>_xll.DBRW($B$1,Opening!$E$11,Opening!G$8,$N$1,Opening!$H$11,Opening!$K$11,$O$1,Opening!$B27,$C27,$L$1)</f>
        <v>0</v>
      </c>
      <c r="H27" s="46">
        <f>_xll.DBRW($B$1,Opening!$E$11,Opening!H$8,$N$1,Opening!$H$11,Opening!$K$11,$O$1,Opening!$B27,$C27,$L$1)</f>
        <v>0</v>
      </c>
      <c r="I27" s="46">
        <f>_xll.DBRW($B$1,Opening!$E$11,Opening!I$8,$N$1,Opening!$H$11,Opening!$K$11,$O$1,Opening!$B27,$C27,$L$1)</f>
        <v>0</v>
      </c>
      <c r="J27" s="46">
        <f>_xll.DBRW($B$1,Opening!$E$11,Opening!J$8,$N$1,Opening!$H$11,Opening!$K$11,$O$1,Opening!$B27,$C27,$L$1)</f>
        <v>0</v>
      </c>
      <c r="K27" s="46">
        <f>_xll.DBRW($B$1,Opening!$E$11,Opening!K$8,$N$1,Opening!$H$11,Opening!$K$11,$O$1,Opening!$B27,$C27,$L$1)</f>
        <v>0</v>
      </c>
      <c r="L27" s="46">
        <f>_xll.DBRW($B$1,Opening!$E$11,Opening!L$8,$N$1,Opening!$H$11,Opening!$K$11,$O$1,Opening!$B27,$C27,$L$1)</f>
        <v>0</v>
      </c>
      <c r="M27" s="46">
        <f>_xll.DBRW($B$1,Opening!$E$11,Opening!M$8,$N$1,Opening!$H$11,Opening!$K$11,$O$1,Opening!$B27,$C27,$L$1)</f>
        <v>0</v>
      </c>
      <c r="N27" s="46">
        <f>_xll.DBRW($B$1,Opening!$E$11,Opening!N$8,$N$1,Opening!$H$11,Opening!$K$11,$O$1,Opening!$B27,$C27,$L$1)</f>
        <v>0</v>
      </c>
      <c r="O27" s="46">
        <f>_xll.DBRW($B$1,Opening!$E$11,Opening!O$8,$N$1,Opening!$H$11,Opening!$K$11,$O$1,Opening!$B27,$C27,$L$1)</f>
        <v>0</v>
      </c>
      <c r="P27"/>
      <c r="Q27"/>
      <c r="R27"/>
      <c r="S27"/>
      <c r="T27"/>
      <c r="U27"/>
      <c r="V27"/>
      <c r="W27"/>
      <c r="X27"/>
      <c r="Y27"/>
    </row>
    <row r="28" spans="2:25" ht="15.75" customHeight="1" x14ac:dyDescent="0.25">
      <c r="B28" s="44" t="s">
        <v>24</v>
      </c>
      <c r="C28" s="45" t="s">
        <v>210</v>
      </c>
      <c r="D28" s="46">
        <f>_xll.DBRW($B$1,Opening!$E$11,Opening!D$8,$N$1,Opening!$H$11,Opening!$K$11,$O$1,Opening!$B28,$C28,$L$1)</f>
        <v>0</v>
      </c>
      <c r="E28" s="46">
        <f>_xll.DBRW($B$1,Opening!$E$11,Opening!E$8,$N$1,Opening!$H$11,Opening!$K$11,$O$1,Opening!$B28,$C28,$L$1)</f>
        <v>0</v>
      </c>
      <c r="F28" s="46">
        <f>_xll.DBRW($B$1,Opening!$E$11,Opening!F$8,$N$1,Opening!$H$11,Opening!$K$11,$O$1,Opening!$B28,$C28,$L$1)</f>
        <v>0</v>
      </c>
      <c r="G28" s="46">
        <f>_xll.DBRW($B$1,Opening!$E$11,Opening!G$8,$N$1,Opening!$H$11,Opening!$K$11,$O$1,Opening!$B28,$C28,$L$1)</f>
        <v>0</v>
      </c>
      <c r="H28" s="46">
        <f>_xll.DBRW($B$1,Opening!$E$11,Opening!H$8,$N$1,Opening!$H$11,Opening!$K$11,$O$1,Opening!$B28,$C28,$L$1)</f>
        <v>0</v>
      </c>
      <c r="I28" s="46">
        <f>_xll.DBRW($B$1,Opening!$E$11,Opening!I$8,$N$1,Opening!$H$11,Opening!$K$11,$O$1,Opening!$B28,$C28,$L$1)</f>
        <v>0</v>
      </c>
      <c r="J28" s="46">
        <f>_xll.DBRW($B$1,Opening!$E$11,Opening!J$8,$N$1,Opening!$H$11,Opening!$K$11,$O$1,Opening!$B28,$C28,$L$1)</f>
        <v>0</v>
      </c>
      <c r="K28" s="46">
        <f>_xll.DBRW($B$1,Opening!$E$11,Opening!K$8,$N$1,Opening!$H$11,Opening!$K$11,$O$1,Opening!$B28,$C28,$L$1)</f>
        <v>0</v>
      </c>
      <c r="L28" s="46">
        <f>_xll.DBRW($B$1,Opening!$E$11,Opening!L$8,$N$1,Opening!$H$11,Opening!$K$11,$O$1,Opening!$B28,$C28,$L$1)</f>
        <v>0</v>
      </c>
      <c r="M28" s="46">
        <f>_xll.DBRW($B$1,Opening!$E$11,Opening!M$8,$N$1,Opening!$H$11,Opening!$K$11,$O$1,Opening!$B28,$C28,$L$1)</f>
        <v>0</v>
      </c>
      <c r="N28" s="46">
        <f>_xll.DBRW($B$1,Opening!$E$11,Opening!N$8,$N$1,Opening!$H$11,Opening!$K$11,$O$1,Opening!$B28,$C28,$L$1)</f>
        <v>0</v>
      </c>
      <c r="O28" s="46">
        <f>_xll.DBRW($B$1,Opening!$E$11,Opening!O$8,$N$1,Opening!$H$11,Opening!$K$11,$O$1,Opening!$B28,$C28,$L$1)</f>
        <v>0</v>
      </c>
      <c r="P28"/>
      <c r="Q28"/>
      <c r="R28"/>
      <c r="S28"/>
      <c r="T28"/>
      <c r="U28"/>
      <c r="V28"/>
      <c r="W28"/>
      <c r="X28"/>
      <c r="Y28"/>
    </row>
    <row r="29" spans="2:25" ht="15.75" customHeight="1" x14ac:dyDescent="0.25">
      <c r="B29" s="44" t="s">
        <v>24</v>
      </c>
      <c r="C29" s="45" t="s">
        <v>203</v>
      </c>
      <c r="D29" s="46">
        <f>_xll.DBRW($B$1,Opening!$E$11,Opening!D$8,$N$1,Opening!$H$11,Opening!$K$11,$O$1,Opening!$B29,$C29,$L$1)</f>
        <v>0</v>
      </c>
      <c r="E29" s="46">
        <f>_xll.DBRW($B$1,Opening!$E$11,Opening!E$8,$N$1,Opening!$H$11,Opening!$K$11,$O$1,Opening!$B29,$C29,$L$1)</f>
        <v>0</v>
      </c>
      <c r="F29" s="46">
        <f>_xll.DBRW($B$1,Opening!$E$11,Opening!F$8,$N$1,Opening!$H$11,Opening!$K$11,$O$1,Opening!$B29,$C29,$L$1)</f>
        <v>0</v>
      </c>
      <c r="G29" s="46">
        <f>_xll.DBRW($B$1,Opening!$E$11,Opening!G$8,$N$1,Opening!$H$11,Opening!$K$11,$O$1,Opening!$B29,$C29,$L$1)</f>
        <v>0</v>
      </c>
      <c r="H29" s="46">
        <f>_xll.DBRW($B$1,Opening!$E$11,Opening!H$8,$N$1,Opening!$H$11,Opening!$K$11,$O$1,Opening!$B29,$C29,$L$1)</f>
        <v>0</v>
      </c>
      <c r="I29" s="46">
        <f>_xll.DBRW($B$1,Opening!$E$11,Opening!I$8,$N$1,Opening!$H$11,Opening!$K$11,$O$1,Opening!$B29,$C29,$L$1)</f>
        <v>0</v>
      </c>
      <c r="J29" s="46">
        <f>_xll.DBRW($B$1,Opening!$E$11,Opening!J$8,$N$1,Opening!$H$11,Opening!$K$11,$O$1,Opening!$B29,$C29,$L$1)</f>
        <v>0</v>
      </c>
      <c r="K29" s="46">
        <f>_xll.DBRW($B$1,Opening!$E$11,Opening!K$8,$N$1,Opening!$H$11,Opening!$K$11,$O$1,Opening!$B29,$C29,$L$1)</f>
        <v>0</v>
      </c>
      <c r="L29" s="46">
        <f>_xll.DBRW($B$1,Opening!$E$11,Opening!L$8,$N$1,Opening!$H$11,Opening!$K$11,$O$1,Opening!$B29,$C29,$L$1)</f>
        <v>0</v>
      </c>
      <c r="M29" s="46">
        <f>_xll.DBRW($B$1,Opening!$E$11,Opening!M$8,$N$1,Opening!$H$11,Opening!$K$11,$O$1,Opening!$B29,$C29,$L$1)</f>
        <v>0</v>
      </c>
      <c r="N29" s="46">
        <f>_xll.DBRW($B$1,Opening!$E$11,Opening!N$8,$N$1,Opening!$H$11,Opening!$K$11,$O$1,Opening!$B29,$C29,$L$1)</f>
        <v>0</v>
      </c>
      <c r="O29" s="46">
        <f>_xll.DBRW($B$1,Opening!$E$11,Opening!O$8,$N$1,Opening!$H$11,Opening!$K$11,$O$1,Opening!$B29,$C29,$L$1)</f>
        <v>0</v>
      </c>
      <c r="P29"/>
      <c r="Q29"/>
      <c r="R29"/>
      <c r="S29"/>
      <c r="T29"/>
      <c r="U29"/>
      <c r="V29"/>
      <c r="W29"/>
      <c r="X29"/>
      <c r="Y29"/>
    </row>
    <row r="30" spans="2:25" ht="15.75" customHeight="1" x14ac:dyDescent="0.25">
      <c r="B30" s="44" t="s">
        <v>24</v>
      </c>
      <c r="C30" s="45" t="s">
        <v>66</v>
      </c>
      <c r="D30" s="46">
        <f>_xll.DBRW($B$1,Opening!$E$11,Opening!D$8,$N$1,Opening!$H$11,Opening!$K$11,$O$1,Opening!$B30,$C30,$L$1)</f>
        <v>-1.2662444984762501E-2</v>
      </c>
      <c r="E30" s="46">
        <f>_xll.DBRW($B$1,Opening!$E$11,Opening!E$8,$N$1,Opening!$H$11,Opening!$K$11,$O$1,Opening!$B30,$C30,$L$1)</f>
        <v>1.54693543390593</v>
      </c>
      <c r="F30" s="46">
        <f>_xll.DBRW($B$1,Opening!$E$11,Opening!F$8,$N$1,Opening!$H$11,Opening!$K$11,$O$1,Opening!$B30,$C30,$L$1)</f>
        <v>-4.2525422531516002E-3</v>
      </c>
      <c r="G30" s="46">
        <f>_xll.DBRW($B$1,Opening!$E$11,Opening!G$8,$N$1,Opening!$H$11,Opening!$K$11,$O$1,Opening!$B30,$C30,$L$1)</f>
        <v>-0.26754938614770202</v>
      </c>
      <c r="H30" s="46">
        <f>_xll.DBRW($B$1,Opening!$E$11,Opening!H$8,$N$1,Opening!$H$11,Opening!$K$11,$O$1,Opening!$B30,$C30,$L$1)</f>
        <v>-0.38664296640207502</v>
      </c>
      <c r="I30" s="46">
        <f>_xll.DBRW($B$1,Opening!$E$11,Opening!I$8,$N$1,Opening!$H$11,Opening!$K$11,$O$1,Opening!$B30,$C30,$L$1)</f>
        <v>-0.78180852292995695</v>
      </c>
      <c r="J30" s="46">
        <f>_xll.DBRW($B$1,Opening!$E$11,Opening!J$8,$N$1,Opening!$H$11,Opening!$K$11,$O$1,Opening!$B30,$C30,$L$1)</f>
        <v>-0.231417091843304</v>
      </c>
      <c r="K30" s="46">
        <f>_xll.DBRW($B$1,Opening!$E$11,Opening!K$8,$N$1,Opening!$H$11,Opening!$K$11,$O$1,Opening!$B30,$C30,$L$1)</f>
        <v>-0.39261890244862502</v>
      </c>
      <c r="L30" s="46">
        <f>_xll.DBRW($B$1,Opening!$E$11,Opening!L$8,$N$1,Opening!$H$11,Opening!$K$11,$O$1,Opening!$B30,$C30,$L$1)</f>
        <v>-0.15120375580776099</v>
      </c>
      <c r="M30" s="46">
        <f>_xll.DBRW($B$1,Opening!$E$11,Opening!M$8,$N$1,Opening!$H$11,Opening!$K$11,$O$1,Opening!$B30,$C30,$L$1)</f>
        <v>2.2845720961780902</v>
      </c>
      <c r="N30" s="46">
        <f>_xll.DBRW($B$1,Opening!$E$11,Opening!N$8,$N$1,Opening!$H$11,Opening!$K$11,$O$1,Opening!$B30,$C30,$L$1)</f>
        <v>3.28792529190769</v>
      </c>
      <c r="O30" s="46">
        <f>_xll.DBRW($B$1,Opening!$E$11,Opening!O$8,$N$1,Opening!$H$11,Opening!$K$11,$O$1,Opening!$B30,$C30,$L$1)</f>
        <v>1.03996773785176</v>
      </c>
      <c r="P30"/>
      <c r="Q30"/>
      <c r="R30"/>
      <c r="S30"/>
      <c r="T30"/>
      <c r="U30"/>
      <c r="V30"/>
      <c r="W30"/>
      <c r="X30"/>
      <c r="Y30"/>
    </row>
    <row r="31" spans="2:25" ht="15.75" customHeight="1" x14ac:dyDescent="0.25">
      <c r="P31"/>
      <c r="Q31"/>
      <c r="R31"/>
      <c r="S31"/>
      <c r="T31"/>
      <c r="U31"/>
      <c r="V31"/>
      <c r="W31"/>
      <c r="X31"/>
      <c r="Y31"/>
    </row>
    <row r="32" spans="2:25" ht="15.75" customHeight="1" thickBot="1" x14ac:dyDescent="0.3">
      <c r="B32" s="10"/>
      <c r="P32"/>
      <c r="Q32"/>
      <c r="R32"/>
      <c r="S32"/>
      <c r="T32"/>
      <c r="U32"/>
      <c r="V32"/>
      <c r="W32"/>
      <c r="X32"/>
      <c r="Y32"/>
    </row>
    <row r="33" spans="2:25" ht="15.75" customHeight="1" thickTop="1" x14ac:dyDescent="0.25">
      <c r="B33" s="9" t="s">
        <v>211</v>
      </c>
      <c r="P33"/>
      <c r="Q33"/>
      <c r="R33"/>
      <c r="S33"/>
      <c r="T33"/>
      <c r="U33"/>
      <c r="V33"/>
      <c r="W33"/>
      <c r="X33"/>
      <c r="Y33"/>
    </row>
    <row r="34" spans="2:25" ht="15.75" customHeight="1" x14ac:dyDescent="0.25">
      <c r="P34"/>
      <c r="Q34"/>
      <c r="R34"/>
      <c r="S34"/>
      <c r="T34"/>
      <c r="U34"/>
      <c r="V34"/>
      <c r="W34"/>
      <c r="X34"/>
      <c r="Y34"/>
    </row>
    <row r="35" spans="2:25" ht="15.75" customHeight="1" x14ac:dyDescent="0.25">
      <c r="B35" s="5"/>
      <c r="C35" s="5"/>
      <c r="D35" s="18" t="str">
        <f t="shared" ref="D35:O35" si="1">$E$11&amp;"."&amp;D$8</f>
        <v>2026.01</v>
      </c>
      <c r="E35" s="18" t="str">
        <f t="shared" si="1"/>
        <v>2026.02</v>
      </c>
      <c r="F35" s="18" t="str">
        <f t="shared" si="1"/>
        <v>2026.03</v>
      </c>
      <c r="G35" s="18" t="str">
        <f t="shared" si="1"/>
        <v>2026.04</v>
      </c>
      <c r="H35" s="18" t="str">
        <f t="shared" si="1"/>
        <v>2026.05</v>
      </c>
      <c r="I35" s="18" t="str">
        <f t="shared" si="1"/>
        <v>2026.06</v>
      </c>
      <c r="J35" s="18" t="str">
        <f t="shared" si="1"/>
        <v>2026.07</v>
      </c>
      <c r="K35" s="18" t="str">
        <f t="shared" si="1"/>
        <v>2026.08</v>
      </c>
      <c r="L35" s="18" t="str">
        <f t="shared" si="1"/>
        <v>2026.09</v>
      </c>
      <c r="M35" s="18" t="str">
        <f t="shared" si="1"/>
        <v>2026.10</v>
      </c>
      <c r="N35" s="18" t="str">
        <f t="shared" si="1"/>
        <v>2026.11</v>
      </c>
      <c r="O35" s="18" t="str">
        <f t="shared" si="1"/>
        <v>2026.12</v>
      </c>
      <c r="P35"/>
      <c r="Q35"/>
      <c r="R35"/>
      <c r="S35"/>
      <c r="T35"/>
      <c r="U35"/>
      <c r="V35"/>
      <c r="W35"/>
      <c r="X35"/>
      <c r="Y35"/>
    </row>
    <row r="36" spans="2:25" ht="15.75" customHeight="1" x14ac:dyDescent="0.25">
      <c r="B36" s="24" t="s">
        <v>63</v>
      </c>
      <c r="C36" s="24" t="s">
        <v>278</v>
      </c>
      <c r="D36" s="21">
        <f>_xll.DBRW($B$1,Opening!$E$11,Opening!D$8,$N$1,Opening!$H$11,Opening!$K$11,$O$1,Opening!$B36,$C36,$L$1)</f>
        <v>0</v>
      </c>
      <c r="E36" s="21">
        <f>_xll.DBRW($B$1,Opening!$E$11,Opening!E$8,$N$1,Opening!$H$11,Opening!$K$11,$O$1,Opening!$B36,$C36,$L$1)</f>
        <v>0</v>
      </c>
      <c r="F36" s="21">
        <f>_xll.DBRW($B$1,Opening!$E$11,Opening!F$8,$N$1,Opening!$H$11,Opening!$K$11,$O$1,Opening!$B36,$C36,$L$1)</f>
        <v>0</v>
      </c>
      <c r="G36" s="21">
        <f>_xll.DBRW($B$1,Opening!$E$11,Opening!G$8,$N$1,Opening!$H$11,Opening!$K$11,$O$1,Opening!$B36,$C36,$L$1)</f>
        <v>0</v>
      </c>
      <c r="H36" s="21">
        <f>_xll.DBRW($B$1,Opening!$E$11,Opening!H$8,$N$1,Opening!$H$11,Opening!$K$11,$O$1,Opening!$B36,$C36,$L$1)</f>
        <v>0</v>
      </c>
      <c r="I36" s="21">
        <f>_xll.DBRW($B$1,Opening!$E$11,Opening!I$8,$N$1,Opening!$H$11,Opening!$K$11,$O$1,Opening!$B36,$C36,$L$1)</f>
        <v>0</v>
      </c>
      <c r="J36" s="21">
        <f>_xll.DBRW($B$1,Opening!$E$11,Opening!J$8,$N$1,Opening!$H$11,Opening!$K$11,$O$1,Opening!$B36,$C36,$L$1)</f>
        <v>0</v>
      </c>
      <c r="K36" s="21">
        <f>_xll.DBRW($B$1,Opening!$E$11,Opening!K$8,$N$1,Opening!$H$11,Opening!$K$11,$O$1,Opening!$B36,$C36,$L$1)</f>
        <v>0</v>
      </c>
      <c r="L36" s="21">
        <f>_xll.DBRW($B$1,Opening!$E$11,Opening!L$8,$N$1,Opening!$H$11,Opening!$K$11,$O$1,Opening!$B36,$C36,$L$1)</f>
        <v>0</v>
      </c>
      <c r="M36" s="21">
        <f>_xll.DBRW($B$1,Opening!$E$11,Opening!M$8,$N$1,Opening!$H$11,Opening!$K$11,$O$1,Opening!$B36,$C36,$L$1)</f>
        <v>0</v>
      </c>
      <c r="N36" s="21">
        <f>_xll.DBRW($B$1,Opening!$E$11,Opening!N$8,$N$1,Opening!$H$11,Opening!$K$11,$O$1,Opening!$B36,$C36,$L$1)</f>
        <v>0</v>
      </c>
      <c r="O36" s="21">
        <f>_xll.DBRW($B$1,Opening!$E$11,Opening!O$8,$N$1,Opening!$H$11,Opening!$K$11,$O$1,Opening!$B36,$C36,$L$1)</f>
        <v>0</v>
      </c>
      <c r="P36"/>
      <c r="Q36"/>
      <c r="R36"/>
      <c r="S36"/>
      <c r="T36"/>
      <c r="U36"/>
      <c r="V36"/>
      <c r="W36"/>
      <c r="X36"/>
      <c r="Y36"/>
    </row>
    <row r="37" spans="2:25" ht="15.75" customHeight="1" x14ac:dyDescent="0.25">
      <c r="B37" s="17" t="s">
        <v>63</v>
      </c>
      <c r="C37" s="17" t="s">
        <v>213</v>
      </c>
      <c r="D37" s="16">
        <f>_xll.DBRW($B$1,Opening!$E$11,Opening!D$8,$N$1,Opening!$H$11,Opening!$K$11,$O$1,Opening!$B37,$C37,$L$1)</f>
        <v>0</v>
      </c>
      <c r="E37" s="16">
        <f>_xll.DBRW($B$1,Opening!$E$11,Opening!E$8,$N$1,Opening!$H$11,Opening!$K$11,$O$1,Opening!$B37,$C37,$L$1)</f>
        <v>0</v>
      </c>
      <c r="F37" s="16">
        <f>_xll.DBRW($B$1,Opening!$E$11,Opening!F$8,$N$1,Opening!$H$11,Opening!$K$11,$O$1,Opening!$B37,$C37,$L$1)</f>
        <v>0</v>
      </c>
      <c r="G37" s="16">
        <f>_xll.DBRW($B$1,Opening!$E$11,Opening!G$8,$N$1,Opening!$H$11,Opening!$K$11,$O$1,Opening!$B37,$C37,$L$1)</f>
        <v>0</v>
      </c>
      <c r="H37" s="16">
        <f>_xll.DBRW($B$1,Opening!$E$11,Opening!H$8,$N$1,Opening!$H$11,Opening!$K$11,$O$1,Opening!$B37,$C37,$L$1)</f>
        <v>0</v>
      </c>
      <c r="I37" s="16">
        <f>_xll.DBRW($B$1,Opening!$E$11,Opening!I$8,$N$1,Opening!$H$11,Opening!$K$11,$O$1,Opening!$B37,$C37,$L$1)</f>
        <v>0</v>
      </c>
      <c r="J37" s="16">
        <f>_xll.DBRW($B$1,Opening!$E$11,Opening!J$8,$N$1,Opening!$H$11,Opening!$K$11,$O$1,Opening!$B37,$C37,$L$1)</f>
        <v>0</v>
      </c>
      <c r="K37" s="16">
        <f>_xll.DBRW($B$1,Opening!$E$11,Opening!K$8,$N$1,Opening!$H$11,Opening!$K$11,$O$1,Opening!$B37,$C37,$L$1)</f>
        <v>0</v>
      </c>
      <c r="L37" s="16">
        <f>_xll.DBRW($B$1,Opening!$E$11,Opening!L$8,$N$1,Opening!$H$11,Opening!$K$11,$O$1,Opening!$B37,$C37,$L$1)</f>
        <v>0</v>
      </c>
      <c r="M37" s="16">
        <f>_xll.DBRW($B$1,Opening!$E$11,Opening!M$8,$N$1,Opening!$H$11,Opening!$K$11,$O$1,Opening!$B37,$C37,$L$1)</f>
        <v>0</v>
      </c>
      <c r="N37" s="16">
        <f>_xll.DBRW($B$1,Opening!$E$11,Opening!N$8,$N$1,Opening!$H$11,Opening!$K$11,$O$1,Opening!$B37,$C37,$L$1)</f>
        <v>0</v>
      </c>
      <c r="O37" s="16">
        <f>_xll.DBRW($B$1,Opening!$E$11,Opening!O$8,$N$1,Opening!$H$11,Opening!$K$11,$O$1,Opening!$B37,$C37,$L$1)</f>
        <v>0</v>
      </c>
      <c r="P37"/>
      <c r="Q37"/>
      <c r="R37"/>
      <c r="S37"/>
      <c r="T37"/>
      <c r="U37"/>
      <c r="V37"/>
      <c r="W37"/>
      <c r="X37"/>
      <c r="Y37"/>
    </row>
    <row r="38" spans="2:25" ht="22.5" x14ac:dyDescent="0.25">
      <c r="B38" s="17" t="s">
        <v>63</v>
      </c>
      <c r="C38" s="17" t="s">
        <v>214</v>
      </c>
      <c r="D38" s="16">
        <f>_xll.DBRW($B$1,Opening!$E$11,Opening!D$8,$N$1,Opening!$H$11,Opening!$K$11,$O$1,Opening!$B38,$C38,$L$1)</f>
        <v>0</v>
      </c>
      <c r="E38" s="16">
        <f>_xll.DBRW($B$1,Opening!$E$11,Opening!E$8,$N$1,Opening!$H$11,Opening!$K$11,$O$1,Opening!$B38,$C38,$L$1)</f>
        <v>0</v>
      </c>
      <c r="F38" s="16">
        <f>_xll.DBRW($B$1,Opening!$E$11,Opening!F$8,$N$1,Opening!$H$11,Opening!$K$11,$O$1,Opening!$B38,$C38,$L$1)</f>
        <v>0</v>
      </c>
      <c r="G38" s="16">
        <f>_xll.DBRW($B$1,Opening!$E$11,Opening!G$8,$N$1,Opening!$H$11,Opening!$K$11,$O$1,Opening!$B38,$C38,$L$1)</f>
        <v>0</v>
      </c>
      <c r="H38" s="16">
        <f>_xll.DBRW($B$1,Opening!$E$11,Opening!H$8,$N$1,Opening!$H$11,Opening!$K$11,$O$1,Opening!$B38,$C38,$L$1)</f>
        <v>0</v>
      </c>
      <c r="I38" s="16">
        <f>_xll.DBRW($B$1,Opening!$E$11,Opening!I$8,$N$1,Opening!$H$11,Opening!$K$11,$O$1,Opening!$B38,$C38,$L$1)</f>
        <v>0</v>
      </c>
      <c r="J38" s="16">
        <f>_xll.DBRW($B$1,Opening!$E$11,Opening!J$8,$N$1,Opening!$H$11,Opening!$K$11,$O$1,Opening!$B38,$C38,$L$1)</f>
        <v>0</v>
      </c>
      <c r="K38" s="16">
        <f>_xll.DBRW($B$1,Opening!$E$11,Opening!K$8,$N$1,Opening!$H$11,Opening!$K$11,$O$1,Opening!$B38,$C38,$L$1)</f>
        <v>0</v>
      </c>
      <c r="L38" s="16">
        <f>_xll.DBRW($B$1,Opening!$E$11,Opening!L$8,$N$1,Opening!$H$11,Opening!$K$11,$O$1,Opening!$B38,$C38,$L$1)</f>
        <v>0</v>
      </c>
      <c r="M38" s="16">
        <f>_xll.DBRW($B$1,Opening!$E$11,Opening!M$8,$N$1,Opening!$H$11,Opening!$K$11,$O$1,Opening!$B38,$C38,$L$1)</f>
        <v>0</v>
      </c>
      <c r="N38" s="16">
        <f>_xll.DBRW($B$1,Opening!$E$11,Opening!N$8,$N$1,Opening!$H$11,Opening!$K$11,$O$1,Opening!$B38,$C38,$L$1)</f>
        <v>0</v>
      </c>
      <c r="O38" s="16">
        <f>_xll.DBRW($B$1,Opening!$E$11,Opening!O$8,$N$1,Opening!$H$11,Opening!$K$11,$O$1,Opening!$B38,$C38,$L$1)</f>
        <v>0</v>
      </c>
      <c r="P38"/>
      <c r="Q38"/>
      <c r="R38"/>
      <c r="S38"/>
      <c r="T38"/>
      <c r="U38"/>
      <c r="V38"/>
      <c r="W38"/>
      <c r="X38"/>
      <c r="Y38"/>
    </row>
    <row r="39" spans="2:25" ht="15.75" customHeight="1" x14ac:dyDescent="0.25">
      <c r="B39" s="17" t="s">
        <v>63</v>
      </c>
      <c r="C39" s="17" t="s">
        <v>215</v>
      </c>
      <c r="D39" s="16">
        <f>_xll.DBRW($B$1,Opening!$E$11,Opening!D$8,$N$1,Opening!$H$11,Opening!$K$11,$O$1,Opening!$B39,$C39,$L$1)</f>
        <v>0</v>
      </c>
      <c r="E39" s="16">
        <f>_xll.DBRW($B$1,Opening!$E$11,Opening!E$8,$N$1,Opening!$H$11,Opening!$K$11,$O$1,Opening!$B39,$C39,$L$1)</f>
        <v>0</v>
      </c>
      <c r="F39" s="16">
        <f>_xll.DBRW($B$1,Opening!$E$11,Opening!F$8,$N$1,Opening!$H$11,Opening!$K$11,$O$1,Opening!$B39,$C39,$L$1)</f>
        <v>0</v>
      </c>
      <c r="G39" s="16">
        <f>_xll.DBRW($B$1,Opening!$E$11,Opening!G$8,$N$1,Opening!$H$11,Opening!$K$11,$O$1,Opening!$B39,$C39,$L$1)</f>
        <v>0</v>
      </c>
      <c r="H39" s="16">
        <f>_xll.DBRW($B$1,Opening!$E$11,Opening!H$8,$N$1,Opening!$H$11,Opening!$K$11,$O$1,Opening!$B39,$C39,$L$1)</f>
        <v>0</v>
      </c>
      <c r="I39" s="16">
        <f>_xll.DBRW($B$1,Opening!$E$11,Opening!I$8,$N$1,Opening!$H$11,Opening!$K$11,$O$1,Opening!$B39,$C39,$L$1)</f>
        <v>0</v>
      </c>
      <c r="J39" s="16">
        <f>_xll.DBRW($B$1,Opening!$E$11,Opening!J$8,$N$1,Opening!$H$11,Opening!$K$11,$O$1,Opening!$B39,$C39,$L$1)</f>
        <v>0</v>
      </c>
      <c r="K39" s="16">
        <f>_xll.DBRW($B$1,Opening!$E$11,Opening!K$8,$N$1,Opening!$H$11,Opening!$K$11,$O$1,Opening!$B39,$C39,$L$1)</f>
        <v>0</v>
      </c>
      <c r="L39" s="16">
        <f>_xll.DBRW($B$1,Opening!$E$11,Opening!L$8,$N$1,Opening!$H$11,Opening!$K$11,$O$1,Opening!$B39,$C39,$L$1)</f>
        <v>0</v>
      </c>
      <c r="M39" s="16">
        <f>_xll.DBRW($B$1,Opening!$E$11,Opening!M$8,$N$1,Opening!$H$11,Opening!$K$11,$O$1,Opening!$B39,$C39,$L$1)</f>
        <v>0</v>
      </c>
      <c r="N39" s="16">
        <f>_xll.DBRW($B$1,Opening!$E$11,Opening!N$8,$N$1,Opening!$H$11,Opening!$K$11,$O$1,Opening!$B39,$C39,$L$1)</f>
        <v>0</v>
      </c>
      <c r="O39" s="16">
        <f>_xll.DBRW($B$1,Opening!$E$11,Opening!O$8,$N$1,Opening!$H$11,Opening!$K$11,$O$1,Opening!$B39,$C39,$L$1)</f>
        <v>0</v>
      </c>
      <c r="P39"/>
      <c r="Q39"/>
      <c r="R39"/>
      <c r="S39"/>
      <c r="T39"/>
      <c r="U39"/>
      <c r="V39"/>
      <c r="W39"/>
      <c r="X39"/>
      <c r="Y39"/>
    </row>
    <row r="40" spans="2:25" ht="15.75" customHeight="1" x14ac:dyDescent="0.25">
      <c r="B40" s="17" t="s">
        <v>63</v>
      </c>
      <c r="C40" s="17" t="s">
        <v>216</v>
      </c>
      <c r="D40" s="16">
        <f>_xll.DBRW($B$1,Opening!$E$11,Opening!D$8,$N$1,Opening!$H$11,Opening!$K$11,$O$1,Opening!$B40,$C40,$L$1)</f>
        <v>0</v>
      </c>
      <c r="E40" s="16">
        <f>_xll.DBRW($B$1,Opening!$E$11,Opening!E$8,$N$1,Opening!$H$11,Opening!$K$11,$O$1,Opening!$B40,$C40,$L$1)</f>
        <v>0</v>
      </c>
      <c r="F40" s="16">
        <f>_xll.DBRW($B$1,Opening!$E$11,Opening!F$8,$N$1,Opening!$H$11,Opening!$K$11,$O$1,Opening!$B40,$C40,$L$1)</f>
        <v>0</v>
      </c>
      <c r="G40" s="16">
        <f>_xll.DBRW($B$1,Opening!$E$11,Opening!G$8,$N$1,Opening!$H$11,Opening!$K$11,$O$1,Opening!$B40,$C40,$L$1)</f>
        <v>0</v>
      </c>
      <c r="H40" s="16">
        <f>_xll.DBRW($B$1,Opening!$E$11,Opening!H$8,$N$1,Opening!$H$11,Opening!$K$11,$O$1,Opening!$B40,$C40,$L$1)</f>
        <v>0</v>
      </c>
      <c r="I40" s="16">
        <f>_xll.DBRW($B$1,Opening!$E$11,Opening!I$8,$N$1,Opening!$H$11,Opening!$K$11,$O$1,Opening!$B40,$C40,$L$1)</f>
        <v>0</v>
      </c>
      <c r="J40" s="16">
        <f>_xll.DBRW($B$1,Opening!$E$11,Opening!J$8,$N$1,Opening!$H$11,Opening!$K$11,$O$1,Opening!$B40,$C40,$L$1)</f>
        <v>0</v>
      </c>
      <c r="K40" s="16">
        <f>_xll.DBRW($B$1,Opening!$E$11,Opening!K$8,$N$1,Opening!$H$11,Opening!$K$11,$O$1,Opening!$B40,$C40,$L$1)</f>
        <v>0</v>
      </c>
      <c r="L40" s="16">
        <f>_xll.DBRW($B$1,Opening!$E$11,Opening!L$8,$N$1,Opening!$H$11,Opening!$K$11,$O$1,Opening!$B40,$C40,$L$1)</f>
        <v>0</v>
      </c>
      <c r="M40" s="16">
        <f>_xll.DBRW($B$1,Opening!$E$11,Opening!M$8,$N$1,Opening!$H$11,Opening!$K$11,$O$1,Opening!$B40,$C40,$L$1)</f>
        <v>0</v>
      </c>
      <c r="N40" s="16">
        <f>_xll.DBRW($B$1,Opening!$E$11,Opening!N$8,$N$1,Opening!$H$11,Opening!$K$11,$O$1,Opening!$B40,$C40,$L$1)</f>
        <v>0</v>
      </c>
      <c r="O40" s="16">
        <f>_xll.DBRW($B$1,Opening!$E$11,Opening!O$8,$N$1,Opening!$H$11,Opening!$K$11,$O$1,Opening!$B40,$C40,$L$1)</f>
        <v>0</v>
      </c>
      <c r="P40"/>
      <c r="Q40"/>
      <c r="R40"/>
      <c r="S40"/>
      <c r="T40"/>
      <c r="U40"/>
      <c r="V40"/>
      <c r="W40"/>
      <c r="X40"/>
      <c r="Y40"/>
    </row>
    <row r="41" spans="2:25" ht="15.75" customHeight="1" x14ac:dyDescent="0.25">
      <c r="B41" s="17" t="s">
        <v>63</v>
      </c>
      <c r="C41" s="17" t="s">
        <v>217</v>
      </c>
      <c r="D41" s="16">
        <f>_xll.DBRW($B$1,Opening!$E$11,Opening!D$8,$N$1,Opening!$H$11,Opening!$K$11,$O$1,Opening!$B41,$C41,$L$1)</f>
        <v>0</v>
      </c>
      <c r="E41" s="16">
        <f>_xll.DBRW($B$1,Opening!$E$11,Opening!E$8,$N$1,Opening!$H$11,Opening!$K$11,$O$1,Opening!$B41,$C41,$L$1)</f>
        <v>0</v>
      </c>
      <c r="F41" s="16">
        <f>_xll.DBRW($B$1,Opening!$E$11,Opening!F$8,$N$1,Opening!$H$11,Opening!$K$11,$O$1,Opening!$B41,$C41,$L$1)</f>
        <v>0</v>
      </c>
      <c r="G41" s="16">
        <f>_xll.DBRW($B$1,Opening!$E$11,Opening!G$8,$N$1,Opening!$H$11,Opening!$K$11,$O$1,Opening!$B41,$C41,$L$1)</f>
        <v>0</v>
      </c>
      <c r="H41" s="16">
        <f>_xll.DBRW($B$1,Opening!$E$11,Opening!H$8,$N$1,Opening!$H$11,Opening!$K$11,$O$1,Opening!$B41,$C41,$L$1)</f>
        <v>0</v>
      </c>
      <c r="I41" s="16">
        <f>_xll.DBRW($B$1,Opening!$E$11,Opening!I$8,$N$1,Opening!$H$11,Opening!$K$11,$O$1,Opening!$B41,$C41,$L$1)</f>
        <v>0</v>
      </c>
      <c r="J41" s="16">
        <f>_xll.DBRW($B$1,Opening!$E$11,Opening!J$8,$N$1,Opening!$H$11,Opening!$K$11,$O$1,Opening!$B41,$C41,$L$1)</f>
        <v>0</v>
      </c>
      <c r="K41" s="16">
        <f>_xll.DBRW($B$1,Opening!$E$11,Opening!K$8,$N$1,Opening!$H$11,Opening!$K$11,$O$1,Opening!$B41,$C41,$L$1)</f>
        <v>0</v>
      </c>
      <c r="L41" s="16">
        <f>_xll.DBRW($B$1,Opening!$E$11,Opening!L$8,$N$1,Opening!$H$11,Opening!$K$11,$O$1,Opening!$B41,$C41,$L$1)</f>
        <v>0</v>
      </c>
      <c r="M41" s="16">
        <f>_xll.DBRW($B$1,Opening!$E$11,Opening!M$8,$N$1,Opening!$H$11,Opening!$K$11,$O$1,Opening!$B41,$C41,$L$1)</f>
        <v>0</v>
      </c>
      <c r="N41" s="16">
        <f>_xll.DBRW($B$1,Opening!$E$11,Opening!N$8,$N$1,Opening!$H$11,Opening!$K$11,$O$1,Opening!$B41,$C41,$L$1)</f>
        <v>0</v>
      </c>
      <c r="O41" s="16">
        <f>_xll.DBRW($B$1,Opening!$E$11,Opening!O$8,$N$1,Opening!$H$11,Opening!$K$11,$O$1,Opening!$B41,$C41,$L$1)</f>
        <v>0</v>
      </c>
      <c r="P41"/>
      <c r="Q41"/>
      <c r="R41"/>
      <c r="S41"/>
      <c r="T41"/>
      <c r="U41"/>
      <c r="V41"/>
      <c r="W41"/>
      <c r="X41"/>
      <c r="Y41"/>
    </row>
    <row r="42" spans="2:25" ht="15.75" customHeight="1" x14ac:dyDescent="0.25">
      <c r="B42" s="17" t="s">
        <v>63</v>
      </c>
      <c r="C42" s="17" t="s">
        <v>218</v>
      </c>
      <c r="D42" s="16">
        <f>_xll.DBRW($B$1,Opening!$E$11,Opening!D$8,$N$1,Opening!$H$11,Opening!$K$11,$O$1,Opening!$B42,$C42,$L$1)</f>
        <v>0</v>
      </c>
      <c r="E42" s="16">
        <f>_xll.DBRW($B$1,Opening!$E$11,Opening!E$8,$N$1,Opening!$H$11,Opening!$K$11,$O$1,Opening!$B42,$C42,$L$1)</f>
        <v>0</v>
      </c>
      <c r="F42" s="16">
        <f>_xll.DBRW($B$1,Opening!$E$11,Opening!F$8,$N$1,Opening!$H$11,Opening!$K$11,$O$1,Opening!$B42,$C42,$L$1)</f>
        <v>0</v>
      </c>
      <c r="G42" s="16">
        <f>_xll.DBRW($B$1,Opening!$E$11,Opening!G$8,$N$1,Opening!$H$11,Opening!$K$11,$O$1,Opening!$B42,$C42,$L$1)</f>
        <v>0</v>
      </c>
      <c r="H42" s="16">
        <f>_xll.DBRW($B$1,Opening!$E$11,Opening!H$8,$N$1,Opening!$H$11,Opening!$K$11,$O$1,Opening!$B42,$C42,$L$1)</f>
        <v>0</v>
      </c>
      <c r="I42" s="16">
        <f>_xll.DBRW($B$1,Opening!$E$11,Opening!I$8,$N$1,Opening!$H$11,Opening!$K$11,$O$1,Opening!$B42,$C42,$L$1)</f>
        <v>0</v>
      </c>
      <c r="J42" s="16">
        <f>_xll.DBRW($B$1,Opening!$E$11,Opening!J$8,$N$1,Opening!$H$11,Opening!$K$11,$O$1,Opening!$B42,$C42,$L$1)</f>
        <v>0</v>
      </c>
      <c r="K42" s="16">
        <f>_xll.DBRW($B$1,Opening!$E$11,Opening!K$8,$N$1,Opening!$H$11,Opening!$K$11,$O$1,Opening!$B42,$C42,$L$1)</f>
        <v>0</v>
      </c>
      <c r="L42" s="16">
        <f>_xll.DBRW($B$1,Opening!$E$11,Opening!L$8,$N$1,Opening!$H$11,Opening!$K$11,$O$1,Opening!$B42,$C42,$L$1)</f>
        <v>0</v>
      </c>
      <c r="M42" s="16">
        <f>_xll.DBRW($B$1,Opening!$E$11,Opening!M$8,$N$1,Opening!$H$11,Opening!$K$11,$O$1,Opening!$B42,$C42,$L$1)</f>
        <v>0</v>
      </c>
      <c r="N42" s="16">
        <f>_xll.DBRW($B$1,Opening!$E$11,Opening!N$8,$N$1,Opening!$H$11,Opening!$K$11,$O$1,Opening!$B42,$C42,$L$1)</f>
        <v>0</v>
      </c>
      <c r="O42" s="16">
        <f>_xll.DBRW($B$1,Opening!$E$11,Opening!O$8,$N$1,Opening!$H$11,Opening!$K$11,$O$1,Opening!$B42,$C42,$L$1)</f>
        <v>0</v>
      </c>
      <c r="P42"/>
      <c r="Q42"/>
      <c r="R42"/>
      <c r="S42"/>
      <c r="T42"/>
      <c r="U42"/>
      <c r="V42"/>
      <c r="W42"/>
      <c r="X42"/>
      <c r="Y42"/>
    </row>
    <row r="43" spans="2:25" ht="15.75" customHeight="1" x14ac:dyDescent="0.25">
      <c r="B43" s="17" t="s">
        <v>63</v>
      </c>
      <c r="C43" s="17" t="s">
        <v>219</v>
      </c>
      <c r="D43" s="16">
        <f>_xll.DBRW($B$1,Opening!$E$11,Opening!D$8,$N$1,Opening!$H$11,Opening!$K$11,$O$1,Opening!$B43,$C43,$L$1)</f>
        <v>0</v>
      </c>
      <c r="E43" s="16">
        <f>_xll.DBRW($B$1,Opening!$E$11,Opening!E$8,$N$1,Opening!$H$11,Opening!$K$11,$O$1,Opening!$B43,$C43,$L$1)</f>
        <v>0</v>
      </c>
      <c r="F43" s="16">
        <f>_xll.DBRW($B$1,Opening!$E$11,Opening!F$8,$N$1,Opening!$H$11,Opening!$K$11,$O$1,Opening!$B43,$C43,$L$1)</f>
        <v>0</v>
      </c>
      <c r="G43" s="16">
        <f>_xll.DBRW($B$1,Opening!$E$11,Opening!G$8,$N$1,Opening!$H$11,Opening!$K$11,$O$1,Opening!$B43,$C43,$L$1)</f>
        <v>0</v>
      </c>
      <c r="H43" s="16">
        <f>_xll.DBRW($B$1,Opening!$E$11,Opening!H$8,$N$1,Opening!$H$11,Opening!$K$11,$O$1,Opening!$B43,$C43,$L$1)</f>
        <v>0</v>
      </c>
      <c r="I43" s="16">
        <f>_xll.DBRW($B$1,Opening!$E$11,Opening!I$8,$N$1,Opening!$H$11,Opening!$K$11,$O$1,Opening!$B43,$C43,$L$1)</f>
        <v>0</v>
      </c>
      <c r="J43" s="16">
        <f>_xll.DBRW($B$1,Opening!$E$11,Opening!J$8,$N$1,Opening!$H$11,Opening!$K$11,$O$1,Opening!$B43,$C43,$L$1)</f>
        <v>0</v>
      </c>
      <c r="K43" s="16">
        <f>_xll.DBRW($B$1,Opening!$E$11,Opening!K$8,$N$1,Opening!$H$11,Opening!$K$11,$O$1,Opening!$B43,$C43,$L$1)</f>
        <v>0</v>
      </c>
      <c r="L43" s="16">
        <f>_xll.DBRW($B$1,Opening!$E$11,Opening!L$8,$N$1,Opening!$H$11,Opening!$K$11,$O$1,Opening!$B43,$C43,$L$1)</f>
        <v>0</v>
      </c>
      <c r="M43" s="16">
        <f>_xll.DBRW($B$1,Opening!$E$11,Opening!M$8,$N$1,Opening!$H$11,Opening!$K$11,$O$1,Opening!$B43,$C43,$L$1)</f>
        <v>0</v>
      </c>
      <c r="N43" s="16">
        <f>_xll.DBRW($B$1,Opening!$E$11,Opening!N$8,$N$1,Opening!$H$11,Opening!$K$11,$O$1,Opening!$B43,$C43,$L$1)</f>
        <v>0</v>
      </c>
      <c r="O43" s="16">
        <f>_xll.DBRW($B$1,Opening!$E$11,Opening!O$8,$N$1,Opening!$H$11,Opening!$K$11,$O$1,Opening!$B43,$C43,$L$1)</f>
        <v>0</v>
      </c>
      <c r="P43"/>
      <c r="Q43"/>
      <c r="R43"/>
      <c r="S43"/>
      <c r="T43"/>
      <c r="U43"/>
      <c r="V43"/>
      <c r="W43"/>
      <c r="X43"/>
      <c r="Y43"/>
    </row>
    <row r="44" spans="2:25" ht="15.75" customHeight="1" x14ac:dyDescent="0.25">
      <c r="B44" s="17" t="s">
        <v>63</v>
      </c>
      <c r="C44" s="17" t="s">
        <v>220</v>
      </c>
      <c r="D44" s="16">
        <f>_xll.DBRW($B$1,Opening!$E$11,Opening!D$8,$N$1,Opening!$H$11,Opening!$K$11,$O$1,Opening!$B44,$C44,$L$1)</f>
        <v>0</v>
      </c>
      <c r="E44" s="16">
        <f>_xll.DBRW($B$1,Opening!$E$11,Opening!E$8,$N$1,Opening!$H$11,Opening!$K$11,$O$1,Opening!$B44,$C44,$L$1)</f>
        <v>0</v>
      </c>
      <c r="F44" s="16">
        <f>_xll.DBRW($B$1,Opening!$E$11,Opening!F$8,$N$1,Opening!$H$11,Opening!$K$11,$O$1,Opening!$B44,$C44,$L$1)</f>
        <v>0</v>
      </c>
      <c r="G44" s="16">
        <f>_xll.DBRW($B$1,Opening!$E$11,Opening!G$8,$N$1,Opening!$H$11,Opening!$K$11,$O$1,Opening!$B44,$C44,$L$1)</f>
        <v>0</v>
      </c>
      <c r="H44" s="16">
        <f>_xll.DBRW($B$1,Opening!$E$11,Opening!H$8,$N$1,Opening!$H$11,Opening!$K$11,$O$1,Opening!$B44,$C44,$L$1)</f>
        <v>0</v>
      </c>
      <c r="I44" s="16">
        <f>_xll.DBRW($B$1,Opening!$E$11,Opening!I$8,$N$1,Opening!$H$11,Opening!$K$11,$O$1,Opening!$B44,$C44,$L$1)</f>
        <v>0</v>
      </c>
      <c r="J44" s="16">
        <f>_xll.DBRW($B$1,Opening!$E$11,Opening!J$8,$N$1,Opening!$H$11,Opening!$K$11,$O$1,Opening!$B44,$C44,$L$1)</f>
        <v>0</v>
      </c>
      <c r="K44" s="16">
        <f>_xll.DBRW($B$1,Opening!$E$11,Opening!K$8,$N$1,Opening!$H$11,Opening!$K$11,$O$1,Opening!$B44,$C44,$L$1)</f>
        <v>0</v>
      </c>
      <c r="L44" s="16">
        <f>_xll.DBRW($B$1,Opening!$E$11,Opening!L$8,$N$1,Opening!$H$11,Opening!$K$11,$O$1,Opening!$B44,$C44,$L$1)</f>
        <v>0</v>
      </c>
      <c r="M44" s="16">
        <f>_xll.DBRW($B$1,Opening!$E$11,Opening!M$8,$N$1,Opening!$H$11,Opening!$K$11,$O$1,Opening!$B44,$C44,$L$1)</f>
        <v>0</v>
      </c>
      <c r="N44" s="16">
        <f>_xll.DBRW($B$1,Opening!$E$11,Opening!N$8,$N$1,Opening!$H$11,Opening!$K$11,$O$1,Opening!$B44,$C44,$L$1)</f>
        <v>0</v>
      </c>
      <c r="O44" s="16">
        <f>_xll.DBRW($B$1,Opening!$E$11,Opening!O$8,$N$1,Opening!$H$11,Opening!$K$11,$O$1,Opening!$B44,$C44,$L$1)</f>
        <v>0</v>
      </c>
      <c r="P44"/>
      <c r="Q44"/>
      <c r="R44"/>
      <c r="S44"/>
      <c r="T44"/>
      <c r="U44"/>
      <c r="V44"/>
      <c r="W44"/>
      <c r="X44"/>
      <c r="Y44"/>
    </row>
    <row r="45" spans="2:25" ht="15.75" customHeight="1" x14ac:dyDescent="0.25">
      <c r="B45" s="17" t="s">
        <v>63</v>
      </c>
      <c r="C45" s="17" t="s">
        <v>221</v>
      </c>
      <c r="D45" s="16">
        <f>_xll.DBRW($B$1,Opening!$E$11,Opening!D$8,$N$1,Opening!$H$11,Opening!$K$11,$O$1,Opening!$B45,$C45,$L$1)</f>
        <v>0</v>
      </c>
      <c r="E45" s="16">
        <f>_xll.DBRW($B$1,Opening!$E$11,Opening!E$8,$N$1,Opening!$H$11,Opening!$K$11,$O$1,Opening!$B45,$C45,$L$1)</f>
        <v>0</v>
      </c>
      <c r="F45" s="16">
        <f>_xll.DBRW($B$1,Opening!$E$11,Opening!F$8,$N$1,Opening!$H$11,Opening!$K$11,$O$1,Opening!$B45,$C45,$L$1)</f>
        <v>0</v>
      </c>
      <c r="G45" s="16">
        <f>_xll.DBRW($B$1,Opening!$E$11,Opening!G$8,$N$1,Opening!$H$11,Opening!$K$11,$O$1,Opening!$B45,$C45,$L$1)</f>
        <v>0</v>
      </c>
      <c r="H45" s="16">
        <f>_xll.DBRW($B$1,Opening!$E$11,Opening!H$8,$N$1,Opening!$H$11,Opening!$K$11,$O$1,Opening!$B45,$C45,$L$1)</f>
        <v>0</v>
      </c>
      <c r="I45" s="16">
        <f>_xll.DBRW($B$1,Opening!$E$11,Opening!I$8,$N$1,Opening!$H$11,Opening!$K$11,$O$1,Opening!$B45,$C45,$L$1)</f>
        <v>0</v>
      </c>
      <c r="J45" s="16">
        <f>_xll.DBRW($B$1,Opening!$E$11,Opening!J$8,$N$1,Opening!$H$11,Opening!$K$11,$O$1,Opening!$B45,$C45,$L$1)</f>
        <v>0</v>
      </c>
      <c r="K45" s="16">
        <f>_xll.DBRW($B$1,Opening!$E$11,Opening!K$8,$N$1,Opening!$H$11,Opening!$K$11,$O$1,Opening!$B45,$C45,$L$1)</f>
        <v>0</v>
      </c>
      <c r="L45" s="16">
        <f>_xll.DBRW($B$1,Opening!$E$11,Opening!L$8,$N$1,Opening!$H$11,Opening!$K$11,$O$1,Opening!$B45,$C45,$L$1)</f>
        <v>0</v>
      </c>
      <c r="M45" s="16">
        <f>_xll.DBRW($B$1,Opening!$E$11,Opening!M$8,$N$1,Opening!$H$11,Opening!$K$11,$O$1,Opening!$B45,$C45,$L$1)</f>
        <v>0</v>
      </c>
      <c r="N45" s="16">
        <f>_xll.DBRW($B$1,Opening!$E$11,Opening!N$8,$N$1,Opening!$H$11,Opening!$K$11,$O$1,Opening!$B45,$C45,$L$1)</f>
        <v>0</v>
      </c>
      <c r="O45" s="16">
        <f>_xll.DBRW($B$1,Opening!$E$11,Opening!O$8,$N$1,Opening!$H$11,Opening!$K$11,$O$1,Opening!$B45,$C45,$L$1)</f>
        <v>0</v>
      </c>
      <c r="P45"/>
      <c r="Q45"/>
      <c r="R45"/>
      <c r="S45"/>
      <c r="T45"/>
      <c r="U45"/>
      <c r="V45"/>
      <c r="W45"/>
      <c r="X45"/>
      <c r="Y45"/>
    </row>
    <row r="46" spans="2:25" ht="15.75" customHeight="1" x14ac:dyDescent="0.25">
      <c r="B46" s="17" t="s">
        <v>63</v>
      </c>
      <c r="C46" s="17" t="s">
        <v>222</v>
      </c>
      <c r="D46" s="16">
        <f>_xll.DBRW($B$1,Opening!$E$11,Opening!D$8,$N$1,Opening!$H$11,Opening!$K$11,$O$1,Opening!$B46,$C46,$L$1)</f>
        <v>0</v>
      </c>
      <c r="E46" s="16">
        <f>_xll.DBRW($B$1,Opening!$E$11,Opening!E$8,$N$1,Opening!$H$11,Opening!$K$11,$O$1,Opening!$B46,$C46,$L$1)</f>
        <v>0</v>
      </c>
      <c r="F46" s="16">
        <f>_xll.DBRW($B$1,Opening!$E$11,Opening!F$8,$N$1,Opening!$H$11,Opening!$K$11,$O$1,Opening!$B46,$C46,$L$1)</f>
        <v>0</v>
      </c>
      <c r="G46" s="16">
        <f>_xll.DBRW($B$1,Opening!$E$11,Opening!G$8,$N$1,Opening!$H$11,Opening!$K$11,$O$1,Opening!$B46,$C46,$L$1)</f>
        <v>0</v>
      </c>
      <c r="H46" s="16">
        <f>_xll.DBRW($B$1,Opening!$E$11,Opening!H$8,$N$1,Opening!$H$11,Opening!$K$11,$O$1,Opening!$B46,$C46,$L$1)</f>
        <v>0</v>
      </c>
      <c r="I46" s="16">
        <f>_xll.DBRW($B$1,Opening!$E$11,Opening!I$8,$N$1,Opening!$H$11,Opening!$K$11,$O$1,Opening!$B46,$C46,$L$1)</f>
        <v>0</v>
      </c>
      <c r="J46" s="16">
        <f>_xll.DBRW($B$1,Opening!$E$11,Opening!J$8,$N$1,Opening!$H$11,Opening!$K$11,$O$1,Opening!$B46,$C46,$L$1)</f>
        <v>0</v>
      </c>
      <c r="K46" s="16">
        <f>_xll.DBRW($B$1,Opening!$E$11,Opening!K$8,$N$1,Opening!$H$11,Opening!$K$11,$O$1,Opening!$B46,$C46,$L$1)</f>
        <v>0</v>
      </c>
      <c r="L46" s="16">
        <f>_xll.DBRW($B$1,Opening!$E$11,Opening!L$8,$N$1,Opening!$H$11,Opening!$K$11,$O$1,Opening!$B46,$C46,$L$1)</f>
        <v>0</v>
      </c>
      <c r="M46" s="16">
        <f>_xll.DBRW($B$1,Opening!$E$11,Opening!M$8,$N$1,Opening!$H$11,Opening!$K$11,$O$1,Opening!$B46,$C46,$L$1)</f>
        <v>0</v>
      </c>
      <c r="N46" s="16">
        <f>_xll.DBRW($B$1,Opening!$E$11,Opening!N$8,$N$1,Opening!$H$11,Opening!$K$11,$O$1,Opening!$B46,$C46,$L$1)</f>
        <v>0</v>
      </c>
      <c r="O46" s="16">
        <f>_xll.DBRW($B$1,Opening!$E$11,Opening!O$8,$N$1,Opening!$H$11,Opening!$K$11,$O$1,Opening!$B46,$C46,$L$1)</f>
        <v>0</v>
      </c>
      <c r="P46"/>
      <c r="Q46"/>
      <c r="R46"/>
      <c r="S46"/>
      <c r="T46"/>
      <c r="U46"/>
      <c r="V46"/>
      <c r="W46"/>
      <c r="X46"/>
      <c r="Y46"/>
    </row>
    <row r="47" spans="2:25" ht="15.75" customHeight="1" x14ac:dyDescent="0.25">
      <c r="B47" s="17" t="s">
        <v>63</v>
      </c>
      <c r="C47" s="17" t="s">
        <v>66</v>
      </c>
      <c r="D47" s="16">
        <f>_xll.DBRW($B$1,Opening!$E$11,Opening!D$8,$N$1,Opening!$H$11,Opening!$K$11,$O$1,Opening!$B47,$C47,$L$1)</f>
        <v>0</v>
      </c>
      <c r="E47" s="16">
        <f>_xll.DBRW($B$1,Opening!$E$11,Opening!E$8,$N$1,Opening!$H$11,Opening!$K$11,$O$1,Opening!$B47,$C47,$L$1)</f>
        <v>0</v>
      </c>
      <c r="F47" s="16">
        <f>_xll.DBRW($B$1,Opening!$E$11,Opening!F$8,$N$1,Opening!$H$11,Opening!$K$11,$O$1,Opening!$B47,$C47,$L$1)</f>
        <v>0</v>
      </c>
      <c r="G47" s="16">
        <f>_xll.DBRW($B$1,Opening!$E$11,Opening!G$8,$N$1,Opening!$H$11,Opening!$K$11,$O$1,Opening!$B47,$C47,$L$1)</f>
        <v>0</v>
      </c>
      <c r="H47" s="16">
        <f>_xll.DBRW($B$1,Opening!$E$11,Opening!H$8,$N$1,Opening!$H$11,Opening!$K$11,$O$1,Opening!$B47,$C47,$L$1)</f>
        <v>0</v>
      </c>
      <c r="I47" s="16">
        <f>_xll.DBRW($B$1,Opening!$E$11,Opening!I$8,$N$1,Opening!$H$11,Opening!$K$11,$O$1,Opening!$B47,$C47,$L$1)</f>
        <v>0</v>
      </c>
      <c r="J47" s="16">
        <f>_xll.DBRW($B$1,Opening!$E$11,Opening!J$8,$N$1,Opening!$H$11,Opening!$K$11,$O$1,Opening!$B47,$C47,$L$1)</f>
        <v>0</v>
      </c>
      <c r="K47" s="16">
        <f>_xll.DBRW($B$1,Opening!$E$11,Opening!K$8,$N$1,Opening!$H$11,Opening!$K$11,$O$1,Opening!$B47,$C47,$L$1)</f>
        <v>0</v>
      </c>
      <c r="L47" s="16">
        <f>_xll.DBRW($B$1,Opening!$E$11,Opening!L$8,$N$1,Opening!$H$11,Opening!$K$11,$O$1,Opening!$B47,$C47,$L$1)</f>
        <v>0</v>
      </c>
      <c r="M47" s="16">
        <f>_xll.DBRW($B$1,Opening!$E$11,Opening!M$8,$N$1,Opening!$H$11,Opening!$K$11,$O$1,Opening!$B47,$C47,$L$1)</f>
        <v>0</v>
      </c>
      <c r="N47" s="16">
        <f>_xll.DBRW($B$1,Opening!$E$11,Opening!N$8,$N$1,Opening!$H$11,Opening!$K$11,$O$1,Opening!$B47,$C47,$L$1)</f>
        <v>0</v>
      </c>
      <c r="O47" s="16">
        <f>_xll.DBRW($B$1,Opening!$E$11,Opening!O$8,$N$1,Opening!$H$11,Opening!$K$11,$O$1,Opening!$B47,$C47,$L$1)</f>
        <v>0</v>
      </c>
      <c r="P47"/>
      <c r="Q47"/>
      <c r="R47"/>
      <c r="S47"/>
      <c r="T47"/>
      <c r="U47"/>
      <c r="V47"/>
      <c r="W47"/>
      <c r="X47"/>
      <c r="Y47"/>
    </row>
    <row r="48" spans="2:25" ht="15.75" customHeight="1" x14ac:dyDescent="0.25">
      <c r="P48"/>
      <c r="Q48"/>
      <c r="R48"/>
      <c r="S48"/>
      <c r="T48"/>
      <c r="U48"/>
      <c r="V48"/>
      <c r="W48"/>
      <c r="X48"/>
      <c r="Y48"/>
    </row>
    <row r="49" spans="2:25" ht="15.75" customHeight="1" thickBot="1" x14ac:dyDescent="0.3">
      <c r="B49" s="10"/>
      <c r="P49"/>
      <c r="Q49"/>
      <c r="R49"/>
      <c r="S49"/>
      <c r="T49"/>
      <c r="U49"/>
      <c r="V49"/>
      <c r="W49"/>
      <c r="X49"/>
      <c r="Y49"/>
    </row>
    <row r="50" spans="2:25" ht="15.75" customHeight="1" thickTop="1" x14ac:dyDescent="0.25">
      <c r="B50" s="9" t="s">
        <v>223</v>
      </c>
      <c r="C50" s="5"/>
      <c r="D50" s="5"/>
      <c r="E50" s="5"/>
      <c r="F50" s="5"/>
      <c r="G50" s="5"/>
      <c r="H50" s="5"/>
      <c r="I50" s="5"/>
      <c r="J50" s="5"/>
      <c r="K50" s="5"/>
      <c r="L50" s="5"/>
      <c r="M50" s="5"/>
      <c r="N50" s="5"/>
      <c r="O50" s="5"/>
      <c r="P50"/>
      <c r="Q50"/>
      <c r="R50"/>
      <c r="S50"/>
      <c r="T50"/>
      <c r="U50"/>
      <c r="V50"/>
      <c r="W50"/>
      <c r="X50"/>
      <c r="Y50"/>
    </row>
    <row r="51" spans="2:25" ht="15.75" customHeight="1" x14ac:dyDescent="0.25">
      <c r="B51" s="5"/>
      <c r="C51" s="5"/>
      <c r="D51" s="5"/>
      <c r="E51" s="5"/>
      <c r="F51" s="5"/>
      <c r="G51" s="5"/>
      <c r="H51" s="5"/>
      <c r="I51" s="5"/>
      <c r="J51" s="5"/>
      <c r="K51" s="5"/>
      <c r="L51" s="5"/>
      <c r="M51" s="5"/>
      <c r="N51" s="5"/>
      <c r="O51" s="5"/>
      <c r="P51"/>
      <c r="Q51"/>
      <c r="R51"/>
      <c r="S51"/>
      <c r="T51"/>
      <c r="U51"/>
      <c r="V51"/>
      <c r="W51"/>
      <c r="X51"/>
      <c r="Y51"/>
    </row>
    <row r="52" spans="2:25" ht="15.75" customHeight="1" x14ac:dyDescent="0.25">
      <c r="B52" s="5"/>
      <c r="C52" s="5"/>
      <c r="D52" s="18" t="str">
        <f t="shared" ref="D52:O52" si="2">$E$11&amp;"."&amp;D$8</f>
        <v>2026.01</v>
      </c>
      <c r="E52" s="18" t="str">
        <f t="shared" si="2"/>
        <v>2026.02</v>
      </c>
      <c r="F52" s="18" t="str">
        <f t="shared" si="2"/>
        <v>2026.03</v>
      </c>
      <c r="G52" s="18" t="str">
        <f t="shared" si="2"/>
        <v>2026.04</v>
      </c>
      <c r="H52" s="18" t="str">
        <f t="shared" si="2"/>
        <v>2026.05</v>
      </c>
      <c r="I52" s="18" t="str">
        <f t="shared" si="2"/>
        <v>2026.06</v>
      </c>
      <c r="J52" s="18" t="str">
        <f t="shared" si="2"/>
        <v>2026.07</v>
      </c>
      <c r="K52" s="18" t="str">
        <f t="shared" si="2"/>
        <v>2026.08</v>
      </c>
      <c r="L52" s="18" t="str">
        <f t="shared" si="2"/>
        <v>2026.09</v>
      </c>
      <c r="M52" s="18" t="str">
        <f t="shared" si="2"/>
        <v>2026.10</v>
      </c>
      <c r="N52" s="18" t="str">
        <f t="shared" si="2"/>
        <v>2026.11</v>
      </c>
      <c r="O52" s="18" t="str">
        <f t="shared" si="2"/>
        <v>2026.12</v>
      </c>
      <c r="P52"/>
      <c r="Q52"/>
      <c r="R52"/>
      <c r="S52"/>
      <c r="T52"/>
      <c r="U52"/>
      <c r="V52"/>
      <c r="W52"/>
      <c r="X52"/>
      <c r="Y52"/>
    </row>
    <row r="53" spans="2:25" ht="22.5" x14ac:dyDescent="0.25">
      <c r="B53" s="24" t="s">
        <v>151</v>
      </c>
      <c r="C53" s="24" t="s">
        <v>278</v>
      </c>
      <c r="D53" s="21">
        <f>_xll.DBRW($B$1,Opening!$E$11,Opening!D$8,$N$1,Opening!$H$11,Opening!$K$11,$O$1,Opening!$B53,$C53,$L$1)</f>
        <v>0</v>
      </c>
      <c r="E53" s="21">
        <f>_xll.DBRW($B$1,Opening!$E$11,Opening!E$8,$N$1,Opening!$H$11,Opening!$K$11,$O$1,Opening!$B53,$C53,$L$1)</f>
        <v>0</v>
      </c>
      <c r="F53" s="21">
        <f>_xll.DBRW($B$1,Opening!$E$11,Opening!F$8,$N$1,Opening!$H$11,Opening!$K$11,$O$1,Opening!$B53,$C53,$L$1)</f>
        <v>0</v>
      </c>
      <c r="G53" s="21">
        <f>_xll.DBRW($B$1,Opening!$E$11,Opening!G$8,$N$1,Opening!$H$11,Opening!$K$11,$O$1,Opening!$B53,$C53,$L$1)</f>
        <v>0</v>
      </c>
      <c r="H53" s="21">
        <f>_xll.DBRW($B$1,Opening!$E$11,Opening!H$8,$N$1,Opening!$H$11,Opening!$K$11,$O$1,Opening!$B53,$C53,$L$1)</f>
        <v>0</v>
      </c>
      <c r="I53" s="21">
        <f>_xll.DBRW($B$1,Opening!$E$11,Opening!I$8,$N$1,Opening!$H$11,Opening!$K$11,$O$1,Opening!$B53,$C53,$L$1)</f>
        <v>0</v>
      </c>
      <c r="J53" s="21">
        <f>_xll.DBRW($B$1,Opening!$E$11,Opening!J$8,$N$1,Opening!$H$11,Opening!$K$11,$O$1,Opening!$B53,$C53,$L$1)</f>
        <v>0</v>
      </c>
      <c r="K53" s="21">
        <f>_xll.DBRW($B$1,Opening!$E$11,Opening!K$8,$N$1,Opening!$H$11,Opening!$K$11,$O$1,Opening!$B53,$C53,$L$1)</f>
        <v>0</v>
      </c>
      <c r="L53" s="21">
        <f>_xll.DBRW($B$1,Opening!$E$11,Opening!L$8,$N$1,Opening!$H$11,Opening!$K$11,$O$1,Opening!$B53,$C53,$L$1)</f>
        <v>0</v>
      </c>
      <c r="M53" s="21">
        <f>_xll.DBRW($B$1,Opening!$E$11,Opening!M$8,$N$1,Opening!$H$11,Opening!$K$11,$O$1,Opening!$B53,$C53,$L$1)</f>
        <v>0</v>
      </c>
      <c r="N53" s="21">
        <f>_xll.DBRW($B$1,Opening!$E$11,Opening!N$8,$N$1,Opening!$H$11,Opening!$K$11,$O$1,Opening!$B53,$C53,$L$1)</f>
        <v>0</v>
      </c>
      <c r="O53" s="21">
        <f>_xll.DBRW($B$1,Opening!$E$11,Opening!O$8,$N$1,Opening!$H$11,Opening!$K$11,$O$1,Opening!$B53,$C53,$L$1)</f>
        <v>0</v>
      </c>
      <c r="P53"/>
      <c r="Q53"/>
      <c r="R53"/>
      <c r="S53"/>
      <c r="T53"/>
      <c r="U53"/>
      <c r="V53"/>
      <c r="W53"/>
      <c r="X53"/>
      <c r="Y53"/>
    </row>
    <row r="54" spans="2:25" ht="22.5" x14ac:dyDescent="0.25">
      <c r="B54" s="17" t="s">
        <v>151</v>
      </c>
      <c r="C54" s="17" t="s">
        <v>224</v>
      </c>
      <c r="D54" s="16">
        <f>_xll.DBRW($B$1,Opening!$E$11,Opening!D$8,$N$1,Opening!$H$11,Opening!$K$11,$O$1,Opening!$B54,$C54,$L$1)</f>
        <v>0</v>
      </c>
      <c r="E54" s="16">
        <f>_xll.DBRW($B$1,Opening!$E$11,Opening!E$8,$N$1,Opening!$H$11,Opening!$K$11,$O$1,Opening!$B54,$C54,$L$1)</f>
        <v>0</v>
      </c>
      <c r="F54" s="16">
        <f>_xll.DBRW($B$1,Opening!$E$11,Opening!F$8,$N$1,Opening!$H$11,Opening!$K$11,$O$1,Opening!$B54,$C54,$L$1)</f>
        <v>0</v>
      </c>
      <c r="G54" s="16">
        <f>_xll.DBRW($B$1,Opening!$E$11,Opening!G$8,$N$1,Opening!$H$11,Opening!$K$11,$O$1,Opening!$B54,$C54,$L$1)</f>
        <v>0</v>
      </c>
      <c r="H54" s="16">
        <f>_xll.DBRW($B$1,Opening!$E$11,Opening!H$8,$N$1,Opening!$H$11,Opening!$K$11,$O$1,Opening!$B54,$C54,$L$1)</f>
        <v>0</v>
      </c>
      <c r="I54" s="16">
        <f>_xll.DBRW($B$1,Opening!$E$11,Opening!I$8,$N$1,Opening!$H$11,Opening!$K$11,$O$1,Opening!$B54,$C54,$L$1)</f>
        <v>0</v>
      </c>
      <c r="J54" s="16">
        <f>_xll.DBRW($B$1,Opening!$E$11,Opening!J$8,$N$1,Opening!$H$11,Opening!$K$11,$O$1,Opening!$B54,$C54,$L$1)</f>
        <v>0</v>
      </c>
      <c r="K54" s="16">
        <f>_xll.DBRW($B$1,Opening!$E$11,Opening!K$8,$N$1,Opening!$H$11,Opening!$K$11,$O$1,Opening!$B54,$C54,$L$1)</f>
        <v>0</v>
      </c>
      <c r="L54" s="16">
        <f>_xll.DBRW($B$1,Opening!$E$11,Opening!L$8,$N$1,Opening!$H$11,Opening!$K$11,$O$1,Opening!$B54,$C54,$L$1)</f>
        <v>0</v>
      </c>
      <c r="M54" s="16">
        <f>_xll.DBRW($B$1,Opening!$E$11,Opening!M$8,$N$1,Opening!$H$11,Opening!$K$11,$O$1,Opening!$B54,$C54,$L$1)</f>
        <v>0</v>
      </c>
      <c r="N54" s="16">
        <f>_xll.DBRW($B$1,Opening!$E$11,Opening!N$8,$N$1,Opening!$H$11,Opening!$K$11,$O$1,Opening!$B54,$C54,$L$1)</f>
        <v>0</v>
      </c>
      <c r="O54" s="16">
        <f>_xll.DBRW($B$1,Opening!$E$11,Opening!O$8,$N$1,Opening!$H$11,Opening!$K$11,$O$1,Opening!$B54,$C54,$L$1)</f>
        <v>0</v>
      </c>
      <c r="P54"/>
      <c r="Q54"/>
      <c r="R54"/>
      <c r="S54"/>
      <c r="T54"/>
      <c r="U54"/>
      <c r="V54"/>
      <c r="W54"/>
      <c r="X54"/>
      <c r="Y54"/>
    </row>
    <row r="55" spans="2:25" ht="22.5" x14ac:dyDescent="0.25">
      <c r="B55" s="17" t="s">
        <v>151</v>
      </c>
      <c r="C55" s="17" t="s">
        <v>225</v>
      </c>
      <c r="D55" s="16">
        <f>_xll.DBRW($B$1,Opening!$E$11,Opening!D$8,$N$1,Opening!$H$11,Opening!$K$11,$O$1,Opening!$B55,$C55,$L$1)</f>
        <v>0</v>
      </c>
      <c r="E55" s="16">
        <f>_xll.DBRW($B$1,Opening!$E$11,Opening!E$8,$N$1,Opening!$H$11,Opening!$K$11,$O$1,Opening!$B55,$C55,$L$1)</f>
        <v>0</v>
      </c>
      <c r="F55" s="16">
        <f>_xll.DBRW($B$1,Opening!$E$11,Opening!F$8,$N$1,Opening!$H$11,Opening!$K$11,$O$1,Opening!$B55,$C55,$L$1)</f>
        <v>0</v>
      </c>
      <c r="G55" s="16">
        <f>_xll.DBRW($B$1,Opening!$E$11,Opening!G$8,$N$1,Opening!$H$11,Opening!$K$11,$O$1,Opening!$B55,$C55,$L$1)</f>
        <v>0</v>
      </c>
      <c r="H55" s="16">
        <f>_xll.DBRW($B$1,Opening!$E$11,Opening!H$8,$N$1,Opening!$H$11,Opening!$K$11,$O$1,Opening!$B55,$C55,$L$1)</f>
        <v>0</v>
      </c>
      <c r="I55" s="16">
        <f>_xll.DBRW($B$1,Opening!$E$11,Opening!I$8,$N$1,Opening!$H$11,Opening!$K$11,$O$1,Opening!$B55,$C55,$L$1)</f>
        <v>0</v>
      </c>
      <c r="J55" s="16">
        <f>_xll.DBRW($B$1,Opening!$E$11,Opening!J$8,$N$1,Opening!$H$11,Opening!$K$11,$O$1,Opening!$B55,$C55,$L$1)</f>
        <v>0</v>
      </c>
      <c r="K55" s="16">
        <f>_xll.DBRW($B$1,Opening!$E$11,Opening!K$8,$N$1,Opening!$H$11,Opening!$K$11,$O$1,Opening!$B55,$C55,$L$1)</f>
        <v>0</v>
      </c>
      <c r="L55" s="16">
        <f>_xll.DBRW($B$1,Opening!$E$11,Opening!L$8,$N$1,Opening!$H$11,Opening!$K$11,$O$1,Opening!$B55,$C55,$L$1)</f>
        <v>0</v>
      </c>
      <c r="M55" s="16">
        <f>_xll.DBRW($B$1,Opening!$E$11,Opening!M$8,$N$1,Opening!$H$11,Opening!$K$11,$O$1,Opening!$B55,$C55,$L$1)</f>
        <v>0</v>
      </c>
      <c r="N55" s="16">
        <f>_xll.DBRW($B$1,Opening!$E$11,Opening!N$8,$N$1,Opening!$H$11,Opening!$K$11,$O$1,Opening!$B55,$C55,$L$1)</f>
        <v>0</v>
      </c>
      <c r="O55" s="16">
        <f>_xll.DBRW($B$1,Opening!$E$11,Opening!O$8,$N$1,Opening!$H$11,Opening!$K$11,$O$1,Opening!$B55,$C55,$L$1)</f>
        <v>0</v>
      </c>
      <c r="P55"/>
      <c r="Q55"/>
      <c r="R55"/>
      <c r="S55"/>
      <c r="T55"/>
      <c r="U55"/>
      <c r="V55"/>
      <c r="W55"/>
      <c r="X55"/>
      <c r="Y55"/>
    </row>
    <row r="56" spans="2:25" ht="22.5" x14ac:dyDescent="0.25">
      <c r="B56" s="17" t="s">
        <v>151</v>
      </c>
      <c r="C56" s="17" t="s">
        <v>226</v>
      </c>
      <c r="D56" s="16">
        <f>_xll.DBRW($B$1,Opening!$E$11,Opening!D$8,$N$1,Opening!$H$11,Opening!$K$11,$O$1,Opening!$B56,$C56,$L$1)</f>
        <v>0</v>
      </c>
      <c r="E56" s="16">
        <f>_xll.DBRW($B$1,Opening!$E$11,Opening!E$8,$N$1,Opening!$H$11,Opening!$K$11,$O$1,Opening!$B56,$C56,$L$1)</f>
        <v>0</v>
      </c>
      <c r="F56" s="16">
        <f>_xll.DBRW($B$1,Opening!$E$11,Opening!F$8,$N$1,Opening!$H$11,Opening!$K$11,$O$1,Opening!$B56,$C56,$L$1)</f>
        <v>0</v>
      </c>
      <c r="G56" s="16">
        <f>_xll.DBRW($B$1,Opening!$E$11,Opening!G$8,$N$1,Opening!$H$11,Opening!$K$11,$O$1,Opening!$B56,$C56,$L$1)</f>
        <v>0</v>
      </c>
      <c r="H56" s="16">
        <f>_xll.DBRW($B$1,Opening!$E$11,Opening!H$8,$N$1,Opening!$H$11,Opening!$K$11,$O$1,Opening!$B56,$C56,$L$1)</f>
        <v>0</v>
      </c>
      <c r="I56" s="16">
        <f>_xll.DBRW($B$1,Opening!$E$11,Opening!I$8,$N$1,Opening!$H$11,Opening!$K$11,$O$1,Opening!$B56,$C56,$L$1)</f>
        <v>0</v>
      </c>
      <c r="J56" s="16">
        <f>_xll.DBRW($B$1,Opening!$E$11,Opening!J$8,$N$1,Opening!$H$11,Opening!$K$11,$O$1,Opening!$B56,$C56,$L$1)</f>
        <v>0</v>
      </c>
      <c r="K56" s="16">
        <f>_xll.DBRW($B$1,Opening!$E$11,Opening!K$8,$N$1,Opening!$H$11,Opening!$K$11,$O$1,Opening!$B56,$C56,$L$1)</f>
        <v>0</v>
      </c>
      <c r="L56" s="16">
        <f>_xll.DBRW($B$1,Opening!$E$11,Opening!L$8,$N$1,Opening!$H$11,Opening!$K$11,$O$1,Opening!$B56,$C56,$L$1)</f>
        <v>0</v>
      </c>
      <c r="M56" s="16">
        <f>_xll.DBRW($B$1,Opening!$E$11,Opening!M$8,$N$1,Opening!$H$11,Opening!$K$11,$O$1,Opening!$B56,$C56,$L$1)</f>
        <v>0</v>
      </c>
      <c r="N56" s="16">
        <f>_xll.DBRW($B$1,Opening!$E$11,Opening!N$8,$N$1,Opening!$H$11,Opening!$K$11,$O$1,Opening!$B56,$C56,$L$1)</f>
        <v>0</v>
      </c>
      <c r="O56" s="16">
        <f>_xll.DBRW($B$1,Opening!$E$11,Opening!O$8,$N$1,Opening!$H$11,Opening!$K$11,$O$1,Opening!$B56,$C56,$L$1)</f>
        <v>0</v>
      </c>
      <c r="P56"/>
      <c r="Q56"/>
      <c r="R56"/>
      <c r="S56"/>
      <c r="T56"/>
      <c r="U56"/>
      <c r="V56"/>
      <c r="W56"/>
      <c r="X56"/>
      <c r="Y56"/>
    </row>
    <row r="57" spans="2:25" ht="22.5" x14ac:dyDescent="0.25">
      <c r="B57" s="17" t="s">
        <v>151</v>
      </c>
      <c r="C57" s="17" t="s">
        <v>66</v>
      </c>
      <c r="D57" s="16">
        <f>_xll.DBRW($B$1,Opening!$E$11,Opening!D$8,$N$1,Opening!$H$11,Opening!$K$11,$O$1,Opening!$B57,$C57,$L$1)</f>
        <v>0</v>
      </c>
      <c r="E57" s="16">
        <f>_xll.DBRW($B$1,Opening!$E$11,Opening!E$8,$N$1,Opening!$H$11,Opening!$K$11,$O$1,Opening!$B57,$C57,$L$1)</f>
        <v>0</v>
      </c>
      <c r="F57" s="16">
        <f>_xll.DBRW($B$1,Opening!$E$11,Opening!F$8,$N$1,Opening!$H$11,Opening!$K$11,$O$1,Opening!$B57,$C57,$L$1)</f>
        <v>0</v>
      </c>
      <c r="G57" s="16">
        <f>_xll.DBRW($B$1,Opening!$E$11,Opening!G$8,$N$1,Opening!$H$11,Opening!$K$11,$O$1,Opening!$B57,$C57,$L$1)</f>
        <v>0</v>
      </c>
      <c r="H57" s="16">
        <f>_xll.DBRW($B$1,Opening!$E$11,Opening!H$8,$N$1,Opening!$H$11,Opening!$K$11,$O$1,Opening!$B57,$C57,$L$1)</f>
        <v>0</v>
      </c>
      <c r="I57" s="16">
        <f>_xll.DBRW($B$1,Opening!$E$11,Opening!I$8,$N$1,Opening!$H$11,Opening!$K$11,$O$1,Opening!$B57,$C57,$L$1)</f>
        <v>0</v>
      </c>
      <c r="J57" s="16">
        <f>_xll.DBRW($B$1,Opening!$E$11,Opening!J$8,$N$1,Opening!$H$11,Opening!$K$11,$O$1,Opening!$B57,$C57,$L$1)</f>
        <v>0</v>
      </c>
      <c r="K57" s="16">
        <f>_xll.DBRW($B$1,Opening!$E$11,Opening!K$8,$N$1,Opening!$H$11,Opening!$K$11,$O$1,Opening!$B57,$C57,$L$1)</f>
        <v>0</v>
      </c>
      <c r="L57" s="16">
        <f>_xll.DBRW($B$1,Opening!$E$11,Opening!L$8,$N$1,Opening!$H$11,Opening!$K$11,$O$1,Opening!$B57,$C57,$L$1)</f>
        <v>0</v>
      </c>
      <c r="M57" s="16">
        <f>_xll.DBRW($B$1,Opening!$E$11,Opening!M$8,$N$1,Opening!$H$11,Opening!$K$11,$O$1,Opening!$B57,$C57,$L$1)</f>
        <v>0</v>
      </c>
      <c r="N57" s="16">
        <f>_xll.DBRW($B$1,Opening!$E$11,Opening!N$8,$N$1,Opening!$H$11,Opening!$K$11,$O$1,Opening!$B57,$C57,$L$1)</f>
        <v>0</v>
      </c>
      <c r="O57" s="16">
        <f>_xll.DBRW($B$1,Opening!$E$11,Opening!O$8,$N$1,Opening!$H$11,Opening!$K$11,$O$1,Opening!$B57,$C57,$L$1)</f>
        <v>0</v>
      </c>
      <c r="P57"/>
      <c r="Q57"/>
      <c r="R57"/>
      <c r="S57"/>
      <c r="T57"/>
      <c r="U57"/>
      <c r="V57"/>
      <c r="W57"/>
      <c r="X57"/>
      <c r="Y57"/>
    </row>
    <row r="58" spans="2:25" ht="15.75" customHeight="1" x14ac:dyDescent="0.25">
      <c r="P58"/>
      <c r="Q58"/>
      <c r="R58"/>
      <c r="S58"/>
      <c r="T58"/>
      <c r="U58"/>
      <c r="V58"/>
      <c r="W58"/>
      <c r="X58"/>
      <c r="Y58"/>
    </row>
    <row r="59" spans="2:25" ht="15.75" customHeight="1" thickBot="1" x14ac:dyDescent="0.3">
      <c r="B59" s="10"/>
      <c r="C59" s="5"/>
      <c r="D59" s="5"/>
      <c r="E59" s="5"/>
      <c r="F59" s="5"/>
      <c r="G59" s="5"/>
      <c r="H59" s="5"/>
      <c r="I59" s="5"/>
      <c r="J59" s="5"/>
      <c r="K59" s="5"/>
      <c r="L59" s="5"/>
      <c r="M59" s="5"/>
      <c r="N59" s="5"/>
      <c r="O59" s="5"/>
      <c r="P59"/>
      <c r="Q59"/>
      <c r="R59"/>
      <c r="S59"/>
      <c r="T59"/>
      <c r="U59"/>
      <c r="V59"/>
      <c r="W59"/>
      <c r="X59"/>
      <c r="Y59"/>
    </row>
    <row r="60" spans="2:25" ht="15.75" customHeight="1" thickTop="1" x14ac:dyDescent="0.25">
      <c r="B60" s="9" t="s">
        <v>227</v>
      </c>
      <c r="C60" s="5"/>
      <c r="D60" s="5"/>
      <c r="E60" s="5"/>
      <c r="F60" s="5"/>
      <c r="G60" s="5"/>
      <c r="H60" s="5"/>
      <c r="I60" s="5"/>
      <c r="J60" s="5"/>
      <c r="K60" s="5"/>
      <c r="L60" s="5"/>
      <c r="M60" s="5"/>
      <c r="N60" s="5"/>
      <c r="O60" s="5"/>
      <c r="P60"/>
      <c r="Q60"/>
      <c r="R60"/>
      <c r="S60"/>
      <c r="T60"/>
      <c r="U60"/>
      <c r="V60"/>
      <c r="W60"/>
      <c r="X60"/>
      <c r="Y60"/>
    </row>
    <row r="61" spans="2:25" ht="15.75" customHeight="1" x14ac:dyDescent="0.25">
      <c r="B61" s="5"/>
      <c r="C61" s="5"/>
      <c r="D61" s="5"/>
      <c r="E61" s="5"/>
      <c r="F61" s="5"/>
      <c r="G61" s="5"/>
      <c r="H61" s="5"/>
      <c r="I61" s="5"/>
      <c r="J61" s="5"/>
      <c r="K61" s="5"/>
      <c r="L61" s="5"/>
      <c r="M61" s="5"/>
      <c r="N61" s="5"/>
      <c r="O61" s="5"/>
      <c r="P61"/>
      <c r="Q61"/>
      <c r="R61"/>
      <c r="S61"/>
      <c r="T61"/>
      <c r="U61"/>
      <c r="V61"/>
      <c r="W61"/>
      <c r="X61"/>
      <c r="Y61"/>
    </row>
    <row r="62" spans="2:25" ht="15.75" customHeight="1" x14ac:dyDescent="0.25">
      <c r="B62" s="5"/>
      <c r="C62" s="5"/>
      <c r="D62" s="18" t="str">
        <f t="shared" ref="D62:O62" si="3">$E$11&amp;"."&amp;D$8</f>
        <v>2026.01</v>
      </c>
      <c r="E62" s="18" t="str">
        <f t="shared" si="3"/>
        <v>2026.02</v>
      </c>
      <c r="F62" s="18" t="str">
        <f t="shared" si="3"/>
        <v>2026.03</v>
      </c>
      <c r="G62" s="18" t="str">
        <f t="shared" si="3"/>
        <v>2026.04</v>
      </c>
      <c r="H62" s="18" t="str">
        <f t="shared" si="3"/>
        <v>2026.05</v>
      </c>
      <c r="I62" s="18" t="str">
        <f t="shared" si="3"/>
        <v>2026.06</v>
      </c>
      <c r="J62" s="18" t="str">
        <f t="shared" si="3"/>
        <v>2026.07</v>
      </c>
      <c r="K62" s="18" t="str">
        <f t="shared" si="3"/>
        <v>2026.08</v>
      </c>
      <c r="L62" s="18" t="str">
        <f t="shared" si="3"/>
        <v>2026.09</v>
      </c>
      <c r="M62" s="18" t="str">
        <f t="shared" si="3"/>
        <v>2026.10</v>
      </c>
      <c r="N62" s="18" t="str">
        <f t="shared" si="3"/>
        <v>2026.11</v>
      </c>
      <c r="O62" s="18" t="str">
        <f t="shared" si="3"/>
        <v>2026.12</v>
      </c>
      <c r="P62"/>
      <c r="Q62"/>
      <c r="R62"/>
      <c r="S62"/>
      <c r="T62"/>
      <c r="U62"/>
      <c r="V62"/>
      <c r="W62"/>
      <c r="X62"/>
      <c r="Y62"/>
    </row>
    <row r="63" spans="2:25" ht="15.75" customHeight="1" x14ac:dyDescent="0.25">
      <c r="B63" s="24" t="s">
        <v>150</v>
      </c>
      <c r="C63" s="24" t="s">
        <v>278</v>
      </c>
      <c r="D63" s="21">
        <f>_xll.DBRW($B$1,Opening!$E$11,Opening!D$8,$N$1,Opening!$H$11,Opening!$K$11,$O$1,Opening!$B63,$C63,$L$1)</f>
        <v>0</v>
      </c>
      <c r="E63" s="21">
        <f>_xll.DBRW($B$1,Opening!$E$11,Opening!E$8,$N$1,Opening!$H$11,Opening!$K$11,$O$1,Opening!$B63,$C63,$L$1)</f>
        <v>0</v>
      </c>
      <c r="F63" s="21">
        <f>_xll.DBRW($B$1,Opening!$E$11,Opening!F$8,$N$1,Opening!$H$11,Opening!$K$11,$O$1,Opening!$B63,$C63,$L$1)</f>
        <v>0</v>
      </c>
      <c r="G63" s="21">
        <f>_xll.DBRW($B$1,Opening!$E$11,Opening!G$8,$N$1,Opening!$H$11,Opening!$K$11,$O$1,Opening!$B63,$C63,$L$1)</f>
        <v>0</v>
      </c>
      <c r="H63" s="21">
        <f>_xll.DBRW($B$1,Opening!$E$11,Opening!H$8,$N$1,Opening!$H$11,Opening!$K$11,$O$1,Opening!$B63,$C63,$L$1)</f>
        <v>0</v>
      </c>
      <c r="I63" s="21">
        <f>_xll.DBRW($B$1,Opening!$E$11,Opening!I$8,$N$1,Opening!$H$11,Opening!$K$11,$O$1,Opening!$B63,$C63,$L$1)</f>
        <v>0</v>
      </c>
      <c r="J63" s="21">
        <f>_xll.DBRW($B$1,Opening!$E$11,Opening!J$8,$N$1,Opening!$H$11,Opening!$K$11,$O$1,Opening!$B63,$C63,$L$1)</f>
        <v>0</v>
      </c>
      <c r="K63" s="21">
        <f>_xll.DBRW($B$1,Opening!$E$11,Opening!K$8,$N$1,Opening!$H$11,Opening!$K$11,$O$1,Opening!$B63,$C63,$L$1)</f>
        <v>0</v>
      </c>
      <c r="L63" s="21">
        <f>_xll.DBRW($B$1,Opening!$E$11,Opening!L$8,$N$1,Opening!$H$11,Opening!$K$11,$O$1,Opening!$B63,$C63,$L$1)</f>
        <v>0</v>
      </c>
      <c r="M63" s="21">
        <f>_xll.DBRW($B$1,Opening!$E$11,Opening!M$8,$N$1,Opening!$H$11,Opening!$K$11,$O$1,Opening!$B63,$C63,$L$1)</f>
        <v>0</v>
      </c>
      <c r="N63" s="21">
        <f>_xll.DBRW($B$1,Opening!$E$11,Opening!N$8,$N$1,Opening!$H$11,Opening!$K$11,$O$1,Opening!$B63,$C63,$L$1)</f>
        <v>0</v>
      </c>
      <c r="O63" s="21">
        <f>_xll.DBRW($B$1,Opening!$E$11,Opening!O$8,$N$1,Opening!$H$11,Opening!$K$11,$O$1,Opening!$B63,$C63,$L$1)</f>
        <v>0</v>
      </c>
      <c r="P63"/>
      <c r="Q63"/>
      <c r="R63"/>
      <c r="S63"/>
      <c r="T63"/>
      <c r="U63"/>
      <c r="V63"/>
      <c r="W63"/>
      <c r="X63"/>
      <c r="Y63"/>
    </row>
    <row r="64" spans="2:25" ht="15.75" customHeight="1" x14ac:dyDescent="0.25">
      <c r="B64" s="17" t="s">
        <v>150</v>
      </c>
      <c r="C64" s="17" t="s">
        <v>228</v>
      </c>
      <c r="D64" s="16">
        <f>_xll.DBRW($B$1,Opening!$E$11,Opening!D$8,$N$1,Opening!$H$11,Opening!$K$11,$O$1,Opening!$B64,$C64,$L$1)</f>
        <v>0</v>
      </c>
      <c r="E64" s="16">
        <f>_xll.DBRW($B$1,Opening!$E$11,Opening!E$8,$N$1,Opening!$H$11,Opening!$K$11,$O$1,Opening!$B64,$C64,$L$1)</f>
        <v>0</v>
      </c>
      <c r="F64" s="16">
        <f>_xll.DBRW($B$1,Opening!$E$11,Opening!F$8,$N$1,Opening!$H$11,Opening!$K$11,$O$1,Opening!$B64,$C64,$L$1)</f>
        <v>0</v>
      </c>
      <c r="G64" s="16">
        <f>_xll.DBRW($B$1,Opening!$E$11,Opening!G$8,$N$1,Opening!$H$11,Opening!$K$11,$O$1,Opening!$B64,$C64,$L$1)</f>
        <v>0</v>
      </c>
      <c r="H64" s="16">
        <f>_xll.DBRW($B$1,Opening!$E$11,Opening!H$8,$N$1,Opening!$H$11,Opening!$K$11,$O$1,Opening!$B64,$C64,$L$1)</f>
        <v>0</v>
      </c>
      <c r="I64" s="16">
        <f>_xll.DBRW($B$1,Opening!$E$11,Opening!I$8,$N$1,Opening!$H$11,Opening!$K$11,$O$1,Opening!$B64,$C64,$L$1)</f>
        <v>0</v>
      </c>
      <c r="J64" s="16">
        <f>_xll.DBRW($B$1,Opening!$E$11,Opening!J$8,$N$1,Opening!$H$11,Opening!$K$11,$O$1,Opening!$B64,$C64,$L$1)</f>
        <v>0</v>
      </c>
      <c r="K64" s="16">
        <f>_xll.DBRW($B$1,Opening!$E$11,Opening!K$8,$N$1,Opening!$H$11,Opening!$K$11,$O$1,Opening!$B64,$C64,$L$1)</f>
        <v>0</v>
      </c>
      <c r="L64" s="16">
        <f>_xll.DBRW($B$1,Opening!$E$11,Opening!L$8,$N$1,Opening!$H$11,Opening!$K$11,$O$1,Opening!$B64,$C64,$L$1)</f>
        <v>0</v>
      </c>
      <c r="M64" s="16">
        <f>_xll.DBRW($B$1,Opening!$E$11,Opening!M$8,$N$1,Opening!$H$11,Opening!$K$11,$O$1,Opening!$B64,$C64,$L$1)</f>
        <v>0</v>
      </c>
      <c r="N64" s="16">
        <f>_xll.DBRW($B$1,Opening!$E$11,Opening!N$8,$N$1,Opening!$H$11,Opening!$K$11,$O$1,Opening!$B64,$C64,$L$1)</f>
        <v>0</v>
      </c>
      <c r="O64" s="16">
        <f>_xll.DBRW($B$1,Opening!$E$11,Opening!O$8,$N$1,Opening!$H$11,Opening!$K$11,$O$1,Opening!$B64,$C64,$L$1)</f>
        <v>0</v>
      </c>
      <c r="P64"/>
      <c r="Q64"/>
      <c r="R64"/>
      <c r="S64"/>
      <c r="T64"/>
      <c r="U64"/>
      <c r="V64"/>
      <c r="W64"/>
      <c r="X64"/>
      <c r="Y64"/>
    </row>
    <row r="65" spans="2:25" ht="15.75" customHeight="1" x14ac:dyDescent="0.25">
      <c r="B65" s="17" t="s">
        <v>150</v>
      </c>
      <c r="C65" s="17" t="s">
        <v>229</v>
      </c>
      <c r="D65" s="16">
        <f>_xll.DBRW($B$1,Opening!$E$11,Opening!D$8,$N$1,Opening!$H$11,Opening!$K$11,$O$1,Opening!$B65,$C65,$L$1)</f>
        <v>0</v>
      </c>
      <c r="E65" s="16">
        <f>_xll.DBRW($B$1,Opening!$E$11,Opening!E$8,$N$1,Opening!$H$11,Opening!$K$11,$O$1,Opening!$B65,$C65,$L$1)</f>
        <v>0</v>
      </c>
      <c r="F65" s="16">
        <f>_xll.DBRW($B$1,Opening!$E$11,Opening!F$8,$N$1,Opening!$H$11,Opening!$K$11,$O$1,Opening!$B65,$C65,$L$1)</f>
        <v>0</v>
      </c>
      <c r="G65" s="16">
        <f>_xll.DBRW($B$1,Opening!$E$11,Opening!G$8,$N$1,Opening!$H$11,Opening!$K$11,$O$1,Opening!$B65,$C65,$L$1)</f>
        <v>0</v>
      </c>
      <c r="H65" s="16">
        <f>_xll.DBRW($B$1,Opening!$E$11,Opening!H$8,$N$1,Opening!$H$11,Opening!$K$11,$O$1,Opening!$B65,$C65,$L$1)</f>
        <v>0</v>
      </c>
      <c r="I65" s="16">
        <f>_xll.DBRW($B$1,Opening!$E$11,Opening!I$8,$N$1,Opening!$H$11,Opening!$K$11,$O$1,Opening!$B65,$C65,$L$1)</f>
        <v>0</v>
      </c>
      <c r="J65" s="16">
        <f>_xll.DBRW($B$1,Opening!$E$11,Opening!J$8,$N$1,Opening!$H$11,Opening!$K$11,$O$1,Opening!$B65,$C65,$L$1)</f>
        <v>0</v>
      </c>
      <c r="K65" s="16">
        <f>_xll.DBRW($B$1,Opening!$E$11,Opening!K$8,$N$1,Opening!$H$11,Opening!$K$11,$O$1,Opening!$B65,$C65,$L$1)</f>
        <v>0</v>
      </c>
      <c r="L65" s="16">
        <f>_xll.DBRW($B$1,Opening!$E$11,Opening!L$8,$N$1,Opening!$H$11,Opening!$K$11,$O$1,Opening!$B65,$C65,$L$1)</f>
        <v>0</v>
      </c>
      <c r="M65" s="16">
        <f>_xll.DBRW($B$1,Opening!$E$11,Opening!M$8,$N$1,Opening!$H$11,Opening!$K$11,$O$1,Opening!$B65,$C65,$L$1)</f>
        <v>0</v>
      </c>
      <c r="N65" s="16">
        <f>_xll.DBRW($B$1,Opening!$E$11,Opening!N$8,$N$1,Opening!$H$11,Opening!$K$11,$O$1,Opening!$B65,$C65,$L$1)</f>
        <v>0</v>
      </c>
      <c r="O65" s="16">
        <f>_xll.DBRW($B$1,Opening!$E$11,Opening!O$8,$N$1,Opening!$H$11,Opening!$K$11,$O$1,Opening!$B65,$C65,$L$1)</f>
        <v>0</v>
      </c>
      <c r="P65"/>
      <c r="Q65"/>
      <c r="R65"/>
      <c r="S65"/>
      <c r="T65"/>
      <c r="U65"/>
      <c r="V65"/>
      <c r="W65"/>
      <c r="X65"/>
      <c r="Y65"/>
    </row>
    <row r="66" spans="2:25" ht="15.75" customHeight="1" x14ac:dyDescent="0.25">
      <c r="B66" s="17" t="s">
        <v>150</v>
      </c>
      <c r="C66" s="17" t="s">
        <v>230</v>
      </c>
      <c r="D66" s="16">
        <f>_xll.DBRW($B$1,Opening!$E$11,Opening!D$8,$N$1,Opening!$H$11,Opening!$K$11,$O$1,Opening!$B66,$C66,$L$1)</f>
        <v>0</v>
      </c>
      <c r="E66" s="16">
        <f>_xll.DBRW($B$1,Opening!$E$11,Opening!E$8,$N$1,Opening!$H$11,Opening!$K$11,$O$1,Opening!$B66,$C66,$L$1)</f>
        <v>0</v>
      </c>
      <c r="F66" s="16">
        <f>_xll.DBRW($B$1,Opening!$E$11,Opening!F$8,$N$1,Opening!$H$11,Opening!$K$11,$O$1,Opening!$B66,$C66,$L$1)</f>
        <v>0</v>
      </c>
      <c r="G66" s="16">
        <f>_xll.DBRW($B$1,Opening!$E$11,Opening!G$8,$N$1,Opening!$H$11,Opening!$K$11,$O$1,Opening!$B66,$C66,$L$1)</f>
        <v>0</v>
      </c>
      <c r="H66" s="16">
        <f>_xll.DBRW($B$1,Opening!$E$11,Opening!H$8,$N$1,Opening!$H$11,Opening!$K$11,$O$1,Opening!$B66,$C66,$L$1)</f>
        <v>0</v>
      </c>
      <c r="I66" s="16">
        <f>_xll.DBRW($B$1,Opening!$E$11,Opening!I$8,$N$1,Opening!$H$11,Opening!$K$11,$O$1,Opening!$B66,$C66,$L$1)</f>
        <v>0</v>
      </c>
      <c r="J66" s="16">
        <f>_xll.DBRW($B$1,Opening!$E$11,Opening!J$8,$N$1,Opening!$H$11,Opening!$K$11,$O$1,Opening!$B66,$C66,$L$1)</f>
        <v>0</v>
      </c>
      <c r="K66" s="16">
        <f>_xll.DBRW($B$1,Opening!$E$11,Opening!K$8,$N$1,Opening!$H$11,Opening!$K$11,$O$1,Opening!$B66,$C66,$L$1)</f>
        <v>0</v>
      </c>
      <c r="L66" s="16">
        <f>_xll.DBRW($B$1,Opening!$E$11,Opening!L$8,$N$1,Opening!$H$11,Opening!$K$11,$O$1,Opening!$B66,$C66,$L$1)</f>
        <v>0</v>
      </c>
      <c r="M66" s="16">
        <f>_xll.DBRW($B$1,Opening!$E$11,Opening!M$8,$N$1,Opening!$H$11,Opening!$K$11,$O$1,Opening!$B66,$C66,$L$1)</f>
        <v>0</v>
      </c>
      <c r="N66" s="16">
        <f>_xll.DBRW($B$1,Opening!$E$11,Opening!N$8,$N$1,Opening!$H$11,Opening!$K$11,$O$1,Opening!$B66,$C66,$L$1)</f>
        <v>0</v>
      </c>
      <c r="O66" s="16">
        <f>_xll.DBRW($B$1,Opening!$E$11,Opening!O$8,$N$1,Opening!$H$11,Opening!$K$11,$O$1,Opening!$B66,$C66,$L$1)</f>
        <v>0</v>
      </c>
      <c r="P66"/>
      <c r="Q66"/>
      <c r="R66"/>
      <c r="S66"/>
      <c r="T66"/>
      <c r="U66"/>
      <c r="V66"/>
      <c r="W66"/>
      <c r="X66"/>
      <c r="Y66"/>
    </row>
    <row r="67" spans="2:25" ht="15.75" customHeight="1" x14ac:dyDescent="0.25">
      <c r="B67" s="17" t="s">
        <v>150</v>
      </c>
      <c r="C67" s="17" t="s">
        <v>231</v>
      </c>
      <c r="D67" s="16">
        <f>_xll.DBRW($B$1,Opening!$E$11,Opening!D$8,$N$1,Opening!$H$11,Opening!$K$11,$O$1,Opening!$B67,$C67,$L$1)</f>
        <v>0</v>
      </c>
      <c r="E67" s="16">
        <f>_xll.DBRW($B$1,Opening!$E$11,Opening!E$8,$N$1,Opening!$H$11,Opening!$K$11,$O$1,Opening!$B67,$C67,$L$1)</f>
        <v>0</v>
      </c>
      <c r="F67" s="16">
        <f>_xll.DBRW($B$1,Opening!$E$11,Opening!F$8,$N$1,Opening!$H$11,Opening!$K$11,$O$1,Opening!$B67,$C67,$L$1)</f>
        <v>0</v>
      </c>
      <c r="G67" s="16">
        <f>_xll.DBRW($B$1,Opening!$E$11,Opening!G$8,$N$1,Opening!$H$11,Opening!$K$11,$O$1,Opening!$B67,$C67,$L$1)</f>
        <v>0</v>
      </c>
      <c r="H67" s="16">
        <f>_xll.DBRW($B$1,Opening!$E$11,Opening!H$8,$N$1,Opening!$H$11,Opening!$K$11,$O$1,Opening!$B67,$C67,$L$1)</f>
        <v>0</v>
      </c>
      <c r="I67" s="16">
        <f>_xll.DBRW($B$1,Opening!$E$11,Opening!I$8,$N$1,Opening!$H$11,Opening!$K$11,$O$1,Opening!$B67,$C67,$L$1)</f>
        <v>0</v>
      </c>
      <c r="J67" s="16">
        <f>_xll.DBRW($B$1,Opening!$E$11,Opening!J$8,$N$1,Opening!$H$11,Opening!$K$11,$O$1,Opening!$B67,$C67,$L$1)</f>
        <v>0</v>
      </c>
      <c r="K67" s="16">
        <f>_xll.DBRW($B$1,Opening!$E$11,Opening!K$8,$N$1,Opening!$H$11,Opening!$K$11,$O$1,Opening!$B67,$C67,$L$1)</f>
        <v>0</v>
      </c>
      <c r="L67" s="16">
        <f>_xll.DBRW($B$1,Opening!$E$11,Opening!L$8,$N$1,Opening!$H$11,Opening!$K$11,$O$1,Opening!$B67,$C67,$L$1)</f>
        <v>0</v>
      </c>
      <c r="M67" s="16">
        <f>_xll.DBRW($B$1,Opening!$E$11,Opening!M$8,$N$1,Opening!$H$11,Opening!$K$11,$O$1,Opening!$B67,$C67,$L$1)</f>
        <v>0</v>
      </c>
      <c r="N67" s="16">
        <f>_xll.DBRW($B$1,Opening!$E$11,Opening!N$8,$N$1,Opening!$H$11,Opening!$K$11,$O$1,Opening!$B67,$C67,$L$1)</f>
        <v>0</v>
      </c>
      <c r="O67" s="16">
        <f>_xll.DBRW($B$1,Opening!$E$11,Opening!O$8,$N$1,Opening!$H$11,Opening!$K$11,$O$1,Opening!$B67,$C67,$L$1)</f>
        <v>0</v>
      </c>
      <c r="P67"/>
      <c r="Q67"/>
      <c r="R67"/>
      <c r="S67"/>
      <c r="T67"/>
      <c r="U67"/>
      <c r="V67"/>
      <c r="W67"/>
      <c r="X67"/>
      <c r="Y67"/>
    </row>
    <row r="68" spans="2:25" ht="15.75" customHeight="1" x14ac:dyDescent="0.25">
      <c r="B68" s="17" t="s">
        <v>150</v>
      </c>
      <c r="C68" s="17" t="s">
        <v>232</v>
      </c>
      <c r="D68" s="16">
        <f>_xll.DBRW($B$1,Opening!$E$11,Opening!D$8,$N$1,Opening!$H$11,Opening!$K$11,$O$1,Opening!$B68,$C68,$L$1)</f>
        <v>0</v>
      </c>
      <c r="E68" s="16">
        <f>_xll.DBRW($B$1,Opening!$E$11,Opening!E$8,$N$1,Opening!$H$11,Opening!$K$11,$O$1,Opening!$B68,$C68,$L$1)</f>
        <v>0</v>
      </c>
      <c r="F68" s="16">
        <f>_xll.DBRW($B$1,Opening!$E$11,Opening!F$8,$N$1,Opening!$H$11,Opening!$K$11,$O$1,Opening!$B68,$C68,$L$1)</f>
        <v>0</v>
      </c>
      <c r="G68" s="16">
        <f>_xll.DBRW($B$1,Opening!$E$11,Opening!G$8,$N$1,Opening!$H$11,Opening!$K$11,$O$1,Opening!$B68,$C68,$L$1)</f>
        <v>0</v>
      </c>
      <c r="H68" s="16">
        <f>_xll.DBRW($B$1,Opening!$E$11,Opening!H$8,$N$1,Opening!$H$11,Opening!$K$11,$O$1,Opening!$B68,$C68,$L$1)</f>
        <v>0</v>
      </c>
      <c r="I68" s="16">
        <f>_xll.DBRW($B$1,Opening!$E$11,Opening!I$8,$N$1,Opening!$H$11,Opening!$K$11,$O$1,Opening!$B68,$C68,$L$1)</f>
        <v>0</v>
      </c>
      <c r="J68" s="16">
        <f>_xll.DBRW($B$1,Opening!$E$11,Opening!J$8,$N$1,Opening!$H$11,Opening!$K$11,$O$1,Opening!$B68,$C68,$L$1)</f>
        <v>0</v>
      </c>
      <c r="K68" s="16">
        <f>_xll.DBRW($B$1,Opening!$E$11,Opening!K$8,$N$1,Opening!$H$11,Opening!$K$11,$O$1,Opening!$B68,$C68,$L$1)</f>
        <v>0</v>
      </c>
      <c r="L68" s="16">
        <f>_xll.DBRW($B$1,Opening!$E$11,Opening!L$8,$N$1,Opening!$H$11,Opening!$K$11,$O$1,Opening!$B68,$C68,$L$1)</f>
        <v>0</v>
      </c>
      <c r="M68" s="16">
        <f>_xll.DBRW($B$1,Opening!$E$11,Opening!M$8,$N$1,Opening!$H$11,Opening!$K$11,$O$1,Opening!$B68,$C68,$L$1)</f>
        <v>0</v>
      </c>
      <c r="N68" s="16">
        <f>_xll.DBRW($B$1,Opening!$E$11,Opening!N$8,$N$1,Opening!$H$11,Opening!$K$11,$O$1,Opening!$B68,$C68,$L$1)</f>
        <v>0</v>
      </c>
      <c r="O68" s="16">
        <f>_xll.DBRW($B$1,Opening!$E$11,Opening!O$8,$N$1,Opening!$H$11,Opening!$K$11,$O$1,Opening!$B68,$C68,$L$1)</f>
        <v>0</v>
      </c>
      <c r="P68"/>
      <c r="Q68"/>
      <c r="R68"/>
      <c r="S68"/>
      <c r="T68"/>
      <c r="U68"/>
      <c r="V68"/>
      <c r="W68"/>
      <c r="X68"/>
      <c r="Y68"/>
    </row>
    <row r="69" spans="2:25" ht="15.75" customHeight="1" x14ac:dyDescent="0.25">
      <c r="B69" s="17" t="s">
        <v>150</v>
      </c>
      <c r="C69" s="17" t="s">
        <v>66</v>
      </c>
      <c r="D69" s="16">
        <f>_xll.DBRW($B$1,Opening!$E$11,Opening!D$8,$N$1,Opening!$H$11,Opening!$K$11,$O$1,Opening!$B69,$C69,$L$1)</f>
        <v>0</v>
      </c>
      <c r="E69" s="16">
        <f>_xll.DBRW($B$1,Opening!$E$11,Opening!E$8,$N$1,Opening!$H$11,Opening!$K$11,$O$1,Opening!$B69,$C69,$L$1)</f>
        <v>0</v>
      </c>
      <c r="F69" s="16">
        <f>_xll.DBRW($B$1,Opening!$E$11,Opening!F$8,$N$1,Opening!$H$11,Opening!$K$11,$O$1,Opening!$B69,$C69,$L$1)</f>
        <v>0</v>
      </c>
      <c r="G69" s="16">
        <f>_xll.DBRW($B$1,Opening!$E$11,Opening!G$8,$N$1,Opening!$H$11,Opening!$K$11,$O$1,Opening!$B69,$C69,$L$1)</f>
        <v>0</v>
      </c>
      <c r="H69" s="16">
        <f>_xll.DBRW($B$1,Opening!$E$11,Opening!H$8,$N$1,Opening!$H$11,Opening!$K$11,$O$1,Opening!$B69,$C69,$L$1)</f>
        <v>0</v>
      </c>
      <c r="I69" s="16">
        <f>_xll.DBRW($B$1,Opening!$E$11,Opening!I$8,$N$1,Opening!$H$11,Opening!$K$11,$O$1,Opening!$B69,$C69,$L$1)</f>
        <v>0</v>
      </c>
      <c r="J69" s="16">
        <f>_xll.DBRW($B$1,Opening!$E$11,Opening!J$8,$N$1,Opening!$H$11,Opening!$K$11,$O$1,Opening!$B69,$C69,$L$1)</f>
        <v>0</v>
      </c>
      <c r="K69" s="16">
        <f>_xll.DBRW($B$1,Opening!$E$11,Opening!K$8,$N$1,Opening!$H$11,Opening!$K$11,$O$1,Opening!$B69,$C69,$L$1)</f>
        <v>0</v>
      </c>
      <c r="L69" s="16">
        <f>_xll.DBRW($B$1,Opening!$E$11,Opening!L$8,$N$1,Opening!$H$11,Opening!$K$11,$O$1,Opening!$B69,$C69,$L$1)</f>
        <v>0</v>
      </c>
      <c r="M69" s="16">
        <f>_xll.DBRW($B$1,Opening!$E$11,Opening!M$8,$N$1,Opening!$H$11,Opening!$K$11,$O$1,Opening!$B69,$C69,$L$1)</f>
        <v>0</v>
      </c>
      <c r="N69" s="16">
        <f>_xll.DBRW($B$1,Opening!$E$11,Opening!N$8,$N$1,Opening!$H$11,Opening!$K$11,$O$1,Opening!$B69,$C69,$L$1)</f>
        <v>0</v>
      </c>
      <c r="O69" s="16">
        <f>_xll.DBRW($B$1,Opening!$E$11,Opening!O$8,$N$1,Opening!$H$11,Opening!$K$11,$O$1,Opening!$B69,$C69,$L$1)</f>
        <v>0</v>
      </c>
      <c r="P69"/>
      <c r="Q69"/>
      <c r="R69"/>
      <c r="S69"/>
      <c r="T69"/>
      <c r="U69"/>
      <c r="V69"/>
      <c r="W69"/>
      <c r="X69"/>
      <c r="Y69"/>
    </row>
    <row r="70" spans="2:25" ht="15.75" customHeight="1" x14ac:dyDescent="0.25">
      <c r="C70" s="5"/>
      <c r="D70" s="5"/>
      <c r="E70" s="5"/>
      <c r="F70" s="5"/>
      <c r="G70" s="5"/>
      <c r="H70" s="5"/>
      <c r="I70" s="5"/>
      <c r="J70" s="5"/>
      <c r="K70" s="5"/>
      <c r="L70" s="5"/>
      <c r="M70" s="5"/>
      <c r="N70" s="5"/>
      <c r="O70" s="5"/>
      <c r="P70"/>
      <c r="Q70"/>
      <c r="R70"/>
      <c r="S70"/>
      <c r="T70"/>
      <c r="U70"/>
      <c r="V70"/>
      <c r="W70"/>
      <c r="X70"/>
      <c r="Y70"/>
    </row>
    <row r="71" spans="2:25" ht="15.75" customHeight="1" thickBot="1" x14ac:dyDescent="0.3">
      <c r="B71" s="10"/>
      <c r="C71" s="5"/>
      <c r="D71" s="5"/>
      <c r="E71" s="5"/>
      <c r="F71" s="5"/>
      <c r="G71" s="5"/>
      <c r="H71" s="5"/>
      <c r="I71" s="5"/>
      <c r="J71" s="5"/>
      <c r="K71" s="5"/>
      <c r="L71" s="5"/>
      <c r="M71" s="5"/>
      <c r="N71" s="5"/>
      <c r="O71" s="5"/>
      <c r="P71"/>
      <c r="Q71"/>
      <c r="R71"/>
      <c r="S71"/>
      <c r="T71"/>
      <c r="U71"/>
      <c r="V71"/>
      <c r="W71"/>
      <c r="X71"/>
      <c r="Y71"/>
    </row>
    <row r="72" spans="2:25" ht="15.75" customHeight="1" thickTop="1" x14ac:dyDescent="0.25">
      <c r="B72" s="9" t="s">
        <v>162</v>
      </c>
      <c r="C72" s="5"/>
      <c r="D72" s="5"/>
      <c r="E72" s="5"/>
      <c r="F72" s="5"/>
      <c r="G72" s="5"/>
      <c r="H72" s="5"/>
      <c r="I72" s="5"/>
      <c r="J72" s="5"/>
      <c r="K72" s="5"/>
      <c r="L72" s="5"/>
      <c r="M72" s="5"/>
      <c r="N72" s="5"/>
      <c r="O72" s="5"/>
      <c r="P72"/>
      <c r="Q72"/>
      <c r="R72"/>
      <c r="S72"/>
      <c r="T72"/>
      <c r="U72"/>
      <c r="V72"/>
      <c r="W72"/>
      <c r="X72"/>
      <c r="Y72"/>
    </row>
    <row r="73" spans="2:25" ht="15.75" customHeight="1" x14ac:dyDescent="0.25">
      <c r="B73" s="5"/>
      <c r="C73" s="5"/>
      <c r="D73" s="5"/>
      <c r="E73" s="5"/>
      <c r="F73" s="5"/>
      <c r="G73" s="5"/>
      <c r="H73" s="5"/>
      <c r="I73" s="5"/>
      <c r="J73" s="5"/>
      <c r="K73" s="5"/>
      <c r="L73" s="5"/>
      <c r="M73" s="5"/>
      <c r="N73" s="5"/>
      <c r="O73" s="5"/>
      <c r="P73"/>
      <c r="Q73"/>
      <c r="R73"/>
      <c r="S73"/>
      <c r="T73"/>
      <c r="U73"/>
      <c r="V73"/>
      <c r="W73"/>
      <c r="X73"/>
      <c r="Y73"/>
    </row>
    <row r="74" spans="2:25" ht="15.75" customHeight="1" x14ac:dyDescent="0.25">
      <c r="B74" s="5"/>
      <c r="C74" s="5"/>
      <c r="D74" s="18" t="str">
        <f t="shared" ref="D74:O74" si="4">$E$11&amp;"."&amp;D$8</f>
        <v>2026.01</v>
      </c>
      <c r="E74" s="18" t="str">
        <f t="shared" si="4"/>
        <v>2026.02</v>
      </c>
      <c r="F74" s="18" t="str">
        <f t="shared" si="4"/>
        <v>2026.03</v>
      </c>
      <c r="G74" s="18" t="str">
        <f t="shared" si="4"/>
        <v>2026.04</v>
      </c>
      <c r="H74" s="18" t="str">
        <f t="shared" si="4"/>
        <v>2026.05</v>
      </c>
      <c r="I74" s="18" t="str">
        <f t="shared" si="4"/>
        <v>2026.06</v>
      </c>
      <c r="J74" s="18" t="str">
        <f t="shared" si="4"/>
        <v>2026.07</v>
      </c>
      <c r="K74" s="18" t="str">
        <f t="shared" si="4"/>
        <v>2026.08</v>
      </c>
      <c r="L74" s="18" t="str">
        <f t="shared" si="4"/>
        <v>2026.09</v>
      </c>
      <c r="M74" s="18" t="str">
        <f t="shared" si="4"/>
        <v>2026.10</v>
      </c>
      <c r="N74" s="18" t="str">
        <f t="shared" si="4"/>
        <v>2026.11</v>
      </c>
      <c r="O74" s="18" t="str">
        <f t="shared" si="4"/>
        <v>2026.12</v>
      </c>
      <c r="P74"/>
      <c r="Q74"/>
      <c r="R74"/>
      <c r="S74"/>
      <c r="T74"/>
      <c r="U74"/>
      <c r="V74"/>
      <c r="W74"/>
      <c r="X74"/>
      <c r="Y74"/>
    </row>
    <row r="75" spans="2:25" ht="22.5" x14ac:dyDescent="0.25">
      <c r="B75" s="24" t="s">
        <v>163</v>
      </c>
      <c r="C75" s="24" t="s">
        <v>278</v>
      </c>
      <c r="D75" s="21">
        <f>_xll.DBRW($B$1,Opening!$E$11,Opening!D$8,$N$1,Opening!$H$11,Opening!$K$11,$O$1,Opening!$B75,$C75,$L$1)</f>
        <v>0</v>
      </c>
      <c r="E75" s="21">
        <f>_xll.DBRW($B$1,Opening!$E$11,Opening!E$8,$N$1,Opening!$H$11,Opening!$K$11,$O$1,Opening!$B75,$C75,$L$1)</f>
        <v>0</v>
      </c>
      <c r="F75" s="21">
        <f>_xll.DBRW($B$1,Opening!$E$11,Opening!F$8,$N$1,Opening!$H$11,Opening!$K$11,$O$1,Opening!$B75,$C75,$L$1)</f>
        <v>0</v>
      </c>
      <c r="G75" s="21">
        <f>_xll.DBRW($B$1,Opening!$E$11,Opening!G$8,$N$1,Opening!$H$11,Opening!$K$11,$O$1,Opening!$B75,$C75,$L$1)</f>
        <v>0</v>
      </c>
      <c r="H75" s="21">
        <f>_xll.DBRW($B$1,Opening!$E$11,Opening!H$8,$N$1,Opening!$H$11,Opening!$K$11,$O$1,Opening!$B75,$C75,$L$1)</f>
        <v>0</v>
      </c>
      <c r="I75" s="21">
        <f>_xll.DBRW($B$1,Opening!$E$11,Opening!I$8,$N$1,Opening!$H$11,Opening!$K$11,$O$1,Opening!$B75,$C75,$L$1)</f>
        <v>0</v>
      </c>
      <c r="J75" s="21">
        <f>_xll.DBRW($B$1,Opening!$E$11,Opening!J$8,$N$1,Opening!$H$11,Opening!$K$11,$O$1,Opening!$B75,$C75,$L$1)</f>
        <v>0</v>
      </c>
      <c r="K75" s="21">
        <f>_xll.DBRW($B$1,Opening!$E$11,Opening!K$8,$N$1,Opening!$H$11,Opening!$K$11,$O$1,Opening!$B75,$C75,$L$1)</f>
        <v>0</v>
      </c>
      <c r="L75" s="21">
        <f>_xll.DBRW($B$1,Opening!$E$11,Opening!L$8,$N$1,Opening!$H$11,Opening!$K$11,$O$1,Opening!$B75,$C75,$L$1)</f>
        <v>0</v>
      </c>
      <c r="M75" s="21">
        <f>_xll.DBRW($B$1,Opening!$E$11,Opening!M$8,$N$1,Opening!$H$11,Opening!$K$11,$O$1,Opening!$B75,$C75,$L$1)</f>
        <v>0</v>
      </c>
      <c r="N75" s="21">
        <f>_xll.DBRW($B$1,Opening!$E$11,Opening!N$8,$N$1,Opening!$H$11,Opening!$K$11,$O$1,Opening!$B75,$C75,$L$1)</f>
        <v>0</v>
      </c>
      <c r="O75" s="21">
        <f>_xll.DBRW($B$1,Opening!$E$11,Opening!O$8,$N$1,Opening!$H$11,Opening!$K$11,$O$1,Opening!$B75,$C75,$L$1)</f>
        <v>0</v>
      </c>
      <c r="P75"/>
      <c r="Q75"/>
      <c r="R75"/>
      <c r="S75"/>
      <c r="T75"/>
      <c r="U75"/>
      <c r="V75"/>
      <c r="W75"/>
      <c r="X75"/>
      <c r="Y75"/>
    </row>
    <row r="76" spans="2:25" ht="22.5" x14ac:dyDescent="0.25">
      <c r="B76" s="17" t="s">
        <v>163</v>
      </c>
      <c r="C76" s="17" t="s">
        <v>233</v>
      </c>
      <c r="D76" s="16"/>
      <c r="E76" s="16"/>
      <c r="F76" s="16"/>
      <c r="G76" s="16"/>
      <c r="H76" s="16"/>
      <c r="I76" s="16"/>
      <c r="J76" s="16"/>
      <c r="K76" s="16"/>
      <c r="L76" s="16"/>
      <c r="M76" s="16"/>
      <c r="N76" s="16"/>
      <c r="O76" s="16"/>
      <c r="P76"/>
      <c r="Q76"/>
      <c r="R76"/>
      <c r="S76"/>
      <c r="T76"/>
      <c r="U76"/>
      <c r="V76"/>
      <c r="W76"/>
      <c r="X76"/>
      <c r="Y76"/>
    </row>
    <row r="77" spans="2:25" ht="22.5" x14ac:dyDescent="0.25">
      <c r="B77" s="17" t="s">
        <v>163</v>
      </c>
      <c r="C77" s="17" t="s">
        <v>234</v>
      </c>
      <c r="D77" s="16">
        <f>_xll.DBRW($B$1,Opening!$E$11,Opening!D$8,$N$1,Opening!$H$11,Opening!$K$11,$O$1,Opening!$B77,$C77,$L$1)</f>
        <v>0</v>
      </c>
      <c r="E77" s="16">
        <f>_xll.DBRW($B$1,Opening!$E$11,Opening!E$8,$N$1,Opening!$H$11,Opening!$K$11,$O$1,Opening!$B77,$C77,$L$1)</f>
        <v>0</v>
      </c>
      <c r="F77" s="16">
        <f>_xll.DBRW($B$1,Opening!$E$11,Opening!F$8,$N$1,Opening!$H$11,Opening!$K$11,$O$1,Opening!$B77,$C77,$L$1)</f>
        <v>0</v>
      </c>
      <c r="G77" s="16">
        <f>_xll.DBRW($B$1,Opening!$E$11,Opening!G$8,$N$1,Opening!$H$11,Opening!$K$11,$O$1,Opening!$B77,$C77,$L$1)</f>
        <v>0</v>
      </c>
      <c r="H77" s="16">
        <f>_xll.DBRW($B$1,Opening!$E$11,Opening!H$8,$N$1,Opening!$H$11,Opening!$K$11,$O$1,Opening!$B77,$C77,$L$1)</f>
        <v>0</v>
      </c>
      <c r="I77" s="16">
        <f>_xll.DBRW($B$1,Opening!$E$11,Opening!I$8,$N$1,Opening!$H$11,Opening!$K$11,$O$1,Opening!$B77,$C77,$L$1)</f>
        <v>0</v>
      </c>
      <c r="J77" s="16">
        <f>_xll.DBRW($B$1,Opening!$E$11,Opening!J$8,$N$1,Opening!$H$11,Opening!$K$11,$O$1,Opening!$B77,$C77,$L$1)</f>
        <v>0</v>
      </c>
      <c r="K77" s="16">
        <f>_xll.DBRW($B$1,Opening!$E$11,Opening!K$8,$N$1,Opening!$H$11,Opening!$K$11,$O$1,Opening!$B77,$C77,$L$1)</f>
        <v>0</v>
      </c>
      <c r="L77" s="16">
        <f>_xll.DBRW($B$1,Opening!$E$11,Opening!L$8,$N$1,Opening!$H$11,Opening!$K$11,$O$1,Opening!$B77,$C77,$L$1)</f>
        <v>0</v>
      </c>
      <c r="M77" s="16">
        <f>_xll.DBRW($B$1,Opening!$E$11,Opening!M$8,$N$1,Opening!$H$11,Opening!$K$11,$O$1,Opening!$B77,$C77,$L$1)</f>
        <v>0</v>
      </c>
      <c r="N77" s="16">
        <f>_xll.DBRW($B$1,Opening!$E$11,Opening!N$8,$N$1,Opening!$H$11,Opening!$K$11,$O$1,Opening!$B77,$C77,$L$1)</f>
        <v>0</v>
      </c>
      <c r="O77" s="16">
        <f>_xll.DBRW($B$1,Opening!$E$11,Opening!O$8,$N$1,Opening!$H$11,Opening!$K$11,$O$1,Opening!$B77,$C77,$L$1)</f>
        <v>0</v>
      </c>
      <c r="P77"/>
      <c r="Q77"/>
      <c r="R77"/>
      <c r="S77"/>
      <c r="T77"/>
      <c r="U77"/>
      <c r="V77"/>
      <c r="W77"/>
      <c r="X77"/>
      <c r="Y77"/>
    </row>
    <row r="78" spans="2:25" ht="22.5" x14ac:dyDescent="0.25">
      <c r="B78" s="17" t="s">
        <v>163</v>
      </c>
      <c r="C78" s="17" t="s">
        <v>235</v>
      </c>
      <c r="D78" s="16">
        <f>_xll.DBRW($B$1,Opening!$E$11,Opening!D$8,$N$1,Opening!$H$11,Opening!$K$11,$O$1,Opening!$B78,$C78,$L$1)</f>
        <v>0</v>
      </c>
      <c r="E78" s="16">
        <f>_xll.DBRW($B$1,Opening!$E$11,Opening!E$8,$N$1,Opening!$H$11,Opening!$K$11,$O$1,Opening!$B78,$C78,$L$1)</f>
        <v>0</v>
      </c>
      <c r="F78" s="16">
        <f>_xll.DBRW($B$1,Opening!$E$11,Opening!F$8,$N$1,Opening!$H$11,Opening!$K$11,$O$1,Opening!$B78,$C78,$L$1)</f>
        <v>0</v>
      </c>
      <c r="G78" s="16">
        <f>_xll.DBRW($B$1,Opening!$E$11,Opening!G$8,$N$1,Opening!$H$11,Opening!$K$11,$O$1,Opening!$B78,$C78,$L$1)</f>
        <v>0</v>
      </c>
      <c r="H78" s="16">
        <f>_xll.DBRW($B$1,Opening!$E$11,Opening!H$8,$N$1,Opening!$H$11,Opening!$K$11,$O$1,Opening!$B78,$C78,$L$1)</f>
        <v>0</v>
      </c>
      <c r="I78" s="16">
        <f>_xll.DBRW($B$1,Opening!$E$11,Opening!I$8,$N$1,Opening!$H$11,Opening!$K$11,$O$1,Opening!$B78,$C78,$L$1)</f>
        <v>0</v>
      </c>
      <c r="J78" s="16">
        <f>_xll.DBRW($B$1,Opening!$E$11,Opening!J$8,$N$1,Opening!$H$11,Opening!$K$11,$O$1,Opening!$B78,$C78,$L$1)</f>
        <v>0</v>
      </c>
      <c r="K78" s="16">
        <f>_xll.DBRW($B$1,Opening!$E$11,Opening!K$8,$N$1,Opening!$H$11,Opening!$K$11,$O$1,Opening!$B78,$C78,$L$1)</f>
        <v>0</v>
      </c>
      <c r="L78" s="16">
        <f>_xll.DBRW($B$1,Opening!$E$11,Opening!L$8,$N$1,Opening!$H$11,Opening!$K$11,$O$1,Opening!$B78,$C78,$L$1)</f>
        <v>0</v>
      </c>
      <c r="M78" s="16">
        <f>_xll.DBRW($B$1,Opening!$E$11,Opening!M$8,$N$1,Opening!$H$11,Opening!$K$11,$O$1,Opening!$B78,$C78,$L$1)</f>
        <v>0</v>
      </c>
      <c r="N78" s="16">
        <f>_xll.DBRW($B$1,Opening!$E$11,Opening!N$8,$N$1,Opening!$H$11,Opening!$K$11,$O$1,Opening!$B78,$C78,$L$1)</f>
        <v>0</v>
      </c>
      <c r="O78" s="16">
        <f>_xll.DBRW($B$1,Opening!$E$11,Opening!O$8,$N$1,Opening!$H$11,Opening!$K$11,$O$1,Opening!$B78,$C78,$L$1)</f>
        <v>0</v>
      </c>
      <c r="P78"/>
      <c r="Q78"/>
      <c r="R78"/>
      <c r="S78"/>
      <c r="T78"/>
      <c r="U78"/>
      <c r="V78"/>
      <c r="W78"/>
      <c r="X78"/>
      <c r="Y78"/>
    </row>
    <row r="79" spans="2:25" ht="22.5" x14ac:dyDescent="0.25">
      <c r="B79" s="17" t="s">
        <v>163</v>
      </c>
      <c r="C79" s="17" t="s">
        <v>236</v>
      </c>
      <c r="D79" s="16">
        <f>_xll.DBRW($B$1,Opening!$E$11,Opening!D$8,$N$1,Opening!$H$11,Opening!$K$11,$O$1,Opening!$B79,$C79,$L$1)</f>
        <v>0</v>
      </c>
      <c r="E79" s="16">
        <f>_xll.DBRW($B$1,Opening!$E$11,Opening!E$8,$N$1,Opening!$H$11,Opening!$K$11,$O$1,Opening!$B79,$C79,$L$1)</f>
        <v>0</v>
      </c>
      <c r="F79" s="16">
        <f>_xll.DBRW($B$1,Opening!$E$11,Opening!F$8,$N$1,Opening!$H$11,Opening!$K$11,$O$1,Opening!$B79,$C79,$L$1)</f>
        <v>0</v>
      </c>
      <c r="G79" s="16">
        <f>_xll.DBRW($B$1,Opening!$E$11,Opening!G$8,$N$1,Opening!$H$11,Opening!$K$11,$O$1,Opening!$B79,$C79,$L$1)</f>
        <v>0</v>
      </c>
      <c r="H79" s="16">
        <f>_xll.DBRW($B$1,Opening!$E$11,Opening!H$8,$N$1,Opening!$H$11,Opening!$K$11,$O$1,Opening!$B79,$C79,$L$1)</f>
        <v>0</v>
      </c>
      <c r="I79" s="16">
        <f>_xll.DBRW($B$1,Opening!$E$11,Opening!I$8,$N$1,Opening!$H$11,Opening!$K$11,$O$1,Opening!$B79,$C79,$L$1)</f>
        <v>0</v>
      </c>
      <c r="J79" s="16">
        <f>_xll.DBRW($B$1,Opening!$E$11,Opening!J$8,$N$1,Opening!$H$11,Opening!$K$11,$O$1,Opening!$B79,$C79,$L$1)</f>
        <v>0</v>
      </c>
      <c r="K79" s="16">
        <f>_xll.DBRW($B$1,Opening!$E$11,Opening!K$8,$N$1,Opening!$H$11,Opening!$K$11,$O$1,Opening!$B79,$C79,$L$1)</f>
        <v>0</v>
      </c>
      <c r="L79" s="16">
        <f>_xll.DBRW($B$1,Opening!$E$11,Opening!L$8,$N$1,Opening!$H$11,Opening!$K$11,$O$1,Opening!$B79,$C79,$L$1)</f>
        <v>0</v>
      </c>
      <c r="M79" s="16">
        <f>_xll.DBRW($B$1,Opening!$E$11,Opening!M$8,$N$1,Opening!$H$11,Opening!$K$11,$O$1,Opening!$B79,$C79,$L$1)</f>
        <v>0</v>
      </c>
      <c r="N79" s="16">
        <f>_xll.DBRW($B$1,Opening!$E$11,Opening!N$8,$N$1,Opening!$H$11,Opening!$K$11,$O$1,Opening!$B79,$C79,$L$1)</f>
        <v>0</v>
      </c>
      <c r="O79" s="16">
        <f>_xll.DBRW($B$1,Opening!$E$11,Opening!O$8,$N$1,Opening!$H$11,Opening!$K$11,$O$1,Opening!$B79,$C79,$L$1)</f>
        <v>0</v>
      </c>
      <c r="P79"/>
      <c r="Q79"/>
      <c r="R79"/>
      <c r="S79"/>
      <c r="T79"/>
      <c r="U79"/>
      <c r="V79"/>
      <c r="W79"/>
      <c r="X79"/>
      <c r="Y79"/>
    </row>
    <row r="80" spans="2:25" ht="22.5" x14ac:dyDescent="0.25">
      <c r="B80" s="17" t="s">
        <v>163</v>
      </c>
      <c r="C80" s="17" t="s">
        <v>237</v>
      </c>
      <c r="D80" s="16">
        <f>_xll.DBRW($B$1,Opening!$E$11,Opening!D$8,$N$1,Opening!$H$11,Opening!$K$11,$O$1,Opening!$B80,$C80,$L$1)</f>
        <v>0</v>
      </c>
      <c r="E80" s="16">
        <f>_xll.DBRW($B$1,Opening!$E$11,Opening!E$8,$N$1,Opening!$H$11,Opening!$K$11,$O$1,Opening!$B80,$C80,$L$1)</f>
        <v>0</v>
      </c>
      <c r="F80" s="16">
        <f>_xll.DBRW($B$1,Opening!$E$11,Opening!F$8,$N$1,Opening!$H$11,Opening!$K$11,$O$1,Opening!$B80,$C80,$L$1)</f>
        <v>0</v>
      </c>
      <c r="G80" s="16">
        <f>_xll.DBRW($B$1,Opening!$E$11,Opening!G$8,$N$1,Opening!$H$11,Opening!$K$11,$O$1,Opening!$B80,$C80,$L$1)</f>
        <v>0</v>
      </c>
      <c r="H80" s="16">
        <f>_xll.DBRW($B$1,Opening!$E$11,Opening!H$8,$N$1,Opening!$H$11,Opening!$K$11,$O$1,Opening!$B80,$C80,$L$1)</f>
        <v>0</v>
      </c>
      <c r="I80" s="16">
        <f>_xll.DBRW($B$1,Opening!$E$11,Opening!I$8,$N$1,Opening!$H$11,Opening!$K$11,$O$1,Opening!$B80,$C80,$L$1)</f>
        <v>0</v>
      </c>
      <c r="J80" s="16">
        <f>_xll.DBRW($B$1,Opening!$E$11,Opening!J$8,$N$1,Opening!$H$11,Opening!$K$11,$O$1,Opening!$B80,$C80,$L$1)</f>
        <v>0</v>
      </c>
      <c r="K80" s="16">
        <f>_xll.DBRW($B$1,Opening!$E$11,Opening!K$8,$N$1,Opening!$H$11,Opening!$K$11,$O$1,Opening!$B80,$C80,$L$1)</f>
        <v>0</v>
      </c>
      <c r="L80" s="16">
        <f>_xll.DBRW($B$1,Opening!$E$11,Opening!L$8,$N$1,Opening!$H$11,Opening!$K$11,$O$1,Opening!$B80,$C80,$L$1)</f>
        <v>0</v>
      </c>
      <c r="M80" s="16">
        <f>_xll.DBRW($B$1,Opening!$E$11,Opening!M$8,$N$1,Opening!$H$11,Opening!$K$11,$O$1,Opening!$B80,$C80,$L$1)</f>
        <v>0</v>
      </c>
      <c r="N80" s="16">
        <f>_xll.DBRW($B$1,Opening!$E$11,Opening!N$8,$N$1,Opening!$H$11,Opening!$K$11,$O$1,Opening!$B80,$C80,$L$1)</f>
        <v>0</v>
      </c>
      <c r="O80" s="16">
        <f>_xll.DBRW($B$1,Opening!$E$11,Opening!O$8,$N$1,Opening!$H$11,Opening!$K$11,$O$1,Opening!$B80,$C80,$L$1)</f>
        <v>0</v>
      </c>
      <c r="P80"/>
      <c r="Q80"/>
      <c r="R80"/>
      <c r="S80"/>
      <c r="T80"/>
      <c r="U80"/>
      <c r="V80"/>
      <c r="W80"/>
      <c r="X80"/>
      <c r="Y80"/>
    </row>
    <row r="81" spans="2:25" ht="33.75" x14ac:dyDescent="0.25">
      <c r="B81" s="17" t="s">
        <v>163</v>
      </c>
      <c r="C81" s="17" t="s">
        <v>238</v>
      </c>
      <c r="D81" s="16">
        <f>_xll.DBRW($B$1,Opening!$E$11,Opening!D$8,$N$1,Opening!$H$11,Opening!$K$11,$O$1,Opening!$B81,$C81,$L$1)</f>
        <v>0</v>
      </c>
      <c r="E81" s="16">
        <f>_xll.DBRW($B$1,Opening!$E$11,Opening!E$8,$N$1,Opening!$H$11,Opening!$K$11,$O$1,Opening!$B81,$C81,$L$1)</f>
        <v>0</v>
      </c>
      <c r="F81" s="16">
        <f>_xll.DBRW($B$1,Opening!$E$11,Opening!F$8,$N$1,Opening!$H$11,Opening!$K$11,$O$1,Opening!$B81,$C81,$L$1)</f>
        <v>0</v>
      </c>
      <c r="G81" s="16">
        <f>_xll.DBRW($B$1,Opening!$E$11,Opening!G$8,$N$1,Opening!$H$11,Opening!$K$11,$O$1,Opening!$B81,$C81,$L$1)</f>
        <v>0</v>
      </c>
      <c r="H81" s="16">
        <f>_xll.DBRW($B$1,Opening!$E$11,Opening!H$8,$N$1,Opening!$H$11,Opening!$K$11,$O$1,Opening!$B81,$C81,$L$1)</f>
        <v>0</v>
      </c>
      <c r="I81" s="16">
        <f>_xll.DBRW($B$1,Opening!$E$11,Opening!I$8,$N$1,Opening!$H$11,Opening!$K$11,$O$1,Opening!$B81,$C81,$L$1)</f>
        <v>0</v>
      </c>
      <c r="J81" s="16">
        <f>_xll.DBRW($B$1,Opening!$E$11,Opening!J$8,$N$1,Opening!$H$11,Opening!$K$11,$O$1,Opening!$B81,$C81,$L$1)</f>
        <v>0</v>
      </c>
      <c r="K81" s="16">
        <f>_xll.DBRW($B$1,Opening!$E$11,Opening!K$8,$N$1,Opening!$H$11,Opening!$K$11,$O$1,Opening!$B81,$C81,$L$1)</f>
        <v>0</v>
      </c>
      <c r="L81" s="16">
        <f>_xll.DBRW($B$1,Opening!$E$11,Opening!L$8,$N$1,Opening!$H$11,Opening!$K$11,$O$1,Opening!$B81,$C81,$L$1)</f>
        <v>0</v>
      </c>
      <c r="M81" s="16">
        <f>_xll.DBRW($B$1,Opening!$E$11,Opening!M$8,$N$1,Opening!$H$11,Opening!$K$11,$O$1,Opening!$B81,$C81,$L$1)</f>
        <v>0</v>
      </c>
      <c r="N81" s="16">
        <f>_xll.DBRW($B$1,Opening!$E$11,Opening!N$8,$N$1,Opening!$H$11,Opening!$K$11,$O$1,Opening!$B81,$C81,$L$1)</f>
        <v>0</v>
      </c>
      <c r="O81" s="16">
        <f>_xll.DBRW($B$1,Opening!$E$11,Opening!O$8,$N$1,Opening!$H$11,Opening!$K$11,$O$1,Opening!$B81,$C81,$L$1)</f>
        <v>0</v>
      </c>
      <c r="P81"/>
      <c r="Q81"/>
      <c r="R81"/>
      <c r="S81"/>
      <c r="T81"/>
      <c r="U81"/>
      <c r="V81"/>
      <c r="W81"/>
      <c r="X81"/>
      <c r="Y81"/>
    </row>
    <row r="82" spans="2:25" ht="22.5" x14ac:dyDescent="0.25">
      <c r="B82" s="17" t="s">
        <v>163</v>
      </c>
      <c r="C82" s="17" t="s">
        <v>239</v>
      </c>
      <c r="D82" s="16">
        <f>_xll.DBRW($B$1,Opening!$E$11,Opening!D$8,$N$1,Opening!$H$11,Opening!$K$11,$O$1,Opening!$B82,$C82,$L$1)</f>
        <v>0</v>
      </c>
      <c r="E82" s="16">
        <f>_xll.DBRW($B$1,Opening!$E$11,Opening!E$8,$N$1,Opening!$H$11,Opening!$K$11,$O$1,Opening!$B82,$C82,$L$1)</f>
        <v>0</v>
      </c>
      <c r="F82" s="16">
        <f>_xll.DBRW($B$1,Opening!$E$11,Opening!F$8,$N$1,Opening!$H$11,Opening!$K$11,$O$1,Opening!$B82,$C82,$L$1)</f>
        <v>0</v>
      </c>
      <c r="G82" s="16">
        <f>_xll.DBRW($B$1,Opening!$E$11,Opening!G$8,$N$1,Opening!$H$11,Opening!$K$11,$O$1,Opening!$B82,$C82,$L$1)</f>
        <v>0</v>
      </c>
      <c r="H82" s="16">
        <f>_xll.DBRW($B$1,Opening!$E$11,Opening!H$8,$N$1,Opening!$H$11,Opening!$K$11,$O$1,Opening!$B82,$C82,$L$1)</f>
        <v>0</v>
      </c>
      <c r="I82" s="16">
        <f>_xll.DBRW($B$1,Opening!$E$11,Opening!I$8,$N$1,Opening!$H$11,Opening!$K$11,$O$1,Opening!$B82,$C82,$L$1)</f>
        <v>0</v>
      </c>
      <c r="J82" s="16">
        <f>_xll.DBRW($B$1,Opening!$E$11,Opening!J$8,$N$1,Opening!$H$11,Opening!$K$11,$O$1,Opening!$B82,$C82,$L$1)</f>
        <v>0</v>
      </c>
      <c r="K82" s="16">
        <f>_xll.DBRW($B$1,Opening!$E$11,Opening!K$8,$N$1,Opening!$H$11,Opening!$K$11,$O$1,Opening!$B82,$C82,$L$1)</f>
        <v>0</v>
      </c>
      <c r="L82" s="16">
        <f>_xll.DBRW($B$1,Opening!$E$11,Opening!L$8,$N$1,Opening!$H$11,Opening!$K$11,$O$1,Opening!$B82,$C82,$L$1)</f>
        <v>0</v>
      </c>
      <c r="M82" s="16">
        <f>_xll.DBRW($B$1,Opening!$E$11,Opening!M$8,$N$1,Opening!$H$11,Opening!$K$11,$O$1,Opening!$B82,$C82,$L$1)</f>
        <v>0</v>
      </c>
      <c r="N82" s="16">
        <f>_xll.DBRW($B$1,Opening!$E$11,Opening!N$8,$N$1,Opening!$H$11,Opening!$K$11,$O$1,Opening!$B82,$C82,$L$1)</f>
        <v>0</v>
      </c>
      <c r="O82" s="16">
        <f>_xll.DBRW($B$1,Opening!$E$11,Opening!O$8,$N$1,Opening!$H$11,Opening!$K$11,$O$1,Opening!$B82,$C82,$L$1)</f>
        <v>0</v>
      </c>
      <c r="P82"/>
      <c r="Q82"/>
      <c r="R82"/>
      <c r="S82"/>
      <c r="T82"/>
      <c r="U82"/>
      <c r="V82"/>
      <c r="W82"/>
      <c r="X82"/>
      <c r="Y82"/>
    </row>
    <row r="83" spans="2:25" ht="22.5" x14ac:dyDescent="0.25">
      <c r="B83" s="17" t="s">
        <v>163</v>
      </c>
      <c r="C83" s="17" t="s">
        <v>66</v>
      </c>
      <c r="D83" s="16">
        <f>_xll.DBRW($B$1,Opening!$E$11,Opening!D$8,$N$1,Opening!$H$11,Opening!$K$11,$O$1,Opening!$B83,$C83,$L$1)</f>
        <v>0</v>
      </c>
      <c r="E83" s="16">
        <f>_xll.DBRW($B$1,Opening!$E$11,Opening!E$8,$N$1,Opening!$H$11,Opening!$K$11,$O$1,Opening!$B83,$C83,$L$1)</f>
        <v>0</v>
      </c>
      <c r="F83" s="16">
        <f>_xll.DBRW($B$1,Opening!$E$11,Opening!F$8,$N$1,Opening!$H$11,Opening!$K$11,$O$1,Opening!$B83,$C83,$L$1)</f>
        <v>0</v>
      </c>
      <c r="G83" s="16">
        <f>_xll.DBRW($B$1,Opening!$E$11,Opening!G$8,$N$1,Opening!$H$11,Opening!$K$11,$O$1,Opening!$B83,$C83,$L$1)</f>
        <v>0</v>
      </c>
      <c r="H83" s="16">
        <f>_xll.DBRW($B$1,Opening!$E$11,Opening!H$8,$N$1,Opening!$H$11,Opening!$K$11,$O$1,Opening!$B83,$C83,$L$1)</f>
        <v>0</v>
      </c>
      <c r="I83" s="16">
        <f>_xll.DBRW($B$1,Opening!$E$11,Opening!I$8,$N$1,Opening!$H$11,Opening!$K$11,$O$1,Opening!$B83,$C83,$L$1)</f>
        <v>0</v>
      </c>
      <c r="J83" s="16">
        <f>_xll.DBRW($B$1,Opening!$E$11,Opening!J$8,$N$1,Opening!$H$11,Opening!$K$11,$O$1,Opening!$B83,$C83,$L$1)</f>
        <v>0</v>
      </c>
      <c r="K83" s="16">
        <f>_xll.DBRW($B$1,Opening!$E$11,Opening!K$8,$N$1,Opening!$H$11,Opening!$K$11,$O$1,Opening!$B83,$C83,$L$1)</f>
        <v>0</v>
      </c>
      <c r="L83" s="16">
        <f>_xll.DBRW($B$1,Opening!$E$11,Opening!L$8,$N$1,Opening!$H$11,Opening!$K$11,$O$1,Opening!$B83,$C83,$L$1)</f>
        <v>0</v>
      </c>
      <c r="M83" s="16">
        <f>_xll.DBRW($B$1,Opening!$E$11,Opening!M$8,$N$1,Opening!$H$11,Opening!$K$11,$O$1,Opening!$B83,$C83,$L$1)</f>
        <v>0</v>
      </c>
      <c r="N83" s="16">
        <f>_xll.DBRW($B$1,Opening!$E$11,Opening!N$8,$N$1,Opening!$H$11,Opening!$K$11,$O$1,Opening!$B83,$C83,$L$1)</f>
        <v>0</v>
      </c>
      <c r="O83" s="16">
        <f>_xll.DBRW($B$1,Opening!$E$11,Opening!O$8,$N$1,Opening!$H$11,Opening!$K$11,$O$1,Opening!$B83,$C83,$L$1)</f>
        <v>0</v>
      </c>
      <c r="P83"/>
      <c r="Q83"/>
      <c r="R83"/>
      <c r="S83"/>
      <c r="T83"/>
      <c r="U83"/>
      <c r="V83"/>
      <c r="W83"/>
      <c r="X83"/>
      <c r="Y83"/>
    </row>
    <row r="84" spans="2:25" ht="15.75" customHeight="1" x14ac:dyDescent="0.25">
      <c r="C84" s="5"/>
      <c r="D84" s="5"/>
      <c r="E84" s="5"/>
      <c r="F84" s="5"/>
      <c r="G84" s="5"/>
      <c r="H84" s="5"/>
      <c r="I84" s="5"/>
      <c r="J84" s="5"/>
      <c r="K84" s="5"/>
      <c r="L84" s="5"/>
      <c r="M84" s="5"/>
      <c r="N84" s="5"/>
      <c r="O84" s="5"/>
      <c r="P84"/>
      <c r="Q84"/>
      <c r="R84"/>
      <c r="S84"/>
      <c r="T84"/>
      <c r="U84"/>
      <c r="V84"/>
      <c r="W84"/>
      <c r="X84"/>
      <c r="Y84"/>
    </row>
    <row r="85" spans="2:25" ht="15.75" customHeight="1" thickBot="1" x14ac:dyDescent="0.3">
      <c r="B85" s="10"/>
      <c r="C85" s="5"/>
      <c r="D85" s="5"/>
      <c r="E85" s="5"/>
      <c r="F85" s="5"/>
      <c r="G85" s="5"/>
      <c r="H85" s="5"/>
      <c r="I85" s="5"/>
      <c r="J85" s="5"/>
      <c r="K85" s="5"/>
      <c r="L85" s="5"/>
      <c r="M85" s="5"/>
      <c r="N85" s="5"/>
      <c r="O85" s="5"/>
      <c r="P85"/>
      <c r="Q85"/>
      <c r="R85"/>
      <c r="S85"/>
      <c r="T85"/>
      <c r="U85"/>
      <c r="V85"/>
      <c r="W85"/>
      <c r="X85"/>
      <c r="Y85"/>
    </row>
    <row r="86" spans="2:25" ht="15.75" customHeight="1" thickTop="1" x14ac:dyDescent="0.25">
      <c r="B86" s="9" t="s">
        <v>240</v>
      </c>
      <c r="C86" s="5"/>
      <c r="D86" s="5"/>
      <c r="E86" s="5"/>
      <c r="F86" s="5"/>
      <c r="G86" s="5"/>
      <c r="H86" s="5"/>
      <c r="I86" s="5"/>
      <c r="J86" s="5"/>
      <c r="K86" s="5"/>
      <c r="L86" s="5"/>
      <c r="M86" s="5"/>
      <c r="N86" s="5"/>
      <c r="O86" s="5"/>
      <c r="P86"/>
      <c r="Q86"/>
      <c r="R86"/>
      <c r="S86"/>
      <c r="T86"/>
      <c r="U86"/>
      <c r="V86"/>
      <c r="W86"/>
      <c r="X86"/>
      <c r="Y86"/>
    </row>
    <row r="87" spans="2:25" ht="15.75" customHeight="1" x14ac:dyDescent="0.25">
      <c r="B87" s="5"/>
      <c r="C87" s="5"/>
      <c r="D87" s="5"/>
      <c r="E87" s="5"/>
      <c r="F87" s="5"/>
      <c r="G87" s="5"/>
      <c r="H87" s="5"/>
      <c r="I87" s="5"/>
      <c r="J87" s="5"/>
      <c r="K87" s="5"/>
      <c r="L87" s="5"/>
      <c r="M87" s="5"/>
      <c r="N87" s="5"/>
      <c r="O87" s="5"/>
      <c r="P87"/>
      <c r="Q87"/>
      <c r="R87"/>
      <c r="S87"/>
      <c r="T87"/>
      <c r="U87"/>
      <c r="V87"/>
      <c r="W87"/>
      <c r="X87"/>
      <c r="Y87"/>
    </row>
    <row r="88" spans="2:25" ht="15.75" customHeight="1" x14ac:dyDescent="0.25">
      <c r="B88" s="5"/>
      <c r="C88" s="5"/>
      <c r="D88" s="18" t="str">
        <f t="shared" ref="D88:O88" si="5">$E$11&amp;"."&amp;D$8</f>
        <v>2026.01</v>
      </c>
      <c r="E88" s="18" t="str">
        <f t="shared" si="5"/>
        <v>2026.02</v>
      </c>
      <c r="F88" s="18" t="str">
        <f t="shared" si="5"/>
        <v>2026.03</v>
      </c>
      <c r="G88" s="18" t="str">
        <f t="shared" si="5"/>
        <v>2026.04</v>
      </c>
      <c r="H88" s="18" t="str">
        <f t="shared" si="5"/>
        <v>2026.05</v>
      </c>
      <c r="I88" s="18" t="str">
        <f t="shared" si="5"/>
        <v>2026.06</v>
      </c>
      <c r="J88" s="18" t="str">
        <f t="shared" si="5"/>
        <v>2026.07</v>
      </c>
      <c r="K88" s="18" t="str">
        <f t="shared" si="5"/>
        <v>2026.08</v>
      </c>
      <c r="L88" s="18" t="str">
        <f t="shared" si="5"/>
        <v>2026.09</v>
      </c>
      <c r="M88" s="18" t="str">
        <f t="shared" si="5"/>
        <v>2026.10</v>
      </c>
      <c r="N88" s="18" t="str">
        <f t="shared" si="5"/>
        <v>2026.11</v>
      </c>
      <c r="O88" s="18" t="str">
        <f t="shared" si="5"/>
        <v>2026.12</v>
      </c>
      <c r="P88"/>
      <c r="Q88"/>
      <c r="R88"/>
      <c r="S88"/>
      <c r="T88"/>
      <c r="U88"/>
      <c r="V88"/>
      <c r="W88"/>
      <c r="X88"/>
      <c r="Y88"/>
    </row>
    <row r="89" spans="2:25" ht="22.5" x14ac:dyDescent="0.25">
      <c r="B89" s="24" t="s">
        <v>172</v>
      </c>
      <c r="C89" s="24" t="s">
        <v>278</v>
      </c>
      <c r="D89" s="21">
        <f>_xll.DBRW($B$1,Opening!$E$11,Opening!D$8,$N$1,Opening!$H$11,Opening!$K$11,$O$1,Opening!$B89,$C89,$L$1)</f>
        <v>0</v>
      </c>
      <c r="E89" s="21">
        <f>_xll.DBRW($B$1,Opening!$E$11,Opening!E$8,$N$1,Opening!$H$11,Opening!$K$11,$O$1,Opening!$B89,$C89,$L$1)</f>
        <v>0</v>
      </c>
      <c r="F89" s="21">
        <f>_xll.DBRW($B$1,Opening!$E$11,Opening!F$8,$N$1,Opening!$H$11,Opening!$K$11,$O$1,Opening!$B89,$C89,$L$1)</f>
        <v>0</v>
      </c>
      <c r="G89" s="21">
        <f>_xll.DBRW($B$1,Opening!$E$11,Opening!G$8,$N$1,Opening!$H$11,Opening!$K$11,$O$1,Opening!$B89,$C89,$L$1)</f>
        <v>0</v>
      </c>
      <c r="H89" s="21">
        <f>_xll.DBRW($B$1,Opening!$E$11,Opening!H$8,$N$1,Opening!$H$11,Opening!$K$11,$O$1,Opening!$B89,$C89,$L$1)</f>
        <v>0</v>
      </c>
      <c r="I89" s="21">
        <f>_xll.DBRW($B$1,Opening!$E$11,Opening!I$8,$N$1,Opening!$H$11,Opening!$K$11,$O$1,Opening!$B89,$C89,$L$1)</f>
        <v>0</v>
      </c>
      <c r="J89" s="21">
        <f>_xll.DBRW($B$1,Opening!$E$11,Opening!J$8,$N$1,Opening!$H$11,Opening!$K$11,$O$1,Opening!$B89,$C89,$L$1)</f>
        <v>0</v>
      </c>
      <c r="K89" s="21">
        <f>_xll.DBRW($B$1,Opening!$E$11,Opening!K$8,$N$1,Opening!$H$11,Opening!$K$11,$O$1,Opening!$B89,$C89,$L$1)</f>
        <v>0</v>
      </c>
      <c r="L89" s="21">
        <f>_xll.DBRW($B$1,Opening!$E$11,Opening!L$8,$N$1,Opening!$H$11,Opening!$K$11,$O$1,Opening!$B89,$C89,$L$1)</f>
        <v>0</v>
      </c>
      <c r="M89" s="21">
        <f>_xll.DBRW($B$1,Opening!$E$11,Opening!M$8,$N$1,Opening!$H$11,Opening!$K$11,$O$1,Opening!$B89,$C89,$L$1)</f>
        <v>0</v>
      </c>
      <c r="N89" s="21">
        <f>_xll.DBRW($B$1,Opening!$E$11,Opening!N$8,$N$1,Opening!$H$11,Opening!$K$11,$O$1,Opening!$B89,$C89,$L$1)</f>
        <v>0</v>
      </c>
      <c r="O89" s="21">
        <f>_xll.DBRW($B$1,Opening!$E$11,Opening!O$8,$N$1,Opening!$H$11,Opening!$K$11,$O$1,Opening!$B89,$C89,$L$1)</f>
        <v>0</v>
      </c>
      <c r="P89"/>
      <c r="Q89"/>
      <c r="R89"/>
      <c r="S89"/>
      <c r="T89"/>
      <c r="U89"/>
      <c r="V89"/>
      <c r="W89"/>
      <c r="X89"/>
      <c r="Y89"/>
    </row>
    <row r="90" spans="2:25" ht="22.5" x14ac:dyDescent="0.25">
      <c r="B90" s="17" t="s">
        <v>172</v>
      </c>
      <c r="C90" s="17" t="s">
        <v>241</v>
      </c>
      <c r="D90" s="16">
        <f>_xll.DBRW($B$1,Opening!$E$11,Opening!D$8,$N$1,Opening!$H$11,Opening!$K$11,$O$1,Opening!$B90,$C90,$L$1)</f>
        <v>0</v>
      </c>
      <c r="E90" s="16">
        <f>_xll.DBRW($B$1,Opening!$E$11,Opening!E$8,$N$1,Opening!$H$11,Opening!$K$11,$O$1,Opening!$B90,$C90,$L$1)</f>
        <v>0</v>
      </c>
      <c r="F90" s="16">
        <f>_xll.DBRW($B$1,Opening!$E$11,Opening!F$8,$N$1,Opening!$H$11,Opening!$K$11,$O$1,Opening!$B90,$C90,$L$1)</f>
        <v>0</v>
      </c>
      <c r="G90" s="16">
        <f>_xll.DBRW($B$1,Opening!$E$11,Opening!G$8,$N$1,Opening!$H$11,Opening!$K$11,$O$1,Opening!$B90,$C90,$L$1)</f>
        <v>0</v>
      </c>
      <c r="H90" s="16">
        <f>_xll.DBRW($B$1,Opening!$E$11,Opening!H$8,$N$1,Opening!$H$11,Opening!$K$11,$O$1,Opening!$B90,$C90,$L$1)</f>
        <v>0</v>
      </c>
      <c r="I90" s="16">
        <f>_xll.DBRW($B$1,Opening!$E$11,Opening!I$8,$N$1,Opening!$H$11,Opening!$K$11,$O$1,Opening!$B90,$C90,$L$1)</f>
        <v>0</v>
      </c>
      <c r="J90" s="16">
        <f>_xll.DBRW($B$1,Opening!$E$11,Opening!J$8,$N$1,Opening!$H$11,Opening!$K$11,$O$1,Opening!$B90,$C90,$L$1)</f>
        <v>0</v>
      </c>
      <c r="K90" s="16">
        <f>_xll.DBRW($B$1,Opening!$E$11,Opening!K$8,$N$1,Opening!$H$11,Opening!$K$11,$O$1,Opening!$B90,$C90,$L$1)</f>
        <v>0</v>
      </c>
      <c r="L90" s="16">
        <f>_xll.DBRW($B$1,Opening!$E$11,Opening!L$8,$N$1,Opening!$H$11,Opening!$K$11,$O$1,Opening!$B90,$C90,$L$1)</f>
        <v>0</v>
      </c>
      <c r="M90" s="16">
        <f>_xll.DBRW($B$1,Opening!$E$11,Opening!M$8,$N$1,Opening!$H$11,Opening!$K$11,$O$1,Opening!$B90,$C90,$L$1)</f>
        <v>0</v>
      </c>
      <c r="N90" s="16">
        <f>_xll.DBRW($B$1,Opening!$E$11,Opening!N$8,$N$1,Opening!$H$11,Opening!$K$11,$O$1,Opening!$B90,$C90,$L$1)</f>
        <v>0</v>
      </c>
      <c r="O90" s="16">
        <f>_xll.DBRW($B$1,Opening!$E$11,Opening!O$8,$N$1,Opening!$H$11,Opening!$K$11,$O$1,Opening!$B90,$C90,$L$1)</f>
        <v>0</v>
      </c>
      <c r="P90"/>
      <c r="Q90"/>
      <c r="R90"/>
      <c r="S90"/>
      <c r="T90"/>
      <c r="U90"/>
      <c r="V90"/>
      <c r="W90"/>
      <c r="X90"/>
      <c r="Y90"/>
    </row>
    <row r="91" spans="2:25" ht="22.5" x14ac:dyDescent="0.25">
      <c r="B91" s="17" t="s">
        <v>172</v>
      </c>
      <c r="C91" s="17" t="s">
        <v>242</v>
      </c>
      <c r="D91" s="16">
        <f>_xll.DBRW($B$1,Opening!$E$11,Opening!D$8,$N$1,Opening!$H$11,Opening!$K$11,$O$1,Opening!$B91,$C91,$L$1)</f>
        <v>0</v>
      </c>
      <c r="E91" s="16">
        <f>_xll.DBRW($B$1,Opening!$E$11,Opening!E$8,$N$1,Opening!$H$11,Opening!$K$11,$O$1,Opening!$B91,$C91,$L$1)</f>
        <v>0</v>
      </c>
      <c r="F91" s="16">
        <f>_xll.DBRW($B$1,Opening!$E$11,Opening!F$8,$N$1,Opening!$H$11,Opening!$K$11,$O$1,Opening!$B91,$C91,$L$1)</f>
        <v>0</v>
      </c>
      <c r="G91" s="16">
        <f>_xll.DBRW($B$1,Opening!$E$11,Opening!G$8,$N$1,Opening!$H$11,Opening!$K$11,$O$1,Opening!$B91,$C91,$L$1)</f>
        <v>0</v>
      </c>
      <c r="H91" s="16">
        <f>_xll.DBRW($B$1,Opening!$E$11,Opening!H$8,$N$1,Opening!$H$11,Opening!$K$11,$O$1,Opening!$B91,$C91,$L$1)</f>
        <v>0</v>
      </c>
      <c r="I91" s="16">
        <f>_xll.DBRW($B$1,Opening!$E$11,Opening!I$8,$N$1,Opening!$H$11,Opening!$K$11,$O$1,Opening!$B91,$C91,$L$1)</f>
        <v>0</v>
      </c>
      <c r="J91" s="16">
        <f>_xll.DBRW($B$1,Opening!$E$11,Opening!J$8,$N$1,Opening!$H$11,Opening!$K$11,$O$1,Opening!$B91,$C91,$L$1)</f>
        <v>0</v>
      </c>
      <c r="K91" s="16">
        <f>_xll.DBRW($B$1,Opening!$E$11,Opening!K$8,$N$1,Opening!$H$11,Opening!$K$11,$O$1,Opening!$B91,$C91,$L$1)</f>
        <v>0</v>
      </c>
      <c r="L91" s="16">
        <f>_xll.DBRW($B$1,Opening!$E$11,Opening!L$8,$N$1,Opening!$H$11,Opening!$K$11,$O$1,Opening!$B91,$C91,$L$1)</f>
        <v>0</v>
      </c>
      <c r="M91" s="16">
        <f>_xll.DBRW($B$1,Opening!$E$11,Opening!M$8,$N$1,Opening!$H$11,Opening!$K$11,$O$1,Opening!$B91,$C91,$L$1)</f>
        <v>0</v>
      </c>
      <c r="N91" s="16">
        <f>_xll.DBRW($B$1,Opening!$E$11,Opening!N$8,$N$1,Opening!$H$11,Opening!$K$11,$O$1,Opening!$B91,$C91,$L$1)</f>
        <v>0</v>
      </c>
      <c r="O91" s="16">
        <f>_xll.DBRW($B$1,Opening!$E$11,Opening!O$8,$N$1,Opening!$H$11,Opening!$K$11,$O$1,Opening!$B91,$C91,$L$1)</f>
        <v>0</v>
      </c>
      <c r="P91"/>
      <c r="Q91"/>
      <c r="R91"/>
      <c r="S91"/>
      <c r="T91"/>
      <c r="U91"/>
      <c r="V91"/>
      <c r="W91"/>
      <c r="X91"/>
      <c r="Y91"/>
    </row>
    <row r="92" spans="2:25" ht="22.5" x14ac:dyDescent="0.25">
      <c r="B92" s="17" t="s">
        <v>172</v>
      </c>
      <c r="C92" s="17" t="s">
        <v>243</v>
      </c>
      <c r="D92" s="16">
        <f>_xll.DBRW($B$1,Opening!$E$11,Opening!D$8,$N$1,Opening!$H$11,Opening!$K$11,$O$1,Opening!$B92,$C92,$L$1)</f>
        <v>0</v>
      </c>
      <c r="E92" s="16">
        <f>_xll.DBRW($B$1,Opening!$E$11,Opening!E$8,$N$1,Opening!$H$11,Opening!$K$11,$O$1,Opening!$B92,$C92,$L$1)</f>
        <v>0</v>
      </c>
      <c r="F92" s="16">
        <f>_xll.DBRW($B$1,Opening!$E$11,Opening!F$8,$N$1,Opening!$H$11,Opening!$K$11,$O$1,Opening!$B92,$C92,$L$1)</f>
        <v>0</v>
      </c>
      <c r="G92" s="16">
        <f>_xll.DBRW($B$1,Opening!$E$11,Opening!G$8,$N$1,Opening!$H$11,Opening!$K$11,$O$1,Opening!$B92,$C92,$L$1)</f>
        <v>0</v>
      </c>
      <c r="H92" s="16">
        <f>_xll.DBRW($B$1,Opening!$E$11,Opening!H$8,$N$1,Opening!$H$11,Opening!$K$11,$O$1,Opening!$B92,$C92,$L$1)</f>
        <v>0</v>
      </c>
      <c r="I92" s="16">
        <f>_xll.DBRW($B$1,Opening!$E$11,Opening!I$8,$N$1,Opening!$H$11,Opening!$K$11,$O$1,Opening!$B92,$C92,$L$1)</f>
        <v>0</v>
      </c>
      <c r="J92" s="16">
        <f>_xll.DBRW($B$1,Opening!$E$11,Opening!J$8,$N$1,Opening!$H$11,Opening!$K$11,$O$1,Opening!$B92,$C92,$L$1)</f>
        <v>0</v>
      </c>
      <c r="K92" s="16">
        <f>_xll.DBRW($B$1,Opening!$E$11,Opening!K$8,$N$1,Opening!$H$11,Opening!$K$11,$O$1,Opening!$B92,$C92,$L$1)</f>
        <v>0</v>
      </c>
      <c r="L92" s="16">
        <f>_xll.DBRW($B$1,Opening!$E$11,Opening!L$8,$N$1,Opening!$H$11,Opening!$K$11,$O$1,Opening!$B92,$C92,$L$1)</f>
        <v>0</v>
      </c>
      <c r="M92" s="16">
        <f>_xll.DBRW($B$1,Opening!$E$11,Opening!M$8,$N$1,Opening!$H$11,Opening!$K$11,$O$1,Opening!$B92,$C92,$L$1)</f>
        <v>0</v>
      </c>
      <c r="N92" s="16">
        <f>_xll.DBRW($B$1,Opening!$E$11,Opening!N$8,$N$1,Opening!$H$11,Opening!$K$11,$O$1,Opening!$B92,$C92,$L$1)</f>
        <v>0</v>
      </c>
      <c r="O92" s="16">
        <f>_xll.DBRW($B$1,Opening!$E$11,Opening!O$8,$N$1,Opening!$H$11,Opening!$K$11,$O$1,Opening!$B92,$C92,$L$1)</f>
        <v>0</v>
      </c>
      <c r="P92"/>
      <c r="Q92"/>
      <c r="R92"/>
      <c r="S92"/>
      <c r="T92"/>
      <c r="U92"/>
      <c r="V92"/>
      <c r="W92"/>
      <c r="X92"/>
      <c r="Y92"/>
    </row>
    <row r="93" spans="2:25" ht="22.5" x14ac:dyDescent="0.25">
      <c r="B93" s="17" t="s">
        <v>172</v>
      </c>
      <c r="C93" s="17" t="s">
        <v>244</v>
      </c>
      <c r="D93" s="16">
        <f>_xll.DBRW($B$1,Opening!$E$11,Opening!D$8,$N$1,Opening!$H$11,Opening!$K$11,$O$1,Opening!$B93,$C93,$L$1)</f>
        <v>0</v>
      </c>
      <c r="E93" s="16">
        <f>_xll.DBRW($B$1,Opening!$E$11,Opening!E$8,$N$1,Opening!$H$11,Opening!$K$11,$O$1,Opening!$B93,$C93,$L$1)</f>
        <v>0</v>
      </c>
      <c r="F93" s="16">
        <f>_xll.DBRW($B$1,Opening!$E$11,Opening!F$8,$N$1,Opening!$H$11,Opening!$K$11,$O$1,Opening!$B93,$C93,$L$1)</f>
        <v>0</v>
      </c>
      <c r="G93" s="16">
        <f>_xll.DBRW($B$1,Opening!$E$11,Opening!G$8,$N$1,Opening!$H$11,Opening!$K$11,$O$1,Opening!$B93,$C93,$L$1)</f>
        <v>0</v>
      </c>
      <c r="H93" s="16">
        <f>_xll.DBRW($B$1,Opening!$E$11,Opening!H$8,$N$1,Opening!$H$11,Opening!$K$11,$O$1,Opening!$B93,$C93,$L$1)</f>
        <v>0</v>
      </c>
      <c r="I93" s="16">
        <f>_xll.DBRW($B$1,Opening!$E$11,Opening!I$8,$N$1,Opening!$H$11,Opening!$K$11,$O$1,Opening!$B93,$C93,$L$1)</f>
        <v>0</v>
      </c>
      <c r="J93" s="16">
        <f>_xll.DBRW($B$1,Opening!$E$11,Opening!J$8,$N$1,Opening!$H$11,Opening!$K$11,$O$1,Opening!$B93,$C93,$L$1)</f>
        <v>0</v>
      </c>
      <c r="K93" s="16">
        <f>_xll.DBRW($B$1,Opening!$E$11,Opening!K$8,$N$1,Opening!$H$11,Opening!$K$11,$O$1,Opening!$B93,$C93,$L$1)</f>
        <v>0</v>
      </c>
      <c r="L93" s="16">
        <f>_xll.DBRW($B$1,Opening!$E$11,Opening!L$8,$N$1,Opening!$H$11,Opening!$K$11,$O$1,Opening!$B93,$C93,$L$1)</f>
        <v>0</v>
      </c>
      <c r="M93" s="16">
        <f>_xll.DBRW($B$1,Opening!$E$11,Opening!M$8,$N$1,Opening!$H$11,Opening!$K$11,$O$1,Opening!$B93,$C93,$L$1)</f>
        <v>0</v>
      </c>
      <c r="N93" s="16">
        <f>_xll.DBRW($B$1,Opening!$E$11,Opening!N$8,$N$1,Opening!$H$11,Opening!$K$11,$O$1,Opening!$B93,$C93,$L$1)</f>
        <v>0</v>
      </c>
      <c r="O93" s="16">
        <f>_xll.DBRW($B$1,Opening!$E$11,Opening!O$8,$N$1,Opening!$H$11,Opening!$K$11,$O$1,Opening!$B93,$C93,$L$1)</f>
        <v>0</v>
      </c>
      <c r="P93"/>
      <c r="Q93"/>
      <c r="R93"/>
      <c r="S93"/>
      <c r="T93"/>
      <c r="U93"/>
      <c r="V93"/>
      <c r="W93"/>
      <c r="X93"/>
      <c r="Y93"/>
    </row>
    <row r="94" spans="2:25" ht="22.5" x14ac:dyDescent="0.25">
      <c r="B94" s="17" t="s">
        <v>172</v>
      </c>
      <c r="C94" s="17" t="s">
        <v>245</v>
      </c>
      <c r="D94" s="16">
        <f>_xll.DBRW($B$1,Opening!$E$11,Opening!D$8,$N$1,Opening!$H$11,Opening!$K$11,$O$1,Opening!$B94,$C94,$L$1)</f>
        <v>0</v>
      </c>
      <c r="E94" s="16">
        <f>_xll.DBRW($B$1,Opening!$E$11,Opening!E$8,$N$1,Opening!$H$11,Opening!$K$11,$O$1,Opening!$B94,$C94,$L$1)</f>
        <v>0</v>
      </c>
      <c r="F94" s="16">
        <f>_xll.DBRW($B$1,Opening!$E$11,Opening!F$8,$N$1,Opening!$H$11,Opening!$K$11,$O$1,Opening!$B94,$C94,$L$1)</f>
        <v>0</v>
      </c>
      <c r="G94" s="16">
        <f>_xll.DBRW($B$1,Opening!$E$11,Opening!G$8,$N$1,Opening!$H$11,Opening!$K$11,$O$1,Opening!$B94,$C94,$L$1)</f>
        <v>0</v>
      </c>
      <c r="H94" s="16">
        <f>_xll.DBRW($B$1,Opening!$E$11,Opening!H$8,$N$1,Opening!$H$11,Opening!$K$11,$O$1,Opening!$B94,$C94,$L$1)</f>
        <v>0</v>
      </c>
      <c r="I94" s="16">
        <f>_xll.DBRW($B$1,Opening!$E$11,Opening!I$8,$N$1,Opening!$H$11,Opening!$K$11,$O$1,Opening!$B94,$C94,$L$1)</f>
        <v>0</v>
      </c>
      <c r="J94" s="16">
        <f>_xll.DBRW($B$1,Opening!$E$11,Opening!J$8,$N$1,Opening!$H$11,Opening!$K$11,$O$1,Opening!$B94,$C94,$L$1)</f>
        <v>0</v>
      </c>
      <c r="K94" s="16">
        <f>_xll.DBRW($B$1,Opening!$E$11,Opening!K$8,$N$1,Opening!$H$11,Opening!$K$11,$O$1,Opening!$B94,$C94,$L$1)</f>
        <v>0</v>
      </c>
      <c r="L94" s="16">
        <f>_xll.DBRW($B$1,Opening!$E$11,Opening!L$8,$N$1,Opening!$H$11,Opening!$K$11,$O$1,Opening!$B94,$C94,$L$1)</f>
        <v>0</v>
      </c>
      <c r="M94" s="16">
        <f>_xll.DBRW($B$1,Opening!$E$11,Opening!M$8,$N$1,Opening!$H$11,Opening!$K$11,$O$1,Opening!$B94,$C94,$L$1)</f>
        <v>0</v>
      </c>
      <c r="N94" s="16">
        <f>_xll.DBRW($B$1,Opening!$E$11,Opening!N$8,$N$1,Opening!$H$11,Opening!$K$11,$O$1,Opening!$B94,$C94,$L$1)</f>
        <v>0</v>
      </c>
      <c r="O94" s="16">
        <f>_xll.DBRW($B$1,Opening!$E$11,Opening!O$8,$N$1,Opening!$H$11,Opening!$K$11,$O$1,Opening!$B94,$C94,$L$1)</f>
        <v>0</v>
      </c>
      <c r="P94"/>
      <c r="Q94"/>
      <c r="R94"/>
      <c r="S94"/>
      <c r="T94"/>
      <c r="U94"/>
      <c r="V94"/>
      <c r="W94"/>
      <c r="X94"/>
      <c r="Y94"/>
    </row>
    <row r="95" spans="2:25" ht="22.5" x14ac:dyDescent="0.25">
      <c r="B95" s="17" t="s">
        <v>172</v>
      </c>
      <c r="C95" s="17" t="s">
        <v>246</v>
      </c>
      <c r="D95" s="16">
        <f>_xll.DBRW($B$1,Opening!$E$11,Opening!D$8,$N$1,Opening!$H$11,Opening!$K$11,$O$1,Opening!$B95,$C95,$L$1)</f>
        <v>0</v>
      </c>
      <c r="E95" s="16">
        <f>_xll.DBRW($B$1,Opening!$E$11,Opening!E$8,$N$1,Opening!$H$11,Opening!$K$11,$O$1,Opening!$B95,$C95,$L$1)</f>
        <v>0</v>
      </c>
      <c r="F95" s="16">
        <f>_xll.DBRW($B$1,Opening!$E$11,Opening!F$8,$N$1,Opening!$H$11,Opening!$K$11,$O$1,Opening!$B95,$C95,$L$1)</f>
        <v>0</v>
      </c>
      <c r="G95" s="16">
        <f>_xll.DBRW($B$1,Opening!$E$11,Opening!G$8,$N$1,Opening!$H$11,Opening!$K$11,$O$1,Opening!$B95,$C95,$L$1)</f>
        <v>0</v>
      </c>
      <c r="H95" s="16">
        <f>_xll.DBRW($B$1,Opening!$E$11,Opening!H$8,$N$1,Opening!$H$11,Opening!$K$11,$O$1,Opening!$B95,$C95,$L$1)</f>
        <v>0</v>
      </c>
      <c r="I95" s="16">
        <f>_xll.DBRW($B$1,Opening!$E$11,Opening!I$8,$N$1,Opening!$H$11,Opening!$K$11,$O$1,Opening!$B95,$C95,$L$1)</f>
        <v>0</v>
      </c>
      <c r="J95" s="16">
        <f>_xll.DBRW($B$1,Opening!$E$11,Opening!J$8,$N$1,Opening!$H$11,Opening!$K$11,$O$1,Opening!$B95,$C95,$L$1)</f>
        <v>0</v>
      </c>
      <c r="K95" s="16">
        <f>_xll.DBRW($B$1,Opening!$E$11,Opening!K$8,$N$1,Opening!$H$11,Opening!$K$11,$O$1,Opening!$B95,$C95,$L$1)</f>
        <v>0</v>
      </c>
      <c r="L95" s="16">
        <f>_xll.DBRW($B$1,Opening!$E$11,Opening!L$8,$N$1,Opening!$H$11,Opening!$K$11,$O$1,Opening!$B95,$C95,$L$1)</f>
        <v>0</v>
      </c>
      <c r="M95" s="16">
        <f>_xll.DBRW($B$1,Opening!$E$11,Opening!M$8,$N$1,Opening!$H$11,Opening!$K$11,$O$1,Opening!$B95,$C95,$L$1)</f>
        <v>0</v>
      </c>
      <c r="N95" s="16">
        <f>_xll.DBRW($B$1,Opening!$E$11,Opening!N$8,$N$1,Opening!$H$11,Opening!$K$11,$O$1,Opening!$B95,$C95,$L$1)</f>
        <v>0</v>
      </c>
      <c r="O95" s="16">
        <f>_xll.DBRW($B$1,Opening!$E$11,Opening!O$8,$N$1,Opening!$H$11,Opening!$K$11,$O$1,Opening!$B95,$C95,$L$1)</f>
        <v>0</v>
      </c>
      <c r="P95"/>
      <c r="Q95"/>
      <c r="R95"/>
      <c r="S95"/>
      <c r="T95"/>
      <c r="U95"/>
      <c r="V95"/>
      <c r="W95"/>
      <c r="X95"/>
      <c r="Y95"/>
    </row>
    <row r="96" spans="2:25" ht="22.5" x14ac:dyDescent="0.25">
      <c r="B96" s="17" t="s">
        <v>172</v>
      </c>
      <c r="C96" s="17" t="s">
        <v>247</v>
      </c>
      <c r="D96" s="16">
        <f>_xll.DBRW($B$1,Opening!$E$11,Opening!D$8,$N$1,Opening!$H$11,Opening!$K$11,$O$1,Opening!$B96,$C96,$L$1)</f>
        <v>0</v>
      </c>
      <c r="E96" s="16">
        <f>_xll.DBRW($B$1,Opening!$E$11,Opening!E$8,$N$1,Opening!$H$11,Opening!$K$11,$O$1,Opening!$B96,$C96,$L$1)</f>
        <v>0</v>
      </c>
      <c r="F96" s="16">
        <f>_xll.DBRW($B$1,Opening!$E$11,Opening!F$8,$N$1,Opening!$H$11,Opening!$K$11,$O$1,Opening!$B96,$C96,$L$1)</f>
        <v>0</v>
      </c>
      <c r="G96" s="16">
        <f>_xll.DBRW($B$1,Opening!$E$11,Opening!G$8,$N$1,Opening!$H$11,Opening!$K$11,$O$1,Opening!$B96,$C96,$L$1)</f>
        <v>0</v>
      </c>
      <c r="H96" s="16">
        <f>_xll.DBRW($B$1,Opening!$E$11,Opening!H$8,$N$1,Opening!$H$11,Opening!$K$11,$O$1,Opening!$B96,$C96,$L$1)</f>
        <v>0</v>
      </c>
      <c r="I96" s="16">
        <f>_xll.DBRW($B$1,Opening!$E$11,Opening!I$8,$N$1,Opening!$H$11,Opening!$K$11,$O$1,Opening!$B96,$C96,$L$1)</f>
        <v>0</v>
      </c>
      <c r="J96" s="16">
        <f>_xll.DBRW($B$1,Opening!$E$11,Opening!J$8,$N$1,Opening!$H$11,Opening!$K$11,$O$1,Opening!$B96,$C96,$L$1)</f>
        <v>0</v>
      </c>
      <c r="K96" s="16">
        <f>_xll.DBRW($B$1,Opening!$E$11,Opening!K$8,$N$1,Opening!$H$11,Opening!$K$11,$O$1,Opening!$B96,$C96,$L$1)</f>
        <v>0</v>
      </c>
      <c r="L96" s="16">
        <f>_xll.DBRW($B$1,Opening!$E$11,Opening!L$8,$N$1,Opening!$H$11,Opening!$K$11,$O$1,Opening!$B96,$C96,$L$1)</f>
        <v>0</v>
      </c>
      <c r="M96" s="16">
        <f>_xll.DBRW($B$1,Opening!$E$11,Opening!M$8,$N$1,Opening!$H$11,Opening!$K$11,$O$1,Opening!$B96,$C96,$L$1)</f>
        <v>0</v>
      </c>
      <c r="N96" s="16">
        <f>_xll.DBRW($B$1,Opening!$E$11,Opening!N$8,$N$1,Opening!$H$11,Opening!$K$11,$O$1,Opening!$B96,$C96,$L$1)</f>
        <v>0</v>
      </c>
      <c r="O96" s="16">
        <f>_xll.DBRW($B$1,Opening!$E$11,Opening!O$8,$N$1,Opening!$H$11,Opening!$K$11,$O$1,Opening!$B96,$C96,$L$1)</f>
        <v>0</v>
      </c>
      <c r="P96"/>
      <c r="Q96"/>
      <c r="R96"/>
      <c r="S96"/>
      <c r="T96"/>
      <c r="U96"/>
      <c r="V96"/>
      <c r="W96"/>
      <c r="X96"/>
      <c r="Y96"/>
    </row>
    <row r="97" spans="2:25" ht="22.5" x14ac:dyDescent="0.25">
      <c r="B97" s="17" t="s">
        <v>172</v>
      </c>
      <c r="C97" s="17" t="s">
        <v>248</v>
      </c>
      <c r="D97" s="16">
        <f>_xll.DBRW($B$1,Opening!$E$11,Opening!D$8,$N$1,Opening!$H$11,Opening!$K$11,$O$1,Opening!$B97,$C97,$L$1)</f>
        <v>0</v>
      </c>
      <c r="E97" s="16">
        <f>_xll.DBRW($B$1,Opening!$E$11,Opening!E$8,$N$1,Opening!$H$11,Opening!$K$11,$O$1,Opening!$B97,$C97,$L$1)</f>
        <v>0</v>
      </c>
      <c r="F97" s="16">
        <f>_xll.DBRW($B$1,Opening!$E$11,Opening!F$8,$N$1,Opening!$H$11,Opening!$K$11,$O$1,Opening!$B97,$C97,$L$1)</f>
        <v>0</v>
      </c>
      <c r="G97" s="16">
        <f>_xll.DBRW($B$1,Opening!$E$11,Opening!G$8,$N$1,Opening!$H$11,Opening!$K$11,$O$1,Opening!$B97,$C97,$L$1)</f>
        <v>0</v>
      </c>
      <c r="H97" s="16">
        <f>_xll.DBRW($B$1,Opening!$E$11,Opening!H$8,$N$1,Opening!$H$11,Opening!$K$11,$O$1,Opening!$B97,$C97,$L$1)</f>
        <v>0</v>
      </c>
      <c r="I97" s="16">
        <f>_xll.DBRW($B$1,Opening!$E$11,Opening!I$8,$N$1,Opening!$H$11,Opening!$K$11,$O$1,Opening!$B97,$C97,$L$1)</f>
        <v>0</v>
      </c>
      <c r="J97" s="16">
        <f>_xll.DBRW($B$1,Opening!$E$11,Opening!J$8,$N$1,Opening!$H$11,Opening!$K$11,$O$1,Opening!$B97,$C97,$L$1)</f>
        <v>0</v>
      </c>
      <c r="K97" s="16">
        <f>_xll.DBRW($B$1,Opening!$E$11,Opening!K$8,$N$1,Opening!$H$11,Opening!$K$11,$O$1,Opening!$B97,$C97,$L$1)</f>
        <v>0</v>
      </c>
      <c r="L97" s="16">
        <f>_xll.DBRW($B$1,Opening!$E$11,Opening!L$8,$N$1,Opening!$H$11,Opening!$K$11,$O$1,Opening!$B97,$C97,$L$1)</f>
        <v>0</v>
      </c>
      <c r="M97" s="16">
        <f>_xll.DBRW($B$1,Opening!$E$11,Opening!M$8,$N$1,Opening!$H$11,Opening!$K$11,$O$1,Opening!$B97,$C97,$L$1)</f>
        <v>0</v>
      </c>
      <c r="N97" s="16">
        <f>_xll.DBRW($B$1,Opening!$E$11,Opening!N$8,$N$1,Opening!$H$11,Opening!$K$11,$O$1,Opening!$B97,$C97,$L$1)</f>
        <v>0</v>
      </c>
      <c r="O97" s="16">
        <f>_xll.DBRW($B$1,Opening!$E$11,Opening!O$8,$N$1,Opening!$H$11,Opening!$K$11,$O$1,Opening!$B97,$C97,$L$1)</f>
        <v>0</v>
      </c>
      <c r="P97"/>
      <c r="Q97"/>
      <c r="R97"/>
      <c r="S97"/>
      <c r="T97"/>
      <c r="U97"/>
      <c r="V97"/>
      <c r="W97"/>
      <c r="X97"/>
      <c r="Y97"/>
    </row>
    <row r="98" spans="2:25" ht="22.5" x14ac:dyDescent="0.25">
      <c r="B98" s="17" t="s">
        <v>172</v>
      </c>
      <c r="C98" s="17" t="s">
        <v>249</v>
      </c>
      <c r="D98" s="16">
        <f>_xll.DBRW($B$1,Opening!$E$11,Opening!D$8,$N$1,Opening!$H$11,Opening!$K$11,$O$1,Opening!$B98,$C98,$L$1)</f>
        <v>0</v>
      </c>
      <c r="E98" s="16">
        <f>_xll.DBRW($B$1,Opening!$E$11,Opening!E$8,$N$1,Opening!$H$11,Opening!$K$11,$O$1,Opening!$B98,$C98,$L$1)</f>
        <v>0</v>
      </c>
      <c r="F98" s="16">
        <f>_xll.DBRW($B$1,Opening!$E$11,Opening!F$8,$N$1,Opening!$H$11,Opening!$K$11,$O$1,Opening!$B98,$C98,$L$1)</f>
        <v>0</v>
      </c>
      <c r="G98" s="16">
        <f>_xll.DBRW($B$1,Opening!$E$11,Opening!G$8,$N$1,Opening!$H$11,Opening!$K$11,$O$1,Opening!$B98,$C98,$L$1)</f>
        <v>0</v>
      </c>
      <c r="H98" s="16">
        <f>_xll.DBRW($B$1,Opening!$E$11,Opening!H$8,$N$1,Opening!$H$11,Opening!$K$11,$O$1,Opening!$B98,$C98,$L$1)</f>
        <v>0</v>
      </c>
      <c r="I98" s="16">
        <f>_xll.DBRW($B$1,Opening!$E$11,Opening!I$8,$N$1,Opening!$H$11,Opening!$K$11,$O$1,Opening!$B98,$C98,$L$1)</f>
        <v>0</v>
      </c>
      <c r="J98" s="16">
        <f>_xll.DBRW($B$1,Opening!$E$11,Opening!J$8,$N$1,Opening!$H$11,Opening!$K$11,$O$1,Opening!$B98,$C98,$L$1)</f>
        <v>0</v>
      </c>
      <c r="K98" s="16">
        <f>_xll.DBRW($B$1,Opening!$E$11,Opening!K$8,$N$1,Opening!$H$11,Opening!$K$11,$O$1,Opening!$B98,$C98,$L$1)</f>
        <v>0</v>
      </c>
      <c r="L98" s="16">
        <f>_xll.DBRW($B$1,Opening!$E$11,Opening!L$8,$N$1,Opening!$H$11,Opening!$K$11,$O$1,Opening!$B98,$C98,$L$1)</f>
        <v>0</v>
      </c>
      <c r="M98" s="16">
        <f>_xll.DBRW($B$1,Opening!$E$11,Opening!M$8,$N$1,Opening!$H$11,Opening!$K$11,$O$1,Opening!$B98,$C98,$L$1)</f>
        <v>0</v>
      </c>
      <c r="N98" s="16">
        <f>_xll.DBRW($B$1,Opening!$E$11,Opening!N$8,$N$1,Opening!$H$11,Opening!$K$11,$O$1,Opening!$B98,$C98,$L$1)</f>
        <v>0</v>
      </c>
      <c r="O98" s="16">
        <f>_xll.DBRW($B$1,Opening!$E$11,Opening!O$8,$N$1,Opening!$H$11,Opening!$K$11,$O$1,Opening!$B98,$C98,$L$1)</f>
        <v>0</v>
      </c>
      <c r="P98"/>
      <c r="Q98"/>
      <c r="R98"/>
      <c r="S98"/>
      <c r="T98"/>
      <c r="U98"/>
      <c r="V98"/>
      <c r="W98"/>
      <c r="X98"/>
      <c r="Y98"/>
    </row>
    <row r="99" spans="2:25" ht="22.5" x14ac:dyDescent="0.25">
      <c r="B99" s="17" t="s">
        <v>172</v>
      </c>
      <c r="C99" s="17" t="s">
        <v>250</v>
      </c>
      <c r="D99" s="16">
        <f>_xll.DBRW($B$1,Opening!$E$11,Opening!D$8,$N$1,Opening!$H$11,Opening!$K$11,$O$1,Opening!$B99,$C99,$L$1)</f>
        <v>0</v>
      </c>
      <c r="E99" s="16">
        <f>_xll.DBRW($B$1,Opening!$E$11,Opening!E$8,$N$1,Opening!$H$11,Opening!$K$11,$O$1,Opening!$B99,$C99,$L$1)</f>
        <v>0</v>
      </c>
      <c r="F99" s="16">
        <f>_xll.DBRW($B$1,Opening!$E$11,Opening!F$8,$N$1,Opening!$H$11,Opening!$K$11,$O$1,Opening!$B99,$C99,$L$1)</f>
        <v>0</v>
      </c>
      <c r="G99" s="16">
        <f>_xll.DBRW($B$1,Opening!$E$11,Opening!G$8,$N$1,Opening!$H$11,Opening!$K$11,$O$1,Opening!$B99,$C99,$L$1)</f>
        <v>0</v>
      </c>
      <c r="H99" s="16">
        <f>_xll.DBRW($B$1,Opening!$E$11,Opening!H$8,$N$1,Opening!$H$11,Opening!$K$11,$O$1,Opening!$B99,$C99,$L$1)</f>
        <v>0</v>
      </c>
      <c r="I99" s="16">
        <f>_xll.DBRW($B$1,Opening!$E$11,Opening!I$8,$N$1,Opening!$H$11,Opening!$K$11,$O$1,Opening!$B99,$C99,$L$1)</f>
        <v>0</v>
      </c>
      <c r="J99" s="16">
        <f>_xll.DBRW($B$1,Opening!$E$11,Opening!J$8,$N$1,Opening!$H$11,Opening!$K$11,$O$1,Opening!$B99,$C99,$L$1)</f>
        <v>0</v>
      </c>
      <c r="K99" s="16">
        <f>_xll.DBRW($B$1,Opening!$E$11,Opening!K$8,$N$1,Opening!$H$11,Opening!$K$11,$O$1,Opening!$B99,$C99,$L$1)</f>
        <v>0</v>
      </c>
      <c r="L99" s="16">
        <f>_xll.DBRW($B$1,Opening!$E$11,Opening!L$8,$N$1,Opening!$H$11,Opening!$K$11,$O$1,Opening!$B99,$C99,$L$1)</f>
        <v>0</v>
      </c>
      <c r="M99" s="16">
        <f>_xll.DBRW($B$1,Opening!$E$11,Opening!M$8,$N$1,Opening!$H$11,Opening!$K$11,$O$1,Opening!$B99,$C99,$L$1)</f>
        <v>0</v>
      </c>
      <c r="N99" s="16">
        <f>_xll.DBRW($B$1,Opening!$E$11,Opening!N$8,$N$1,Opening!$H$11,Opening!$K$11,$O$1,Opening!$B99,$C99,$L$1)</f>
        <v>0</v>
      </c>
      <c r="O99" s="16">
        <f>_xll.DBRW($B$1,Opening!$E$11,Opening!O$8,$N$1,Opening!$H$11,Opening!$K$11,$O$1,Opening!$B99,$C99,$L$1)</f>
        <v>0</v>
      </c>
      <c r="P99"/>
      <c r="Q99"/>
      <c r="R99"/>
      <c r="S99"/>
      <c r="T99"/>
      <c r="U99"/>
      <c r="V99"/>
      <c r="W99"/>
      <c r="X99"/>
      <c r="Y99"/>
    </row>
    <row r="100" spans="2:25" ht="22.5" x14ac:dyDescent="0.25">
      <c r="B100" s="17" t="s">
        <v>172</v>
      </c>
      <c r="C100" s="17" t="s">
        <v>251</v>
      </c>
      <c r="D100" s="16">
        <f>_xll.DBRW($B$1,Opening!$E$11,Opening!D$8,$N$1,Opening!$H$11,Opening!$K$11,$O$1,Opening!$B100,$C100,$L$1)</f>
        <v>0</v>
      </c>
      <c r="E100" s="16">
        <f>_xll.DBRW($B$1,Opening!$E$11,Opening!E$8,$N$1,Opening!$H$11,Opening!$K$11,$O$1,Opening!$B100,$C100,$L$1)</f>
        <v>0</v>
      </c>
      <c r="F100" s="16">
        <f>_xll.DBRW($B$1,Opening!$E$11,Opening!F$8,$N$1,Opening!$H$11,Opening!$K$11,$O$1,Opening!$B100,$C100,$L$1)</f>
        <v>0</v>
      </c>
      <c r="G100" s="16">
        <f>_xll.DBRW($B$1,Opening!$E$11,Opening!G$8,$N$1,Opening!$H$11,Opening!$K$11,$O$1,Opening!$B100,$C100,$L$1)</f>
        <v>0</v>
      </c>
      <c r="H100" s="16">
        <f>_xll.DBRW($B$1,Opening!$E$11,Opening!H$8,$N$1,Opening!$H$11,Opening!$K$11,$O$1,Opening!$B100,$C100,$L$1)</f>
        <v>0</v>
      </c>
      <c r="I100" s="16">
        <f>_xll.DBRW($B$1,Opening!$E$11,Opening!I$8,$N$1,Opening!$H$11,Opening!$K$11,$O$1,Opening!$B100,$C100,$L$1)</f>
        <v>0</v>
      </c>
      <c r="J100" s="16">
        <f>_xll.DBRW($B$1,Opening!$E$11,Opening!J$8,$N$1,Opening!$H$11,Opening!$K$11,$O$1,Opening!$B100,$C100,$L$1)</f>
        <v>0</v>
      </c>
      <c r="K100" s="16">
        <f>_xll.DBRW($B$1,Opening!$E$11,Opening!K$8,$N$1,Opening!$H$11,Opening!$K$11,$O$1,Opening!$B100,$C100,$L$1)</f>
        <v>0</v>
      </c>
      <c r="L100" s="16">
        <f>_xll.DBRW($B$1,Opening!$E$11,Opening!L$8,$N$1,Opening!$H$11,Opening!$K$11,$O$1,Opening!$B100,$C100,$L$1)</f>
        <v>0</v>
      </c>
      <c r="M100" s="16">
        <f>_xll.DBRW($B$1,Opening!$E$11,Opening!M$8,$N$1,Opening!$H$11,Opening!$K$11,$O$1,Opening!$B100,$C100,$L$1)</f>
        <v>0</v>
      </c>
      <c r="N100" s="16">
        <f>_xll.DBRW($B$1,Opening!$E$11,Opening!N$8,$N$1,Opening!$H$11,Opening!$K$11,$O$1,Opening!$B100,$C100,$L$1)</f>
        <v>0</v>
      </c>
      <c r="O100" s="16">
        <f>_xll.DBRW($B$1,Opening!$E$11,Opening!O$8,$N$1,Opening!$H$11,Opening!$K$11,$O$1,Opening!$B100,$C100,$L$1)</f>
        <v>0</v>
      </c>
      <c r="P100"/>
      <c r="Q100"/>
      <c r="R100"/>
      <c r="S100"/>
      <c r="T100"/>
      <c r="U100"/>
      <c r="V100"/>
      <c r="W100"/>
      <c r="X100"/>
      <c r="Y100"/>
    </row>
    <row r="101" spans="2:25" ht="22.5" x14ac:dyDescent="0.25">
      <c r="B101" s="17" t="s">
        <v>172</v>
      </c>
      <c r="C101" s="17" t="s">
        <v>66</v>
      </c>
      <c r="D101" s="16">
        <f>_xll.DBRW($B$1,Opening!$E$11,Opening!D$8,$N$1,Opening!$H$11,Opening!$K$11,$O$1,Opening!$B101,$C101,$L$1)</f>
        <v>0</v>
      </c>
      <c r="E101" s="16">
        <f>_xll.DBRW($B$1,Opening!$E$11,Opening!E$8,$N$1,Opening!$H$11,Opening!$K$11,$O$1,Opening!$B101,$C101,$L$1)</f>
        <v>0</v>
      </c>
      <c r="F101" s="16">
        <f>_xll.DBRW($B$1,Opening!$E$11,Opening!F$8,$N$1,Opening!$H$11,Opening!$K$11,$O$1,Opening!$B101,$C101,$L$1)</f>
        <v>0</v>
      </c>
      <c r="G101" s="16">
        <f>_xll.DBRW($B$1,Opening!$E$11,Opening!G$8,$N$1,Opening!$H$11,Opening!$K$11,$O$1,Opening!$B101,$C101,$L$1)</f>
        <v>0</v>
      </c>
      <c r="H101" s="16">
        <f>_xll.DBRW($B$1,Opening!$E$11,Opening!H$8,$N$1,Opening!$H$11,Opening!$K$11,$O$1,Opening!$B101,$C101,$L$1)</f>
        <v>0</v>
      </c>
      <c r="I101" s="16">
        <f>_xll.DBRW($B$1,Opening!$E$11,Opening!I$8,$N$1,Opening!$H$11,Opening!$K$11,$O$1,Opening!$B101,$C101,$L$1)</f>
        <v>0</v>
      </c>
      <c r="J101" s="16">
        <f>_xll.DBRW($B$1,Opening!$E$11,Opening!J$8,$N$1,Opening!$H$11,Opening!$K$11,$O$1,Opening!$B101,$C101,$L$1)</f>
        <v>0</v>
      </c>
      <c r="K101" s="16">
        <f>_xll.DBRW($B$1,Opening!$E$11,Opening!K$8,$N$1,Opening!$H$11,Opening!$K$11,$O$1,Opening!$B101,$C101,$L$1)</f>
        <v>0</v>
      </c>
      <c r="L101" s="16">
        <f>_xll.DBRW($B$1,Opening!$E$11,Opening!L$8,$N$1,Opening!$H$11,Opening!$K$11,$O$1,Opening!$B101,$C101,$L$1)</f>
        <v>0</v>
      </c>
      <c r="M101" s="16">
        <f>_xll.DBRW($B$1,Opening!$E$11,Opening!M$8,$N$1,Opening!$H$11,Opening!$K$11,$O$1,Opening!$B101,$C101,$L$1)</f>
        <v>0</v>
      </c>
      <c r="N101" s="16">
        <f>_xll.DBRW($B$1,Opening!$E$11,Opening!N$8,$N$1,Opening!$H$11,Opening!$K$11,$O$1,Opening!$B101,$C101,$L$1)</f>
        <v>0</v>
      </c>
      <c r="O101" s="16">
        <f>_xll.DBRW($B$1,Opening!$E$11,Opening!O$8,$N$1,Opening!$H$11,Opening!$K$11,$O$1,Opening!$B101,$C101,$L$1)</f>
        <v>0</v>
      </c>
      <c r="P101"/>
      <c r="Q101"/>
      <c r="R101"/>
      <c r="S101"/>
      <c r="T101"/>
      <c r="U101"/>
      <c r="V101"/>
      <c r="W101"/>
      <c r="X101"/>
      <c r="Y101"/>
    </row>
    <row r="102" spans="2:25" ht="22.5" x14ac:dyDescent="0.25">
      <c r="B102" s="24" t="s">
        <v>173</v>
      </c>
      <c r="C102" s="24" t="s">
        <v>278</v>
      </c>
      <c r="D102" s="21">
        <f>_xll.DBRW($B$1,Opening!$E$11,Opening!D$8,$N$1,Opening!$H$11,Opening!$K$11,$O$1,Opening!$B102,$C102,$L$1)</f>
        <v>0</v>
      </c>
      <c r="E102" s="21">
        <f>_xll.DBRW($B$1,Opening!$E$11,Opening!E$8,$N$1,Opening!$H$11,Opening!$K$11,$O$1,Opening!$B102,$C102,$L$1)</f>
        <v>0</v>
      </c>
      <c r="F102" s="21">
        <f>_xll.DBRW($B$1,Opening!$E$11,Opening!F$8,$N$1,Opening!$H$11,Opening!$K$11,$O$1,Opening!$B102,$C102,$L$1)</f>
        <v>0</v>
      </c>
      <c r="G102" s="21">
        <f>_xll.DBRW($B$1,Opening!$E$11,Opening!G$8,$N$1,Opening!$H$11,Opening!$K$11,$O$1,Opening!$B102,$C102,$L$1)</f>
        <v>0</v>
      </c>
      <c r="H102" s="21">
        <f>_xll.DBRW($B$1,Opening!$E$11,Opening!H$8,$N$1,Opening!$H$11,Opening!$K$11,$O$1,Opening!$B102,$C102,$L$1)</f>
        <v>0</v>
      </c>
      <c r="I102" s="21">
        <f>_xll.DBRW($B$1,Opening!$E$11,Opening!I$8,$N$1,Opening!$H$11,Opening!$K$11,$O$1,Opening!$B102,$C102,$L$1)</f>
        <v>0</v>
      </c>
      <c r="J102" s="21">
        <f>_xll.DBRW($B$1,Opening!$E$11,Opening!J$8,$N$1,Opening!$H$11,Opening!$K$11,$O$1,Opening!$B102,$C102,$L$1)</f>
        <v>0</v>
      </c>
      <c r="K102" s="21">
        <f>_xll.DBRW($B$1,Opening!$E$11,Opening!K$8,$N$1,Opening!$H$11,Opening!$K$11,$O$1,Opening!$B102,$C102,$L$1)</f>
        <v>0</v>
      </c>
      <c r="L102" s="21">
        <f>_xll.DBRW($B$1,Opening!$E$11,Opening!L$8,$N$1,Opening!$H$11,Opening!$K$11,$O$1,Opening!$B102,$C102,$L$1)</f>
        <v>0</v>
      </c>
      <c r="M102" s="21">
        <f>_xll.DBRW($B$1,Opening!$E$11,Opening!M$8,$N$1,Opening!$H$11,Opening!$K$11,$O$1,Opening!$B102,$C102,$L$1)</f>
        <v>0</v>
      </c>
      <c r="N102" s="21">
        <f>_xll.DBRW($B$1,Opening!$E$11,Opening!N$8,$N$1,Opening!$H$11,Opening!$K$11,$O$1,Opening!$B102,$C102,$L$1)</f>
        <v>0</v>
      </c>
      <c r="O102" s="21">
        <f>_xll.DBRW($B$1,Opening!$E$11,Opening!O$8,$N$1,Opening!$H$11,Opening!$K$11,$O$1,Opening!$B102,$C102,$L$1)</f>
        <v>0</v>
      </c>
      <c r="P102"/>
      <c r="Q102"/>
      <c r="R102"/>
      <c r="S102"/>
      <c r="T102"/>
      <c r="U102"/>
      <c r="V102"/>
      <c r="W102"/>
      <c r="X102"/>
      <c r="Y102"/>
    </row>
    <row r="103" spans="2:25" ht="22.5" x14ac:dyDescent="0.25">
      <c r="B103" s="17" t="s">
        <v>173</v>
      </c>
      <c r="C103" s="17" t="s">
        <v>241</v>
      </c>
      <c r="D103" s="16">
        <f>_xll.DBRW($B$1,Opening!$E$11,Opening!D$8,$N$1,Opening!$H$11,Opening!$K$11,$O$1,Opening!$B103,$C103,$L$1)</f>
        <v>0</v>
      </c>
      <c r="E103" s="16">
        <f>_xll.DBRW($B$1,Opening!$E$11,Opening!E$8,$N$1,Opening!$H$11,Opening!$K$11,$O$1,Opening!$B103,$C103,$L$1)</f>
        <v>0</v>
      </c>
      <c r="F103" s="16">
        <f>_xll.DBRW($B$1,Opening!$E$11,Opening!F$8,$N$1,Opening!$H$11,Opening!$K$11,$O$1,Opening!$B103,$C103,$L$1)</f>
        <v>0</v>
      </c>
      <c r="G103" s="16">
        <f>_xll.DBRW($B$1,Opening!$E$11,Opening!G$8,$N$1,Opening!$H$11,Opening!$K$11,$O$1,Opening!$B103,$C103,$L$1)</f>
        <v>0</v>
      </c>
      <c r="H103" s="16">
        <f>_xll.DBRW($B$1,Opening!$E$11,Opening!H$8,$N$1,Opening!$H$11,Opening!$K$11,$O$1,Opening!$B103,$C103,$L$1)</f>
        <v>0</v>
      </c>
      <c r="I103" s="16">
        <f>_xll.DBRW($B$1,Opening!$E$11,Opening!I$8,$N$1,Opening!$H$11,Opening!$K$11,$O$1,Opening!$B103,$C103,$L$1)</f>
        <v>0</v>
      </c>
      <c r="J103" s="16">
        <f>_xll.DBRW($B$1,Opening!$E$11,Opening!J$8,$N$1,Opening!$H$11,Opening!$K$11,$O$1,Opening!$B103,$C103,$L$1)</f>
        <v>0</v>
      </c>
      <c r="K103" s="16">
        <f>_xll.DBRW($B$1,Opening!$E$11,Opening!K$8,$N$1,Opening!$H$11,Opening!$K$11,$O$1,Opening!$B103,$C103,$L$1)</f>
        <v>0</v>
      </c>
      <c r="L103" s="16">
        <f>_xll.DBRW($B$1,Opening!$E$11,Opening!L$8,$N$1,Opening!$H$11,Opening!$K$11,$O$1,Opening!$B103,$C103,$L$1)</f>
        <v>0</v>
      </c>
      <c r="M103" s="16">
        <f>_xll.DBRW($B$1,Opening!$E$11,Opening!M$8,$N$1,Opening!$H$11,Opening!$K$11,$O$1,Opening!$B103,$C103,$L$1)</f>
        <v>0</v>
      </c>
      <c r="N103" s="16">
        <f>_xll.DBRW($B$1,Opening!$E$11,Opening!N$8,$N$1,Opening!$H$11,Opening!$K$11,$O$1,Opening!$B103,$C103,$L$1)</f>
        <v>0</v>
      </c>
      <c r="O103" s="16">
        <f>_xll.DBRW($B$1,Opening!$E$11,Opening!O$8,$N$1,Opening!$H$11,Opening!$K$11,$O$1,Opening!$B103,$C103,$L$1)</f>
        <v>0</v>
      </c>
      <c r="P103"/>
      <c r="Q103"/>
      <c r="R103"/>
      <c r="S103"/>
      <c r="T103"/>
      <c r="U103"/>
      <c r="V103"/>
      <c r="W103"/>
      <c r="X103"/>
      <c r="Y103"/>
    </row>
    <row r="104" spans="2:25" ht="22.5" x14ac:dyDescent="0.25">
      <c r="B104" s="17" t="s">
        <v>173</v>
      </c>
      <c r="C104" s="17" t="s">
        <v>242</v>
      </c>
      <c r="D104" s="16">
        <f>_xll.DBRW($B$1,Opening!$E$11,Opening!D$8,$N$1,Opening!$H$11,Opening!$K$11,$O$1,Opening!$B104,$C104,$L$1)</f>
        <v>0</v>
      </c>
      <c r="E104" s="16">
        <f>_xll.DBRW($B$1,Opening!$E$11,Opening!E$8,$N$1,Opening!$H$11,Opening!$K$11,$O$1,Opening!$B104,$C104,$L$1)</f>
        <v>0</v>
      </c>
      <c r="F104" s="16">
        <f>_xll.DBRW($B$1,Opening!$E$11,Opening!F$8,$N$1,Opening!$H$11,Opening!$K$11,$O$1,Opening!$B104,$C104,$L$1)</f>
        <v>0</v>
      </c>
      <c r="G104" s="16">
        <f>_xll.DBRW($B$1,Opening!$E$11,Opening!G$8,$N$1,Opening!$H$11,Opening!$K$11,$O$1,Opening!$B104,$C104,$L$1)</f>
        <v>0</v>
      </c>
      <c r="H104" s="16">
        <f>_xll.DBRW($B$1,Opening!$E$11,Opening!H$8,$N$1,Opening!$H$11,Opening!$K$11,$O$1,Opening!$B104,$C104,$L$1)</f>
        <v>0</v>
      </c>
      <c r="I104" s="16">
        <f>_xll.DBRW($B$1,Opening!$E$11,Opening!I$8,$N$1,Opening!$H$11,Opening!$K$11,$O$1,Opening!$B104,$C104,$L$1)</f>
        <v>0</v>
      </c>
      <c r="J104" s="16">
        <f>_xll.DBRW($B$1,Opening!$E$11,Opening!J$8,$N$1,Opening!$H$11,Opening!$K$11,$O$1,Opening!$B104,$C104,$L$1)</f>
        <v>0</v>
      </c>
      <c r="K104" s="16">
        <f>_xll.DBRW($B$1,Opening!$E$11,Opening!K$8,$N$1,Opening!$H$11,Opening!$K$11,$O$1,Opening!$B104,$C104,$L$1)</f>
        <v>0</v>
      </c>
      <c r="L104" s="16">
        <f>_xll.DBRW($B$1,Opening!$E$11,Opening!L$8,$N$1,Opening!$H$11,Opening!$K$11,$O$1,Opening!$B104,$C104,$L$1)</f>
        <v>0</v>
      </c>
      <c r="M104" s="16">
        <f>_xll.DBRW($B$1,Opening!$E$11,Opening!M$8,$N$1,Opening!$H$11,Opening!$K$11,$O$1,Opening!$B104,$C104,$L$1)</f>
        <v>0</v>
      </c>
      <c r="N104" s="16">
        <f>_xll.DBRW($B$1,Opening!$E$11,Opening!N$8,$N$1,Opening!$H$11,Opening!$K$11,$O$1,Opening!$B104,$C104,$L$1)</f>
        <v>0</v>
      </c>
      <c r="O104" s="16">
        <f>_xll.DBRW($B$1,Opening!$E$11,Opening!O$8,$N$1,Opening!$H$11,Opening!$K$11,$O$1,Opening!$B104,$C104,$L$1)</f>
        <v>0</v>
      </c>
      <c r="P104"/>
      <c r="Q104"/>
      <c r="R104"/>
      <c r="S104"/>
      <c r="T104"/>
      <c r="U104"/>
      <c r="V104"/>
      <c r="W104"/>
      <c r="X104"/>
      <c r="Y104"/>
    </row>
    <row r="105" spans="2:25" ht="22.5" x14ac:dyDescent="0.25">
      <c r="B105" s="17" t="s">
        <v>173</v>
      </c>
      <c r="C105" s="17" t="s">
        <v>243</v>
      </c>
      <c r="D105" s="16">
        <f>_xll.DBRW($B$1,Opening!$E$11,Opening!D$8,$N$1,Opening!$H$11,Opening!$K$11,$O$1,Opening!$B105,$C105,$L$1)</f>
        <v>0</v>
      </c>
      <c r="E105" s="16">
        <f>_xll.DBRW($B$1,Opening!$E$11,Opening!E$8,$N$1,Opening!$H$11,Opening!$K$11,$O$1,Opening!$B105,$C105,$L$1)</f>
        <v>0</v>
      </c>
      <c r="F105" s="16">
        <f>_xll.DBRW($B$1,Opening!$E$11,Opening!F$8,$N$1,Opening!$H$11,Opening!$K$11,$O$1,Opening!$B105,$C105,$L$1)</f>
        <v>0</v>
      </c>
      <c r="G105" s="16">
        <f>_xll.DBRW($B$1,Opening!$E$11,Opening!G$8,$N$1,Opening!$H$11,Opening!$K$11,$O$1,Opening!$B105,$C105,$L$1)</f>
        <v>0</v>
      </c>
      <c r="H105" s="16">
        <f>_xll.DBRW($B$1,Opening!$E$11,Opening!H$8,$N$1,Opening!$H$11,Opening!$K$11,$O$1,Opening!$B105,$C105,$L$1)</f>
        <v>0</v>
      </c>
      <c r="I105" s="16">
        <f>_xll.DBRW($B$1,Opening!$E$11,Opening!I$8,$N$1,Opening!$H$11,Opening!$K$11,$O$1,Opening!$B105,$C105,$L$1)</f>
        <v>0</v>
      </c>
      <c r="J105" s="16">
        <f>_xll.DBRW($B$1,Opening!$E$11,Opening!J$8,$N$1,Opening!$H$11,Opening!$K$11,$O$1,Opening!$B105,$C105,$L$1)</f>
        <v>0</v>
      </c>
      <c r="K105" s="16">
        <f>_xll.DBRW($B$1,Opening!$E$11,Opening!K$8,$N$1,Opening!$H$11,Opening!$K$11,$O$1,Opening!$B105,$C105,$L$1)</f>
        <v>0</v>
      </c>
      <c r="L105" s="16">
        <f>_xll.DBRW($B$1,Opening!$E$11,Opening!L$8,$N$1,Opening!$H$11,Opening!$K$11,$O$1,Opening!$B105,$C105,$L$1)</f>
        <v>0</v>
      </c>
      <c r="M105" s="16">
        <f>_xll.DBRW($B$1,Opening!$E$11,Opening!M$8,$N$1,Opening!$H$11,Opening!$K$11,$O$1,Opening!$B105,$C105,$L$1)</f>
        <v>0</v>
      </c>
      <c r="N105" s="16">
        <f>_xll.DBRW($B$1,Opening!$E$11,Opening!N$8,$N$1,Opening!$H$11,Opening!$K$11,$O$1,Opening!$B105,$C105,$L$1)</f>
        <v>0</v>
      </c>
      <c r="O105" s="16">
        <f>_xll.DBRW($B$1,Opening!$E$11,Opening!O$8,$N$1,Opening!$H$11,Opening!$K$11,$O$1,Opening!$B105,$C105,$L$1)</f>
        <v>0</v>
      </c>
      <c r="P105"/>
      <c r="Q105"/>
      <c r="R105"/>
      <c r="S105"/>
      <c r="T105"/>
      <c r="U105"/>
      <c r="V105"/>
      <c r="W105"/>
      <c r="X105"/>
      <c r="Y105"/>
    </row>
    <row r="106" spans="2:25" ht="22.5" x14ac:dyDescent="0.25">
      <c r="B106" s="17" t="s">
        <v>173</v>
      </c>
      <c r="C106" s="17" t="s">
        <v>244</v>
      </c>
      <c r="D106" s="16">
        <f>_xll.DBRW($B$1,Opening!$E$11,Opening!D$8,$N$1,Opening!$H$11,Opening!$K$11,$O$1,Opening!$B106,$C106,$L$1)</f>
        <v>0</v>
      </c>
      <c r="E106" s="16">
        <f>_xll.DBRW($B$1,Opening!$E$11,Opening!E$8,$N$1,Opening!$H$11,Opening!$K$11,$O$1,Opening!$B106,$C106,$L$1)</f>
        <v>0</v>
      </c>
      <c r="F106" s="16">
        <f>_xll.DBRW($B$1,Opening!$E$11,Opening!F$8,$N$1,Opening!$H$11,Opening!$K$11,$O$1,Opening!$B106,$C106,$L$1)</f>
        <v>0</v>
      </c>
      <c r="G106" s="16">
        <f>_xll.DBRW($B$1,Opening!$E$11,Opening!G$8,$N$1,Opening!$H$11,Opening!$K$11,$O$1,Opening!$B106,$C106,$L$1)</f>
        <v>0</v>
      </c>
      <c r="H106" s="16">
        <f>_xll.DBRW($B$1,Opening!$E$11,Opening!H$8,$N$1,Opening!$H$11,Opening!$K$11,$O$1,Opening!$B106,$C106,$L$1)</f>
        <v>0</v>
      </c>
      <c r="I106" s="16">
        <f>_xll.DBRW($B$1,Opening!$E$11,Opening!I$8,$N$1,Opening!$H$11,Opening!$K$11,$O$1,Opening!$B106,$C106,$L$1)</f>
        <v>0</v>
      </c>
      <c r="J106" s="16">
        <f>_xll.DBRW($B$1,Opening!$E$11,Opening!J$8,$N$1,Opening!$H$11,Opening!$K$11,$O$1,Opening!$B106,$C106,$L$1)</f>
        <v>0</v>
      </c>
      <c r="K106" s="16">
        <f>_xll.DBRW($B$1,Opening!$E$11,Opening!K$8,$N$1,Opening!$H$11,Opening!$K$11,$O$1,Opening!$B106,$C106,$L$1)</f>
        <v>0</v>
      </c>
      <c r="L106" s="16">
        <f>_xll.DBRW($B$1,Opening!$E$11,Opening!L$8,$N$1,Opening!$H$11,Opening!$K$11,$O$1,Opening!$B106,$C106,$L$1)</f>
        <v>0</v>
      </c>
      <c r="M106" s="16">
        <f>_xll.DBRW($B$1,Opening!$E$11,Opening!M$8,$N$1,Opening!$H$11,Opening!$K$11,$O$1,Opening!$B106,$C106,$L$1)</f>
        <v>0</v>
      </c>
      <c r="N106" s="16">
        <f>_xll.DBRW($B$1,Opening!$E$11,Opening!N$8,$N$1,Opening!$H$11,Opening!$K$11,$O$1,Opening!$B106,$C106,$L$1)</f>
        <v>0</v>
      </c>
      <c r="O106" s="16">
        <f>_xll.DBRW($B$1,Opening!$E$11,Opening!O$8,$N$1,Opening!$H$11,Opening!$K$11,$O$1,Opening!$B106,$C106,$L$1)</f>
        <v>0</v>
      </c>
      <c r="P106"/>
      <c r="Q106"/>
      <c r="R106"/>
      <c r="S106"/>
      <c r="T106"/>
      <c r="U106"/>
      <c r="V106"/>
      <c r="W106"/>
      <c r="X106"/>
      <c r="Y106"/>
    </row>
    <row r="107" spans="2:25" ht="22.5" x14ac:dyDescent="0.25">
      <c r="B107" s="17" t="s">
        <v>173</v>
      </c>
      <c r="C107" s="17" t="s">
        <v>245</v>
      </c>
      <c r="D107" s="16">
        <f>_xll.DBRW($B$1,Opening!$E$11,Opening!D$8,$N$1,Opening!$H$11,Opening!$K$11,$O$1,Opening!$B107,$C107,$L$1)</f>
        <v>0</v>
      </c>
      <c r="E107" s="16">
        <f>_xll.DBRW($B$1,Opening!$E$11,Opening!E$8,$N$1,Opening!$H$11,Opening!$K$11,$O$1,Opening!$B107,$C107,$L$1)</f>
        <v>0</v>
      </c>
      <c r="F107" s="16">
        <f>_xll.DBRW($B$1,Opening!$E$11,Opening!F$8,$N$1,Opening!$H$11,Opening!$K$11,$O$1,Opening!$B107,$C107,$L$1)</f>
        <v>0</v>
      </c>
      <c r="G107" s="16">
        <f>_xll.DBRW($B$1,Opening!$E$11,Opening!G$8,$N$1,Opening!$H$11,Opening!$K$11,$O$1,Opening!$B107,$C107,$L$1)</f>
        <v>0</v>
      </c>
      <c r="H107" s="16">
        <f>_xll.DBRW($B$1,Opening!$E$11,Opening!H$8,$N$1,Opening!$H$11,Opening!$K$11,$O$1,Opening!$B107,$C107,$L$1)</f>
        <v>0</v>
      </c>
      <c r="I107" s="16">
        <f>_xll.DBRW($B$1,Opening!$E$11,Opening!I$8,$N$1,Opening!$H$11,Opening!$K$11,$O$1,Opening!$B107,$C107,$L$1)</f>
        <v>0</v>
      </c>
      <c r="J107" s="16">
        <f>_xll.DBRW($B$1,Opening!$E$11,Opening!J$8,$N$1,Opening!$H$11,Opening!$K$11,$O$1,Opening!$B107,$C107,$L$1)</f>
        <v>0</v>
      </c>
      <c r="K107" s="16">
        <f>_xll.DBRW($B$1,Opening!$E$11,Opening!K$8,$N$1,Opening!$H$11,Opening!$K$11,$O$1,Opening!$B107,$C107,$L$1)</f>
        <v>0</v>
      </c>
      <c r="L107" s="16">
        <f>_xll.DBRW($B$1,Opening!$E$11,Opening!L$8,$N$1,Opening!$H$11,Opening!$K$11,$O$1,Opening!$B107,$C107,$L$1)</f>
        <v>0</v>
      </c>
      <c r="M107" s="16">
        <f>_xll.DBRW($B$1,Opening!$E$11,Opening!M$8,$N$1,Opening!$H$11,Opening!$K$11,$O$1,Opening!$B107,$C107,$L$1)</f>
        <v>0</v>
      </c>
      <c r="N107" s="16">
        <f>_xll.DBRW($B$1,Opening!$E$11,Opening!N$8,$N$1,Opening!$H$11,Opening!$K$11,$O$1,Opening!$B107,$C107,$L$1)</f>
        <v>0</v>
      </c>
      <c r="O107" s="16">
        <f>_xll.DBRW($B$1,Opening!$E$11,Opening!O$8,$N$1,Opening!$H$11,Opening!$K$11,$O$1,Opening!$B107,$C107,$L$1)</f>
        <v>0</v>
      </c>
      <c r="P107"/>
      <c r="Q107"/>
      <c r="R107"/>
      <c r="S107"/>
      <c r="T107"/>
      <c r="U107"/>
      <c r="V107"/>
      <c r="W107"/>
      <c r="X107"/>
      <c r="Y107"/>
    </row>
    <row r="108" spans="2:25" ht="22.5" x14ac:dyDescent="0.25">
      <c r="B108" s="17" t="s">
        <v>173</v>
      </c>
      <c r="C108" s="17" t="s">
        <v>246</v>
      </c>
      <c r="D108" s="16">
        <f>_xll.DBRW($B$1,Opening!$E$11,Opening!D$8,$N$1,Opening!$H$11,Opening!$K$11,$O$1,Opening!$B108,$C108,$L$1)</f>
        <v>0</v>
      </c>
      <c r="E108" s="16">
        <f>_xll.DBRW($B$1,Opening!$E$11,Opening!E$8,$N$1,Opening!$H$11,Opening!$K$11,$O$1,Opening!$B108,$C108,$L$1)</f>
        <v>0</v>
      </c>
      <c r="F108" s="16">
        <f>_xll.DBRW($B$1,Opening!$E$11,Opening!F$8,$N$1,Opening!$H$11,Opening!$K$11,$O$1,Opening!$B108,$C108,$L$1)</f>
        <v>0</v>
      </c>
      <c r="G108" s="16">
        <f>_xll.DBRW($B$1,Opening!$E$11,Opening!G$8,$N$1,Opening!$H$11,Opening!$K$11,$O$1,Opening!$B108,$C108,$L$1)</f>
        <v>0</v>
      </c>
      <c r="H108" s="16">
        <f>_xll.DBRW($B$1,Opening!$E$11,Opening!H$8,$N$1,Opening!$H$11,Opening!$K$11,$O$1,Opening!$B108,$C108,$L$1)</f>
        <v>0</v>
      </c>
      <c r="I108" s="16">
        <f>_xll.DBRW($B$1,Opening!$E$11,Opening!I$8,$N$1,Opening!$H$11,Opening!$K$11,$O$1,Opening!$B108,$C108,$L$1)</f>
        <v>0</v>
      </c>
      <c r="J108" s="16">
        <f>_xll.DBRW($B$1,Opening!$E$11,Opening!J$8,$N$1,Opening!$H$11,Opening!$K$11,$O$1,Opening!$B108,$C108,$L$1)</f>
        <v>0</v>
      </c>
      <c r="K108" s="16">
        <f>_xll.DBRW($B$1,Opening!$E$11,Opening!K$8,$N$1,Opening!$H$11,Opening!$K$11,$O$1,Opening!$B108,$C108,$L$1)</f>
        <v>0</v>
      </c>
      <c r="L108" s="16">
        <f>_xll.DBRW($B$1,Opening!$E$11,Opening!L$8,$N$1,Opening!$H$11,Opening!$K$11,$O$1,Opening!$B108,$C108,$L$1)</f>
        <v>0</v>
      </c>
      <c r="M108" s="16">
        <f>_xll.DBRW($B$1,Opening!$E$11,Opening!M$8,$N$1,Opening!$H$11,Opening!$K$11,$O$1,Opening!$B108,$C108,$L$1)</f>
        <v>0</v>
      </c>
      <c r="N108" s="16">
        <f>_xll.DBRW($B$1,Opening!$E$11,Opening!N$8,$N$1,Opening!$H$11,Opening!$K$11,$O$1,Opening!$B108,$C108,$L$1)</f>
        <v>0</v>
      </c>
      <c r="O108" s="16">
        <f>_xll.DBRW($B$1,Opening!$E$11,Opening!O$8,$N$1,Opening!$H$11,Opening!$K$11,$O$1,Opening!$B108,$C108,$L$1)</f>
        <v>0</v>
      </c>
      <c r="P108"/>
      <c r="Q108"/>
      <c r="R108"/>
      <c r="S108"/>
      <c r="T108"/>
      <c r="U108"/>
      <c r="V108"/>
      <c r="W108"/>
      <c r="X108"/>
      <c r="Y108"/>
    </row>
    <row r="109" spans="2:25" ht="22.5" x14ac:dyDescent="0.25">
      <c r="B109" s="17" t="s">
        <v>173</v>
      </c>
      <c r="C109" s="17" t="s">
        <v>247</v>
      </c>
      <c r="D109" s="16">
        <f>_xll.DBRW($B$1,Opening!$E$11,Opening!D$8,$N$1,Opening!$H$11,Opening!$K$11,$O$1,Opening!$B109,$C109,$L$1)</f>
        <v>0</v>
      </c>
      <c r="E109" s="16">
        <f>_xll.DBRW($B$1,Opening!$E$11,Opening!E$8,$N$1,Opening!$H$11,Opening!$K$11,$O$1,Opening!$B109,$C109,$L$1)</f>
        <v>0</v>
      </c>
      <c r="F109" s="16">
        <f>_xll.DBRW($B$1,Opening!$E$11,Opening!F$8,$N$1,Opening!$H$11,Opening!$K$11,$O$1,Opening!$B109,$C109,$L$1)</f>
        <v>0</v>
      </c>
      <c r="G109" s="16">
        <f>_xll.DBRW($B$1,Opening!$E$11,Opening!G$8,$N$1,Opening!$H$11,Opening!$K$11,$O$1,Opening!$B109,$C109,$L$1)</f>
        <v>0</v>
      </c>
      <c r="H109" s="16">
        <f>_xll.DBRW($B$1,Opening!$E$11,Opening!H$8,$N$1,Opening!$H$11,Opening!$K$11,$O$1,Opening!$B109,$C109,$L$1)</f>
        <v>0</v>
      </c>
      <c r="I109" s="16">
        <f>_xll.DBRW($B$1,Opening!$E$11,Opening!I$8,$N$1,Opening!$H$11,Opening!$K$11,$O$1,Opening!$B109,$C109,$L$1)</f>
        <v>0</v>
      </c>
      <c r="J109" s="16">
        <f>_xll.DBRW($B$1,Opening!$E$11,Opening!J$8,$N$1,Opening!$H$11,Opening!$K$11,$O$1,Opening!$B109,$C109,$L$1)</f>
        <v>0</v>
      </c>
      <c r="K109" s="16">
        <f>_xll.DBRW($B$1,Opening!$E$11,Opening!K$8,$N$1,Opening!$H$11,Opening!$K$11,$O$1,Opening!$B109,$C109,$L$1)</f>
        <v>0</v>
      </c>
      <c r="L109" s="16">
        <f>_xll.DBRW($B$1,Opening!$E$11,Opening!L$8,$N$1,Opening!$H$11,Opening!$K$11,$O$1,Opening!$B109,$C109,$L$1)</f>
        <v>0</v>
      </c>
      <c r="M109" s="16">
        <f>_xll.DBRW($B$1,Opening!$E$11,Opening!M$8,$N$1,Opening!$H$11,Opening!$K$11,$O$1,Opening!$B109,$C109,$L$1)</f>
        <v>0</v>
      </c>
      <c r="N109" s="16">
        <f>_xll.DBRW($B$1,Opening!$E$11,Opening!N$8,$N$1,Opening!$H$11,Opening!$K$11,$O$1,Opening!$B109,$C109,$L$1)</f>
        <v>0</v>
      </c>
      <c r="O109" s="16">
        <f>_xll.DBRW($B$1,Opening!$E$11,Opening!O$8,$N$1,Opening!$H$11,Opening!$K$11,$O$1,Opening!$B109,$C109,$L$1)</f>
        <v>0</v>
      </c>
      <c r="P109"/>
      <c r="Q109"/>
      <c r="R109"/>
      <c r="S109"/>
      <c r="T109"/>
      <c r="U109"/>
      <c r="V109"/>
      <c r="W109"/>
      <c r="X109"/>
      <c r="Y109"/>
    </row>
    <row r="110" spans="2:25" ht="22.5" x14ac:dyDescent="0.25">
      <c r="B110" s="17" t="s">
        <v>173</v>
      </c>
      <c r="C110" s="17" t="s">
        <v>248</v>
      </c>
      <c r="D110" s="16">
        <f>_xll.DBRW($B$1,Opening!$E$11,Opening!D$8,$N$1,Opening!$H$11,Opening!$K$11,$O$1,Opening!$B110,$C110,$L$1)</f>
        <v>0</v>
      </c>
      <c r="E110" s="16">
        <f>_xll.DBRW($B$1,Opening!$E$11,Opening!E$8,$N$1,Opening!$H$11,Opening!$K$11,$O$1,Opening!$B110,$C110,$L$1)</f>
        <v>0</v>
      </c>
      <c r="F110" s="16">
        <f>_xll.DBRW($B$1,Opening!$E$11,Opening!F$8,$N$1,Opening!$H$11,Opening!$K$11,$O$1,Opening!$B110,$C110,$L$1)</f>
        <v>0</v>
      </c>
      <c r="G110" s="16">
        <f>_xll.DBRW($B$1,Opening!$E$11,Opening!G$8,$N$1,Opening!$H$11,Opening!$K$11,$O$1,Opening!$B110,$C110,$L$1)</f>
        <v>0</v>
      </c>
      <c r="H110" s="16">
        <f>_xll.DBRW($B$1,Opening!$E$11,Opening!H$8,$N$1,Opening!$H$11,Opening!$K$11,$O$1,Opening!$B110,$C110,$L$1)</f>
        <v>0</v>
      </c>
      <c r="I110" s="16">
        <f>_xll.DBRW($B$1,Opening!$E$11,Opening!I$8,$N$1,Opening!$H$11,Opening!$K$11,$O$1,Opening!$B110,$C110,$L$1)</f>
        <v>0</v>
      </c>
      <c r="J110" s="16">
        <f>_xll.DBRW($B$1,Opening!$E$11,Opening!J$8,$N$1,Opening!$H$11,Opening!$K$11,$O$1,Opening!$B110,$C110,$L$1)</f>
        <v>0</v>
      </c>
      <c r="K110" s="16">
        <f>_xll.DBRW($B$1,Opening!$E$11,Opening!K$8,$N$1,Opening!$H$11,Opening!$K$11,$O$1,Opening!$B110,$C110,$L$1)</f>
        <v>0</v>
      </c>
      <c r="L110" s="16">
        <f>_xll.DBRW($B$1,Opening!$E$11,Opening!L$8,$N$1,Opening!$H$11,Opening!$K$11,$O$1,Opening!$B110,$C110,$L$1)</f>
        <v>0</v>
      </c>
      <c r="M110" s="16">
        <f>_xll.DBRW($B$1,Opening!$E$11,Opening!M$8,$N$1,Opening!$H$11,Opening!$K$11,$O$1,Opening!$B110,$C110,$L$1)</f>
        <v>0</v>
      </c>
      <c r="N110" s="16">
        <f>_xll.DBRW($B$1,Opening!$E$11,Opening!N$8,$N$1,Opening!$H$11,Opening!$K$11,$O$1,Opening!$B110,$C110,$L$1)</f>
        <v>0</v>
      </c>
      <c r="O110" s="16">
        <f>_xll.DBRW($B$1,Opening!$E$11,Opening!O$8,$N$1,Opening!$H$11,Opening!$K$11,$O$1,Opening!$B110,$C110,$L$1)</f>
        <v>0</v>
      </c>
      <c r="P110"/>
      <c r="Q110"/>
      <c r="R110"/>
      <c r="S110"/>
      <c r="T110"/>
      <c r="U110"/>
      <c r="V110"/>
      <c r="W110"/>
      <c r="X110"/>
      <c r="Y110"/>
    </row>
    <row r="111" spans="2:25" ht="22.5" x14ac:dyDescent="0.25">
      <c r="B111" s="17" t="s">
        <v>173</v>
      </c>
      <c r="C111" s="17" t="s">
        <v>249</v>
      </c>
      <c r="D111" s="16">
        <f>_xll.DBRW($B$1,Opening!$E$11,Opening!D$8,$N$1,Opening!$H$11,Opening!$K$11,$O$1,Opening!$B111,$C111,$L$1)</f>
        <v>0</v>
      </c>
      <c r="E111" s="16">
        <f>_xll.DBRW($B$1,Opening!$E$11,Opening!E$8,$N$1,Opening!$H$11,Opening!$K$11,$O$1,Opening!$B111,$C111,$L$1)</f>
        <v>0</v>
      </c>
      <c r="F111" s="16">
        <f>_xll.DBRW($B$1,Opening!$E$11,Opening!F$8,$N$1,Opening!$H$11,Opening!$K$11,$O$1,Opening!$B111,$C111,$L$1)</f>
        <v>0</v>
      </c>
      <c r="G111" s="16">
        <f>_xll.DBRW($B$1,Opening!$E$11,Opening!G$8,$N$1,Opening!$H$11,Opening!$K$11,$O$1,Opening!$B111,$C111,$L$1)</f>
        <v>0</v>
      </c>
      <c r="H111" s="16">
        <f>_xll.DBRW($B$1,Opening!$E$11,Opening!H$8,$N$1,Opening!$H$11,Opening!$K$11,$O$1,Opening!$B111,$C111,$L$1)</f>
        <v>0</v>
      </c>
      <c r="I111" s="16">
        <f>_xll.DBRW($B$1,Opening!$E$11,Opening!I$8,$N$1,Opening!$H$11,Opening!$K$11,$O$1,Opening!$B111,$C111,$L$1)</f>
        <v>0</v>
      </c>
      <c r="J111" s="16">
        <f>_xll.DBRW($B$1,Opening!$E$11,Opening!J$8,$N$1,Opening!$H$11,Opening!$K$11,$O$1,Opening!$B111,$C111,$L$1)</f>
        <v>0</v>
      </c>
      <c r="K111" s="16">
        <f>_xll.DBRW($B$1,Opening!$E$11,Opening!K$8,$N$1,Opening!$H$11,Opening!$K$11,$O$1,Opening!$B111,$C111,$L$1)</f>
        <v>0</v>
      </c>
      <c r="L111" s="16">
        <f>_xll.DBRW($B$1,Opening!$E$11,Opening!L$8,$N$1,Opening!$H$11,Opening!$K$11,$O$1,Opening!$B111,$C111,$L$1)</f>
        <v>0</v>
      </c>
      <c r="M111" s="16">
        <f>_xll.DBRW($B$1,Opening!$E$11,Opening!M$8,$N$1,Opening!$H$11,Opening!$K$11,$O$1,Opening!$B111,$C111,$L$1)</f>
        <v>0</v>
      </c>
      <c r="N111" s="16">
        <f>_xll.DBRW($B$1,Opening!$E$11,Opening!N$8,$N$1,Opening!$H$11,Opening!$K$11,$O$1,Opening!$B111,$C111,$L$1)</f>
        <v>0</v>
      </c>
      <c r="O111" s="16">
        <f>_xll.DBRW($B$1,Opening!$E$11,Opening!O$8,$N$1,Opening!$H$11,Opening!$K$11,$O$1,Opening!$B111,$C111,$L$1)</f>
        <v>0</v>
      </c>
      <c r="P111"/>
      <c r="Q111"/>
      <c r="R111"/>
      <c r="S111"/>
      <c r="T111"/>
      <c r="U111"/>
      <c r="V111"/>
      <c r="W111"/>
      <c r="X111"/>
      <c r="Y111"/>
    </row>
    <row r="112" spans="2:25" ht="22.5" x14ac:dyDescent="0.25">
      <c r="B112" s="17" t="s">
        <v>173</v>
      </c>
      <c r="C112" s="17" t="s">
        <v>250</v>
      </c>
      <c r="D112" s="16">
        <f>_xll.DBRW($B$1,Opening!$E$11,Opening!D$8,$N$1,Opening!$H$11,Opening!$K$11,$O$1,Opening!$B112,$C112,$L$1)</f>
        <v>0</v>
      </c>
      <c r="E112" s="16">
        <f>_xll.DBRW($B$1,Opening!$E$11,Opening!E$8,$N$1,Opening!$H$11,Opening!$K$11,$O$1,Opening!$B112,$C112,$L$1)</f>
        <v>0</v>
      </c>
      <c r="F112" s="16">
        <f>_xll.DBRW($B$1,Opening!$E$11,Opening!F$8,$N$1,Opening!$H$11,Opening!$K$11,$O$1,Opening!$B112,$C112,$L$1)</f>
        <v>0</v>
      </c>
      <c r="G112" s="16">
        <f>_xll.DBRW($B$1,Opening!$E$11,Opening!G$8,$N$1,Opening!$H$11,Opening!$K$11,$O$1,Opening!$B112,$C112,$L$1)</f>
        <v>0</v>
      </c>
      <c r="H112" s="16">
        <f>_xll.DBRW($B$1,Opening!$E$11,Opening!H$8,$N$1,Opening!$H$11,Opening!$K$11,$O$1,Opening!$B112,$C112,$L$1)</f>
        <v>0</v>
      </c>
      <c r="I112" s="16">
        <f>_xll.DBRW($B$1,Opening!$E$11,Opening!I$8,$N$1,Opening!$H$11,Opening!$K$11,$O$1,Opening!$B112,$C112,$L$1)</f>
        <v>0</v>
      </c>
      <c r="J112" s="16">
        <f>_xll.DBRW($B$1,Opening!$E$11,Opening!J$8,$N$1,Opening!$H$11,Opening!$K$11,$O$1,Opening!$B112,$C112,$L$1)</f>
        <v>0</v>
      </c>
      <c r="K112" s="16">
        <f>_xll.DBRW($B$1,Opening!$E$11,Opening!K$8,$N$1,Opening!$H$11,Opening!$K$11,$O$1,Opening!$B112,$C112,$L$1)</f>
        <v>0</v>
      </c>
      <c r="L112" s="16">
        <f>_xll.DBRW($B$1,Opening!$E$11,Opening!L$8,$N$1,Opening!$H$11,Opening!$K$11,$O$1,Opening!$B112,$C112,$L$1)</f>
        <v>0</v>
      </c>
      <c r="M112" s="16">
        <f>_xll.DBRW($B$1,Opening!$E$11,Opening!M$8,$N$1,Opening!$H$11,Opening!$K$11,$O$1,Opening!$B112,$C112,$L$1)</f>
        <v>0</v>
      </c>
      <c r="N112" s="16">
        <f>_xll.DBRW($B$1,Opening!$E$11,Opening!N$8,$N$1,Opening!$H$11,Opening!$K$11,$O$1,Opening!$B112,$C112,$L$1)</f>
        <v>0</v>
      </c>
      <c r="O112" s="16">
        <f>_xll.DBRW($B$1,Opening!$E$11,Opening!O$8,$N$1,Opening!$H$11,Opening!$K$11,$O$1,Opening!$B112,$C112,$L$1)</f>
        <v>0</v>
      </c>
      <c r="P112"/>
      <c r="Q112"/>
      <c r="R112"/>
      <c r="S112"/>
      <c r="T112"/>
      <c r="U112"/>
      <c r="V112"/>
      <c r="W112"/>
      <c r="X112"/>
      <c r="Y112"/>
    </row>
    <row r="113" spans="2:25" ht="22.5" x14ac:dyDescent="0.25">
      <c r="B113" s="17" t="s">
        <v>173</v>
      </c>
      <c r="C113" s="17" t="s">
        <v>251</v>
      </c>
      <c r="D113" s="16">
        <f>_xll.DBRW($B$1,Opening!$E$11,Opening!D$8,$N$1,Opening!$H$11,Opening!$K$11,$O$1,Opening!$B113,$C113,$L$1)</f>
        <v>0</v>
      </c>
      <c r="E113" s="16">
        <f>_xll.DBRW($B$1,Opening!$E$11,Opening!E$8,$N$1,Opening!$H$11,Opening!$K$11,$O$1,Opening!$B113,$C113,$L$1)</f>
        <v>0</v>
      </c>
      <c r="F113" s="16">
        <f>_xll.DBRW($B$1,Opening!$E$11,Opening!F$8,$N$1,Opening!$H$11,Opening!$K$11,$O$1,Opening!$B113,$C113,$L$1)</f>
        <v>0</v>
      </c>
      <c r="G113" s="16">
        <f>_xll.DBRW($B$1,Opening!$E$11,Opening!G$8,$N$1,Opening!$H$11,Opening!$K$11,$O$1,Opening!$B113,$C113,$L$1)</f>
        <v>0</v>
      </c>
      <c r="H113" s="16">
        <f>_xll.DBRW($B$1,Opening!$E$11,Opening!H$8,$N$1,Opening!$H$11,Opening!$K$11,$O$1,Opening!$B113,$C113,$L$1)</f>
        <v>0</v>
      </c>
      <c r="I113" s="16">
        <f>_xll.DBRW($B$1,Opening!$E$11,Opening!I$8,$N$1,Opening!$H$11,Opening!$K$11,$O$1,Opening!$B113,$C113,$L$1)</f>
        <v>0</v>
      </c>
      <c r="J113" s="16">
        <f>_xll.DBRW($B$1,Opening!$E$11,Opening!J$8,$N$1,Opening!$H$11,Opening!$K$11,$O$1,Opening!$B113,$C113,$L$1)</f>
        <v>0</v>
      </c>
      <c r="K113" s="16">
        <f>_xll.DBRW($B$1,Opening!$E$11,Opening!K$8,$N$1,Opening!$H$11,Opening!$K$11,$O$1,Opening!$B113,$C113,$L$1)</f>
        <v>0</v>
      </c>
      <c r="L113" s="16">
        <f>_xll.DBRW($B$1,Opening!$E$11,Opening!L$8,$N$1,Opening!$H$11,Opening!$K$11,$O$1,Opening!$B113,$C113,$L$1)</f>
        <v>0</v>
      </c>
      <c r="M113" s="16">
        <f>_xll.DBRW($B$1,Opening!$E$11,Opening!M$8,$N$1,Opening!$H$11,Opening!$K$11,$O$1,Opening!$B113,$C113,$L$1)</f>
        <v>0</v>
      </c>
      <c r="N113" s="16">
        <f>_xll.DBRW($B$1,Opening!$E$11,Opening!N$8,$N$1,Opening!$H$11,Opening!$K$11,$O$1,Opening!$B113,$C113,$L$1)</f>
        <v>0</v>
      </c>
      <c r="O113" s="16">
        <f>_xll.DBRW($B$1,Opening!$E$11,Opening!O$8,$N$1,Opening!$H$11,Opening!$K$11,$O$1,Opening!$B113,$C113,$L$1)</f>
        <v>0</v>
      </c>
      <c r="P113"/>
      <c r="Q113"/>
      <c r="R113"/>
      <c r="S113"/>
      <c r="T113"/>
      <c r="U113"/>
      <c r="V113"/>
      <c r="W113"/>
      <c r="X113"/>
      <c r="Y113"/>
    </row>
    <row r="114" spans="2:25" ht="22.5" x14ac:dyDescent="0.25">
      <c r="B114" s="17" t="s">
        <v>173</v>
      </c>
      <c r="C114" s="17" t="s">
        <v>66</v>
      </c>
      <c r="D114" s="16">
        <f>_xll.DBRW($B$1,Opening!$E$11,Opening!D$8,$N$1,Opening!$H$11,Opening!$K$11,$O$1,Opening!$B114,$C114,$L$1)</f>
        <v>0</v>
      </c>
      <c r="E114" s="16">
        <f>_xll.DBRW($B$1,Opening!$E$11,Opening!E$8,$N$1,Opening!$H$11,Opening!$K$11,$O$1,Opening!$B114,$C114,$L$1)</f>
        <v>0</v>
      </c>
      <c r="F114" s="16">
        <f>_xll.DBRW($B$1,Opening!$E$11,Opening!F$8,$N$1,Opening!$H$11,Opening!$K$11,$O$1,Opening!$B114,$C114,$L$1)</f>
        <v>0</v>
      </c>
      <c r="G114" s="16">
        <f>_xll.DBRW($B$1,Opening!$E$11,Opening!G$8,$N$1,Opening!$H$11,Opening!$K$11,$O$1,Opening!$B114,$C114,$L$1)</f>
        <v>0</v>
      </c>
      <c r="H114" s="16">
        <f>_xll.DBRW($B$1,Opening!$E$11,Opening!H$8,$N$1,Opening!$H$11,Opening!$K$11,$O$1,Opening!$B114,$C114,$L$1)</f>
        <v>0</v>
      </c>
      <c r="I114" s="16">
        <f>_xll.DBRW($B$1,Opening!$E$11,Opening!I$8,$N$1,Opening!$H$11,Opening!$K$11,$O$1,Opening!$B114,$C114,$L$1)</f>
        <v>0</v>
      </c>
      <c r="J114" s="16">
        <f>_xll.DBRW($B$1,Opening!$E$11,Opening!J$8,$N$1,Opening!$H$11,Opening!$K$11,$O$1,Opening!$B114,$C114,$L$1)</f>
        <v>0</v>
      </c>
      <c r="K114" s="16">
        <f>_xll.DBRW($B$1,Opening!$E$11,Opening!K$8,$N$1,Opening!$H$11,Opening!$K$11,$O$1,Opening!$B114,$C114,$L$1)</f>
        <v>0</v>
      </c>
      <c r="L114" s="16">
        <f>_xll.DBRW($B$1,Opening!$E$11,Opening!L$8,$N$1,Opening!$H$11,Opening!$K$11,$O$1,Opening!$B114,$C114,$L$1)</f>
        <v>0</v>
      </c>
      <c r="M114" s="16">
        <f>_xll.DBRW($B$1,Opening!$E$11,Opening!M$8,$N$1,Opening!$H$11,Opening!$K$11,$O$1,Opening!$B114,$C114,$L$1)</f>
        <v>0</v>
      </c>
      <c r="N114" s="16">
        <f>_xll.DBRW($B$1,Opening!$E$11,Opening!N$8,$N$1,Opening!$H$11,Opening!$K$11,$O$1,Opening!$B114,$C114,$L$1)</f>
        <v>0</v>
      </c>
      <c r="O114" s="16">
        <f>_xll.DBRW($B$1,Opening!$E$11,Opening!O$8,$N$1,Opening!$H$11,Opening!$K$11,$O$1,Opening!$B114,$C114,$L$1)</f>
        <v>0</v>
      </c>
      <c r="P114"/>
      <c r="Q114"/>
      <c r="R114"/>
      <c r="S114"/>
      <c r="T114"/>
      <c r="U114"/>
      <c r="V114"/>
      <c r="W114"/>
      <c r="X114"/>
      <c r="Y114"/>
    </row>
    <row r="115" spans="2:25" ht="15.75" customHeight="1" x14ac:dyDescent="0.25">
      <c r="C115" s="5"/>
      <c r="D115" s="5"/>
      <c r="E115" s="5"/>
      <c r="F115" s="5"/>
      <c r="G115" s="5"/>
      <c r="H115" s="5"/>
      <c r="I115" s="5"/>
      <c r="J115" s="5"/>
      <c r="K115" s="5"/>
      <c r="L115" s="5"/>
      <c r="M115" s="5"/>
      <c r="N115" s="5"/>
      <c r="O115" s="5"/>
      <c r="P115"/>
      <c r="Q115"/>
      <c r="R115"/>
      <c r="S115"/>
      <c r="T115"/>
      <c r="U115"/>
      <c r="V115"/>
      <c r="W115"/>
      <c r="X115"/>
      <c r="Y115"/>
    </row>
    <row r="116" spans="2:25" ht="15" customHeight="1" thickBot="1" x14ac:dyDescent="0.3">
      <c r="B116" s="10"/>
      <c r="C116" s="5"/>
      <c r="D116" s="5"/>
      <c r="E116" s="5"/>
      <c r="F116" s="5"/>
      <c r="G116" s="5"/>
      <c r="H116" s="5"/>
      <c r="I116" s="5"/>
      <c r="J116" s="5"/>
      <c r="K116" s="5"/>
      <c r="L116" s="5"/>
      <c r="M116" s="5"/>
      <c r="N116" s="5"/>
      <c r="O116" s="5"/>
      <c r="P116"/>
      <c r="Q116"/>
      <c r="R116"/>
      <c r="S116"/>
      <c r="T116"/>
      <c r="U116"/>
      <c r="V116"/>
      <c r="W116"/>
      <c r="X116"/>
      <c r="Y116"/>
    </row>
    <row r="117" spans="2:25" ht="15.75" customHeight="1" thickTop="1" x14ac:dyDescent="0.25">
      <c r="B117" s="9" t="s">
        <v>252</v>
      </c>
      <c r="C117" s="5"/>
      <c r="D117" s="5"/>
      <c r="E117" s="5"/>
      <c r="F117" s="5"/>
      <c r="G117" s="5"/>
      <c r="H117" s="5"/>
      <c r="I117" s="5"/>
      <c r="J117" s="5"/>
      <c r="K117" s="5"/>
      <c r="L117" s="5"/>
      <c r="M117" s="5"/>
      <c r="N117" s="5"/>
      <c r="O117" s="5"/>
      <c r="P117"/>
      <c r="Q117"/>
      <c r="R117"/>
      <c r="S117"/>
      <c r="T117"/>
      <c r="U117"/>
      <c r="V117"/>
      <c r="W117"/>
      <c r="X117"/>
      <c r="Y117"/>
    </row>
    <row r="118" spans="2:25" ht="15.75" customHeight="1" x14ac:dyDescent="0.25">
      <c r="B118" s="5"/>
      <c r="C118" s="5"/>
      <c r="D118" s="5"/>
      <c r="E118" s="5"/>
      <c r="F118" s="5"/>
      <c r="G118" s="5"/>
      <c r="H118" s="5"/>
      <c r="I118" s="5"/>
      <c r="J118" s="5"/>
      <c r="K118" s="5"/>
      <c r="L118" s="5"/>
      <c r="M118" s="5"/>
      <c r="N118" s="5"/>
      <c r="O118" s="5"/>
      <c r="P118"/>
      <c r="Q118"/>
      <c r="R118"/>
      <c r="S118"/>
      <c r="T118"/>
      <c r="U118"/>
      <c r="V118"/>
      <c r="W118"/>
      <c r="X118"/>
      <c r="Y118"/>
    </row>
    <row r="119" spans="2:25" ht="15.75" customHeight="1" x14ac:dyDescent="0.25">
      <c r="B119" s="5"/>
      <c r="C119" s="5"/>
      <c r="D119" s="18" t="str">
        <f t="shared" ref="D119:O119" si="6">$E$11&amp;"."&amp;D$8</f>
        <v>2026.01</v>
      </c>
      <c r="E119" s="18" t="str">
        <f t="shared" si="6"/>
        <v>2026.02</v>
      </c>
      <c r="F119" s="18" t="str">
        <f t="shared" si="6"/>
        <v>2026.03</v>
      </c>
      <c r="G119" s="18" t="str">
        <f t="shared" si="6"/>
        <v>2026.04</v>
      </c>
      <c r="H119" s="18" t="str">
        <f t="shared" si="6"/>
        <v>2026.05</v>
      </c>
      <c r="I119" s="18" t="str">
        <f t="shared" si="6"/>
        <v>2026.06</v>
      </c>
      <c r="J119" s="18" t="str">
        <f t="shared" si="6"/>
        <v>2026.07</v>
      </c>
      <c r="K119" s="18" t="str">
        <f t="shared" si="6"/>
        <v>2026.08</v>
      </c>
      <c r="L119" s="18" t="str">
        <f t="shared" si="6"/>
        <v>2026.09</v>
      </c>
      <c r="M119" s="18" t="str">
        <f t="shared" si="6"/>
        <v>2026.10</v>
      </c>
      <c r="N119" s="18" t="str">
        <f t="shared" si="6"/>
        <v>2026.11</v>
      </c>
      <c r="O119" s="18" t="str">
        <f t="shared" si="6"/>
        <v>2026.12</v>
      </c>
      <c r="P119"/>
      <c r="Q119"/>
      <c r="R119"/>
      <c r="S119"/>
      <c r="T119"/>
      <c r="U119"/>
      <c r="V119"/>
      <c r="W119"/>
      <c r="X119"/>
      <c r="Y119"/>
    </row>
    <row r="120" spans="2:25" ht="22.5" x14ac:dyDescent="0.25">
      <c r="B120" s="24" t="s">
        <v>167</v>
      </c>
      <c r="C120" s="24" t="s">
        <v>278</v>
      </c>
      <c r="D120" s="21">
        <f>_xll.DBRW($B$1,Opening!$E$11,Opening!D$8,$N$1,Opening!$H$11,Opening!$K$11,$O$1,Opening!$B120,$C120,$L$1)</f>
        <v>0</v>
      </c>
      <c r="E120" s="21">
        <f>_xll.DBRW($B$1,Opening!$E$11,Opening!E$8,$N$1,Opening!$H$11,Opening!$K$11,$O$1,Opening!$B120,$C120,$L$1)</f>
        <v>0</v>
      </c>
      <c r="F120" s="21">
        <f>_xll.DBRW($B$1,Opening!$E$11,Opening!F$8,$N$1,Opening!$H$11,Opening!$K$11,$O$1,Opening!$B120,$C120,$L$1)</f>
        <v>0</v>
      </c>
      <c r="G120" s="21">
        <f>_xll.DBRW($B$1,Opening!$E$11,Opening!G$8,$N$1,Opening!$H$11,Opening!$K$11,$O$1,Opening!$B120,$C120,$L$1)</f>
        <v>0</v>
      </c>
      <c r="H120" s="21">
        <f>_xll.DBRW($B$1,Opening!$E$11,Opening!H$8,$N$1,Opening!$H$11,Opening!$K$11,$O$1,Opening!$B120,$C120,$L$1)</f>
        <v>0</v>
      </c>
      <c r="I120" s="21">
        <f>_xll.DBRW($B$1,Opening!$E$11,Opening!I$8,$N$1,Opening!$H$11,Opening!$K$11,$O$1,Opening!$B120,$C120,$L$1)</f>
        <v>0</v>
      </c>
      <c r="J120" s="21">
        <f>_xll.DBRW($B$1,Opening!$E$11,Opening!J$8,$N$1,Opening!$H$11,Opening!$K$11,$O$1,Opening!$B120,$C120,$L$1)</f>
        <v>0</v>
      </c>
      <c r="K120" s="21">
        <f>_xll.DBRW($B$1,Opening!$E$11,Opening!K$8,$N$1,Opening!$H$11,Opening!$K$11,$O$1,Opening!$B120,$C120,$L$1)</f>
        <v>0</v>
      </c>
      <c r="L120" s="21">
        <f>_xll.DBRW($B$1,Opening!$E$11,Opening!L$8,$N$1,Opening!$H$11,Opening!$K$11,$O$1,Opening!$B120,$C120,$L$1)</f>
        <v>0</v>
      </c>
      <c r="M120" s="21">
        <f>_xll.DBRW($B$1,Opening!$E$11,Opening!M$8,$N$1,Opening!$H$11,Opening!$K$11,$O$1,Opening!$B120,$C120,$L$1)</f>
        <v>0</v>
      </c>
      <c r="N120" s="21">
        <f>_xll.DBRW($B$1,Opening!$E$11,Opening!N$8,$N$1,Opening!$H$11,Opening!$K$11,$O$1,Opening!$B120,$C120,$L$1)</f>
        <v>0</v>
      </c>
      <c r="O120" s="21">
        <f>_xll.DBRW($B$1,Opening!$E$11,Opening!O$8,$N$1,Opening!$H$11,Opening!$K$11,$O$1,Opening!$B120,$C120,$L$1)</f>
        <v>0</v>
      </c>
      <c r="P120"/>
      <c r="Q120"/>
      <c r="R120"/>
      <c r="S120"/>
      <c r="T120"/>
      <c r="U120"/>
      <c r="V120"/>
      <c r="W120"/>
      <c r="X120"/>
      <c r="Y120"/>
    </row>
    <row r="121" spans="2:25" ht="22.5" x14ac:dyDescent="0.25">
      <c r="B121" s="17" t="s">
        <v>167</v>
      </c>
      <c r="C121" s="17" t="s">
        <v>253</v>
      </c>
      <c r="D121" s="16">
        <f>_xll.DBRW($B$1,Opening!$E$11,Opening!D$8,$N$1,Opening!$H$11,Opening!$K$11,$O$1,Opening!$B121,$C121,$L$1)</f>
        <v>0</v>
      </c>
      <c r="E121" s="16">
        <f>_xll.DBRW($B$1,Opening!$E$11,Opening!E$8,$N$1,Opening!$H$11,Opening!$K$11,$O$1,Opening!$B121,$C121,$L$1)</f>
        <v>0</v>
      </c>
      <c r="F121" s="16">
        <f>_xll.DBRW($B$1,Opening!$E$11,Opening!F$8,$N$1,Opening!$H$11,Opening!$K$11,$O$1,Opening!$B121,$C121,$L$1)</f>
        <v>0</v>
      </c>
      <c r="G121" s="16">
        <f>_xll.DBRW($B$1,Opening!$E$11,Opening!G$8,$N$1,Opening!$H$11,Opening!$K$11,$O$1,Opening!$B121,$C121,$L$1)</f>
        <v>0</v>
      </c>
      <c r="H121" s="16">
        <f>_xll.DBRW($B$1,Opening!$E$11,Opening!H$8,$N$1,Opening!$H$11,Opening!$K$11,$O$1,Opening!$B121,$C121,$L$1)</f>
        <v>0</v>
      </c>
      <c r="I121" s="16">
        <f>_xll.DBRW($B$1,Opening!$E$11,Opening!I$8,$N$1,Opening!$H$11,Opening!$K$11,$O$1,Opening!$B121,$C121,$L$1)</f>
        <v>0</v>
      </c>
      <c r="J121" s="16">
        <f>_xll.DBRW($B$1,Opening!$E$11,Opening!J$8,$N$1,Opening!$H$11,Opening!$K$11,$O$1,Opening!$B121,$C121,$L$1)</f>
        <v>0</v>
      </c>
      <c r="K121" s="16">
        <f>_xll.DBRW($B$1,Opening!$E$11,Opening!K$8,$N$1,Opening!$H$11,Opening!$K$11,$O$1,Opening!$B121,$C121,$L$1)</f>
        <v>0</v>
      </c>
      <c r="L121" s="16">
        <f>_xll.DBRW($B$1,Opening!$E$11,Opening!L$8,$N$1,Opening!$H$11,Opening!$K$11,$O$1,Opening!$B121,$C121,$L$1)</f>
        <v>0</v>
      </c>
      <c r="M121" s="16">
        <f>_xll.DBRW($B$1,Opening!$E$11,Opening!M$8,$N$1,Opening!$H$11,Opening!$K$11,$O$1,Opening!$B121,$C121,$L$1)</f>
        <v>0</v>
      </c>
      <c r="N121" s="16">
        <f>_xll.DBRW($B$1,Opening!$E$11,Opening!N$8,$N$1,Opening!$H$11,Opening!$K$11,$O$1,Opening!$B121,$C121,$L$1)</f>
        <v>0</v>
      </c>
      <c r="O121" s="16">
        <f>_xll.DBRW($B$1,Opening!$E$11,Opening!O$8,$N$1,Opening!$H$11,Opening!$K$11,$O$1,Opening!$B121,$C121,$L$1)</f>
        <v>0</v>
      </c>
      <c r="P121"/>
      <c r="Q121"/>
      <c r="R121"/>
      <c r="S121"/>
      <c r="T121"/>
      <c r="U121"/>
      <c r="V121"/>
      <c r="W121"/>
      <c r="X121"/>
      <c r="Y121"/>
    </row>
    <row r="122" spans="2:25" ht="22.5" x14ac:dyDescent="0.25">
      <c r="B122" s="17" t="s">
        <v>167</v>
      </c>
      <c r="C122" s="17" t="s">
        <v>254</v>
      </c>
      <c r="D122" s="16">
        <f>_xll.DBRW($B$1,Opening!$E$11,Opening!D$8,$N$1,Opening!$H$11,Opening!$K$11,$O$1,Opening!$B122,$C122,$L$1)</f>
        <v>0</v>
      </c>
      <c r="E122" s="16">
        <f>_xll.DBRW($B$1,Opening!$E$11,Opening!E$8,$N$1,Opening!$H$11,Opening!$K$11,$O$1,Opening!$B122,$C122,$L$1)</f>
        <v>0</v>
      </c>
      <c r="F122" s="16">
        <f>_xll.DBRW($B$1,Opening!$E$11,Opening!F$8,$N$1,Opening!$H$11,Opening!$K$11,$O$1,Opening!$B122,$C122,$L$1)</f>
        <v>0</v>
      </c>
      <c r="G122" s="16">
        <f>_xll.DBRW($B$1,Opening!$E$11,Opening!G$8,$N$1,Opening!$H$11,Opening!$K$11,$O$1,Opening!$B122,$C122,$L$1)</f>
        <v>0</v>
      </c>
      <c r="H122" s="16">
        <f>_xll.DBRW($B$1,Opening!$E$11,Opening!H$8,$N$1,Opening!$H$11,Opening!$K$11,$O$1,Opening!$B122,$C122,$L$1)</f>
        <v>0</v>
      </c>
      <c r="I122" s="16">
        <f>_xll.DBRW($B$1,Opening!$E$11,Opening!I$8,$N$1,Opening!$H$11,Opening!$K$11,$O$1,Opening!$B122,$C122,$L$1)</f>
        <v>0</v>
      </c>
      <c r="J122" s="16">
        <f>_xll.DBRW($B$1,Opening!$E$11,Opening!J$8,$N$1,Opening!$H$11,Opening!$K$11,$O$1,Opening!$B122,$C122,$L$1)</f>
        <v>0</v>
      </c>
      <c r="K122" s="16">
        <f>_xll.DBRW($B$1,Opening!$E$11,Opening!K$8,$N$1,Opening!$H$11,Opening!$K$11,$O$1,Opening!$B122,$C122,$L$1)</f>
        <v>0</v>
      </c>
      <c r="L122" s="16">
        <f>_xll.DBRW($B$1,Opening!$E$11,Opening!L$8,$N$1,Opening!$H$11,Opening!$K$11,$O$1,Opening!$B122,$C122,$L$1)</f>
        <v>0</v>
      </c>
      <c r="M122" s="16">
        <f>_xll.DBRW($B$1,Opening!$E$11,Opening!M$8,$N$1,Opening!$H$11,Opening!$K$11,$O$1,Opening!$B122,$C122,$L$1)</f>
        <v>0</v>
      </c>
      <c r="N122" s="16">
        <f>_xll.DBRW($B$1,Opening!$E$11,Opening!N$8,$N$1,Opening!$H$11,Opening!$K$11,$O$1,Opening!$B122,$C122,$L$1)</f>
        <v>0</v>
      </c>
      <c r="O122" s="16">
        <f>_xll.DBRW($B$1,Opening!$E$11,Opening!O$8,$N$1,Opening!$H$11,Opening!$K$11,$O$1,Opening!$B122,$C122,$L$1)</f>
        <v>0</v>
      </c>
      <c r="P122"/>
      <c r="Q122"/>
      <c r="R122"/>
      <c r="S122"/>
      <c r="T122"/>
      <c r="U122"/>
      <c r="V122"/>
      <c r="W122"/>
      <c r="X122"/>
      <c r="Y122"/>
    </row>
    <row r="123" spans="2:25" ht="22.5" x14ac:dyDescent="0.25">
      <c r="B123" s="17" t="s">
        <v>167</v>
      </c>
      <c r="C123" s="17" t="s">
        <v>66</v>
      </c>
      <c r="D123" s="16">
        <f>_xll.DBRW($B$1,Opening!$E$11,Opening!D$8,$N$1,Opening!$H$11,Opening!$K$11,$O$1,Opening!$B123,$C123,$L$1)</f>
        <v>0</v>
      </c>
      <c r="E123" s="16">
        <f>_xll.DBRW($B$1,Opening!$E$11,Opening!E$8,$N$1,Opening!$H$11,Opening!$K$11,$O$1,Opening!$B123,$C123,$L$1)</f>
        <v>0</v>
      </c>
      <c r="F123" s="16">
        <f>_xll.DBRW($B$1,Opening!$E$11,Opening!F$8,$N$1,Opening!$H$11,Opening!$K$11,$O$1,Opening!$B123,$C123,$L$1)</f>
        <v>0</v>
      </c>
      <c r="G123" s="16">
        <f>_xll.DBRW($B$1,Opening!$E$11,Opening!G$8,$N$1,Opening!$H$11,Opening!$K$11,$O$1,Opening!$B123,$C123,$L$1)</f>
        <v>0</v>
      </c>
      <c r="H123" s="16">
        <f>_xll.DBRW($B$1,Opening!$E$11,Opening!H$8,$N$1,Opening!$H$11,Opening!$K$11,$O$1,Opening!$B123,$C123,$L$1)</f>
        <v>0</v>
      </c>
      <c r="I123" s="16">
        <f>_xll.DBRW($B$1,Opening!$E$11,Opening!I$8,$N$1,Opening!$H$11,Opening!$K$11,$O$1,Opening!$B123,$C123,$L$1)</f>
        <v>0</v>
      </c>
      <c r="J123" s="16">
        <f>_xll.DBRW($B$1,Opening!$E$11,Opening!J$8,$N$1,Opening!$H$11,Opening!$K$11,$O$1,Opening!$B123,$C123,$L$1)</f>
        <v>0</v>
      </c>
      <c r="K123" s="16">
        <f>_xll.DBRW($B$1,Opening!$E$11,Opening!K$8,$N$1,Opening!$H$11,Opening!$K$11,$O$1,Opening!$B123,$C123,$L$1)</f>
        <v>0</v>
      </c>
      <c r="L123" s="16">
        <f>_xll.DBRW($B$1,Opening!$E$11,Opening!L$8,$N$1,Opening!$H$11,Opening!$K$11,$O$1,Opening!$B123,$C123,$L$1)</f>
        <v>0</v>
      </c>
      <c r="M123" s="16">
        <f>_xll.DBRW($B$1,Opening!$E$11,Opening!M$8,$N$1,Opening!$H$11,Opening!$K$11,$O$1,Opening!$B123,$C123,$L$1)</f>
        <v>0</v>
      </c>
      <c r="N123" s="16">
        <f>_xll.DBRW($B$1,Opening!$E$11,Opening!N$8,$N$1,Opening!$H$11,Opening!$K$11,$O$1,Opening!$B123,$C123,$L$1)</f>
        <v>0</v>
      </c>
      <c r="O123" s="16">
        <f>_xll.DBRW($B$1,Opening!$E$11,Opening!O$8,$N$1,Opening!$H$11,Opening!$K$11,$O$1,Opening!$B123,$C123,$L$1)</f>
        <v>0</v>
      </c>
      <c r="P123"/>
      <c r="Q123"/>
      <c r="R123"/>
      <c r="S123"/>
      <c r="T123"/>
      <c r="U123"/>
      <c r="V123"/>
      <c r="W123"/>
      <c r="X123"/>
      <c r="Y123"/>
    </row>
    <row r="124" spans="2:25" ht="15.75" customHeight="1" x14ac:dyDescent="0.25">
      <c r="C124" s="5"/>
      <c r="D124" s="5"/>
      <c r="E124" s="5"/>
      <c r="F124" s="5"/>
      <c r="G124" s="5"/>
      <c r="H124" s="5"/>
      <c r="I124" s="5"/>
      <c r="J124" s="5"/>
      <c r="K124" s="5"/>
      <c r="L124" s="5"/>
      <c r="M124" s="5"/>
      <c r="N124" s="5"/>
      <c r="O124" s="5"/>
      <c r="P124"/>
      <c r="Q124"/>
      <c r="R124"/>
      <c r="S124"/>
      <c r="T124"/>
      <c r="U124"/>
      <c r="V124"/>
      <c r="W124"/>
      <c r="X124"/>
      <c r="Y124"/>
    </row>
    <row r="125" spans="2:25" ht="15.75" customHeight="1" thickBot="1" x14ac:dyDescent="0.3">
      <c r="B125" s="10"/>
      <c r="C125" s="5"/>
      <c r="D125" s="5"/>
      <c r="E125" s="5"/>
      <c r="F125" s="5"/>
      <c r="G125" s="5"/>
      <c r="H125" s="5"/>
      <c r="I125" s="5"/>
      <c r="J125" s="5"/>
      <c r="K125" s="5"/>
      <c r="L125" s="5"/>
      <c r="M125" s="5"/>
      <c r="N125" s="5"/>
      <c r="O125" s="5"/>
      <c r="P125"/>
      <c r="Q125"/>
      <c r="R125"/>
      <c r="S125"/>
      <c r="T125"/>
      <c r="U125"/>
      <c r="V125"/>
      <c r="W125"/>
      <c r="X125"/>
      <c r="Y125"/>
    </row>
    <row r="126" spans="2:25" ht="15.75" customHeight="1" thickTop="1" x14ac:dyDescent="0.25">
      <c r="B126" s="9" t="s">
        <v>252</v>
      </c>
      <c r="C126" s="5"/>
      <c r="D126" s="5"/>
      <c r="E126" s="5"/>
      <c r="F126" s="5"/>
      <c r="G126" s="5"/>
      <c r="H126" s="5"/>
      <c r="I126" s="5"/>
      <c r="J126" s="5"/>
      <c r="K126" s="5"/>
      <c r="L126" s="5"/>
      <c r="M126" s="5"/>
      <c r="N126" s="5"/>
      <c r="O126" s="5"/>
      <c r="P126"/>
      <c r="Q126"/>
      <c r="R126"/>
      <c r="S126"/>
      <c r="T126"/>
      <c r="U126"/>
      <c r="V126"/>
      <c r="W126"/>
      <c r="X126"/>
      <c r="Y126"/>
    </row>
    <row r="127" spans="2:25" ht="23.25" x14ac:dyDescent="0.25">
      <c r="B127" s="5"/>
      <c r="C127" s="5"/>
      <c r="D127" s="5"/>
      <c r="E127" s="5"/>
      <c r="F127" s="5"/>
      <c r="G127" s="5"/>
      <c r="H127" s="5"/>
      <c r="I127" s="5"/>
      <c r="J127" s="5"/>
      <c r="K127" s="5"/>
      <c r="L127" s="5"/>
      <c r="M127" s="5"/>
      <c r="N127" s="5"/>
      <c r="O127" s="5"/>
      <c r="P127"/>
      <c r="Q127"/>
      <c r="R127"/>
      <c r="S127"/>
      <c r="T127"/>
      <c r="U127"/>
      <c r="V127"/>
      <c r="W127"/>
      <c r="X127"/>
      <c r="Y127"/>
    </row>
    <row r="128" spans="2:25" ht="15.75" customHeight="1" x14ac:dyDescent="0.25">
      <c r="B128" s="5"/>
      <c r="C128" s="5"/>
      <c r="D128" s="18" t="str">
        <f t="shared" ref="D128:O128" si="7">$E$11&amp;"."&amp;D$8</f>
        <v>2026.01</v>
      </c>
      <c r="E128" s="18" t="str">
        <f t="shared" si="7"/>
        <v>2026.02</v>
      </c>
      <c r="F128" s="18" t="str">
        <f t="shared" si="7"/>
        <v>2026.03</v>
      </c>
      <c r="G128" s="18" t="str">
        <f t="shared" si="7"/>
        <v>2026.04</v>
      </c>
      <c r="H128" s="18" t="str">
        <f t="shared" si="7"/>
        <v>2026.05</v>
      </c>
      <c r="I128" s="18" t="str">
        <f t="shared" si="7"/>
        <v>2026.06</v>
      </c>
      <c r="J128" s="18" t="str">
        <f t="shared" si="7"/>
        <v>2026.07</v>
      </c>
      <c r="K128" s="18" t="str">
        <f t="shared" si="7"/>
        <v>2026.08</v>
      </c>
      <c r="L128" s="18" t="str">
        <f t="shared" si="7"/>
        <v>2026.09</v>
      </c>
      <c r="M128" s="18" t="str">
        <f t="shared" si="7"/>
        <v>2026.10</v>
      </c>
      <c r="N128" s="18" t="str">
        <f t="shared" si="7"/>
        <v>2026.11</v>
      </c>
      <c r="O128" s="18" t="str">
        <f t="shared" si="7"/>
        <v>2026.12</v>
      </c>
      <c r="P128"/>
      <c r="Q128"/>
      <c r="R128"/>
      <c r="S128"/>
      <c r="T128"/>
      <c r="U128"/>
      <c r="V128"/>
      <c r="W128"/>
      <c r="X128"/>
      <c r="Y128"/>
    </row>
    <row r="129" spans="2:25" ht="22.5" x14ac:dyDescent="0.25">
      <c r="B129" s="24" t="s">
        <v>168</v>
      </c>
      <c r="C129" s="24" t="s">
        <v>278</v>
      </c>
      <c r="D129" s="21">
        <f>_xll.DBRW($B$1,Opening!$E$11,Opening!D$8,$N$1,Opening!$H$11,Opening!$K$11,$O$1,Opening!$B129,$C129,$L$1)</f>
        <v>0</v>
      </c>
      <c r="E129" s="21">
        <f>_xll.DBRW($B$1,Opening!$E$11,Opening!E$8,$N$1,Opening!$H$11,Opening!$K$11,$O$1,Opening!$B129,$C129,$L$1)</f>
        <v>0</v>
      </c>
      <c r="F129" s="21">
        <f>_xll.DBRW($B$1,Opening!$E$11,Opening!F$8,$N$1,Opening!$H$11,Opening!$K$11,$O$1,Opening!$B129,$C129,$L$1)</f>
        <v>0</v>
      </c>
      <c r="G129" s="21">
        <f>_xll.DBRW($B$1,Opening!$E$11,Opening!G$8,$N$1,Opening!$H$11,Opening!$K$11,$O$1,Opening!$B129,$C129,$L$1)</f>
        <v>0</v>
      </c>
      <c r="H129" s="21">
        <f>_xll.DBRW($B$1,Opening!$E$11,Opening!H$8,$N$1,Opening!$H$11,Opening!$K$11,$O$1,Opening!$B129,$C129,$L$1)</f>
        <v>0</v>
      </c>
      <c r="I129" s="21">
        <f>_xll.DBRW($B$1,Opening!$E$11,Opening!I$8,$N$1,Opening!$H$11,Opening!$K$11,$O$1,Opening!$B129,$C129,$L$1)</f>
        <v>0</v>
      </c>
      <c r="J129" s="21">
        <f>_xll.DBRW($B$1,Opening!$E$11,Opening!J$8,$N$1,Opening!$H$11,Opening!$K$11,$O$1,Opening!$B129,$C129,$L$1)</f>
        <v>0</v>
      </c>
      <c r="K129" s="21">
        <f>_xll.DBRW($B$1,Opening!$E$11,Opening!K$8,$N$1,Opening!$H$11,Opening!$K$11,$O$1,Opening!$B129,$C129,$L$1)</f>
        <v>0</v>
      </c>
      <c r="L129" s="21">
        <f>_xll.DBRW($B$1,Opening!$E$11,Opening!L$8,$N$1,Opening!$H$11,Opening!$K$11,$O$1,Opening!$B129,$C129,$L$1)</f>
        <v>0</v>
      </c>
      <c r="M129" s="21">
        <f>_xll.DBRW($B$1,Opening!$E$11,Opening!M$8,$N$1,Opening!$H$11,Opening!$K$11,$O$1,Opening!$B129,$C129,$L$1)</f>
        <v>0</v>
      </c>
      <c r="N129" s="21">
        <f>_xll.DBRW($B$1,Opening!$E$11,Opening!N$8,$N$1,Opening!$H$11,Opening!$K$11,$O$1,Opening!$B129,$C129,$L$1)</f>
        <v>0</v>
      </c>
      <c r="O129" s="21">
        <f>_xll.DBRW($B$1,Opening!$E$11,Opening!O$8,$N$1,Opening!$H$11,Opening!$K$11,$O$1,Opening!$B129,$C129,$L$1)</f>
        <v>0</v>
      </c>
      <c r="P129"/>
      <c r="Q129"/>
      <c r="R129"/>
      <c r="S129"/>
      <c r="T129"/>
      <c r="U129"/>
      <c r="V129"/>
      <c r="W129"/>
      <c r="X129"/>
      <c r="Y129"/>
    </row>
    <row r="130" spans="2:25" ht="22.5" x14ac:dyDescent="0.25">
      <c r="B130" s="17" t="s">
        <v>168</v>
      </c>
      <c r="C130" s="17" t="s">
        <v>255</v>
      </c>
      <c r="D130" s="16">
        <f>_xll.DBRW($B$1,Opening!$E$11,Opening!D$8,$N$1,Opening!$H$11,Opening!$K$11,$O$1,Opening!$B130,$C130,$L$1)</f>
        <v>0</v>
      </c>
      <c r="E130" s="16">
        <f>_xll.DBRW($B$1,Opening!$E$11,Opening!E$8,$N$1,Opening!$H$11,Opening!$K$11,$O$1,Opening!$B130,$C130,$L$1)</f>
        <v>0</v>
      </c>
      <c r="F130" s="16">
        <f>_xll.DBRW($B$1,Opening!$E$11,Opening!F$8,$N$1,Opening!$H$11,Opening!$K$11,$O$1,Opening!$B130,$C130,$L$1)</f>
        <v>0</v>
      </c>
      <c r="G130" s="16">
        <f>_xll.DBRW($B$1,Opening!$E$11,Opening!G$8,$N$1,Opening!$H$11,Opening!$K$11,$O$1,Opening!$B130,$C130,$L$1)</f>
        <v>0</v>
      </c>
      <c r="H130" s="16">
        <f>_xll.DBRW($B$1,Opening!$E$11,Opening!H$8,$N$1,Opening!$H$11,Opening!$K$11,$O$1,Opening!$B130,$C130,$L$1)</f>
        <v>0</v>
      </c>
      <c r="I130" s="16">
        <f>_xll.DBRW($B$1,Opening!$E$11,Opening!I$8,$N$1,Opening!$H$11,Opening!$K$11,$O$1,Opening!$B130,$C130,$L$1)</f>
        <v>0</v>
      </c>
      <c r="J130" s="16">
        <f>_xll.DBRW($B$1,Opening!$E$11,Opening!J$8,$N$1,Opening!$H$11,Opening!$K$11,$O$1,Opening!$B130,$C130,$L$1)</f>
        <v>0</v>
      </c>
      <c r="K130" s="16">
        <f>_xll.DBRW($B$1,Opening!$E$11,Opening!K$8,$N$1,Opening!$H$11,Opening!$K$11,$O$1,Opening!$B130,$C130,$L$1)</f>
        <v>0</v>
      </c>
      <c r="L130" s="16">
        <f>_xll.DBRW($B$1,Opening!$E$11,Opening!L$8,$N$1,Opening!$H$11,Opening!$K$11,$O$1,Opening!$B130,$C130,$L$1)</f>
        <v>0</v>
      </c>
      <c r="M130" s="16">
        <f>_xll.DBRW($B$1,Opening!$E$11,Opening!M$8,$N$1,Opening!$H$11,Opening!$K$11,$O$1,Opening!$B130,$C130,$L$1)</f>
        <v>0</v>
      </c>
      <c r="N130" s="16">
        <f>_xll.DBRW($B$1,Opening!$E$11,Opening!N$8,$N$1,Opening!$H$11,Opening!$K$11,$O$1,Opening!$B130,$C130,$L$1)</f>
        <v>0</v>
      </c>
      <c r="O130" s="16">
        <f>_xll.DBRW($B$1,Opening!$E$11,Opening!O$8,$N$1,Opening!$H$11,Opening!$K$11,$O$1,Opening!$B130,$C130,$L$1)</f>
        <v>0</v>
      </c>
      <c r="P130"/>
      <c r="Q130"/>
      <c r="R130"/>
      <c r="S130"/>
      <c r="T130"/>
      <c r="U130"/>
      <c r="V130"/>
      <c r="W130"/>
      <c r="X130"/>
      <c r="Y130"/>
    </row>
    <row r="131" spans="2:25" ht="22.5" x14ac:dyDescent="0.25">
      <c r="B131" s="17" t="s">
        <v>168</v>
      </c>
      <c r="C131" s="17" t="s">
        <v>256</v>
      </c>
      <c r="D131" s="16">
        <f>_xll.DBRW($B$1,Opening!$E$11,Opening!D$8,$N$1,Opening!$H$11,Opening!$K$11,$O$1,Opening!$B131,$C131,$L$1)</f>
        <v>0</v>
      </c>
      <c r="E131" s="16">
        <f>_xll.DBRW($B$1,Opening!$E$11,Opening!E$8,$N$1,Opening!$H$11,Opening!$K$11,$O$1,Opening!$B131,$C131,$L$1)</f>
        <v>0</v>
      </c>
      <c r="F131" s="16">
        <f>_xll.DBRW($B$1,Opening!$E$11,Opening!F$8,$N$1,Opening!$H$11,Opening!$K$11,$O$1,Opening!$B131,$C131,$L$1)</f>
        <v>0</v>
      </c>
      <c r="G131" s="16">
        <f>_xll.DBRW($B$1,Opening!$E$11,Opening!G$8,$N$1,Opening!$H$11,Opening!$K$11,$O$1,Opening!$B131,$C131,$L$1)</f>
        <v>0</v>
      </c>
      <c r="H131" s="16">
        <f>_xll.DBRW($B$1,Opening!$E$11,Opening!H$8,$N$1,Opening!$H$11,Opening!$K$11,$O$1,Opening!$B131,$C131,$L$1)</f>
        <v>0</v>
      </c>
      <c r="I131" s="16">
        <f>_xll.DBRW($B$1,Opening!$E$11,Opening!I$8,$N$1,Opening!$H$11,Opening!$K$11,$O$1,Opening!$B131,$C131,$L$1)</f>
        <v>0</v>
      </c>
      <c r="J131" s="16">
        <f>_xll.DBRW($B$1,Opening!$E$11,Opening!J$8,$N$1,Opening!$H$11,Opening!$K$11,$O$1,Opening!$B131,$C131,$L$1)</f>
        <v>0</v>
      </c>
      <c r="K131" s="16">
        <f>_xll.DBRW($B$1,Opening!$E$11,Opening!K$8,$N$1,Opening!$H$11,Opening!$K$11,$O$1,Opening!$B131,$C131,$L$1)</f>
        <v>0</v>
      </c>
      <c r="L131" s="16">
        <f>_xll.DBRW($B$1,Opening!$E$11,Opening!L$8,$N$1,Opening!$H$11,Opening!$K$11,$O$1,Opening!$B131,$C131,$L$1)</f>
        <v>0</v>
      </c>
      <c r="M131" s="16">
        <f>_xll.DBRW($B$1,Opening!$E$11,Opening!M$8,$N$1,Opening!$H$11,Opening!$K$11,$O$1,Opening!$B131,$C131,$L$1)</f>
        <v>0</v>
      </c>
      <c r="N131" s="16">
        <f>_xll.DBRW($B$1,Opening!$E$11,Opening!N$8,$N$1,Opening!$H$11,Opening!$K$11,$O$1,Opening!$B131,$C131,$L$1)</f>
        <v>0</v>
      </c>
      <c r="O131" s="16">
        <f>_xll.DBRW($B$1,Opening!$E$11,Opening!O$8,$N$1,Opening!$H$11,Opening!$K$11,$O$1,Opening!$B131,$C131,$L$1)</f>
        <v>0</v>
      </c>
      <c r="P131"/>
      <c r="Q131"/>
      <c r="R131"/>
      <c r="S131"/>
      <c r="T131"/>
      <c r="U131"/>
      <c r="V131"/>
      <c r="W131"/>
      <c r="X131"/>
      <c r="Y131"/>
    </row>
    <row r="132" spans="2:25" ht="22.5" x14ac:dyDescent="0.25">
      <c r="B132" s="33" t="s">
        <v>168</v>
      </c>
      <c r="C132" s="17" t="s">
        <v>257</v>
      </c>
      <c r="D132" s="16">
        <f>_xll.DBRW($B$1,Opening!$E$11,Opening!D$8,$N$1,Opening!$H$11,Opening!$K$11,$O$1,Opening!$B132,$C132,$L$1)</f>
        <v>0</v>
      </c>
      <c r="E132" s="16">
        <f>_xll.DBRW($B$1,Opening!$E$11,Opening!E$8,$N$1,Opening!$H$11,Opening!$K$11,$O$1,Opening!$B132,$C132,$L$1)</f>
        <v>0</v>
      </c>
      <c r="F132" s="16">
        <f>_xll.DBRW($B$1,Opening!$E$11,Opening!F$8,$N$1,Opening!$H$11,Opening!$K$11,$O$1,Opening!$B132,$C132,$L$1)</f>
        <v>0</v>
      </c>
      <c r="G132" s="16">
        <f>_xll.DBRW($B$1,Opening!$E$11,Opening!G$8,$N$1,Opening!$H$11,Opening!$K$11,$O$1,Opening!$B132,$C132,$L$1)</f>
        <v>0</v>
      </c>
      <c r="H132" s="16">
        <f>_xll.DBRW($B$1,Opening!$E$11,Opening!H$8,$N$1,Opening!$H$11,Opening!$K$11,$O$1,Opening!$B132,$C132,$L$1)</f>
        <v>0</v>
      </c>
      <c r="I132" s="16">
        <f>_xll.DBRW($B$1,Opening!$E$11,Opening!I$8,$N$1,Opening!$H$11,Opening!$K$11,$O$1,Opening!$B132,$C132,$L$1)</f>
        <v>0</v>
      </c>
      <c r="J132" s="16">
        <f>_xll.DBRW($B$1,Opening!$E$11,Opening!J$8,$N$1,Opening!$H$11,Opening!$K$11,$O$1,Opening!$B132,$C132,$L$1)</f>
        <v>0</v>
      </c>
      <c r="K132" s="16">
        <f>_xll.DBRW($B$1,Opening!$E$11,Opening!K$8,$N$1,Opening!$H$11,Opening!$K$11,$O$1,Opening!$B132,$C132,$L$1)</f>
        <v>0</v>
      </c>
      <c r="L132" s="16">
        <f>_xll.DBRW($B$1,Opening!$E$11,Opening!L$8,$N$1,Opening!$H$11,Opening!$K$11,$O$1,Opening!$B132,$C132,$L$1)</f>
        <v>0</v>
      </c>
      <c r="M132" s="16">
        <f>_xll.DBRW($B$1,Opening!$E$11,Opening!M$8,$N$1,Opening!$H$11,Opening!$K$11,$O$1,Opening!$B132,$C132,$L$1)</f>
        <v>0</v>
      </c>
      <c r="N132" s="16">
        <f>_xll.DBRW($B$1,Opening!$E$11,Opening!N$8,$N$1,Opening!$H$11,Opening!$K$11,$O$1,Opening!$B132,$C132,$L$1)</f>
        <v>0</v>
      </c>
      <c r="O132" s="16">
        <f>_xll.DBRW($B$1,Opening!$E$11,Opening!O$8,$N$1,Opening!$H$11,Opening!$K$11,$O$1,Opening!$B132,$C132,$L$1)</f>
        <v>0</v>
      </c>
      <c r="P132"/>
      <c r="Q132"/>
      <c r="R132"/>
      <c r="S132"/>
      <c r="T132"/>
      <c r="U132"/>
      <c r="V132"/>
      <c r="W132"/>
      <c r="X132"/>
      <c r="Y132"/>
    </row>
    <row r="133" spans="2:25" ht="22.5" x14ac:dyDescent="0.25">
      <c r="B133" s="33" t="s">
        <v>168</v>
      </c>
      <c r="C133" s="17" t="s">
        <v>66</v>
      </c>
      <c r="D133" s="16">
        <f>_xll.DBRW($B$1,Opening!$E$11,Opening!D$8,$N$1,Opening!$H$11,Opening!$K$11,$O$1,Opening!$B133,$C133,$L$1)</f>
        <v>0</v>
      </c>
      <c r="E133" s="16">
        <f>_xll.DBRW($B$1,Opening!$E$11,Opening!E$8,$N$1,Opening!$H$11,Opening!$K$11,$O$1,Opening!$B133,$C133,$L$1)</f>
        <v>0</v>
      </c>
      <c r="F133" s="16">
        <f>_xll.DBRW($B$1,Opening!$E$11,Opening!F$8,$N$1,Opening!$H$11,Opening!$K$11,$O$1,Opening!$B133,$C133,$L$1)</f>
        <v>0</v>
      </c>
      <c r="G133" s="16">
        <f>_xll.DBRW($B$1,Opening!$E$11,Opening!G$8,$N$1,Opening!$H$11,Opening!$K$11,$O$1,Opening!$B133,$C133,$L$1)</f>
        <v>0</v>
      </c>
      <c r="H133" s="16">
        <f>_xll.DBRW($B$1,Opening!$E$11,Opening!H$8,$N$1,Opening!$H$11,Opening!$K$11,$O$1,Opening!$B133,$C133,$L$1)</f>
        <v>0</v>
      </c>
      <c r="I133" s="16">
        <f>_xll.DBRW($B$1,Opening!$E$11,Opening!I$8,$N$1,Opening!$H$11,Opening!$K$11,$O$1,Opening!$B133,$C133,$L$1)</f>
        <v>0</v>
      </c>
      <c r="J133" s="16">
        <f>_xll.DBRW($B$1,Opening!$E$11,Opening!J$8,$N$1,Opening!$H$11,Opening!$K$11,$O$1,Opening!$B133,$C133,$L$1)</f>
        <v>0</v>
      </c>
      <c r="K133" s="16">
        <f>_xll.DBRW($B$1,Opening!$E$11,Opening!K$8,$N$1,Opening!$H$11,Opening!$K$11,$O$1,Opening!$B133,$C133,$L$1)</f>
        <v>0</v>
      </c>
      <c r="L133" s="16">
        <f>_xll.DBRW($B$1,Opening!$E$11,Opening!L$8,$N$1,Opening!$H$11,Opening!$K$11,$O$1,Opening!$B133,$C133,$L$1)</f>
        <v>0</v>
      </c>
      <c r="M133" s="16">
        <f>_xll.DBRW($B$1,Opening!$E$11,Opening!M$8,$N$1,Opening!$H$11,Opening!$K$11,$O$1,Opening!$B133,$C133,$L$1)</f>
        <v>0</v>
      </c>
      <c r="N133" s="16">
        <f>_xll.DBRW($B$1,Opening!$E$11,Opening!N$8,$N$1,Opening!$H$11,Opening!$K$11,$O$1,Opening!$B133,$C133,$L$1)</f>
        <v>0</v>
      </c>
      <c r="O133" s="16">
        <f>_xll.DBRW($B$1,Opening!$E$11,Opening!O$8,$N$1,Opening!$H$11,Opening!$K$11,$O$1,Opening!$B133,$C133,$L$1)</f>
        <v>0</v>
      </c>
      <c r="P133"/>
      <c r="Q133"/>
      <c r="R133"/>
      <c r="S133"/>
      <c r="T133"/>
      <c r="U133"/>
      <c r="V133"/>
      <c r="W133"/>
      <c r="X133"/>
      <c r="Y133"/>
    </row>
    <row r="134" spans="2:25" ht="15.75" customHeight="1" x14ac:dyDescent="0.25">
      <c r="C134" s="5"/>
      <c r="D134" s="5"/>
      <c r="E134" s="5"/>
      <c r="F134" s="5"/>
      <c r="G134" s="5"/>
      <c r="H134" s="5"/>
      <c r="I134" s="5"/>
      <c r="J134" s="5"/>
      <c r="K134" s="5"/>
      <c r="L134" s="5"/>
      <c r="M134" s="5"/>
      <c r="N134" s="5"/>
      <c r="O134" s="5"/>
      <c r="P134"/>
      <c r="Q134"/>
      <c r="R134"/>
      <c r="S134"/>
      <c r="T134"/>
      <c r="U134"/>
      <c r="V134"/>
      <c r="W134"/>
      <c r="X134"/>
      <c r="Y134"/>
    </row>
    <row r="135" spans="2:25" ht="15.75" customHeight="1" thickBot="1" x14ac:dyDescent="0.3">
      <c r="B135" s="10"/>
      <c r="C135" s="5"/>
      <c r="D135" s="5"/>
      <c r="E135" s="5"/>
      <c r="F135" s="5"/>
      <c r="G135" s="5"/>
      <c r="H135" s="5"/>
      <c r="I135" s="5"/>
      <c r="J135" s="5"/>
      <c r="K135" s="5"/>
      <c r="L135" s="5"/>
      <c r="M135" s="5"/>
      <c r="N135" s="5"/>
      <c r="O135" s="5"/>
      <c r="P135"/>
      <c r="Q135"/>
      <c r="R135"/>
      <c r="S135"/>
      <c r="T135"/>
      <c r="U135"/>
      <c r="V135"/>
      <c r="W135"/>
      <c r="X135"/>
      <c r="Y135"/>
    </row>
    <row r="136" spans="2:25" ht="15.75" customHeight="1" thickTop="1" x14ac:dyDescent="0.25">
      <c r="B136" s="9" t="s">
        <v>258</v>
      </c>
      <c r="C136" s="5"/>
      <c r="D136" s="5"/>
      <c r="E136" s="5"/>
      <c r="F136" s="5"/>
      <c r="G136" s="5"/>
      <c r="H136" s="5"/>
      <c r="I136" s="5"/>
      <c r="J136" s="5"/>
      <c r="K136" s="5"/>
      <c r="L136" s="5"/>
      <c r="M136" s="5"/>
      <c r="N136" s="5"/>
      <c r="O136" s="5"/>
      <c r="P136"/>
      <c r="Q136"/>
      <c r="R136"/>
      <c r="S136"/>
      <c r="T136"/>
      <c r="U136"/>
      <c r="V136"/>
      <c r="W136"/>
      <c r="X136"/>
      <c r="Y136"/>
    </row>
    <row r="137" spans="2:25" ht="15.75" customHeight="1" x14ac:dyDescent="0.25">
      <c r="B137" s="5"/>
      <c r="C137" s="5"/>
      <c r="D137" s="5"/>
      <c r="E137" s="5"/>
      <c r="F137" s="5"/>
      <c r="G137" s="5"/>
      <c r="H137" s="5"/>
      <c r="I137" s="5"/>
      <c r="J137" s="5"/>
      <c r="K137" s="5"/>
      <c r="L137" s="5"/>
      <c r="M137" s="5"/>
      <c r="N137" s="5"/>
      <c r="O137" s="5"/>
      <c r="P137"/>
      <c r="Q137"/>
      <c r="R137"/>
      <c r="S137"/>
      <c r="T137"/>
      <c r="U137"/>
      <c r="V137"/>
      <c r="W137"/>
      <c r="X137"/>
      <c r="Y137"/>
    </row>
    <row r="138" spans="2:25" ht="15.75" customHeight="1" x14ac:dyDescent="0.25">
      <c r="B138" s="5"/>
      <c r="C138" s="5"/>
      <c r="D138" s="18" t="str">
        <f t="shared" ref="D138:O138" si="8">$E$11&amp;"."&amp;D$8</f>
        <v>2026.01</v>
      </c>
      <c r="E138" s="18" t="str">
        <f t="shared" si="8"/>
        <v>2026.02</v>
      </c>
      <c r="F138" s="18" t="str">
        <f t="shared" si="8"/>
        <v>2026.03</v>
      </c>
      <c r="G138" s="18" t="str">
        <f t="shared" si="8"/>
        <v>2026.04</v>
      </c>
      <c r="H138" s="18" t="str">
        <f t="shared" si="8"/>
        <v>2026.05</v>
      </c>
      <c r="I138" s="18" t="str">
        <f t="shared" si="8"/>
        <v>2026.06</v>
      </c>
      <c r="J138" s="18" t="str">
        <f t="shared" si="8"/>
        <v>2026.07</v>
      </c>
      <c r="K138" s="18" t="str">
        <f t="shared" si="8"/>
        <v>2026.08</v>
      </c>
      <c r="L138" s="18" t="str">
        <f t="shared" si="8"/>
        <v>2026.09</v>
      </c>
      <c r="M138" s="18" t="str">
        <f t="shared" si="8"/>
        <v>2026.10</v>
      </c>
      <c r="N138" s="18" t="str">
        <f t="shared" si="8"/>
        <v>2026.11</v>
      </c>
      <c r="O138" s="18" t="str">
        <f t="shared" si="8"/>
        <v>2026.12</v>
      </c>
      <c r="P138"/>
      <c r="Q138"/>
      <c r="R138"/>
      <c r="S138"/>
      <c r="T138"/>
      <c r="U138"/>
      <c r="V138"/>
      <c r="W138"/>
      <c r="X138"/>
      <c r="Y138"/>
    </row>
    <row r="139" spans="2:25" ht="15.75" customHeight="1" x14ac:dyDescent="0.25">
      <c r="B139" s="24" t="s">
        <v>171</v>
      </c>
      <c r="C139" s="24" t="s">
        <v>278</v>
      </c>
      <c r="D139" s="21">
        <f>_xll.DBRW($B$1,Opening!$E$11,Opening!D$8,$N$1,Opening!$H$11,Opening!$K$11,$O$1,Opening!$B139,$C139,$L$1)</f>
        <v>0</v>
      </c>
      <c r="E139" s="21">
        <f>_xll.DBRW($B$1,Opening!$E$11,Opening!E$8,$N$1,Opening!$H$11,Opening!$K$11,$O$1,Opening!$B139,$C139,$L$1)</f>
        <v>0</v>
      </c>
      <c r="F139" s="21">
        <f>_xll.DBRW($B$1,Opening!$E$11,Opening!F$8,$N$1,Opening!$H$11,Opening!$K$11,$O$1,Opening!$B139,$C139,$L$1)</f>
        <v>0</v>
      </c>
      <c r="G139" s="21">
        <f>_xll.DBRW($B$1,Opening!$E$11,Opening!G$8,$N$1,Opening!$H$11,Opening!$K$11,$O$1,Opening!$B139,$C139,$L$1)</f>
        <v>0</v>
      </c>
      <c r="H139" s="21">
        <f>_xll.DBRW($B$1,Opening!$E$11,Opening!H$8,$N$1,Opening!$H$11,Opening!$K$11,$O$1,Opening!$B139,$C139,$L$1)</f>
        <v>0</v>
      </c>
      <c r="I139" s="21">
        <f>_xll.DBRW($B$1,Opening!$E$11,Opening!I$8,$N$1,Opening!$H$11,Opening!$K$11,$O$1,Opening!$B139,$C139,$L$1)</f>
        <v>0</v>
      </c>
      <c r="J139" s="21">
        <f>_xll.DBRW($B$1,Opening!$E$11,Opening!J$8,$N$1,Opening!$H$11,Opening!$K$11,$O$1,Opening!$B139,$C139,$L$1)</f>
        <v>0</v>
      </c>
      <c r="K139" s="21">
        <f>_xll.DBRW($B$1,Opening!$E$11,Opening!K$8,$N$1,Opening!$H$11,Opening!$K$11,$O$1,Opening!$B139,$C139,$L$1)</f>
        <v>0</v>
      </c>
      <c r="L139" s="21">
        <f>_xll.DBRW($B$1,Opening!$E$11,Opening!L$8,$N$1,Opening!$H$11,Opening!$K$11,$O$1,Opening!$B139,$C139,$L$1)</f>
        <v>0</v>
      </c>
      <c r="M139" s="21">
        <f>_xll.DBRW($B$1,Opening!$E$11,Opening!M$8,$N$1,Opening!$H$11,Opening!$K$11,$O$1,Opening!$B139,$C139,$L$1)</f>
        <v>0</v>
      </c>
      <c r="N139" s="21">
        <f>_xll.DBRW($B$1,Opening!$E$11,Opening!N$8,$N$1,Opening!$H$11,Opening!$K$11,$O$1,Opening!$B139,$C139,$L$1)</f>
        <v>0</v>
      </c>
      <c r="O139" s="21">
        <f>_xll.DBRW($B$1,Opening!$E$11,Opening!O$8,$N$1,Opening!$H$11,Opening!$K$11,$O$1,Opening!$B139,$C139,$L$1)</f>
        <v>0</v>
      </c>
      <c r="P139"/>
      <c r="Q139"/>
      <c r="R139"/>
      <c r="S139"/>
      <c r="T139"/>
      <c r="U139"/>
      <c r="V139"/>
      <c r="W139"/>
      <c r="X139"/>
      <c r="Y139"/>
    </row>
    <row r="140" spans="2:25" ht="15.75" customHeight="1" x14ac:dyDescent="0.25">
      <c r="B140" s="17" t="s">
        <v>171</v>
      </c>
      <c r="C140" s="17" t="s">
        <v>259</v>
      </c>
      <c r="D140" s="16">
        <f>_xll.DBRW($B$1,Opening!$E$11,Opening!D$8,$N$1,Opening!$H$11,Opening!$K$11,$O$1,Opening!$B140,$C140,$L$1)</f>
        <v>0</v>
      </c>
      <c r="E140" s="16">
        <f>_xll.DBRW($B$1,Opening!$E$11,Opening!E$8,$N$1,Opening!$H$11,Opening!$K$11,$O$1,Opening!$B140,$C140,$L$1)</f>
        <v>0</v>
      </c>
      <c r="F140" s="16">
        <f>_xll.DBRW($B$1,Opening!$E$11,Opening!F$8,$N$1,Opening!$H$11,Opening!$K$11,$O$1,Opening!$B140,$C140,$L$1)</f>
        <v>0</v>
      </c>
      <c r="G140" s="16">
        <f>_xll.DBRW($B$1,Opening!$E$11,Opening!G$8,$N$1,Opening!$H$11,Opening!$K$11,$O$1,Opening!$B140,$C140,$L$1)</f>
        <v>0</v>
      </c>
      <c r="H140" s="16">
        <f>_xll.DBRW($B$1,Opening!$E$11,Opening!H$8,$N$1,Opening!$H$11,Opening!$K$11,$O$1,Opening!$B140,$C140,$L$1)</f>
        <v>0</v>
      </c>
      <c r="I140" s="16">
        <f>_xll.DBRW($B$1,Opening!$E$11,Opening!I$8,$N$1,Opening!$H$11,Opening!$K$11,$O$1,Opening!$B140,$C140,$L$1)</f>
        <v>0</v>
      </c>
      <c r="J140" s="16">
        <f>_xll.DBRW($B$1,Opening!$E$11,Opening!J$8,$N$1,Opening!$H$11,Opening!$K$11,$O$1,Opening!$B140,$C140,$L$1)</f>
        <v>0</v>
      </c>
      <c r="K140" s="16">
        <f>_xll.DBRW($B$1,Opening!$E$11,Opening!K$8,$N$1,Opening!$H$11,Opening!$K$11,$O$1,Opening!$B140,$C140,$L$1)</f>
        <v>0</v>
      </c>
      <c r="L140" s="16">
        <f>_xll.DBRW($B$1,Opening!$E$11,Opening!L$8,$N$1,Opening!$H$11,Opening!$K$11,$O$1,Opening!$B140,$C140,$L$1)</f>
        <v>0</v>
      </c>
      <c r="M140" s="16">
        <f>_xll.DBRW($B$1,Opening!$E$11,Opening!M$8,$N$1,Opening!$H$11,Opening!$K$11,$O$1,Opening!$B140,$C140,$L$1)</f>
        <v>0</v>
      </c>
      <c r="N140" s="16">
        <f>_xll.DBRW($B$1,Opening!$E$11,Opening!N$8,$N$1,Opening!$H$11,Opening!$K$11,$O$1,Opening!$B140,$C140,$L$1)</f>
        <v>0</v>
      </c>
      <c r="O140" s="16">
        <f>_xll.DBRW($B$1,Opening!$E$11,Opening!O$8,$N$1,Opening!$H$11,Opening!$K$11,$O$1,Opening!$B140,$C140,$L$1)</f>
        <v>0</v>
      </c>
      <c r="P140"/>
      <c r="Q140"/>
      <c r="R140"/>
      <c r="S140"/>
      <c r="T140"/>
      <c r="U140"/>
      <c r="V140"/>
      <c r="W140"/>
      <c r="X140"/>
      <c r="Y140"/>
    </row>
    <row r="141" spans="2:25" ht="15.75" customHeight="1" thickBot="1" x14ac:dyDescent="0.3">
      <c r="B141" s="10"/>
      <c r="C141" s="5"/>
      <c r="D141" s="5"/>
      <c r="E141" s="5"/>
      <c r="F141" s="5"/>
      <c r="G141" s="5"/>
      <c r="H141" s="5"/>
      <c r="I141" s="5"/>
      <c r="J141" s="5"/>
      <c r="K141" s="5"/>
      <c r="L141" s="5"/>
      <c r="M141" s="5"/>
      <c r="N141" s="5"/>
      <c r="O141" s="5"/>
      <c r="P141"/>
      <c r="Q141"/>
      <c r="R141"/>
      <c r="S141"/>
      <c r="T141"/>
      <c r="U141"/>
      <c r="V141"/>
      <c r="W141"/>
      <c r="X141"/>
      <c r="Y141"/>
    </row>
    <row r="142" spans="2:25" ht="15.75" customHeight="1" thickTop="1" x14ac:dyDescent="0.25">
      <c r="B142" s="9" t="s">
        <v>260</v>
      </c>
      <c r="C142" s="5"/>
      <c r="D142" s="5"/>
      <c r="E142" s="5"/>
      <c r="F142" s="5"/>
      <c r="G142" s="5"/>
      <c r="H142" s="5"/>
      <c r="I142" s="5"/>
      <c r="J142" s="5"/>
      <c r="K142" s="5"/>
      <c r="L142" s="5"/>
      <c r="M142" s="5"/>
      <c r="N142" s="5"/>
      <c r="O142" s="5"/>
      <c r="P142"/>
      <c r="Q142"/>
      <c r="R142"/>
      <c r="S142"/>
      <c r="T142"/>
      <c r="U142"/>
      <c r="V142"/>
      <c r="W142"/>
      <c r="X142"/>
      <c r="Y142"/>
    </row>
    <row r="143" spans="2:25" ht="15.75" customHeight="1" x14ac:dyDescent="0.25">
      <c r="B143" s="5"/>
      <c r="C143" s="5"/>
      <c r="D143" s="5"/>
      <c r="E143" s="5"/>
      <c r="F143" s="5"/>
      <c r="G143" s="5"/>
      <c r="H143" s="5"/>
      <c r="I143" s="5"/>
      <c r="J143" s="5"/>
      <c r="K143" s="5"/>
      <c r="L143" s="5"/>
      <c r="M143" s="5"/>
      <c r="N143" s="5"/>
      <c r="O143" s="5"/>
      <c r="P143"/>
      <c r="Q143"/>
      <c r="R143"/>
      <c r="S143"/>
      <c r="T143"/>
      <c r="U143"/>
      <c r="V143"/>
      <c r="W143"/>
      <c r="X143"/>
      <c r="Y143"/>
    </row>
    <row r="144" spans="2:25" ht="15.75" customHeight="1" x14ac:dyDescent="0.25">
      <c r="B144" s="5"/>
      <c r="C144" s="5"/>
      <c r="D144" s="18" t="str">
        <f t="shared" ref="D144:O144" si="9">$E$11&amp;"."&amp;D$8</f>
        <v>2026.01</v>
      </c>
      <c r="E144" s="18" t="str">
        <f t="shared" si="9"/>
        <v>2026.02</v>
      </c>
      <c r="F144" s="18" t="str">
        <f t="shared" si="9"/>
        <v>2026.03</v>
      </c>
      <c r="G144" s="18" t="str">
        <f t="shared" si="9"/>
        <v>2026.04</v>
      </c>
      <c r="H144" s="18" t="str">
        <f t="shared" si="9"/>
        <v>2026.05</v>
      </c>
      <c r="I144" s="18" t="str">
        <f t="shared" si="9"/>
        <v>2026.06</v>
      </c>
      <c r="J144" s="18" t="str">
        <f t="shared" si="9"/>
        <v>2026.07</v>
      </c>
      <c r="K144" s="18" t="str">
        <f t="shared" si="9"/>
        <v>2026.08</v>
      </c>
      <c r="L144" s="18" t="str">
        <f t="shared" si="9"/>
        <v>2026.09</v>
      </c>
      <c r="M144" s="18" t="str">
        <f t="shared" si="9"/>
        <v>2026.10</v>
      </c>
      <c r="N144" s="18" t="str">
        <f t="shared" si="9"/>
        <v>2026.11</v>
      </c>
      <c r="O144" s="18" t="str">
        <f t="shared" si="9"/>
        <v>2026.12</v>
      </c>
      <c r="P144"/>
      <c r="Q144"/>
      <c r="R144"/>
      <c r="S144"/>
      <c r="T144"/>
      <c r="U144"/>
      <c r="V144"/>
      <c r="W144"/>
      <c r="X144"/>
      <c r="Y144"/>
    </row>
    <row r="145" spans="2:25" ht="15.75" customHeight="1" x14ac:dyDescent="0.25">
      <c r="B145" s="24" t="s">
        <v>179</v>
      </c>
      <c r="C145" s="24" t="s">
        <v>278</v>
      </c>
      <c r="D145" s="21">
        <f>_xll.DBRW($B$1,Opening!$E$11,Opening!D$8,$N$1,Opening!$H$11,Opening!$K$11,$O$1,Opening!$B145,$C145,$L$1)</f>
        <v>0</v>
      </c>
      <c r="E145" s="21">
        <f>_xll.DBRW($B$1,Opening!$E$11,Opening!E$8,$N$1,Opening!$H$11,Opening!$K$11,$O$1,Opening!$B145,$C145,$L$1)</f>
        <v>0</v>
      </c>
      <c r="F145" s="21">
        <f>_xll.DBRW($B$1,Opening!$E$11,Opening!F$8,$N$1,Opening!$H$11,Opening!$K$11,$O$1,Opening!$B145,$C145,$L$1)</f>
        <v>0</v>
      </c>
      <c r="G145" s="21">
        <f>_xll.DBRW($B$1,Opening!$E$11,Opening!G$8,$N$1,Opening!$H$11,Opening!$K$11,$O$1,Opening!$B145,$C145,$L$1)</f>
        <v>0</v>
      </c>
      <c r="H145" s="21">
        <f>_xll.DBRW($B$1,Opening!$E$11,Opening!H$8,$N$1,Opening!$H$11,Opening!$K$11,$O$1,Opening!$B145,$C145,$L$1)</f>
        <v>0</v>
      </c>
      <c r="I145" s="21">
        <f>_xll.DBRW($B$1,Opening!$E$11,Opening!I$8,$N$1,Opening!$H$11,Opening!$K$11,$O$1,Opening!$B145,$C145,$L$1)</f>
        <v>0</v>
      </c>
      <c r="J145" s="21">
        <f>_xll.DBRW($B$1,Opening!$E$11,Opening!J$8,$N$1,Opening!$H$11,Opening!$K$11,$O$1,Opening!$B145,$C145,$L$1)</f>
        <v>0</v>
      </c>
      <c r="K145" s="21">
        <f>_xll.DBRW($B$1,Opening!$E$11,Opening!K$8,$N$1,Opening!$H$11,Opening!$K$11,$O$1,Opening!$B145,$C145,$L$1)</f>
        <v>0</v>
      </c>
      <c r="L145" s="21">
        <f>_xll.DBRW($B$1,Opening!$E$11,Opening!L$8,$N$1,Opening!$H$11,Opening!$K$11,$O$1,Opening!$B145,$C145,$L$1)</f>
        <v>0</v>
      </c>
      <c r="M145" s="21">
        <f>_xll.DBRW($B$1,Opening!$E$11,Opening!M$8,$N$1,Opening!$H$11,Opening!$K$11,$O$1,Opening!$B145,$C145,$L$1)</f>
        <v>0</v>
      </c>
      <c r="N145" s="21">
        <f>_xll.DBRW($B$1,Opening!$E$11,Opening!N$8,$N$1,Opening!$H$11,Opening!$K$11,$O$1,Opening!$B145,$C145,$L$1)</f>
        <v>0</v>
      </c>
      <c r="O145" s="21">
        <f>_xll.DBRW($B$1,Opening!$E$11,Opening!O$8,$N$1,Opening!$H$11,Opening!$K$11,$O$1,Opening!$B145,$C145,$L$1)</f>
        <v>0</v>
      </c>
      <c r="P145"/>
      <c r="Q145"/>
      <c r="R145"/>
      <c r="S145"/>
      <c r="T145"/>
      <c r="U145"/>
      <c r="V145"/>
      <c r="W145"/>
      <c r="X145"/>
      <c r="Y145"/>
    </row>
    <row r="146" spans="2:25" ht="15.75" customHeight="1" x14ac:dyDescent="0.25">
      <c r="B146" s="17" t="s">
        <v>179</v>
      </c>
      <c r="C146" s="17" t="s">
        <v>261</v>
      </c>
      <c r="D146" s="16">
        <f>_xll.DBRW($B$1,Opening!$E$11,Opening!D$8,$N$1,Opening!$H$11,Opening!$K$11,$O$1,Opening!$B146,$C146,$L$1)</f>
        <v>0</v>
      </c>
      <c r="E146" s="16">
        <f>_xll.DBRW($B$1,Opening!$E$11,Opening!E$8,$N$1,Opening!$H$11,Opening!$K$11,$O$1,Opening!$B146,$C146,$L$1)</f>
        <v>0</v>
      </c>
      <c r="F146" s="16">
        <f>_xll.DBRW($B$1,Opening!$E$11,Opening!F$8,$N$1,Opening!$H$11,Opening!$K$11,$O$1,Opening!$B146,$C146,$L$1)</f>
        <v>0</v>
      </c>
      <c r="G146" s="16">
        <f>_xll.DBRW($B$1,Opening!$E$11,Opening!G$8,$N$1,Opening!$H$11,Opening!$K$11,$O$1,Opening!$B146,$C146,$L$1)</f>
        <v>0</v>
      </c>
      <c r="H146" s="16">
        <f>_xll.DBRW($B$1,Opening!$E$11,Opening!H$8,$N$1,Opening!$H$11,Opening!$K$11,$O$1,Opening!$B146,$C146,$L$1)</f>
        <v>0</v>
      </c>
      <c r="I146" s="16">
        <f>_xll.DBRW($B$1,Opening!$E$11,Opening!I$8,$N$1,Opening!$H$11,Opening!$K$11,$O$1,Opening!$B146,$C146,$L$1)</f>
        <v>0</v>
      </c>
      <c r="J146" s="16">
        <f>_xll.DBRW($B$1,Opening!$E$11,Opening!J$8,$N$1,Opening!$H$11,Opening!$K$11,$O$1,Opening!$B146,$C146,$L$1)</f>
        <v>0</v>
      </c>
      <c r="K146" s="16">
        <f>_xll.DBRW($B$1,Opening!$E$11,Opening!K$8,$N$1,Opening!$H$11,Opening!$K$11,$O$1,Opening!$B146,$C146,$L$1)</f>
        <v>0</v>
      </c>
      <c r="L146" s="16">
        <f>_xll.DBRW($B$1,Opening!$E$11,Opening!L$8,$N$1,Opening!$H$11,Opening!$K$11,$O$1,Opening!$B146,$C146,$L$1)</f>
        <v>0</v>
      </c>
      <c r="M146" s="16">
        <f>_xll.DBRW($B$1,Opening!$E$11,Opening!M$8,$N$1,Opening!$H$11,Opening!$K$11,$O$1,Opening!$B146,$C146,$L$1)</f>
        <v>0</v>
      </c>
      <c r="N146" s="16">
        <f>_xll.DBRW($B$1,Opening!$E$11,Opening!N$8,$N$1,Opening!$H$11,Opening!$K$11,$O$1,Opening!$B146,$C146,$L$1)</f>
        <v>0</v>
      </c>
      <c r="O146" s="16">
        <f>_xll.DBRW($B$1,Opening!$E$11,Opening!O$8,$N$1,Opening!$H$11,Opening!$K$11,$O$1,Opening!$B146,$C146,$L$1)</f>
        <v>0</v>
      </c>
      <c r="P146"/>
      <c r="Q146"/>
      <c r="R146"/>
      <c r="S146"/>
      <c r="T146"/>
      <c r="U146"/>
      <c r="V146"/>
      <c r="W146"/>
      <c r="X146"/>
      <c r="Y146"/>
    </row>
    <row r="147" spans="2:25" ht="15.75" customHeight="1" x14ac:dyDescent="0.25">
      <c r="B147" s="17" t="s">
        <v>179</v>
      </c>
      <c r="C147" s="17" t="s">
        <v>262</v>
      </c>
      <c r="D147" s="16">
        <f>_xll.DBRW($B$1,Opening!$E$11,Opening!D$8,$N$1,Opening!$H$11,Opening!$K$11,$O$1,Opening!$B147,$C147,$L$1)</f>
        <v>0</v>
      </c>
      <c r="E147" s="16">
        <f>_xll.DBRW($B$1,Opening!$E$11,Opening!E$8,$N$1,Opening!$H$11,Opening!$K$11,$O$1,Opening!$B147,$C147,$L$1)</f>
        <v>0</v>
      </c>
      <c r="F147" s="16">
        <f>_xll.DBRW($B$1,Opening!$E$11,Opening!F$8,$N$1,Opening!$H$11,Opening!$K$11,$O$1,Opening!$B147,$C147,$L$1)</f>
        <v>0</v>
      </c>
      <c r="G147" s="16">
        <f>_xll.DBRW($B$1,Opening!$E$11,Opening!G$8,$N$1,Opening!$H$11,Opening!$K$11,$O$1,Opening!$B147,$C147,$L$1)</f>
        <v>0</v>
      </c>
      <c r="H147" s="16">
        <f>_xll.DBRW($B$1,Opening!$E$11,Opening!H$8,$N$1,Opening!$H$11,Opening!$K$11,$O$1,Opening!$B147,$C147,$L$1)</f>
        <v>0</v>
      </c>
      <c r="I147" s="16">
        <f>_xll.DBRW($B$1,Opening!$E$11,Opening!I$8,$N$1,Opening!$H$11,Opening!$K$11,$O$1,Opening!$B147,$C147,$L$1)</f>
        <v>0</v>
      </c>
      <c r="J147" s="16">
        <f>_xll.DBRW($B$1,Opening!$E$11,Opening!J$8,$N$1,Opening!$H$11,Opening!$K$11,$O$1,Opening!$B147,$C147,$L$1)</f>
        <v>0</v>
      </c>
      <c r="K147" s="16">
        <f>_xll.DBRW($B$1,Opening!$E$11,Opening!K$8,$N$1,Opening!$H$11,Opening!$K$11,$O$1,Opening!$B147,$C147,$L$1)</f>
        <v>0</v>
      </c>
      <c r="L147" s="16">
        <f>_xll.DBRW($B$1,Opening!$E$11,Opening!L$8,$N$1,Opening!$H$11,Opening!$K$11,$O$1,Opening!$B147,$C147,$L$1)</f>
        <v>0</v>
      </c>
      <c r="M147" s="16">
        <f>_xll.DBRW($B$1,Opening!$E$11,Opening!M$8,$N$1,Opening!$H$11,Opening!$K$11,$O$1,Opening!$B147,$C147,$L$1)</f>
        <v>0</v>
      </c>
      <c r="N147" s="16">
        <f>_xll.DBRW($B$1,Opening!$E$11,Opening!N$8,$N$1,Opening!$H$11,Opening!$K$11,$O$1,Opening!$B147,$C147,$L$1)</f>
        <v>0</v>
      </c>
      <c r="O147" s="16">
        <f>_xll.DBRW($B$1,Opening!$E$11,Opening!O$8,$N$1,Opening!$H$11,Opening!$K$11,$O$1,Opening!$B147,$C147,$L$1)</f>
        <v>0</v>
      </c>
      <c r="P147"/>
      <c r="Q147"/>
      <c r="R147"/>
      <c r="S147"/>
      <c r="T147"/>
      <c r="U147"/>
      <c r="V147"/>
      <c r="W147"/>
      <c r="X147"/>
      <c r="Y147"/>
    </row>
    <row r="148" spans="2:25" ht="15.75" customHeight="1" x14ac:dyDescent="0.25">
      <c r="B148" s="17" t="s">
        <v>179</v>
      </c>
      <c r="C148" s="17" t="s">
        <v>263</v>
      </c>
      <c r="D148" s="16">
        <f>_xll.DBRW($B$1,Opening!$E$11,Opening!D$8,$N$1,Opening!$H$11,Opening!$K$11,$O$1,Opening!$B148,$C148,$L$1)</f>
        <v>0</v>
      </c>
      <c r="E148" s="16">
        <f>_xll.DBRW($B$1,Opening!$E$11,Opening!E$8,$N$1,Opening!$H$11,Opening!$K$11,$O$1,Opening!$B148,$C148,$L$1)</f>
        <v>0</v>
      </c>
      <c r="F148" s="16">
        <f>_xll.DBRW($B$1,Opening!$E$11,Opening!F$8,$N$1,Opening!$H$11,Opening!$K$11,$O$1,Opening!$B148,$C148,$L$1)</f>
        <v>0</v>
      </c>
      <c r="G148" s="16">
        <f>_xll.DBRW($B$1,Opening!$E$11,Opening!G$8,$N$1,Opening!$H$11,Opening!$K$11,$O$1,Opening!$B148,$C148,$L$1)</f>
        <v>0</v>
      </c>
      <c r="H148" s="16">
        <f>_xll.DBRW($B$1,Opening!$E$11,Opening!H$8,$N$1,Opening!$H$11,Opening!$K$11,$O$1,Opening!$B148,$C148,$L$1)</f>
        <v>0</v>
      </c>
      <c r="I148" s="16">
        <f>_xll.DBRW($B$1,Opening!$E$11,Opening!I$8,$N$1,Opening!$H$11,Opening!$K$11,$O$1,Opening!$B148,$C148,$L$1)</f>
        <v>0</v>
      </c>
      <c r="J148" s="16">
        <f>_xll.DBRW($B$1,Opening!$E$11,Opening!J$8,$N$1,Opening!$H$11,Opening!$K$11,$O$1,Opening!$B148,$C148,$L$1)</f>
        <v>0</v>
      </c>
      <c r="K148" s="16">
        <f>_xll.DBRW($B$1,Opening!$E$11,Opening!K$8,$N$1,Opening!$H$11,Opening!$K$11,$O$1,Opening!$B148,$C148,$L$1)</f>
        <v>0</v>
      </c>
      <c r="L148" s="16">
        <f>_xll.DBRW($B$1,Opening!$E$11,Opening!L$8,$N$1,Opening!$H$11,Opening!$K$11,$O$1,Opening!$B148,$C148,$L$1)</f>
        <v>0</v>
      </c>
      <c r="M148" s="16">
        <f>_xll.DBRW($B$1,Opening!$E$11,Opening!M$8,$N$1,Opening!$H$11,Opening!$K$11,$O$1,Opening!$B148,$C148,$L$1)</f>
        <v>0</v>
      </c>
      <c r="N148" s="16">
        <f>_xll.DBRW($B$1,Opening!$E$11,Opening!N$8,$N$1,Opening!$H$11,Opening!$K$11,$O$1,Opening!$B148,$C148,$L$1)</f>
        <v>0</v>
      </c>
      <c r="O148" s="16">
        <f>_xll.DBRW($B$1,Opening!$E$11,Opening!O$8,$N$1,Opening!$H$11,Opening!$K$11,$O$1,Opening!$B148,$C148,$L$1)</f>
        <v>0</v>
      </c>
      <c r="P148"/>
      <c r="Q148"/>
      <c r="R148"/>
      <c r="S148"/>
      <c r="T148"/>
      <c r="U148"/>
      <c r="V148"/>
      <c r="W148"/>
      <c r="X148"/>
      <c r="Y148"/>
    </row>
    <row r="149" spans="2:25" ht="15.75" customHeight="1" x14ac:dyDescent="0.25">
      <c r="B149" s="17" t="s">
        <v>179</v>
      </c>
      <c r="C149" s="17" t="s">
        <v>264</v>
      </c>
      <c r="D149" s="16">
        <f>_xll.DBRW($B$1,Opening!$E$11,Opening!D$8,$N$1,Opening!$H$11,Opening!$K$11,$O$1,Opening!$B149,$C149,$L$1)</f>
        <v>0</v>
      </c>
      <c r="E149" s="16">
        <f>_xll.DBRW($B$1,Opening!$E$11,Opening!E$8,$N$1,Opening!$H$11,Opening!$K$11,$O$1,Opening!$B149,$C149,$L$1)</f>
        <v>0</v>
      </c>
      <c r="F149" s="16">
        <f>_xll.DBRW($B$1,Opening!$E$11,Opening!F$8,$N$1,Opening!$H$11,Opening!$K$11,$O$1,Opening!$B149,$C149,$L$1)</f>
        <v>0</v>
      </c>
      <c r="G149" s="16">
        <f>_xll.DBRW($B$1,Opening!$E$11,Opening!G$8,$N$1,Opening!$H$11,Opening!$K$11,$O$1,Opening!$B149,$C149,$L$1)</f>
        <v>0</v>
      </c>
      <c r="H149" s="16">
        <f>_xll.DBRW($B$1,Opening!$E$11,Opening!H$8,$N$1,Opening!$H$11,Opening!$K$11,$O$1,Opening!$B149,$C149,$L$1)</f>
        <v>0</v>
      </c>
      <c r="I149" s="16">
        <f>_xll.DBRW($B$1,Opening!$E$11,Opening!I$8,$N$1,Opening!$H$11,Opening!$K$11,$O$1,Opening!$B149,$C149,$L$1)</f>
        <v>0</v>
      </c>
      <c r="J149" s="16">
        <f>_xll.DBRW($B$1,Opening!$E$11,Opening!J$8,$N$1,Opening!$H$11,Opening!$K$11,$O$1,Opening!$B149,$C149,$L$1)</f>
        <v>0</v>
      </c>
      <c r="K149" s="16">
        <f>_xll.DBRW($B$1,Opening!$E$11,Opening!K$8,$N$1,Opening!$H$11,Opening!$K$11,$O$1,Opening!$B149,$C149,$L$1)</f>
        <v>0</v>
      </c>
      <c r="L149" s="16">
        <f>_xll.DBRW($B$1,Opening!$E$11,Opening!L$8,$N$1,Opening!$H$11,Opening!$K$11,$O$1,Opening!$B149,$C149,$L$1)</f>
        <v>0</v>
      </c>
      <c r="M149" s="16">
        <f>_xll.DBRW($B$1,Opening!$E$11,Opening!M$8,$N$1,Opening!$H$11,Opening!$K$11,$O$1,Opening!$B149,$C149,$L$1)</f>
        <v>0</v>
      </c>
      <c r="N149" s="16">
        <f>_xll.DBRW($B$1,Opening!$E$11,Opening!N$8,$N$1,Opening!$H$11,Opening!$K$11,$O$1,Opening!$B149,$C149,$L$1)</f>
        <v>0</v>
      </c>
      <c r="O149" s="16">
        <f>_xll.DBRW($B$1,Opening!$E$11,Opening!O$8,$N$1,Opening!$H$11,Opening!$K$11,$O$1,Opening!$B149,$C149,$L$1)</f>
        <v>0</v>
      </c>
      <c r="P149"/>
      <c r="Q149"/>
      <c r="R149"/>
      <c r="S149"/>
      <c r="T149"/>
      <c r="U149"/>
      <c r="V149"/>
      <c r="W149"/>
      <c r="X149"/>
      <c r="Y149"/>
    </row>
    <row r="150" spans="2:25" ht="15.75" customHeight="1" x14ac:dyDescent="0.25">
      <c r="B150" s="17" t="s">
        <v>179</v>
      </c>
      <c r="C150" s="17" t="s">
        <v>265</v>
      </c>
      <c r="D150" s="16">
        <f>_xll.DBRW($B$1,Opening!$E$11,Opening!D$8,$N$1,Opening!$H$11,Opening!$K$11,$O$1,Opening!$B150,$C150,$L$1)</f>
        <v>0</v>
      </c>
      <c r="E150" s="16">
        <f>_xll.DBRW($B$1,Opening!$E$11,Opening!E$8,$N$1,Opening!$H$11,Opening!$K$11,$O$1,Opening!$B150,$C150,$L$1)</f>
        <v>0</v>
      </c>
      <c r="F150" s="16">
        <f>_xll.DBRW($B$1,Opening!$E$11,Opening!F$8,$N$1,Opening!$H$11,Opening!$K$11,$O$1,Opening!$B150,$C150,$L$1)</f>
        <v>0</v>
      </c>
      <c r="G150" s="16">
        <f>_xll.DBRW($B$1,Opening!$E$11,Opening!G$8,$N$1,Opening!$H$11,Opening!$K$11,$O$1,Opening!$B150,$C150,$L$1)</f>
        <v>0</v>
      </c>
      <c r="H150" s="16">
        <f>_xll.DBRW($B$1,Opening!$E$11,Opening!H$8,$N$1,Opening!$H$11,Opening!$K$11,$O$1,Opening!$B150,$C150,$L$1)</f>
        <v>0</v>
      </c>
      <c r="I150" s="16">
        <f>_xll.DBRW($B$1,Opening!$E$11,Opening!I$8,$N$1,Opening!$H$11,Opening!$K$11,$O$1,Opening!$B150,$C150,$L$1)</f>
        <v>0</v>
      </c>
      <c r="J150" s="16">
        <f>_xll.DBRW($B$1,Opening!$E$11,Opening!J$8,$N$1,Opening!$H$11,Opening!$K$11,$O$1,Opening!$B150,$C150,$L$1)</f>
        <v>0</v>
      </c>
      <c r="K150" s="16">
        <f>_xll.DBRW($B$1,Opening!$E$11,Opening!K$8,$N$1,Opening!$H$11,Opening!$K$11,$O$1,Opening!$B150,$C150,$L$1)</f>
        <v>0</v>
      </c>
      <c r="L150" s="16">
        <f>_xll.DBRW($B$1,Opening!$E$11,Opening!L$8,$N$1,Opening!$H$11,Opening!$K$11,$O$1,Opening!$B150,$C150,$L$1)</f>
        <v>0</v>
      </c>
      <c r="M150" s="16">
        <f>_xll.DBRW($B$1,Opening!$E$11,Opening!M$8,$N$1,Opening!$H$11,Opening!$K$11,$O$1,Opening!$B150,$C150,$L$1)</f>
        <v>0</v>
      </c>
      <c r="N150" s="16">
        <f>_xll.DBRW($B$1,Opening!$E$11,Opening!N$8,$N$1,Opening!$H$11,Opening!$K$11,$O$1,Opening!$B150,$C150,$L$1)</f>
        <v>0</v>
      </c>
      <c r="O150" s="16">
        <f>_xll.DBRW($B$1,Opening!$E$11,Opening!O$8,$N$1,Opening!$H$11,Opening!$K$11,$O$1,Opening!$B150,$C150,$L$1)</f>
        <v>0</v>
      </c>
      <c r="P150"/>
      <c r="Q150"/>
      <c r="R150"/>
      <c r="S150"/>
      <c r="T150"/>
      <c r="U150"/>
      <c r="V150"/>
      <c r="W150"/>
      <c r="X150"/>
      <c r="Y150"/>
    </row>
    <row r="151" spans="2:25" ht="15.75" customHeight="1" x14ac:dyDescent="0.25">
      <c r="B151" s="17" t="s">
        <v>179</v>
      </c>
      <c r="C151" s="17" t="s">
        <v>266</v>
      </c>
      <c r="D151" s="16">
        <f>_xll.DBRW($B$1,Opening!$E$11,Opening!D$8,$N$1,Opening!$H$11,Opening!$K$11,$O$1,Opening!$B151,$C151,$L$1)</f>
        <v>0</v>
      </c>
      <c r="E151" s="16">
        <f>_xll.DBRW($B$1,Opening!$E$11,Opening!E$8,$N$1,Opening!$H$11,Opening!$K$11,$O$1,Opening!$B151,$C151,$L$1)</f>
        <v>0</v>
      </c>
      <c r="F151" s="16">
        <f>_xll.DBRW($B$1,Opening!$E$11,Opening!F$8,$N$1,Opening!$H$11,Opening!$K$11,$O$1,Opening!$B151,$C151,$L$1)</f>
        <v>0</v>
      </c>
      <c r="G151" s="16">
        <f>_xll.DBRW($B$1,Opening!$E$11,Opening!G$8,$N$1,Opening!$H$11,Opening!$K$11,$O$1,Opening!$B151,$C151,$L$1)</f>
        <v>0</v>
      </c>
      <c r="H151" s="16">
        <f>_xll.DBRW($B$1,Opening!$E$11,Opening!H$8,$N$1,Opening!$H$11,Opening!$K$11,$O$1,Opening!$B151,$C151,$L$1)</f>
        <v>0</v>
      </c>
      <c r="I151" s="16">
        <f>_xll.DBRW($B$1,Opening!$E$11,Opening!I$8,$N$1,Opening!$H$11,Opening!$K$11,$O$1,Opening!$B151,$C151,$L$1)</f>
        <v>0</v>
      </c>
      <c r="J151" s="16">
        <f>_xll.DBRW($B$1,Opening!$E$11,Opening!J$8,$N$1,Opening!$H$11,Opening!$K$11,$O$1,Opening!$B151,$C151,$L$1)</f>
        <v>0</v>
      </c>
      <c r="K151" s="16">
        <f>_xll.DBRW($B$1,Opening!$E$11,Opening!K$8,$N$1,Opening!$H$11,Opening!$K$11,$O$1,Opening!$B151,$C151,$L$1)</f>
        <v>0</v>
      </c>
      <c r="L151" s="16">
        <f>_xll.DBRW($B$1,Opening!$E$11,Opening!L$8,$N$1,Opening!$H$11,Opening!$K$11,$O$1,Opening!$B151,$C151,$L$1)</f>
        <v>0</v>
      </c>
      <c r="M151" s="16">
        <f>_xll.DBRW($B$1,Opening!$E$11,Opening!M$8,$N$1,Opening!$H$11,Opening!$K$11,$O$1,Opening!$B151,$C151,$L$1)</f>
        <v>0</v>
      </c>
      <c r="N151" s="16">
        <f>_xll.DBRW($B$1,Opening!$E$11,Opening!N$8,$N$1,Opening!$H$11,Opening!$K$11,$O$1,Opening!$B151,$C151,$L$1)</f>
        <v>0</v>
      </c>
      <c r="O151" s="16">
        <f>_xll.DBRW($B$1,Opening!$E$11,Opening!O$8,$N$1,Opening!$H$11,Opening!$K$11,$O$1,Opening!$B151,$C151,$L$1)</f>
        <v>0</v>
      </c>
      <c r="P151"/>
      <c r="Q151"/>
      <c r="R151"/>
      <c r="S151"/>
      <c r="T151"/>
      <c r="U151"/>
      <c r="V151"/>
      <c r="W151"/>
      <c r="X151"/>
      <c r="Y151"/>
    </row>
    <row r="152" spans="2:25" ht="15.75" customHeight="1" x14ac:dyDescent="0.25">
      <c r="B152" s="17" t="s">
        <v>179</v>
      </c>
      <c r="C152" s="17" t="s">
        <v>267</v>
      </c>
      <c r="D152" s="16">
        <f>_xll.DBRW($B$1,Opening!$E$11,Opening!D$8,$N$1,Opening!$H$11,Opening!$K$11,$O$1,Opening!$B152,$C152,$L$1)</f>
        <v>0</v>
      </c>
      <c r="E152" s="16">
        <f>_xll.DBRW($B$1,Opening!$E$11,Opening!E$8,$N$1,Opening!$H$11,Opening!$K$11,$O$1,Opening!$B152,$C152,$L$1)</f>
        <v>0</v>
      </c>
      <c r="F152" s="16">
        <f>_xll.DBRW($B$1,Opening!$E$11,Opening!F$8,$N$1,Opening!$H$11,Opening!$K$11,$O$1,Opening!$B152,$C152,$L$1)</f>
        <v>0</v>
      </c>
      <c r="G152" s="16">
        <f>_xll.DBRW($B$1,Opening!$E$11,Opening!G$8,$N$1,Opening!$H$11,Opening!$K$11,$O$1,Opening!$B152,$C152,$L$1)</f>
        <v>0</v>
      </c>
      <c r="H152" s="16">
        <f>_xll.DBRW($B$1,Opening!$E$11,Opening!H$8,$N$1,Opening!$H$11,Opening!$K$11,$O$1,Opening!$B152,$C152,$L$1)</f>
        <v>0</v>
      </c>
      <c r="I152" s="16">
        <f>_xll.DBRW($B$1,Opening!$E$11,Opening!I$8,$N$1,Opening!$H$11,Opening!$K$11,$O$1,Opening!$B152,$C152,$L$1)</f>
        <v>0</v>
      </c>
      <c r="J152" s="16">
        <f>_xll.DBRW($B$1,Opening!$E$11,Opening!J$8,$N$1,Opening!$H$11,Opening!$K$11,$O$1,Opening!$B152,$C152,$L$1)</f>
        <v>0</v>
      </c>
      <c r="K152" s="16">
        <f>_xll.DBRW($B$1,Opening!$E$11,Opening!K$8,$N$1,Opening!$H$11,Opening!$K$11,$O$1,Opening!$B152,$C152,$L$1)</f>
        <v>0</v>
      </c>
      <c r="L152" s="16">
        <f>_xll.DBRW($B$1,Opening!$E$11,Opening!L$8,$N$1,Opening!$H$11,Opening!$K$11,$O$1,Opening!$B152,$C152,$L$1)</f>
        <v>0</v>
      </c>
      <c r="M152" s="16">
        <f>_xll.DBRW($B$1,Opening!$E$11,Opening!M$8,$N$1,Opening!$H$11,Opening!$K$11,$O$1,Opening!$B152,$C152,$L$1)</f>
        <v>0</v>
      </c>
      <c r="N152" s="16">
        <f>_xll.DBRW($B$1,Opening!$E$11,Opening!N$8,$N$1,Opening!$H$11,Opening!$K$11,$O$1,Opening!$B152,$C152,$L$1)</f>
        <v>0</v>
      </c>
      <c r="O152" s="16">
        <f>_xll.DBRW($B$1,Opening!$E$11,Opening!O$8,$N$1,Opening!$H$11,Opening!$K$11,$O$1,Opening!$B152,$C152,$L$1)</f>
        <v>0</v>
      </c>
      <c r="P152"/>
      <c r="Q152"/>
      <c r="R152"/>
      <c r="S152"/>
      <c r="T152"/>
      <c r="U152"/>
      <c r="V152"/>
      <c r="W152"/>
      <c r="X152"/>
      <c r="Y152"/>
    </row>
    <row r="153" spans="2:25" ht="15.75" customHeight="1" x14ac:dyDescent="0.25">
      <c r="B153" s="17" t="s">
        <v>179</v>
      </c>
      <c r="C153" s="17" t="s">
        <v>268</v>
      </c>
      <c r="D153" s="16">
        <f>_xll.DBRW($B$1,Opening!$E$11,Opening!D$8,$N$1,Opening!$H$11,Opening!$K$11,$O$1,Opening!$B153,$C153,$L$1)</f>
        <v>0</v>
      </c>
      <c r="E153" s="16">
        <f>_xll.DBRW($B$1,Opening!$E$11,Opening!E$8,$N$1,Opening!$H$11,Opening!$K$11,$O$1,Opening!$B153,$C153,$L$1)</f>
        <v>0</v>
      </c>
      <c r="F153" s="16">
        <f>_xll.DBRW($B$1,Opening!$E$11,Opening!F$8,$N$1,Opening!$H$11,Opening!$K$11,$O$1,Opening!$B153,$C153,$L$1)</f>
        <v>0</v>
      </c>
      <c r="G153" s="16">
        <f>_xll.DBRW($B$1,Opening!$E$11,Opening!G$8,$N$1,Opening!$H$11,Opening!$K$11,$O$1,Opening!$B153,$C153,$L$1)</f>
        <v>0</v>
      </c>
      <c r="H153" s="16">
        <f>_xll.DBRW($B$1,Opening!$E$11,Opening!H$8,$N$1,Opening!$H$11,Opening!$K$11,$O$1,Opening!$B153,$C153,$L$1)</f>
        <v>0</v>
      </c>
      <c r="I153" s="16">
        <f>_xll.DBRW($B$1,Opening!$E$11,Opening!I$8,$N$1,Opening!$H$11,Opening!$K$11,$O$1,Opening!$B153,$C153,$L$1)</f>
        <v>0</v>
      </c>
      <c r="J153" s="16">
        <f>_xll.DBRW($B$1,Opening!$E$11,Opening!J$8,$N$1,Opening!$H$11,Opening!$K$11,$O$1,Opening!$B153,$C153,$L$1)</f>
        <v>0</v>
      </c>
      <c r="K153" s="16">
        <f>_xll.DBRW($B$1,Opening!$E$11,Opening!K$8,$N$1,Opening!$H$11,Opening!$K$11,$O$1,Opening!$B153,$C153,$L$1)</f>
        <v>0</v>
      </c>
      <c r="L153" s="16">
        <f>_xll.DBRW($B$1,Opening!$E$11,Opening!L$8,$N$1,Opening!$H$11,Opening!$K$11,$O$1,Opening!$B153,$C153,$L$1)</f>
        <v>0</v>
      </c>
      <c r="M153" s="16">
        <f>_xll.DBRW($B$1,Opening!$E$11,Opening!M$8,$N$1,Opening!$H$11,Opening!$K$11,$O$1,Opening!$B153,$C153,$L$1)</f>
        <v>0</v>
      </c>
      <c r="N153" s="16">
        <f>_xll.DBRW($B$1,Opening!$E$11,Opening!N$8,$N$1,Opening!$H$11,Opening!$K$11,$O$1,Opening!$B153,$C153,$L$1)</f>
        <v>0</v>
      </c>
      <c r="O153" s="16">
        <f>_xll.DBRW($B$1,Opening!$E$11,Opening!O$8,$N$1,Opening!$H$11,Opening!$K$11,$O$1,Opening!$B153,$C153,$L$1)</f>
        <v>0</v>
      </c>
      <c r="P153"/>
      <c r="Q153"/>
      <c r="R153"/>
      <c r="S153"/>
      <c r="T153"/>
      <c r="U153"/>
      <c r="V153"/>
      <c r="W153"/>
      <c r="X153"/>
      <c r="Y153"/>
    </row>
    <row r="154" spans="2:25" ht="15.75" customHeight="1" x14ac:dyDescent="0.25">
      <c r="B154" s="17" t="s">
        <v>179</v>
      </c>
      <c r="C154" s="17" t="s">
        <v>269</v>
      </c>
      <c r="D154" s="16">
        <f>_xll.DBRW($B$1,Opening!$E$11,Opening!D$8,$N$1,Opening!$H$11,Opening!$K$11,$O$1,Opening!$B154,$C154,$L$1)</f>
        <v>0</v>
      </c>
      <c r="E154" s="16">
        <f>_xll.DBRW($B$1,Opening!$E$11,Opening!E$8,$N$1,Opening!$H$11,Opening!$K$11,$O$1,Opening!$B154,$C154,$L$1)</f>
        <v>0</v>
      </c>
      <c r="F154" s="16">
        <f>_xll.DBRW($B$1,Opening!$E$11,Opening!F$8,$N$1,Opening!$H$11,Opening!$K$11,$O$1,Opening!$B154,$C154,$L$1)</f>
        <v>0</v>
      </c>
      <c r="G154" s="16">
        <f>_xll.DBRW($B$1,Opening!$E$11,Opening!G$8,$N$1,Opening!$H$11,Opening!$K$11,$O$1,Opening!$B154,$C154,$L$1)</f>
        <v>0</v>
      </c>
      <c r="H154" s="16">
        <f>_xll.DBRW($B$1,Opening!$E$11,Opening!H$8,$N$1,Opening!$H$11,Opening!$K$11,$O$1,Opening!$B154,$C154,$L$1)</f>
        <v>0</v>
      </c>
      <c r="I154" s="16">
        <f>_xll.DBRW($B$1,Opening!$E$11,Opening!I$8,$N$1,Opening!$H$11,Opening!$K$11,$O$1,Opening!$B154,$C154,$L$1)</f>
        <v>0</v>
      </c>
      <c r="J154" s="16">
        <f>_xll.DBRW($B$1,Opening!$E$11,Opening!J$8,$N$1,Opening!$H$11,Opening!$K$11,$O$1,Opening!$B154,$C154,$L$1)</f>
        <v>0</v>
      </c>
      <c r="K154" s="16">
        <f>_xll.DBRW($B$1,Opening!$E$11,Opening!K$8,$N$1,Opening!$H$11,Opening!$K$11,$O$1,Opening!$B154,$C154,$L$1)</f>
        <v>0</v>
      </c>
      <c r="L154" s="16">
        <f>_xll.DBRW($B$1,Opening!$E$11,Opening!L$8,$N$1,Opening!$H$11,Opening!$K$11,$O$1,Opening!$B154,$C154,$L$1)</f>
        <v>0</v>
      </c>
      <c r="M154" s="16">
        <f>_xll.DBRW($B$1,Opening!$E$11,Opening!M$8,$N$1,Opening!$H$11,Opening!$K$11,$O$1,Opening!$B154,$C154,$L$1)</f>
        <v>0</v>
      </c>
      <c r="N154" s="16">
        <f>_xll.DBRW($B$1,Opening!$E$11,Opening!N$8,$N$1,Opening!$H$11,Opening!$K$11,$O$1,Opening!$B154,$C154,$L$1)</f>
        <v>0</v>
      </c>
      <c r="O154" s="16">
        <f>_xll.DBRW($B$1,Opening!$E$11,Opening!O$8,$N$1,Opening!$H$11,Opening!$K$11,$O$1,Opening!$B154,$C154,$L$1)</f>
        <v>0</v>
      </c>
      <c r="P154"/>
      <c r="Q154"/>
      <c r="R154"/>
      <c r="S154"/>
      <c r="T154"/>
      <c r="U154"/>
      <c r="V154"/>
      <c r="W154"/>
      <c r="X154"/>
      <c r="Y154"/>
    </row>
    <row r="155" spans="2:25" ht="15.75" customHeight="1" x14ac:dyDescent="0.25">
      <c r="B155" s="17" t="s">
        <v>179</v>
      </c>
      <c r="C155" s="17" t="s">
        <v>66</v>
      </c>
      <c r="D155" s="16">
        <f>_xll.DBRW($B$1,Opening!$E$11,Opening!D$8,$N$1,Opening!$H$11,Opening!$K$11,$O$1,Opening!$B155,$C155,$L$1)</f>
        <v>0</v>
      </c>
      <c r="E155" s="16">
        <f>_xll.DBRW($B$1,Opening!$E$11,Opening!E$8,$N$1,Opening!$H$11,Opening!$K$11,$O$1,Opening!$B155,$C155,$L$1)</f>
        <v>0</v>
      </c>
      <c r="F155" s="16">
        <f>_xll.DBRW($B$1,Opening!$E$11,Opening!F$8,$N$1,Opening!$H$11,Opening!$K$11,$O$1,Opening!$B155,$C155,$L$1)</f>
        <v>0</v>
      </c>
      <c r="G155" s="16">
        <f>_xll.DBRW($B$1,Opening!$E$11,Opening!G$8,$N$1,Opening!$H$11,Opening!$K$11,$O$1,Opening!$B155,$C155,$L$1)</f>
        <v>0</v>
      </c>
      <c r="H155" s="16">
        <f>_xll.DBRW($B$1,Opening!$E$11,Opening!H$8,$N$1,Opening!$H$11,Opening!$K$11,$O$1,Opening!$B155,$C155,$L$1)</f>
        <v>0</v>
      </c>
      <c r="I155" s="16">
        <f>_xll.DBRW($B$1,Opening!$E$11,Opening!I$8,$N$1,Opening!$H$11,Opening!$K$11,$O$1,Opening!$B155,$C155,$L$1)</f>
        <v>0</v>
      </c>
      <c r="J155" s="16">
        <f>_xll.DBRW($B$1,Opening!$E$11,Opening!J$8,$N$1,Opening!$H$11,Opening!$K$11,$O$1,Opening!$B155,$C155,$L$1)</f>
        <v>0</v>
      </c>
      <c r="K155" s="16">
        <f>_xll.DBRW($B$1,Opening!$E$11,Opening!K$8,$N$1,Opening!$H$11,Opening!$K$11,$O$1,Opening!$B155,$C155,$L$1)</f>
        <v>0</v>
      </c>
      <c r="L155" s="16">
        <f>_xll.DBRW($B$1,Opening!$E$11,Opening!L$8,$N$1,Opening!$H$11,Opening!$K$11,$O$1,Opening!$B155,$C155,$L$1)</f>
        <v>0</v>
      </c>
      <c r="M155" s="16">
        <f>_xll.DBRW($B$1,Opening!$E$11,Opening!M$8,$N$1,Opening!$H$11,Opening!$K$11,$O$1,Opening!$B155,$C155,$L$1)</f>
        <v>0</v>
      </c>
      <c r="N155" s="16">
        <f>_xll.DBRW($B$1,Opening!$E$11,Opening!N$8,$N$1,Opening!$H$11,Opening!$K$11,$O$1,Opening!$B155,$C155,$L$1)</f>
        <v>0</v>
      </c>
      <c r="O155" s="16">
        <f>_xll.DBRW($B$1,Opening!$E$11,Opening!O$8,$N$1,Opening!$H$11,Opening!$K$11,$O$1,Opening!$B155,$C155,$L$1)</f>
        <v>0</v>
      </c>
      <c r="P155"/>
      <c r="Q155"/>
      <c r="R155"/>
      <c r="S155"/>
      <c r="T155"/>
      <c r="U155"/>
      <c r="V155"/>
      <c r="W155"/>
      <c r="X155"/>
      <c r="Y155"/>
    </row>
    <row r="156" spans="2:25" ht="15.75" customHeight="1" x14ac:dyDescent="0.25">
      <c r="C156" s="5"/>
      <c r="D156" s="5"/>
      <c r="E156" s="5"/>
      <c r="F156" s="5"/>
      <c r="G156" s="5"/>
      <c r="H156" s="5"/>
      <c r="I156" s="5"/>
      <c r="J156" s="5"/>
      <c r="K156" s="5"/>
      <c r="L156" s="5"/>
      <c r="M156" s="5"/>
      <c r="N156" s="5"/>
      <c r="O156" s="5"/>
      <c r="P156"/>
      <c r="Q156"/>
      <c r="R156"/>
      <c r="S156"/>
      <c r="T156"/>
      <c r="U156"/>
      <c r="V156"/>
      <c r="W156"/>
      <c r="X156"/>
      <c r="Y156"/>
    </row>
    <row r="157" spans="2:25" ht="15.75" customHeight="1" thickBot="1" x14ac:dyDescent="0.3">
      <c r="B157" s="10"/>
      <c r="C157" s="5"/>
      <c r="D157" s="5"/>
      <c r="E157" s="5"/>
      <c r="F157" s="5"/>
      <c r="G157" s="5"/>
      <c r="H157" s="5"/>
      <c r="I157" s="5"/>
      <c r="J157" s="5"/>
      <c r="K157" s="5"/>
      <c r="L157" s="5"/>
      <c r="M157" s="5"/>
      <c r="N157" s="5"/>
      <c r="O157" s="5"/>
      <c r="P157"/>
      <c r="Q157"/>
      <c r="R157"/>
      <c r="S157"/>
      <c r="T157"/>
      <c r="U157"/>
      <c r="V157"/>
      <c r="W157"/>
      <c r="X157"/>
      <c r="Y157"/>
    </row>
    <row r="158" spans="2:25" ht="15.75" customHeight="1" thickTop="1" x14ac:dyDescent="0.25">
      <c r="B158" s="9" t="s">
        <v>270</v>
      </c>
      <c r="C158" s="5"/>
      <c r="D158" s="5"/>
      <c r="E158" s="5"/>
      <c r="F158" s="5"/>
      <c r="G158" s="5"/>
      <c r="H158" s="5"/>
      <c r="I158" s="5"/>
      <c r="J158" s="5"/>
      <c r="K158" s="5"/>
      <c r="L158" s="5"/>
      <c r="M158" s="5"/>
      <c r="N158" s="5"/>
      <c r="O158" s="5"/>
      <c r="P158"/>
      <c r="Q158"/>
      <c r="R158"/>
      <c r="S158"/>
      <c r="T158"/>
      <c r="U158"/>
      <c r="V158"/>
      <c r="W158"/>
      <c r="X158"/>
      <c r="Y158"/>
    </row>
    <row r="159" spans="2:25" ht="15.75" customHeight="1" x14ac:dyDescent="0.25">
      <c r="B159" s="5"/>
      <c r="C159" s="5"/>
      <c r="D159" s="5"/>
      <c r="E159" s="5"/>
      <c r="F159" s="5"/>
      <c r="G159" s="5"/>
      <c r="H159" s="5"/>
      <c r="I159" s="5"/>
      <c r="J159" s="5"/>
      <c r="K159" s="5"/>
      <c r="L159" s="5"/>
      <c r="M159" s="5"/>
      <c r="N159" s="5"/>
      <c r="O159" s="5"/>
      <c r="P159"/>
      <c r="Q159"/>
      <c r="R159"/>
      <c r="S159"/>
      <c r="T159"/>
      <c r="U159"/>
      <c r="V159"/>
      <c r="W159"/>
      <c r="X159"/>
      <c r="Y159"/>
    </row>
    <row r="160" spans="2:25" ht="15.75" customHeight="1" x14ac:dyDescent="0.25">
      <c r="B160" s="5"/>
      <c r="C160" s="5"/>
      <c r="D160" s="18" t="str">
        <f t="shared" ref="D160:O160" si="10">$E$11&amp;"."&amp;D$8</f>
        <v>2026.01</v>
      </c>
      <c r="E160" s="18" t="str">
        <f t="shared" si="10"/>
        <v>2026.02</v>
      </c>
      <c r="F160" s="18" t="str">
        <f t="shared" si="10"/>
        <v>2026.03</v>
      </c>
      <c r="G160" s="18" t="str">
        <f t="shared" si="10"/>
        <v>2026.04</v>
      </c>
      <c r="H160" s="18" t="str">
        <f t="shared" si="10"/>
        <v>2026.05</v>
      </c>
      <c r="I160" s="18" t="str">
        <f t="shared" si="10"/>
        <v>2026.06</v>
      </c>
      <c r="J160" s="18" t="str">
        <f t="shared" si="10"/>
        <v>2026.07</v>
      </c>
      <c r="K160" s="18" t="str">
        <f t="shared" si="10"/>
        <v>2026.08</v>
      </c>
      <c r="L160" s="18" t="str">
        <f t="shared" si="10"/>
        <v>2026.09</v>
      </c>
      <c r="M160" s="18" t="str">
        <f t="shared" si="10"/>
        <v>2026.10</v>
      </c>
      <c r="N160" s="18" t="str">
        <f t="shared" si="10"/>
        <v>2026.11</v>
      </c>
      <c r="O160" s="18" t="str">
        <f t="shared" si="10"/>
        <v>2026.12</v>
      </c>
      <c r="P160"/>
      <c r="Q160"/>
      <c r="R160"/>
      <c r="S160"/>
      <c r="T160"/>
      <c r="U160"/>
      <c r="V160"/>
      <c r="W160"/>
      <c r="X160"/>
      <c r="Y160"/>
    </row>
    <row r="161" spans="2:25" ht="15.75" customHeight="1" x14ac:dyDescent="0.25">
      <c r="B161" s="24" t="s">
        <v>176</v>
      </c>
      <c r="C161" s="24" t="s">
        <v>278</v>
      </c>
      <c r="D161" s="21">
        <f>_xll.DBRW($B$1,Opening!$E$11,Opening!D$8,$N$1,Opening!$H$11,Opening!$K$11,$O$1,Opening!$B161,$C161,$L$1)</f>
        <v>0</v>
      </c>
      <c r="E161" s="21">
        <f>_xll.DBRW($B$1,Opening!$E$11,Opening!E$8,$N$1,Opening!$H$11,Opening!$K$11,$O$1,Opening!$B161,$C161,$L$1)</f>
        <v>0</v>
      </c>
      <c r="F161" s="21">
        <f>_xll.DBRW($B$1,Opening!$E$11,Opening!F$8,$N$1,Opening!$H$11,Opening!$K$11,$O$1,Opening!$B161,$C161,$L$1)</f>
        <v>0</v>
      </c>
      <c r="G161" s="21">
        <f>_xll.DBRW($B$1,Opening!$E$11,Opening!G$8,$N$1,Opening!$H$11,Opening!$K$11,$O$1,Opening!$B161,$C161,$L$1)</f>
        <v>0</v>
      </c>
      <c r="H161" s="21">
        <f>_xll.DBRW($B$1,Opening!$E$11,Opening!H$8,$N$1,Opening!$H$11,Opening!$K$11,$O$1,Opening!$B161,$C161,$L$1)</f>
        <v>0</v>
      </c>
      <c r="I161" s="21">
        <f>_xll.DBRW($B$1,Opening!$E$11,Opening!I$8,$N$1,Opening!$H$11,Opening!$K$11,$O$1,Opening!$B161,$C161,$L$1)</f>
        <v>0</v>
      </c>
      <c r="J161" s="21">
        <f>_xll.DBRW($B$1,Opening!$E$11,Opening!J$8,$N$1,Opening!$H$11,Opening!$K$11,$O$1,Opening!$B161,$C161,$L$1)</f>
        <v>0</v>
      </c>
      <c r="K161" s="21">
        <f>_xll.DBRW($B$1,Opening!$E$11,Opening!K$8,$N$1,Opening!$H$11,Opening!$K$11,$O$1,Opening!$B161,$C161,$L$1)</f>
        <v>0</v>
      </c>
      <c r="L161" s="21">
        <f>_xll.DBRW($B$1,Opening!$E$11,Opening!L$8,$N$1,Opening!$H$11,Opening!$K$11,$O$1,Opening!$B161,$C161,$L$1)</f>
        <v>0</v>
      </c>
      <c r="M161" s="21">
        <f>_xll.DBRW($B$1,Opening!$E$11,Opening!M$8,$N$1,Opening!$H$11,Opening!$K$11,$O$1,Opening!$B161,$C161,$L$1)</f>
        <v>0</v>
      </c>
      <c r="N161" s="21">
        <f>_xll.DBRW($B$1,Opening!$E$11,Opening!N$8,$N$1,Opening!$H$11,Opening!$K$11,$O$1,Opening!$B161,$C161,$L$1)</f>
        <v>0</v>
      </c>
      <c r="O161" s="21">
        <f>_xll.DBRW($B$1,Opening!$E$11,Opening!O$8,$N$1,Opening!$H$11,Opening!$K$11,$O$1,Opening!$B161,$C161,$L$1)</f>
        <v>0</v>
      </c>
      <c r="P161"/>
      <c r="Q161"/>
      <c r="R161"/>
      <c r="S161"/>
      <c r="T161"/>
      <c r="U161"/>
      <c r="V161"/>
      <c r="W161"/>
      <c r="X161"/>
      <c r="Y161"/>
    </row>
    <row r="162" spans="2:25" ht="15.75" customHeight="1" x14ac:dyDescent="0.25">
      <c r="B162" s="17" t="s">
        <v>176</v>
      </c>
      <c r="C162" s="17" t="s">
        <v>271</v>
      </c>
      <c r="D162" s="16">
        <f>_xll.DBRW($B$1,Opening!$E$11,Opening!D$8,$N$1,Opening!$H$11,Opening!$K$11,$O$1,Opening!$B162,$C162,$L$1)</f>
        <v>0</v>
      </c>
      <c r="E162" s="16">
        <f>_xll.DBRW($B$1,Opening!$E$11,Opening!E$8,$N$1,Opening!$H$11,Opening!$K$11,$O$1,Opening!$B162,$C162,$L$1)</f>
        <v>0</v>
      </c>
      <c r="F162" s="16">
        <f>_xll.DBRW($B$1,Opening!$E$11,Opening!F$8,$N$1,Opening!$H$11,Opening!$K$11,$O$1,Opening!$B162,$C162,$L$1)</f>
        <v>0</v>
      </c>
      <c r="G162" s="16">
        <f>_xll.DBRW($B$1,Opening!$E$11,Opening!G$8,$N$1,Opening!$H$11,Opening!$K$11,$O$1,Opening!$B162,$C162,$L$1)</f>
        <v>0</v>
      </c>
      <c r="H162" s="16">
        <f>_xll.DBRW($B$1,Opening!$E$11,Opening!H$8,$N$1,Opening!$H$11,Opening!$K$11,$O$1,Opening!$B162,$C162,$L$1)</f>
        <v>0</v>
      </c>
      <c r="I162" s="16">
        <f>_xll.DBRW($B$1,Opening!$E$11,Opening!I$8,$N$1,Opening!$H$11,Opening!$K$11,$O$1,Opening!$B162,$C162,$L$1)</f>
        <v>0</v>
      </c>
      <c r="J162" s="16">
        <f>_xll.DBRW($B$1,Opening!$E$11,Opening!J$8,$N$1,Opening!$H$11,Opening!$K$11,$O$1,Opening!$B162,$C162,$L$1)</f>
        <v>0</v>
      </c>
      <c r="K162" s="16">
        <f>_xll.DBRW($B$1,Opening!$E$11,Opening!K$8,$N$1,Opening!$H$11,Opening!$K$11,$O$1,Opening!$B162,$C162,$L$1)</f>
        <v>0</v>
      </c>
      <c r="L162" s="16">
        <f>_xll.DBRW($B$1,Opening!$E$11,Opening!L$8,$N$1,Opening!$H$11,Opening!$K$11,$O$1,Opening!$B162,$C162,$L$1)</f>
        <v>0</v>
      </c>
      <c r="M162" s="16">
        <f>_xll.DBRW($B$1,Opening!$E$11,Opening!M$8,$N$1,Opening!$H$11,Opening!$K$11,$O$1,Opening!$B162,$C162,$L$1)</f>
        <v>0</v>
      </c>
      <c r="N162" s="16">
        <f>_xll.DBRW($B$1,Opening!$E$11,Opening!N$8,$N$1,Opening!$H$11,Opening!$K$11,$O$1,Opening!$B162,$C162,$L$1)</f>
        <v>0</v>
      </c>
      <c r="O162" s="16">
        <f>_xll.DBRW($B$1,Opening!$E$11,Opening!O$8,$N$1,Opening!$H$11,Opening!$K$11,$O$1,Opening!$B162,$C162,$L$1)</f>
        <v>0</v>
      </c>
      <c r="P162"/>
      <c r="Q162"/>
      <c r="R162"/>
      <c r="S162"/>
      <c r="T162"/>
      <c r="U162"/>
      <c r="V162"/>
      <c r="W162"/>
      <c r="X162"/>
      <c r="Y162"/>
    </row>
    <row r="163" spans="2:25" ht="15.75" customHeight="1" x14ac:dyDescent="0.25">
      <c r="B163" s="17" t="s">
        <v>176</v>
      </c>
      <c r="C163" s="17" t="s">
        <v>272</v>
      </c>
      <c r="D163" s="16">
        <f>_xll.DBRW($B$1,Opening!$E$11,Opening!D$8,$N$1,Opening!$H$11,Opening!$K$11,$O$1,Opening!$B163,$C163,$L$1)</f>
        <v>0</v>
      </c>
      <c r="E163" s="16">
        <f>_xll.DBRW($B$1,Opening!$E$11,Opening!E$8,$N$1,Opening!$H$11,Opening!$K$11,$O$1,Opening!$B163,$C163,$L$1)</f>
        <v>0</v>
      </c>
      <c r="F163" s="16">
        <f>_xll.DBRW($B$1,Opening!$E$11,Opening!F$8,$N$1,Opening!$H$11,Opening!$K$11,$O$1,Opening!$B163,$C163,$L$1)</f>
        <v>0</v>
      </c>
      <c r="G163" s="16">
        <f>_xll.DBRW($B$1,Opening!$E$11,Opening!G$8,$N$1,Opening!$H$11,Opening!$K$11,$O$1,Opening!$B163,$C163,$L$1)</f>
        <v>0</v>
      </c>
      <c r="H163" s="16">
        <f>_xll.DBRW($B$1,Opening!$E$11,Opening!H$8,$N$1,Opening!$H$11,Opening!$K$11,$O$1,Opening!$B163,$C163,$L$1)</f>
        <v>0</v>
      </c>
      <c r="I163" s="16">
        <f>_xll.DBRW($B$1,Opening!$E$11,Opening!I$8,$N$1,Opening!$H$11,Opening!$K$11,$O$1,Opening!$B163,$C163,$L$1)</f>
        <v>0</v>
      </c>
      <c r="J163" s="16">
        <f>_xll.DBRW($B$1,Opening!$E$11,Opening!J$8,$N$1,Opening!$H$11,Opening!$K$11,$O$1,Opening!$B163,$C163,$L$1)</f>
        <v>0</v>
      </c>
      <c r="K163" s="16">
        <f>_xll.DBRW($B$1,Opening!$E$11,Opening!K$8,$N$1,Opening!$H$11,Opening!$K$11,$O$1,Opening!$B163,$C163,$L$1)</f>
        <v>0</v>
      </c>
      <c r="L163" s="16">
        <f>_xll.DBRW($B$1,Opening!$E$11,Opening!L$8,$N$1,Opening!$H$11,Opening!$K$11,$O$1,Opening!$B163,$C163,$L$1)</f>
        <v>0</v>
      </c>
      <c r="M163" s="16">
        <f>_xll.DBRW($B$1,Opening!$E$11,Opening!M$8,$N$1,Opening!$H$11,Opening!$K$11,$O$1,Opening!$B163,$C163,$L$1)</f>
        <v>0</v>
      </c>
      <c r="N163" s="16">
        <f>_xll.DBRW($B$1,Opening!$E$11,Opening!N$8,$N$1,Opening!$H$11,Opening!$K$11,$O$1,Opening!$B163,$C163,$L$1)</f>
        <v>0</v>
      </c>
      <c r="O163" s="16">
        <f>_xll.DBRW($B$1,Opening!$E$11,Opening!O$8,$N$1,Opening!$H$11,Opening!$K$11,$O$1,Opening!$B163,$C163,$L$1)</f>
        <v>0</v>
      </c>
      <c r="P163"/>
      <c r="Q163"/>
      <c r="R163"/>
      <c r="S163"/>
      <c r="T163"/>
      <c r="U163"/>
      <c r="V163"/>
      <c r="W163"/>
      <c r="X163"/>
      <c r="Y163"/>
    </row>
    <row r="164" spans="2:25" ht="15.75" customHeight="1" x14ac:dyDescent="0.25">
      <c r="B164" s="17" t="s">
        <v>176</v>
      </c>
      <c r="C164" s="17" t="s">
        <v>273</v>
      </c>
      <c r="D164" s="16">
        <f>_xll.DBRW($B$1,Opening!$E$11,Opening!D$8,$N$1,Opening!$H$11,Opening!$K$11,$O$1,Opening!$B164,$C164,$L$1)</f>
        <v>0</v>
      </c>
      <c r="E164" s="16">
        <f>_xll.DBRW($B$1,Opening!$E$11,Opening!E$8,$N$1,Opening!$H$11,Opening!$K$11,$O$1,Opening!$B164,$C164,$L$1)</f>
        <v>0</v>
      </c>
      <c r="F164" s="16">
        <f>_xll.DBRW($B$1,Opening!$E$11,Opening!F$8,$N$1,Opening!$H$11,Opening!$K$11,$O$1,Opening!$B164,$C164,$L$1)</f>
        <v>0</v>
      </c>
      <c r="G164" s="16">
        <f>_xll.DBRW($B$1,Opening!$E$11,Opening!G$8,$N$1,Opening!$H$11,Opening!$K$11,$O$1,Opening!$B164,$C164,$L$1)</f>
        <v>0</v>
      </c>
      <c r="H164" s="16">
        <f>_xll.DBRW($B$1,Opening!$E$11,Opening!H$8,$N$1,Opening!$H$11,Opening!$K$11,$O$1,Opening!$B164,$C164,$L$1)</f>
        <v>0</v>
      </c>
      <c r="I164" s="16">
        <f>_xll.DBRW($B$1,Opening!$E$11,Opening!I$8,$N$1,Opening!$H$11,Opening!$K$11,$O$1,Opening!$B164,$C164,$L$1)</f>
        <v>0</v>
      </c>
      <c r="J164" s="16">
        <f>_xll.DBRW($B$1,Opening!$E$11,Opening!J$8,$N$1,Opening!$H$11,Opening!$K$11,$O$1,Opening!$B164,$C164,$L$1)</f>
        <v>0</v>
      </c>
      <c r="K164" s="16">
        <f>_xll.DBRW($B$1,Opening!$E$11,Opening!K$8,$N$1,Opening!$H$11,Opening!$K$11,$O$1,Opening!$B164,$C164,$L$1)</f>
        <v>0</v>
      </c>
      <c r="L164" s="16">
        <f>_xll.DBRW($B$1,Opening!$E$11,Opening!L$8,$N$1,Opening!$H$11,Opening!$K$11,$O$1,Opening!$B164,$C164,$L$1)</f>
        <v>0</v>
      </c>
      <c r="M164" s="16">
        <f>_xll.DBRW($B$1,Opening!$E$11,Opening!M$8,$N$1,Opening!$H$11,Opening!$K$11,$O$1,Opening!$B164,$C164,$L$1)</f>
        <v>0</v>
      </c>
      <c r="N164" s="16">
        <f>_xll.DBRW($B$1,Opening!$E$11,Opening!N$8,$N$1,Opening!$H$11,Opening!$K$11,$O$1,Opening!$B164,$C164,$L$1)</f>
        <v>0</v>
      </c>
      <c r="O164" s="16">
        <f>_xll.DBRW($B$1,Opening!$E$11,Opening!O$8,$N$1,Opening!$H$11,Opening!$K$11,$O$1,Opening!$B164,$C164,$L$1)</f>
        <v>0</v>
      </c>
      <c r="P164"/>
      <c r="Q164"/>
      <c r="R164"/>
      <c r="S164"/>
      <c r="T164"/>
      <c r="U164"/>
      <c r="V164"/>
      <c r="W164"/>
      <c r="X164"/>
      <c r="Y164"/>
    </row>
    <row r="165" spans="2:25" ht="15.75" customHeight="1" x14ac:dyDescent="0.25">
      <c r="B165" s="17" t="s">
        <v>176</v>
      </c>
      <c r="C165" s="17" t="s">
        <v>274</v>
      </c>
      <c r="D165" s="16">
        <f>_xll.DBRW($B$1,Opening!$E$11,Opening!D$8,$N$1,Opening!$H$11,Opening!$K$11,$O$1,Opening!$B165,$C165,$L$1)</f>
        <v>0</v>
      </c>
      <c r="E165" s="16">
        <f>_xll.DBRW($B$1,Opening!$E$11,Opening!E$8,$N$1,Opening!$H$11,Opening!$K$11,$O$1,Opening!$B165,$C165,$L$1)</f>
        <v>0</v>
      </c>
      <c r="F165" s="16">
        <f>_xll.DBRW($B$1,Opening!$E$11,Opening!F$8,$N$1,Opening!$H$11,Opening!$K$11,$O$1,Opening!$B165,$C165,$L$1)</f>
        <v>0</v>
      </c>
      <c r="G165" s="16">
        <f>_xll.DBRW($B$1,Opening!$E$11,Opening!G$8,$N$1,Opening!$H$11,Opening!$K$11,$O$1,Opening!$B165,$C165,$L$1)</f>
        <v>0</v>
      </c>
      <c r="H165" s="16">
        <f>_xll.DBRW($B$1,Opening!$E$11,Opening!H$8,$N$1,Opening!$H$11,Opening!$K$11,$O$1,Opening!$B165,$C165,$L$1)</f>
        <v>0</v>
      </c>
      <c r="I165" s="16">
        <f>_xll.DBRW($B$1,Opening!$E$11,Opening!I$8,$N$1,Opening!$H$11,Opening!$K$11,$O$1,Opening!$B165,$C165,$L$1)</f>
        <v>0</v>
      </c>
      <c r="J165" s="16">
        <f>_xll.DBRW($B$1,Opening!$E$11,Opening!J$8,$N$1,Opening!$H$11,Opening!$K$11,$O$1,Opening!$B165,$C165,$L$1)</f>
        <v>0</v>
      </c>
      <c r="K165" s="16">
        <f>_xll.DBRW($B$1,Opening!$E$11,Opening!K$8,$N$1,Opening!$H$11,Opening!$K$11,$O$1,Opening!$B165,$C165,$L$1)</f>
        <v>0</v>
      </c>
      <c r="L165" s="16">
        <f>_xll.DBRW($B$1,Opening!$E$11,Opening!L$8,$N$1,Opening!$H$11,Opening!$K$11,$O$1,Opening!$B165,$C165,$L$1)</f>
        <v>0</v>
      </c>
      <c r="M165" s="16">
        <f>_xll.DBRW($B$1,Opening!$E$11,Opening!M$8,$N$1,Opening!$H$11,Opening!$K$11,$O$1,Opening!$B165,$C165,$L$1)</f>
        <v>0</v>
      </c>
      <c r="N165" s="16">
        <f>_xll.DBRW($B$1,Opening!$E$11,Opening!N$8,$N$1,Opening!$H$11,Opening!$K$11,$O$1,Opening!$B165,$C165,$L$1)</f>
        <v>0</v>
      </c>
      <c r="O165" s="16">
        <f>_xll.DBRW($B$1,Opening!$E$11,Opening!O$8,$N$1,Opening!$H$11,Opening!$K$11,$O$1,Opening!$B165,$C165,$L$1)</f>
        <v>0</v>
      </c>
      <c r="P165"/>
      <c r="Q165"/>
      <c r="R165"/>
      <c r="S165"/>
      <c r="T165"/>
      <c r="U165"/>
      <c r="V165"/>
      <c r="W165"/>
      <c r="X165"/>
      <c r="Y165"/>
    </row>
    <row r="166" spans="2:25" ht="15.75" customHeight="1" x14ac:dyDescent="0.25">
      <c r="B166" s="17" t="s">
        <v>176</v>
      </c>
      <c r="C166" s="17" t="s">
        <v>275</v>
      </c>
      <c r="D166" s="16">
        <f>_xll.DBRW($B$1,Opening!$E$11,Opening!D$8,$N$1,Opening!$H$11,Opening!$K$11,$O$1,Opening!$B166,$C166,$L$1)</f>
        <v>0</v>
      </c>
      <c r="E166" s="16">
        <f>_xll.DBRW($B$1,Opening!$E$11,Opening!E$8,$N$1,Opening!$H$11,Opening!$K$11,$O$1,Opening!$B166,$C166,$L$1)</f>
        <v>0</v>
      </c>
      <c r="F166" s="16">
        <f>_xll.DBRW($B$1,Opening!$E$11,Opening!F$8,$N$1,Opening!$H$11,Opening!$K$11,$O$1,Opening!$B166,$C166,$L$1)</f>
        <v>0</v>
      </c>
      <c r="G166" s="16">
        <f>_xll.DBRW($B$1,Opening!$E$11,Opening!G$8,$N$1,Opening!$H$11,Opening!$K$11,$O$1,Opening!$B166,$C166,$L$1)</f>
        <v>0</v>
      </c>
      <c r="H166" s="16">
        <f>_xll.DBRW($B$1,Opening!$E$11,Opening!H$8,$N$1,Opening!$H$11,Opening!$K$11,$O$1,Opening!$B166,$C166,$L$1)</f>
        <v>0</v>
      </c>
      <c r="I166" s="16">
        <f>_xll.DBRW($B$1,Opening!$E$11,Opening!I$8,$N$1,Opening!$H$11,Opening!$K$11,$O$1,Opening!$B166,$C166,$L$1)</f>
        <v>0</v>
      </c>
      <c r="J166" s="16">
        <f>_xll.DBRW($B$1,Opening!$E$11,Opening!J$8,$N$1,Opening!$H$11,Opening!$K$11,$O$1,Opening!$B166,$C166,$L$1)</f>
        <v>0</v>
      </c>
      <c r="K166" s="16">
        <f>_xll.DBRW($B$1,Opening!$E$11,Opening!K$8,$N$1,Opening!$H$11,Opening!$K$11,$O$1,Opening!$B166,$C166,$L$1)</f>
        <v>0</v>
      </c>
      <c r="L166" s="16">
        <f>_xll.DBRW($B$1,Opening!$E$11,Opening!L$8,$N$1,Opening!$H$11,Opening!$K$11,$O$1,Opening!$B166,$C166,$L$1)</f>
        <v>0</v>
      </c>
      <c r="M166" s="16">
        <f>_xll.DBRW($B$1,Opening!$E$11,Opening!M$8,$N$1,Opening!$H$11,Opening!$K$11,$O$1,Opening!$B166,$C166,$L$1)</f>
        <v>0</v>
      </c>
      <c r="N166" s="16">
        <f>_xll.DBRW($B$1,Opening!$E$11,Opening!N$8,$N$1,Opening!$H$11,Opening!$K$11,$O$1,Opening!$B166,$C166,$L$1)</f>
        <v>0</v>
      </c>
      <c r="O166" s="16">
        <f>_xll.DBRW($B$1,Opening!$E$11,Opening!O$8,$N$1,Opening!$H$11,Opening!$K$11,$O$1,Opening!$B166,$C166,$L$1)</f>
        <v>0</v>
      </c>
      <c r="P166"/>
      <c r="Q166"/>
      <c r="R166"/>
      <c r="S166"/>
      <c r="T166"/>
      <c r="U166"/>
      <c r="V166"/>
      <c r="W166"/>
      <c r="X166"/>
      <c r="Y166"/>
    </row>
    <row r="167" spans="2:25" ht="15.75" customHeight="1" x14ac:dyDescent="0.25">
      <c r="B167" s="17" t="s">
        <v>176</v>
      </c>
      <c r="C167" s="17" t="s">
        <v>276</v>
      </c>
      <c r="D167" s="16">
        <f>_xll.DBRW($B$1,Opening!$E$11,Opening!D$8,$N$1,Opening!$H$11,Opening!$K$11,$O$1,Opening!$B167,$C167,$L$1)</f>
        <v>0</v>
      </c>
      <c r="E167" s="16">
        <f>_xll.DBRW($B$1,Opening!$E$11,Opening!E$8,$N$1,Opening!$H$11,Opening!$K$11,$O$1,Opening!$B167,$C167,$L$1)</f>
        <v>0</v>
      </c>
      <c r="F167" s="16">
        <f>_xll.DBRW($B$1,Opening!$E$11,Opening!F$8,$N$1,Opening!$H$11,Opening!$K$11,$O$1,Opening!$B167,$C167,$L$1)</f>
        <v>0</v>
      </c>
      <c r="G167" s="16">
        <f>_xll.DBRW($B$1,Opening!$E$11,Opening!G$8,$N$1,Opening!$H$11,Opening!$K$11,$O$1,Opening!$B167,$C167,$L$1)</f>
        <v>0</v>
      </c>
      <c r="H167" s="16">
        <f>_xll.DBRW($B$1,Opening!$E$11,Opening!H$8,$N$1,Opening!$H$11,Opening!$K$11,$O$1,Opening!$B167,$C167,$L$1)</f>
        <v>0</v>
      </c>
      <c r="I167" s="16">
        <f>_xll.DBRW($B$1,Opening!$E$11,Opening!I$8,$N$1,Opening!$H$11,Opening!$K$11,$O$1,Opening!$B167,$C167,$L$1)</f>
        <v>0</v>
      </c>
      <c r="J167" s="16">
        <f>_xll.DBRW($B$1,Opening!$E$11,Opening!J$8,$N$1,Opening!$H$11,Opening!$K$11,$O$1,Opening!$B167,$C167,$L$1)</f>
        <v>0</v>
      </c>
      <c r="K167" s="16">
        <f>_xll.DBRW($B$1,Opening!$E$11,Opening!K$8,$N$1,Opening!$H$11,Opening!$K$11,$O$1,Opening!$B167,$C167,$L$1)</f>
        <v>0</v>
      </c>
      <c r="L167" s="16">
        <f>_xll.DBRW($B$1,Opening!$E$11,Opening!L$8,$N$1,Opening!$H$11,Opening!$K$11,$O$1,Opening!$B167,$C167,$L$1)</f>
        <v>0</v>
      </c>
      <c r="M167" s="16">
        <f>_xll.DBRW($B$1,Opening!$E$11,Opening!M$8,$N$1,Opening!$H$11,Opening!$K$11,$O$1,Opening!$B167,$C167,$L$1)</f>
        <v>0</v>
      </c>
      <c r="N167" s="16">
        <f>_xll.DBRW($B$1,Opening!$E$11,Opening!N$8,$N$1,Opening!$H$11,Opening!$K$11,$O$1,Opening!$B167,$C167,$L$1)</f>
        <v>0</v>
      </c>
      <c r="O167" s="16">
        <f>_xll.DBRW($B$1,Opening!$E$11,Opening!O$8,$N$1,Opening!$H$11,Opening!$K$11,$O$1,Opening!$B167,$C167,$L$1)</f>
        <v>0</v>
      </c>
      <c r="P167"/>
      <c r="Q167"/>
      <c r="R167"/>
      <c r="S167"/>
      <c r="T167"/>
      <c r="U167"/>
      <c r="V167"/>
      <c r="W167"/>
      <c r="X167"/>
      <c r="Y167"/>
    </row>
    <row r="168" spans="2:25" ht="15.75" customHeight="1" x14ac:dyDescent="0.25">
      <c r="B168" s="17" t="s">
        <v>176</v>
      </c>
      <c r="C168" s="17" t="s">
        <v>204</v>
      </c>
      <c r="D168" s="16">
        <f>_xll.DBRW($B$1,Opening!$E$11,Opening!D$8,$N$1,Opening!$H$11,Opening!$K$11,$O$1,Opening!$B168,$C168,$L$1)</f>
        <v>0</v>
      </c>
      <c r="E168" s="16">
        <f>_xll.DBRW($B$1,Opening!$E$11,Opening!E$8,$N$1,Opening!$H$11,Opening!$K$11,$O$1,Opening!$B168,$C168,$L$1)</f>
        <v>0</v>
      </c>
      <c r="F168" s="16">
        <f>_xll.DBRW($B$1,Opening!$E$11,Opening!F$8,$N$1,Opening!$H$11,Opening!$K$11,$O$1,Opening!$B168,$C168,$L$1)</f>
        <v>0</v>
      </c>
      <c r="G168" s="16">
        <f>_xll.DBRW($B$1,Opening!$E$11,Opening!G$8,$N$1,Opening!$H$11,Opening!$K$11,$O$1,Opening!$B168,$C168,$L$1)</f>
        <v>0</v>
      </c>
      <c r="H168" s="16">
        <f>_xll.DBRW($B$1,Opening!$E$11,Opening!H$8,$N$1,Opening!$H$11,Opening!$K$11,$O$1,Opening!$B168,$C168,$L$1)</f>
        <v>0</v>
      </c>
      <c r="I168" s="16">
        <f>_xll.DBRW($B$1,Opening!$E$11,Opening!I$8,$N$1,Opening!$H$11,Opening!$K$11,$O$1,Opening!$B168,$C168,$L$1)</f>
        <v>0</v>
      </c>
      <c r="J168" s="16">
        <f>_xll.DBRW($B$1,Opening!$E$11,Opening!J$8,$N$1,Opening!$H$11,Opening!$K$11,$O$1,Opening!$B168,$C168,$L$1)</f>
        <v>0</v>
      </c>
      <c r="K168" s="16">
        <f>_xll.DBRW($B$1,Opening!$E$11,Opening!K$8,$N$1,Opening!$H$11,Opening!$K$11,$O$1,Opening!$B168,$C168,$L$1)</f>
        <v>0</v>
      </c>
      <c r="L168" s="16">
        <f>_xll.DBRW($B$1,Opening!$E$11,Opening!L$8,$N$1,Opening!$H$11,Opening!$K$11,$O$1,Opening!$B168,$C168,$L$1)</f>
        <v>0</v>
      </c>
      <c r="M168" s="16">
        <f>_xll.DBRW($B$1,Opening!$E$11,Opening!M$8,$N$1,Opening!$H$11,Opening!$K$11,$O$1,Opening!$B168,$C168,$L$1)</f>
        <v>0</v>
      </c>
      <c r="N168" s="16">
        <f>_xll.DBRW($B$1,Opening!$E$11,Opening!N$8,$N$1,Opening!$H$11,Opening!$K$11,$O$1,Opening!$B168,$C168,$L$1)</f>
        <v>0</v>
      </c>
      <c r="O168" s="16">
        <f>_xll.DBRW($B$1,Opening!$E$11,Opening!O$8,$N$1,Opening!$H$11,Opening!$K$11,$O$1,Opening!$B168,$C168,$L$1)</f>
        <v>0</v>
      </c>
      <c r="P168"/>
      <c r="Q168"/>
      <c r="R168"/>
      <c r="S168"/>
      <c r="T168"/>
      <c r="U168"/>
      <c r="V168"/>
      <c r="W168"/>
      <c r="X168"/>
      <c r="Y168"/>
    </row>
    <row r="169" spans="2:25" ht="15.75" customHeight="1" x14ac:dyDescent="0.25">
      <c r="B169" s="17" t="s">
        <v>176</v>
      </c>
      <c r="C169" s="17" t="s">
        <v>277</v>
      </c>
      <c r="D169" s="16">
        <f>_xll.DBRW($B$1,Opening!$E$11,Opening!D$8,$N$1,Opening!$H$11,Opening!$K$11,$O$1,Opening!$B169,$C169,$L$1)</f>
        <v>0</v>
      </c>
      <c r="E169" s="16">
        <f>_xll.DBRW($B$1,Opening!$E$11,Opening!E$8,$N$1,Opening!$H$11,Opening!$K$11,$O$1,Opening!$B169,$C169,$L$1)</f>
        <v>0</v>
      </c>
      <c r="F169" s="16">
        <f>_xll.DBRW($B$1,Opening!$E$11,Opening!F$8,$N$1,Opening!$H$11,Opening!$K$11,$O$1,Opening!$B169,$C169,$L$1)</f>
        <v>0</v>
      </c>
      <c r="G169" s="16">
        <f>_xll.DBRW($B$1,Opening!$E$11,Opening!G$8,$N$1,Opening!$H$11,Opening!$K$11,$O$1,Opening!$B169,$C169,$L$1)</f>
        <v>0</v>
      </c>
      <c r="H169" s="16">
        <f>_xll.DBRW($B$1,Opening!$E$11,Opening!H$8,$N$1,Opening!$H$11,Opening!$K$11,$O$1,Opening!$B169,$C169,$L$1)</f>
        <v>0</v>
      </c>
      <c r="I169" s="16">
        <f>_xll.DBRW($B$1,Opening!$E$11,Opening!I$8,$N$1,Opening!$H$11,Opening!$K$11,$O$1,Opening!$B169,$C169,$L$1)</f>
        <v>0</v>
      </c>
      <c r="J169" s="16">
        <f>_xll.DBRW($B$1,Opening!$E$11,Opening!J$8,$N$1,Opening!$H$11,Opening!$K$11,$O$1,Opening!$B169,$C169,$L$1)</f>
        <v>0</v>
      </c>
      <c r="K169" s="16">
        <f>_xll.DBRW($B$1,Opening!$E$11,Opening!K$8,$N$1,Opening!$H$11,Opening!$K$11,$O$1,Opening!$B169,$C169,$L$1)</f>
        <v>0</v>
      </c>
      <c r="L169" s="16">
        <f>_xll.DBRW($B$1,Opening!$E$11,Opening!L$8,$N$1,Opening!$H$11,Opening!$K$11,$O$1,Opening!$B169,$C169,$L$1)</f>
        <v>0</v>
      </c>
      <c r="M169" s="16">
        <f>_xll.DBRW($B$1,Opening!$E$11,Opening!M$8,$N$1,Opening!$H$11,Opening!$K$11,$O$1,Opening!$B169,$C169,$L$1)</f>
        <v>0</v>
      </c>
      <c r="N169" s="16">
        <f>_xll.DBRW($B$1,Opening!$E$11,Opening!N$8,$N$1,Opening!$H$11,Opening!$K$11,$O$1,Opening!$B169,$C169,$L$1)</f>
        <v>0</v>
      </c>
      <c r="O169" s="16">
        <f>_xll.DBRW($B$1,Opening!$E$11,Opening!O$8,$N$1,Opening!$H$11,Opening!$K$11,$O$1,Opening!$B169,$C169,$L$1)</f>
        <v>0</v>
      </c>
      <c r="P169"/>
      <c r="Q169"/>
      <c r="R169"/>
      <c r="S169"/>
      <c r="T169"/>
      <c r="U169"/>
      <c r="V169"/>
      <c r="W169"/>
      <c r="X169"/>
      <c r="Y169"/>
    </row>
    <row r="170" spans="2:25" ht="15.75" customHeight="1" x14ac:dyDescent="0.25">
      <c r="B170" s="17" t="s">
        <v>176</v>
      </c>
      <c r="C170" s="17" t="s">
        <v>66</v>
      </c>
      <c r="D170" s="16">
        <f>_xll.DBRW($B$1,Opening!$E$11,Opening!D$8,$N$1,Opening!$H$11,Opening!$K$11,$O$1,Opening!$B170,$C170,$L$1)</f>
        <v>0</v>
      </c>
      <c r="E170" s="16">
        <f>_xll.DBRW($B$1,Opening!$E$11,Opening!E$8,$N$1,Opening!$H$11,Opening!$K$11,$O$1,Opening!$B170,$C170,$L$1)</f>
        <v>0</v>
      </c>
      <c r="F170" s="16">
        <f>_xll.DBRW($B$1,Opening!$E$11,Opening!F$8,$N$1,Opening!$H$11,Opening!$K$11,$O$1,Opening!$B170,$C170,$L$1)</f>
        <v>0</v>
      </c>
      <c r="G170" s="16">
        <f>_xll.DBRW($B$1,Opening!$E$11,Opening!G$8,$N$1,Opening!$H$11,Opening!$K$11,$O$1,Opening!$B170,$C170,$L$1)</f>
        <v>0</v>
      </c>
      <c r="H170" s="16">
        <f>_xll.DBRW($B$1,Opening!$E$11,Opening!H$8,$N$1,Opening!$H$11,Opening!$K$11,$O$1,Opening!$B170,$C170,$L$1)</f>
        <v>0</v>
      </c>
      <c r="I170" s="16">
        <f>_xll.DBRW($B$1,Opening!$E$11,Opening!I$8,$N$1,Opening!$H$11,Opening!$K$11,$O$1,Opening!$B170,$C170,$L$1)</f>
        <v>0</v>
      </c>
      <c r="J170" s="16">
        <f>_xll.DBRW($B$1,Opening!$E$11,Opening!J$8,$N$1,Opening!$H$11,Opening!$K$11,$O$1,Opening!$B170,$C170,$L$1)</f>
        <v>0</v>
      </c>
      <c r="K170" s="16">
        <f>_xll.DBRW($B$1,Opening!$E$11,Opening!K$8,$N$1,Opening!$H$11,Opening!$K$11,$O$1,Opening!$B170,$C170,$L$1)</f>
        <v>0</v>
      </c>
      <c r="L170" s="16">
        <f>_xll.DBRW($B$1,Opening!$E$11,Opening!L$8,$N$1,Opening!$H$11,Opening!$K$11,$O$1,Opening!$B170,$C170,$L$1)</f>
        <v>0</v>
      </c>
      <c r="M170" s="16">
        <f>_xll.DBRW($B$1,Opening!$E$11,Opening!M$8,$N$1,Opening!$H$11,Opening!$K$11,$O$1,Opening!$B170,$C170,$L$1)</f>
        <v>0</v>
      </c>
      <c r="N170" s="16">
        <f>_xll.DBRW($B$1,Opening!$E$11,Opening!N$8,$N$1,Opening!$H$11,Opening!$K$11,$O$1,Opening!$B170,$C170,$L$1)</f>
        <v>0</v>
      </c>
      <c r="O170" s="16">
        <f>_xll.DBRW($B$1,Opening!$E$11,Opening!O$8,$N$1,Opening!$H$11,Opening!$K$11,$O$1,Opening!$B170,$C170,$L$1)</f>
        <v>0</v>
      </c>
      <c r="P170"/>
      <c r="Q170"/>
      <c r="R170"/>
      <c r="S170"/>
      <c r="T170"/>
      <c r="U170"/>
      <c r="V170"/>
      <c r="W170"/>
      <c r="X170"/>
      <c r="Y170"/>
    </row>
    <row r="171" spans="2:25" ht="15.75" customHeight="1" x14ac:dyDescent="0.25">
      <c r="B171" s="5"/>
      <c r="C171" s="5"/>
      <c r="D171" s="5"/>
      <c r="E171" s="5"/>
      <c r="F171" s="5"/>
      <c r="G171" s="5"/>
      <c r="H171" s="5"/>
      <c r="I171" s="5"/>
      <c r="J171" s="5"/>
      <c r="K171" s="5"/>
      <c r="L171" s="5"/>
      <c r="M171" s="5"/>
      <c r="N171" s="5"/>
      <c r="O171" s="5"/>
      <c r="P171"/>
      <c r="Q171"/>
      <c r="R171"/>
      <c r="S171"/>
      <c r="T171"/>
      <c r="U171"/>
      <c r="V171"/>
      <c r="W171"/>
      <c r="X171"/>
      <c r="Y171"/>
    </row>
    <row r="172" spans="2:25" ht="15.75" customHeight="1" x14ac:dyDescent="0.25">
      <c r="B172" s="5"/>
      <c r="C172" s="5"/>
      <c r="D172" s="5"/>
      <c r="E172" s="5"/>
      <c r="F172" s="5"/>
      <c r="G172" s="5"/>
      <c r="H172" s="5"/>
      <c r="I172" s="5"/>
      <c r="J172" s="5"/>
      <c r="K172" s="5"/>
      <c r="L172" s="5"/>
      <c r="M172" s="5"/>
      <c r="N172" s="5"/>
      <c r="O172" s="5"/>
      <c r="P172"/>
      <c r="Q172"/>
      <c r="R172"/>
      <c r="S172"/>
      <c r="T172"/>
      <c r="U172"/>
      <c r="V172"/>
      <c r="W172"/>
      <c r="X172"/>
      <c r="Y172"/>
    </row>
    <row r="173" spans="2:25" ht="15.75" customHeight="1" x14ac:dyDescent="0.25">
      <c r="B173" s="5"/>
      <c r="C173" s="5"/>
      <c r="D173" s="5"/>
      <c r="E173" s="5"/>
      <c r="F173" s="5"/>
      <c r="G173" s="5"/>
      <c r="H173" s="5"/>
      <c r="I173" s="5"/>
      <c r="J173" s="5"/>
      <c r="K173" s="5"/>
      <c r="L173" s="5"/>
      <c r="M173" s="5"/>
      <c r="N173" s="5"/>
      <c r="O173" s="5"/>
      <c r="P173"/>
      <c r="Q173"/>
      <c r="R173"/>
      <c r="S173"/>
      <c r="T173"/>
      <c r="U173"/>
      <c r="V173"/>
      <c r="W173"/>
      <c r="X173"/>
      <c r="Y173"/>
    </row>
    <row r="174" spans="2:25" ht="15.75" customHeight="1" x14ac:dyDescent="0.25">
      <c r="B174" s="5"/>
      <c r="C174" s="5"/>
      <c r="D174" s="5"/>
      <c r="E174" s="5"/>
      <c r="F174" s="5"/>
      <c r="G174" s="5"/>
      <c r="H174" s="5"/>
      <c r="I174" s="5"/>
      <c r="J174" s="5"/>
      <c r="K174" s="5"/>
      <c r="L174" s="5"/>
      <c r="M174" s="5"/>
      <c r="N174" s="5"/>
      <c r="O174" s="5"/>
      <c r="P174"/>
      <c r="Q174"/>
      <c r="R174"/>
      <c r="S174"/>
      <c r="T174"/>
      <c r="U174"/>
      <c r="V174"/>
      <c r="W174"/>
      <c r="X174"/>
      <c r="Y174"/>
    </row>
    <row r="175" spans="2:25" ht="15.75" customHeight="1" x14ac:dyDescent="0.25">
      <c r="B175" s="5"/>
      <c r="C175" s="5"/>
      <c r="D175" s="5"/>
      <c r="E175" s="5"/>
      <c r="F175" s="5"/>
      <c r="G175" s="5"/>
      <c r="H175" s="5"/>
      <c r="I175" s="5"/>
      <c r="J175" s="5"/>
      <c r="K175" s="5"/>
      <c r="L175" s="5"/>
      <c r="M175" s="5"/>
      <c r="N175" s="5"/>
      <c r="O175" s="5"/>
      <c r="P175"/>
      <c r="Q175"/>
      <c r="R175"/>
      <c r="S175"/>
      <c r="T175"/>
      <c r="U175"/>
      <c r="V175"/>
      <c r="W175"/>
      <c r="X175"/>
      <c r="Y175"/>
    </row>
    <row r="176" spans="2:25" ht="15.75" customHeight="1" x14ac:dyDescent="0.25">
      <c r="B176" s="5"/>
      <c r="C176" s="5"/>
      <c r="D176" s="5"/>
      <c r="E176" s="5"/>
      <c r="F176" s="5"/>
      <c r="G176" s="5"/>
      <c r="H176" s="5"/>
      <c r="I176" s="5"/>
      <c r="J176" s="5"/>
      <c r="K176" s="5"/>
      <c r="L176" s="5"/>
      <c r="M176" s="5"/>
      <c r="N176" s="5"/>
      <c r="O176" s="5"/>
      <c r="P176"/>
      <c r="Q176"/>
      <c r="R176"/>
      <c r="S176"/>
      <c r="T176"/>
      <c r="U176"/>
      <c r="V176"/>
      <c r="W176"/>
      <c r="X176"/>
      <c r="Y176"/>
    </row>
    <row r="177" spans="2:25" ht="15.75" customHeight="1" x14ac:dyDescent="0.25">
      <c r="B177" s="5"/>
      <c r="C177" s="5"/>
      <c r="D177" s="5"/>
      <c r="E177" s="5"/>
      <c r="F177" s="5"/>
      <c r="G177" s="5"/>
      <c r="H177" s="5"/>
      <c r="I177" s="5"/>
      <c r="J177" s="5"/>
      <c r="K177" s="5"/>
      <c r="L177" s="5"/>
      <c r="M177" s="5"/>
      <c r="N177" s="5"/>
      <c r="O177" s="5"/>
      <c r="P177"/>
      <c r="Q177"/>
      <c r="R177"/>
      <c r="S177"/>
      <c r="T177"/>
      <c r="U177"/>
      <c r="V177"/>
      <c r="W177"/>
      <c r="X177"/>
      <c r="Y177"/>
    </row>
    <row r="178" spans="2:25" ht="15.75" customHeight="1" x14ac:dyDescent="0.25">
      <c r="B178" s="5"/>
      <c r="C178" s="5"/>
      <c r="D178" s="5"/>
      <c r="E178" s="5"/>
      <c r="F178" s="5"/>
      <c r="G178" s="5"/>
      <c r="H178" s="5"/>
      <c r="I178" s="5"/>
      <c r="J178" s="5"/>
      <c r="K178" s="5"/>
      <c r="L178" s="5"/>
      <c r="M178" s="5"/>
      <c r="N178" s="5"/>
      <c r="O178" s="5"/>
      <c r="P178"/>
      <c r="Q178"/>
      <c r="R178"/>
      <c r="S178"/>
      <c r="T178"/>
      <c r="U178"/>
      <c r="V178"/>
      <c r="W178"/>
      <c r="X178"/>
      <c r="Y178"/>
    </row>
    <row r="179" spans="2:25" ht="15.75" customHeight="1" x14ac:dyDescent="0.25">
      <c r="B179" s="5"/>
      <c r="C179" s="5"/>
      <c r="D179" s="5"/>
      <c r="E179" s="5"/>
      <c r="F179" s="5"/>
      <c r="G179" s="5"/>
      <c r="H179" s="5"/>
      <c r="I179" s="5"/>
      <c r="J179" s="5"/>
      <c r="K179" s="5"/>
      <c r="L179" s="5"/>
      <c r="M179" s="5"/>
      <c r="N179" s="5"/>
      <c r="O179" s="5"/>
      <c r="P179"/>
      <c r="Q179"/>
      <c r="R179"/>
      <c r="S179"/>
      <c r="T179"/>
      <c r="U179"/>
      <c r="V179"/>
      <c r="W179"/>
      <c r="X179"/>
      <c r="Y179"/>
    </row>
    <row r="180" spans="2:25" ht="15.75" customHeight="1" x14ac:dyDescent="0.25">
      <c r="B180" s="5"/>
      <c r="C180" s="5"/>
      <c r="D180" s="5"/>
      <c r="E180" s="5"/>
      <c r="F180" s="5"/>
      <c r="G180" s="5"/>
      <c r="H180" s="5"/>
      <c r="I180" s="5"/>
      <c r="J180" s="5"/>
      <c r="K180" s="5"/>
      <c r="L180" s="5"/>
      <c r="M180" s="5"/>
      <c r="N180" s="5"/>
      <c r="O180" s="5"/>
      <c r="P180"/>
      <c r="Q180"/>
      <c r="R180"/>
      <c r="S180"/>
      <c r="T180"/>
      <c r="U180"/>
      <c r="V180"/>
      <c r="W180"/>
      <c r="X180"/>
      <c r="Y180"/>
    </row>
    <row r="181" spans="2:25" ht="15.75" customHeight="1" x14ac:dyDescent="0.25">
      <c r="B181" s="5"/>
      <c r="C181" s="5"/>
      <c r="D181" s="5"/>
      <c r="E181" s="5"/>
      <c r="F181" s="5"/>
      <c r="G181" s="5"/>
      <c r="H181" s="5"/>
      <c r="I181" s="5"/>
      <c r="J181" s="5"/>
      <c r="K181" s="5"/>
      <c r="L181" s="5"/>
      <c r="M181" s="5"/>
      <c r="N181" s="5"/>
      <c r="O181" s="5"/>
      <c r="P181"/>
      <c r="Q181"/>
      <c r="R181"/>
      <c r="S181"/>
      <c r="T181"/>
      <c r="U181"/>
      <c r="V181"/>
      <c r="W181"/>
      <c r="X181"/>
      <c r="Y181"/>
    </row>
    <row r="182" spans="2:25" ht="15.75" customHeight="1" x14ac:dyDescent="0.25">
      <c r="B182" s="5"/>
      <c r="C182" s="5"/>
      <c r="D182" s="5"/>
      <c r="E182" s="5"/>
      <c r="F182" s="5"/>
      <c r="G182" s="5"/>
      <c r="H182" s="5"/>
      <c r="I182" s="5"/>
      <c r="J182" s="5"/>
      <c r="K182" s="5"/>
      <c r="L182" s="5"/>
      <c r="M182" s="5"/>
      <c r="N182" s="5"/>
      <c r="O182" s="5"/>
      <c r="P182"/>
      <c r="Q182"/>
      <c r="R182"/>
      <c r="S182"/>
      <c r="T182"/>
      <c r="U182"/>
      <c r="V182"/>
      <c r="W182"/>
      <c r="X182"/>
      <c r="Y182"/>
    </row>
    <row r="183" spans="2:25" ht="15.75" customHeight="1" x14ac:dyDescent="0.25">
      <c r="B183" s="5"/>
      <c r="C183" s="5"/>
      <c r="D183" s="5"/>
      <c r="E183" s="5"/>
      <c r="F183" s="5"/>
      <c r="G183" s="5"/>
      <c r="H183" s="5"/>
      <c r="I183" s="5"/>
      <c r="J183" s="5"/>
      <c r="K183" s="5"/>
      <c r="L183" s="5"/>
      <c r="M183" s="5"/>
      <c r="N183" s="5"/>
      <c r="O183" s="5"/>
      <c r="P183"/>
      <c r="Q183"/>
      <c r="R183"/>
      <c r="S183"/>
      <c r="T183"/>
      <c r="U183"/>
      <c r="V183"/>
      <c r="W183"/>
      <c r="X183"/>
      <c r="Y183"/>
    </row>
    <row r="184" spans="2:25" ht="15.75" customHeight="1" x14ac:dyDescent="0.25">
      <c r="B184" s="5"/>
      <c r="C184" s="5"/>
      <c r="D184" s="5"/>
      <c r="E184" s="5"/>
      <c r="F184" s="5"/>
      <c r="G184" s="5"/>
      <c r="H184" s="5"/>
      <c r="I184" s="5"/>
      <c r="J184" s="5"/>
      <c r="K184" s="5"/>
      <c r="L184" s="5"/>
      <c r="M184" s="5"/>
      <c r="N184" s="5"/>
      <c r="O184" s="5"/>
      <c r="P184"/>
      <c r="Q184"/>
      <c r="R184"/>
      <c r="S184"/>
      <c r="T184"/>
      <c r="U184"/>
      <c r="V184"/>
      <c r="W184"/>
      <c r="X184"/>
      <c r="Y184"/>
    </row>
    <row r="185" spans="2:25" ht="15.75" customHeight="1" x14ac:dyDescent="0.25">
      <c r="B185" s="5"/>
      <c r="C185" s="5"/>
      <c r="D185" s="5"/>
      <c r="E185" s="5"/>
      <c r="F185" s="5"/>
      <c r="G185" s="5"/>
      <c r="H185" s="5"/>
      <c r="I185" s="5"/>
      <c r="J185" s="5"/>
      <c r="K185" s="5"/>
      <c r="L185" s="5"/>
      <c r="M185" s="5"/>
      <c r="N185" s="5"/>
      <c r="O185" s="5"/>
      <c r="P185"/>
      <c r="Q185"/>
      <c r="R185"/>
      <c r="S185"/>
      <c r="T185"/>
      <c r="U185"/>
      <c r="V185"/>
      <c r="W185"/>
      <c r="X185"/>
      <c r="Y185"/>
    </row>
    <row r="186" spans="2:25" ht="15.75" customHeight="1" x14ac:dyDescent="0.25">
      <c r="B186" s="5"/>
      <c r="C186" s="5"/>
      <c r="D186" s="5"/>
      <c r="E186" s="5"/>
      <c r="F186" s="5"/>
      <c r="G186" s="5"/>
      <c r="H186" s="5"/>
      <c r="I186" s="5"/>
      <c r="J186" s="5"/>
      <c r="K186" s="5"/>
      <c r="L186" s="5"/>
      <c r="M186" s="5"/>
      <c r="N186" s="5"/>
      <c r="O186" s="5"/>
      <c r="P186"/>
      <c r="Q186"/>
      <c r="R186"/>
      <c r="S186"/>
      <c r="T186"/>
      <c r="U186"/>
      <c r="V186"/>
      <c r="W186"/>
      <c r="X186"/>
      <c r="Y186"/>
    </row>
    <row r="187" spans="2:25" ht="15.75" customHeight="1" x14ac:dyDescent="0.25">
      <c r="B187" s="5"/>
      <c r="C187" s="5"/>
      <c r="D187" s="5"/>
      <c r="E187" s="5"/>
      <c r="F187" s="5"/>
      <c r="G187" s="5"/>
      <c r="H187" s="5"/>
      <c r="I187" s="5"/>
      <c r="J187" s="5"/>
      <c r="K187" s="5"/>
      <c r="L187" s="5"/>
      <c r="M187" s="5"/>
      <c r="N187" s="5"/>
      <c r="O187" s="5"/>
      <c r="P187"/>
      <c r="Q187"/>
      <c r="R187"/>
      <c r="S187"/>
      <c r="T187"/>
      <c r="U187"/>
      <c r="V187"/>
      <c r="W187"/>
      <c r="X187"/>
      <c r="Y187"/>
    </row>
    <row r="188" spans="2:25" ht="15.75" customHeight="1" x14ac:dyDescent="0.25">
      <c r="B188" s="5"/>
      <c r="C188" s="5"/>
      <c r="D188" s="5"/>
      <c r="E188" s="5"/>
      <c r="F188" s="5"/>
      <c r="G188" s="5"/>
      <c r="H188" s="5"/>
      <c r="I188" s="5"/>
      <c r="J188" s="5"/>
      <c r="K188" s="5"/>
      <c r="L188" s="5"/>
      <c r="M188" s="5"/>
      <c r="N188" s="5"/>
      <c r="O188" s="5"/>
      <c r="P188"/>
      <c r="Q188"/>
      <c r="R188"/>
      <c r="S188"/>
      <c r="T188"/>
      <c r="U188"/>
      <c r="V188"/>
      <c r="W188"/>
      <c r="X188"/>
      <c r="Y188"/>
    </row>
    <row r="189" spans="2:25" ht="15.75" customHeight="1" x14ac:dyDescent="0.25">
      <c r="B189" s="5"/>
      <c r="C189" s="5"/>
      <c r="D189" s="5"/>
      <c r="E189" s="5"/>
      <c r="F189" s="5"/>
      <c r="G189" s="5"/>
      <c r="H189" s="5"/>
      <c r="I189" s="5"/>
      <c r="J189" s="5"/>
      <c r="K189" s="5"/>
      <c r="L189" s="5"/>
      <c r="M189" s="5"/>
      <c r="N189" s="5"/>
      <c r="O189" s="5"/>
      <c r="P189"/>
      <c r="Q189"/>
      <c r="R189"/>
      <c r="S189"/>
      <c r="T189"/>
      <c r="U189"/>
      <c r="V189"/>
      <c r="W189"/>
      <c r="X189"/>
      <c r="Y189"/>
    </row>
    <row r="190" spans="2:25" ht="15.75" customHeight="1" x14ac:dyDescent="0.25">
      <c r="B190" s="5"/>
      <c r="C190" s="5"/>
      <c r="D190" s="5"/>
      <c r="E190" s="5"/>
      <c r="F190" s="5"/>
      <c r="G190" s="5"/>
      <c r="H190" s="5"/>
      <c r="I190" s="5"/>
      <c r="J190" s="5"/>
      <c r="K190" s="5"/>
      <c r="L190" s="5"/>
      <c r="M190" s="5"/>
      <c r="N190" s="5"/>
      <c r="O190" s="5"/>
      <c r="P190"/>
      <c r="Q190"/>
      <c r="R190"/>
      <c r="S190"/>
      <c r="T190"/>
      <c r="U190"/>
      <c r="V190"/>
      <c r="W190"/>
      <c r="X190"/>
      <c r="Y190"/>
    </row>
    <row r="191" spans="2:25" ht="15.75" customHeight="1" x14ac:dyDescent="0.25">
      <c r="B191" s="5"/>
      <c r="C191" s="5"/>
      <c r="D191" s="5"/>
      <c r="E191" s="5"/>
      <c r="F191" s="5"/>
      <c r="G191" s="5"/>
      <c r="H191" s="5"/>
      <c r="I191" s="5"/>
      <c r="J191" s="5"/>
      <c r="K191" s="5"/>
      <c r="L191" s="5"/>
      <c r="M191" s="5"/>
      <c r="N191" s="5"/>
      <c r="O191" s="5"/>
      <c r="P191"/>
      <c r="Q191"/>
      <c r="R191"/>
      <c r="S191"/>
      <c r="T191"/>
      <c r="U191"/>
      <c r="V191"/>
      <c r="W191"/>
      <c r="X191"/>
      <c r="Y191"/>
    </row>
    <row r="192" spans="2:25" ht="15.75" customHeight="1" x14ac:dyDescent="0.25">
      <c r="B192" s="5"/>
      <c r="C192" s="5"/>
      <c r="D192" s="5"/>
      <c r="E192" s="5"/>
      <c r="F192" s="5"/>
      <c r="G192" s="5"/>
      <c r="H192" s="5"/>
      <c r="I192" s="5"/>
      <c r="J192" s="5"/>
      <c r="K192" s="5"/>
      <c r="L192" s="5"/>
      <c r="M192" s="5"/>
      <c r="N192" s="5"/>
      <c r="O192" s="5"/>
      <c r="P192"/>
      <c r="Q192"/>
      <c r="R192"/>
      <c r="S192"/>
      <c r="T192"/>
      <c r="U192"/>
      <c r="V192"/>
      <c r="W192"/>
      <c r="X192"/>
      <c r="Y192"/>
    </row>
    <row r="193" spans="2:25" ht="15.75" customHeight="1" x14ac:dyDescent="0.25">
      <c r="B193" s="5"/>
      <c r="C193" s="5"/>
      <c r="D193" s="5"/>
      <c r="E193" s="5"/>
      <c r="F193" s="5"/>
      <c r="G193" s="5"/>
      <c r="H193" s="5"/>
      <c r="I193" s="5"/>
      <c r="J193" s="5"/>
      <c r="K193" s="5"/>
      <c r="L193" s="5"/>
      <c r="M193" s="5"/>
      <c r="N193" s="5"/>
      <c r="O193" s="5"/>
      <c r="P193"/>
      <c r="Q193"/>
      <c r="R193"/>
      <c r="S193"/>
      <c r="T193"/>
      <c r="U193"/>
      <c r="V193"/>
      <c r="W193"/>
      <c r="X193"/>
      <c r="Y193"/>
    </row>
    <row r="194" spans="2:25" ht="15.75" customHeight="1" x14ac:dyDescent="0.25">
      <c r="B194" s="5"/>
      <c r="C194" s="5"/>
      <c r="D194" s="5"/>
      <c r="E194" s="5"/>
      <c r="F194" s="5"/>
      <c r="G194" s="5"/>
      <c r="H194" s="5"/>
      <c r="I194" s="5"/>
      <c r="J194" s="5"/>
      <c r="K194" s="5"/>
      <c r="L194" s="5"/>
      <c r="M194" s="5"/>
      <c r="N194" s="5"/>
      <c r="O194" s="5"/>
      <c r="P194"/>
      <c r="Q194"/>
      <c r="R194"/>
      <c r="S194"/>
      <c r="T194"/>
      <c r="U194"/>
      <c r="V194"/>
      <c r="W194"/>
      <c r="X194"/>
      <c r="Y194"/>
    </row>
    <row r="195" spans="2:25" ht="15.75" customHeight="1" x14ac:dyDescent="0.25">
      <c r="B195" s="5"/>
      <c r="C195" s="5"/>
      <c r="D195" s="5"/>
      <c r="E195" s="5"/>
      <c r="F195" s="5"/>
      <c r="G195" s="5"/>
      <c r="H195" s="5"/>
      <c r="I195" s="5"/>
      <c r="J195" s="5"/>
      <c r="K195" s="5"/>
      <c r="L195" s="5"/>
      <c r="M195" s="5"/>
      <c r="N195" s="5"/>
      <c r="O195" s="5"/>
      <c r="P195"/>
      <c r="Q195"/>
      <c r="R195"/>
      <c r="S195"/>
      <c r="T195"/>
      <c r="U195"/>
      <c r="V195"/>
      <c r="W195"/>
      <c r="X195"/>
      <c r="Y195"/>
    </row>
    <row r="196" spans="2:25" ht="15.75" customHeight="1" x14ac:dyDescent="0.25">
      <c r="B196" s="5"/>
      <c r="C196" s="5"/>
      <c r="D196" s="5"/>
      <c r="E196" s="5"/>
      <c r="F196" s="5"/>
      <c r="G196" s="5"/>
      <c r="H196" s="5"/>
      <c r="I196" s="5"/>
      <c r="J196" s="5"/>
      <c r="K196" s="5"/>
      <c r="L196" s="5"/>
      <c r="M196" s="5"/>
      <c r="N196" s="5"/>
      <c r="O196" s="5"/>
      <c r="P196"/>
      <c r="Q196"/>
      <c r="R196"/>
      <c r="S196"/>
      <c r="T196"/>
      <c r="U196"/>
      <c r="V196"/>
      <c r="W196"/>
      <c r="X196"/>
      <c r="Y196"/>
    </row>
    <row r="197" spans="2:25" ht="15.75" customHeight="1" x14ac:dyDescent="0.25">
      <c r="B197" s="5"/>
      <c r="C197" s="5"/>
      <c r="D197" s="5"/>
      <c r="E197" s="5"/>
      <c r="F197" s="5"/>
      <c r="G197" s="5"/>
      <c r="H197" s="5"/>
      <c r="I197" s="5"/>
      <c r="J197" s="5"/>
      <c r="K197" s="5"/>
      <c r="L197" s="5"/>
      <c r="M197" s="5"/>
      <c r="N197" s="5"/>
      <c r="O197" s="5"/>
      <c r="P197"/>
      <c r="Q197"/>
      <c r="R197"/>
      <c r="S197"/>
      <c r="T197"/>
      <c r="U197"/>
      <c r="V197"/>
      <c r="W197"/>
      <c r="X197"/>
      <c r="Y197"/>
    </row>
    <row r="198" spans="2:25" ht="15.75" customHeight="1" x14ac:dyDescent="0.25">
      <c r="B198" s="5"/>
      <c r="C198" s="5"/>
      <c r="D198" s="5"/>
      <c r="E198" s="5"/>
      <c r="F198" s="5"/>
      <c r="G198" s="5"/>
      <c r="H198" s="5"/>
      <c r="I198" s="5"/>
      <c r="J198" s="5"/>
      <c r="K198" s="5"/>
      <c r="L198" s="5"/>
      <c r="M198" s="5"/>
      <c r="N198" s="5"/>
      <c r="O198" s="5"/>
      <c r="P198"/>
      <c r="Q198"/>
      <c r="R198"/>
      <c r="S198"/>
      <c r="T198"/>
      <c r="U198"/>
      <c r="V198"/>
      <c r="W198"/>
      <c r="X198"/>
      <c r="Y198"/>
    </row>
    <row r="199" spans="2:25" ht="15.75" customHeight="1" x14ac:dyDescent="0.25">
      <c r="B199" s="5"/>
      <c r="C199" s="5"/>
      <c r="D199" s="5"/>
      <c r="E199" s="5"/>
      <c r="F199" s="5"/>
      <c r="G199" s="5"/>
      <c r="H199" s="5"/>
      <c r="I199" s="5"/>
      <c r="J199" s="5"/>
      <c r="K199" s="5"/>
      <c r="L199" s="5"/>
      <c r="M199" s="5"/>
      <c r="N199" s="5"/>
      <c r="O199" s="5"/>
      <c r="P199"/>
      <c r="Q199"/>
      <c r="R199"/>
      <c r="S199"/>
      <c r="T199"/>
      <c r="U199"/>
      <c r="V199"/>
      <c r="W199"/>
      <c r="X199"/>
      <c r="Y199"/>
    </row>
    <row r="200" spans="2:25" ht="15.75" customHeight="1" x14ac:dyDescent="0.25">
      <c r="B200" s="5"/>
      <c r="C200" s="5"/>
      <c r="D200" s="5"/>
      <c r="E200" s="5"/>
      <c r="F200" s="5"/>
      <c r="G200" s="5"/>
      <c r="H200" s="5"/>
      <c r="I200" s="5"/>
      <c r="J200" s="5"/>
      <c r="K200" s="5"/>
      <c r="L200" s="5"/>
      <c r="M200" s="5"/>
      <c r="N200" s="5"/>
      <c r="O200" s="5"/>
      <c r="P200"/>
      <c r="Q200"/>
      <c r="R200"/>
      <c r="S200"/>
      <c r="T200"/>
      <c r="U200"/>
      <c r="V200"/>
      <c r="W200"/>
      <c r="X200"/>
      <c r="Y200"/>
    </row>
    <row r="201" spans="2:25" ht="15.75" customHeight="1" x14ac:dyDescent="0.25">
      <c r="B201" s="5"/>
      <c r="C201" s="5"/>
      <c r="D201" s="5"/>
      <c r="E201" s="5"/>
      <c r="F201" s="5"/>
      <c r="G201" s="5"/>
      <c r="H201" s="5"/>
      <c r="I201" s="5"/>
      <c r="J201" s="5"/>
      <c r="K201" s="5"/>
      <c r="L201" s="5"/>
      <c r="M201" s="5"/>
      <c r="N201" s="5"/>
      <c r="O201" s="5"/>
      <c r="P201"/>
      <c r="Q201"/>
      <c r="R201"/>
      <c r="S201"/>
      <c r="T201"/>
      <c r="U201"/>
      <c r="V201"/>
      <c r="W201"/>
      <c r="X201"/>
      <c r="Y201"/>
    </row>
    <row r="202" spans="2:25" ht="15.75" customHeight="1" x14ac:dyDescent="0.25">
      <c r="B202" s="5"/>
      <c r="C202" s="5"/>
      <c r="D202" s="5"/>
      <c r="E202" s="5"/>
      <c r="F202" s="5"/>
      <c r="G202" s="5"/>
      <c r="H202" s="5"/>
      <c r="I202" s="5"/>
      <c r="J202" s="5"/>
      <c r="K202" s="5"/>
      <c r="L202" s="5"/>
      <c r="M202" s="5"/>
      <c r="N202" s="5"/>
      <c r="O202" s="5"/>
      <c r="P202"/>
      <c r="Q202"/>
      <c r="R202"/>
      <c r="S202"/>
      <c r="T202"/>
      <c r="U202"/>
      <c r="V202"/>
      <c r="W202"/>
      <c r="X202"/>
      <c r="Y202"/>
    </row>
    <row r="203" spans="2:25" ht="15.75" customHeight="1" x14ac:dyDescent="0.25">
      <c r="B203" s="5"/>
      <c r="C203" s="5"/>
      <c r="D203" s="5"/>
      <c r="E203" s="5"/>
      <c r="F203" s="5"/>
      <c r="G203" s="5"/>
      <c r="H203" s="5"/>
      <c r="I203" s="5"/>
      <c r="J203" s="5"/>
      <c r="K203" s="5"/>
      <c r="L203" s="5"/>
      <c r="M203" s="5"/>
      <c r="N203" s="5"/>
      <c r="O203" s="5"/>
      <c r="P203"/>
      <c r="Q203"/>
      <c r="R203"/>
      <c r="S203"/>
      <c r="T203"/>
      <c r="U203"/>
      <c r="V203"/>
      <c r="W203"/>
      <c r="X203"/>
      <c r="Y203"/>
    </row>
    <row r="204" spans="2:25" ht="15.75" customHeight="1" x14ac:dyDescent="0.25">
      <c r="B204" s="5"/>
      <c r="C204" s="5"/>
      <c r="D204" s="5"/>
      <c r="E204" s="5"/>
      <c r="F204" s="5"/>
      <c r="G204" s="5"/>
      <c r="H204" s="5"/>
      <c r="I204" s="5"/>
      <c r="J204" s="5"/>
      <c r="K204" s="5"/>
      <c r="L204" s="5"/>
      <c r="M204" s="5"/>
      <c r="N204" s="5"/>
      <c r="O204" s="5"/>
      <c r="P204"/>
      <c r="Q204"/>
      <c r="R204"/>
      <c r="S204"/>
      <c r="T204"/>
      <c r="U204"/>
      <c r="V204"/>
      <c r="W204"/>
      <c r="X204"/>
      <c r="Y204"/>
    </row>
    <row r="205" spans="2:25" ht="15.75" customHeight="1" x14ac:dyDescent="0.25">
      <c r="B205" s="5"/>
      <c r="C205" s="5"/>
      <c r="D205" s="5"/>
      <c r="E205" s="5"/>
      <c r="F205" s="5"/>
      <c r="G205" s="5"/>
      <c r="H205" s="5"/>
      <c r="I205" s="5"/>
      <c r="J205" s="5"/>
      <c r="K205" s="5"/>
      <c r="L205" s="5"/>
      <c r="M205" s="5"/>
      <c r="N205" s="5"/>
      <c r="O205" s="5"/>
      <c r="P205"/>
      <c r="Q205"/>
      <c r="R205"/>
      <c r="S205"/>
      <c r="T205"/>
      <c r="U205"/>
      <c r="V205"/>
      <c r="W205"/>
      <c r="X205"/>
      <c r="Y205"/>
    </row>
    <row r="206" spans="2:25" ht="15.75" customHeight="1" x14ac:dyDescent="0.25">
      <c r="B206" s="5"/>
      <c r="C206" s="5"/>
      <c r="D206" s="5"/>
      <c r="E206" s="5"/>
      <c r="F206" s="5"/>
      <c r="G206" s="5"/>
      <c r="H206" s="5"/>
      <c r="I206" s="5"/>
      <c r="J206" s="5"/>
      <c r="K206" s="5"/>
      <c r="L206" s="5"/>
      <c r="M206" s="5"/>
      <c r="N206" s="5"/>
      <c r="O206" s="5"/>
      <c r="P206"/>
      <c r="Q206"/>
      <c r="R206"/>
      <c r="S206"/>
      <c r="T206"/>
      <c r="U206"/>
      <c r="V206"/>
      <c r="W206"/>
      <c r="X206"/>
      <c r="Y206"/>
    </row>
    <row r="207" spans="2:25" ht="15.75" customHeight="1" x14ac:dyDescent="0.25">
      <c r="B207" s="5"/>
      <c r="C207" s="5"/>
      <c r="D207" s="5"/>
      <c r="E207" s="5"/>
      <c r="F207" s="5"/>
      <c r="G207" s="5"/>
      <c r="H207" s="5"/>
      <c r="I207" s="5"/>
      <c r="J207" s="5"/>
      <c r="K207" s="5"/>
      <c r="L207" s="5"/>
      <c r="M207" s="5"/>
      <c r="N207" s="5"/>
      <c r="O207" s="5"/>
      <c r="P207"/>
      <c r="Q207"/>
      <c r="R207"/>
      <c r="S207"/>
      <c r="T207"/>
      <c r="U207"/>
      <c r="V207"/>
      <c r="W207"/>
      <c r="X207"/>
      <c r="Y207"/>
    </row>
    <row r="208" spans="2:25" ht="15.75" customHeight="1" x14ac:dyDescent="0.25">
      <c r="B208" s="5"/>
      <c r="C208" s="5"/>
      <c r="D208" s="5"/>
      <c r="E208" s="5"/>
      <c r="F208" s="5"/>
      <c r="G208" s="5"/>
      <c r="H208" s="5"/>
      <c r="I208" s="5"/>
      <c r="J208" s="5"/>
      <c r="K208" s="5"/>
      <c r="L208" s="5"/>
      <c r="M208" s="5"/>
      <c r="N208" s="5"/>
      <c r="O208" s="5"/>
      <c r="P208"/>
      <c r="Q208"/>
      <c r="R208"/>
      <c r="S208"/>
      <c r="T208"/>
      <c r="U208"/>
      <c r="V208"/>
      <c r="W208"/>
      <c r="X208"/>
      <c r="Y208"/>
    </row>
    <row r="209" spans="2:25" ht="15.75" customHeight="1" x14ac:dyDescent="0.25">
      <c r="B209" s="5"/>
      <c r="C209" s="5"/>
      <c r="D209" s="5"/>
      <c r="E209" s="5"/>
      <c r="F209" s="5"/>
      <c r="G209" s="5"/>
      <c r="H209" s="5"/>
      <c r="I209" s="5"/>
      <c r="J209" s="5"/>
      <c r="K209" s="5"/>
      <c r="L209" s="5"/>
      <c r="M209" s="5"/>
      <c r="N209" s="5"/>
      <c r="O209" s="5"/>
      <c r="P209"/>
      <c r="Q209"/>
      <c r="R209"/>
      <c r="S209"/>
      <c r="T209"/>
      <c r="U209"/>
      <c r="V209"/>
      <c r="W209"/>
      <c r="X209"/>
      <c r="Y209"/>
    </row>
    <row r="210" spans="2:25" ht="15.75" customHeight="1" x14ac:dyDescent="0.25">
      <c r="B210" s="5"/>
      <c r="C210" s="5"/>
      <c r="D210" s="5"/>
      <c r="E210" s="5"/>
      <c r="F210" s="5"/>
      <c r="G210" s="5"/>
      <c r="H210" s="5"/>
      <c r="I210" s="5"/>
      <c r="J210" s="5"/>
      <c r="K210" s="5"/>
      <c r="L210" s="5"/>
      <c r="M210" s="5"/>
      <c r="N210" s="5"/>
      <c r="O210" s="5"/>
      <c r="P210"/>
      <c r="Q210"/>
      <c r="R210"/>
      <c r="S210"/>
      <c r="T210"/>
      <c r="U210"/>
      <c r="V210"/>
      <c r="W210"/>
      <c r="X210"/>
      <c r="Y210"/>
    </row>
    <row r="211" spans="2:25" ht="15.75" customHeight="1" x14ac:dyDescent="0.25">
      <c r="B211" s="5"/>
      <c r="C211" s="5"/>
      <c r="D211" s="5"/>
      <c r="E211" s="5"/>
      <c r="F211" s="5"/>
      <c r="G211" s="5"/>
      <c r="H211" s="5"/>
      <c r="I211" s="5"/>
      <c r="J211" s="5"/>
      <c r="K211" s="5"/>
      <c r="L211" s="5"/>
      <c r="M211" s="5"/>
      <c r="N211" s="5"/>
      <c r="O211" s="5"/>
      <c r="P211"/>
      <c r="Q211"/>
      <c r="R211"/>
      <c r="S211"/>
      <c r="T211"/>
      <c r="U211"/>
      <c r="V211"/>
      <c r="W211"/>
      <c r="X211"/>
      <c r="Y211"/>
    </row>
    <row r="212" spans="2:25" ht="15.75" customHeight="1" x14ac:dyDescent="0.25">
      <c r="B212" s="5"/>
      <c r="C212" s="5"/>
      <c r="D212" s="5"/>
      <c r="E212" s="5"/>
      <c r="F212" s="5"/>
      <c r="G212" s="5"/>
      <c r="H212" s="5"/>
      <c r="I212" s="5"/>
      <c r="J212" s="5"/>
      <c r="K212" s="5"/>
      <c r="L212" s="5"/>
      <c r="M212" s="5"/>
      <c r="N212" s="5"/>
      <c r="O212" s="5"/>
      <c r="P212"/>
      <c r="Q212"/>
      <c r="R212"/>
      <c r="S212"/>
      <c r="T212"/>
      <c r="U212"/>
      <c r="V212"/>
      <c r="W212"/>
      <c r="X212"/>
      <c r="Y212"/>
    </row>
    <row r="213" spans="2:25" ht="15.75" customHeight="1" x14ac:dyDescent="0.25">
      <c r="B213" s="5"/>
      <c r="C213" s="5"/>
      <c r="D213" s="5"/>
      <c r="E213" s="5"/>
      <c r="F213" s="5"/>
      <c r="G213" s="5"/>
      <c r="H213" s="5"/>
      <c r="I213" s="5"/>
      <c r="J213" s="5"/>
      <c r="K213" s="5"/>
      <c r="L213" s="5"/>
      <c r="M213" s="5"/>
      <c r="N213" s="5"/>
      <c r="O213" s="5"/>
      <c r="P213"/>
      <c r="Q213"/>
      <c r="R213"/>
      <c r="S213"/>
      <c r="T213"/>
      <c r="U213"/>
      <c r="V213"/>
      <c r="W213"/>
      <c r="X213"/>
      <c r="Y213"/>
    </row>
    <row r="214" spans="2:25" ht="15.75" customHeight="1" x14ac:dyDescent="0.25">
      <c r="B214" s="5"/>
      <c r="C214" s="5"/>
      <c r="D214" s="5"/>
      <c r="E214" s="5"/>
      <c r="F214" s="5"/>
      <c r="G214" s="5"/>
      <c r="H214" s="5"/>
      <c r="I214" s="5"/>
      <c r="J214" s="5"/>
      <c r="K214" s="5"/>
      <c r="L214" s="5"/>
      <c r="M214" s="5"/>
      <c r="N214" s="5"/>
      <c r="O214" s="5"/>
      <c r="P214"/>
      <c r="Q214"/>
      <c r="R214"/>
      <c r="S214"/>
      <c r="T214"/>
      <c r="U214"/>
      <c r="V214"/>
      <c r="W214"/>
      <c r="X214"/>
      <c r="Y214"/>
    </row>
    <row r="215" spans="2:25" ht="15.75" customHeight="1" x14ac:dyDescent="0.25">
      <c r="B215" s="5"/>
      <c r="C215" s="5"/>
      <c r="D215" s="5"/>
      <c r="E215" s="5"/>
      <c r="F215" s="5"/>
      <c r="G215" s="5"/>
      <c r="H215" s="5"/>
      <c r="I215" s="5"/>
      <c r="J215" s="5"/>
      <c r="K215" s="5"/>
      <c r="L215" s="5"/>
      <c r="M215" s="5"/>
      <c r="N215" s="5"/>
      <c r="O215" s="5"/>
      <c r="P215"/>
      <c r="Q215"/>
      <c r="R215"/>
      <c r="S215"/>
      <c r="T215"/>
      <c r="U215"/>
      <c r="V215"/>
      <c r="W215"/>
      <c r="X215"/>
      <c r="Y215"/>
    </row>
    <row r="216" spans="2:25" ht="15.75" customHeight="1" x14ac:dyDescent="0.25">
      <c r="B216" s="5"/>
      <c r="C216" s="5"/>
      <c r="D216" s="5"/>
      <c r="E216" s="5"/>
      <c r="F216" s="5"/>
      <c r="G216" s="5"/>
      <c r="H216" s="5"/>
      <c r="I216" s="5"/>
      <c r="J216" s="5"/>
      <c r="K216" s="5"/>
      <c r="L216" s="5"/>
      <c r="M216" s="5"/>
      <c r="N216" s="5"/>
      <c r="O216" s="5"/>
      <c r="P216"/>
      <c r="Q216"/>
      <c r="R216"/>
      <c r="S216"/>
      <c r="T216"/>
      <c r="U216"/>
      <c r="V216"/>
      <c r="W216"/>
      <c r="X216"/>
      <c r="Y216"/>
    </row>
    <row r="217" spans="2:25" ht="15.75" customHeight="1" x14ac:dyDescent="0.25">
      <c r="B217" s="5"/>
      <c r="C217" s="5"/>
      <c r="D217" s="5"/>
      <c r="E217" s="5"/>
      <c r="F217" s="5"/>
      <c r="G217" s="5"/>
      <c r="H217" s="5"/>
      <c r="I217" s="5"/>
      <c r="J217" s="5"/>
      <c r="K217" s="5"/>
      <c r="L217" s="5"/>
      <c r="M217" s="5"/>
      <c r="N217" s="5"/>
      <c r="O217" s="5"/>
      <c r="P217"/>
      <c r="Q217"/>
      <c r="R217"/>
      <c r="S217"/>
      <c r="T217"/>
      <c r="U217"/>
      <c r="V217"/>
      <c r="W217"/>
      <c r="X217"/>
      <c r="Y217"/>
    </row>
    <row r="218" spans="2:25" ht="15.75" customHeight="1" x14ac:dyDescent="0.25">
      <c r="B218" s="5"/>
      <c r="C218" s="5"/>
      <c r="D218" s="5"/>
      <c r="E218" s="5"/>
      <c r="F218" s="5"/>
      <c r="G218" s="5"/>
      <c r="H218" s="5"/>
      <c r="I218" s="5"/>
      <c r="J218" s="5"/>
      <c r="K218" s="5"/>
      <c r="L218" s="5"/>
      <c r="M218" s="5"/>
      <c r="N218" s="5"/>
      <c r="O218" s="5"/>
      <c r="P218"/>
      <c r="Q218"/>
      <c r="R218"/>
      <c r="S218"/>
      <c r="T218"/>
      <c r="U218"/>
      <c r="V218"/>
      <c r="W218"/>
      <c r="X218"/>
      <c r="Y218"/>
    </row>
    <row r="219" spans="2:25" ht="15.75" customHeight="1" x14ac:dyDescent="0.25">
      <c r="B219" s="5"/>
      <c r="C219" s="5"/>
      <c r="D219" s="5"/>
      <c r="E219" s="5"/>
      <c r="F219" s="5"/>
      <c r="G219" s="5"/>
      <c r="H219" s="5"/>
      <c r="I219" s="5"/>
      <c r="J219" s="5"/>
      <c r="K219" s="5"/>
      <c r="L219" s="5"/>
      <c r="M219" s="5"/>
      <c r="N219" s="5"/>
      <c r="O219" s="5"/>
      <c r="P219"/>
      <c r="Q219"/>
      <c r="R219"/>
      <c r="S219"/>
      <c r="T219"/>
      <c r="U219"/>
      <c r="V219"/>
      <c r="W219"/>
      <c r="X219"/>
      <c r="Y219"/>
    </row>
    <row r="220" spans="2:25" ht="15.75" customHeight="1" x14ac:dyDescent="0.25">
      <c r="B220" s="5"/>
      <c r="C220" s="5"/>
      <c r="D220" s="5"/>
      <c r="E220" s="5"/>
      <c r="F220" s="5"/>
      <c r="G220" s="5"/>
      <c r="H220" s="5"/>
      <c r="I220" s="5"/>
      <c r="J220" s="5"/>
      <c r="K220" s="5"/>
      <c r="L220" s="5"/>
      <c r="M220" s="5"/>
      <c r="N220" s="5"/>
      <c r="O220" s="5"/>
      <c r="P220"/>
      <c r="Q220"/>
      <c r="R220"/>
      <c r="S220"/>
      <c r="T220"/>
      <c r="U220"/>
      <c r="V220"/>
      <c r="W220"/>
      <c r="X220"/>
      <c r="Y220"/>
    </row>
    <row r="221" spans="2:25" ht="15.75" customHeight="1" x14ac:dyDescent="0.25">
      <c r="B221" s="5"/>
      <c r="C221" s="5"/>
      <c r="D221" s="5"/>
      <c r="E221" s="5"/>
      <c r="F221" s="5"/>
      <c r="G221" s="5"/>
      <c r="H221" s="5"/>
      <c r="I221" s="5"/>
      <c r="J221" s="5"/>
      <c r="K221" s="5"/>
      <c r="L221" s="5"/>
      <c r="M221" s="5"/>
      <c r="N221" s="5"/>
      <c r="O221" s="5"/>
      <c r="P221"/>
      <c r="Q221"/>
      <c r="R221"/>
      <c r="S221"/>
      <c r="T221"/>
      <c r="U221"/>
      <c r="V221"/>
      <c r="W221"/>
      <c r="X221"/>
      <c r="Y221"/>
    </row>
    <row r="222" spans="2:25" ht="15.75" customHeight="1" x14ac:dyDescent="0.25">
      <c r="B222" s="5"/>
      <c r="C222" s="5"/>
      <c r="D222" s="5"/>
      <c r="E222" s="5"/>
      <c r="F222" s="5"/>
      <c r="G222" s="5"/>
      <c r="H222" s="5"/>
      <c r="I222" s="5"/>
      <c r="J222" s="5"/>
      <c r="K222" s="5"/>
      <c r="L222" s="5"/>
      <c r="M222" s="5"/>
      <c r="N222" s="5"/>
      <c r="O222" s="5"/>
      <c r="P222"/>
      <c r="Q222"/>
      <c r="R222"/>
      <c r="S222"/>
      <c r="T222"/>
      <c r="U222"/>
      <c r="V222"/>
      <c r="W222"/>
      <c r="X222"/>
      <c r="Y222"/>
    </row>
    <row r="223" spans="2:25" ht="15.75" customHeight="1" x14ac:dyDescent="0.25">
      <c r="B223" s="5"/>
      <c r="C223" s="5"/>
      <c r="D223" s="5"/>
      <c r="E223" s="5"/>
      <c r="F223" s="5"/>
      <c r="G223" s="5"/>
      <c r="H223" s="5"/>
      <c r="I223" s="5"/>
      <c r="J223" s="5"/>
      <c r="K223" s="5"/>
      <c r="L223" s="5"/>
      <c r="M223" s="5"/>
      <c r="N223" s="5"/>
      <c r="O223" s="5"/>
      <c r="P223"/>
      <c r="Q223"/>
      <c r="R223"/>
      <c r="S223"/>
      <c r="T223"/>
      <c r="U223"/>
      <c r="V223"/>
      <c r="W223"/>
      <c r="X223"/>
      <c r="Y223"/>
    </row>
    <row r="224" spans="2:25" ht="15.75" customHeight="1" x14ac:dyDescent="0.25">
      <c r="B224" s="5"/>
      <c r="C224" s="5"/>
      <c r="D224" s="5"/>
      <c r="E224" s="5"/>
      <c r="F224" s="5"/>
      <c r="G224" s="5"/>
      <c r="H224" s="5"/>
      <c r="I224" s="5"/>
      <c r="J224" s="5"/>
      <c r="K224" s="5"/>
      <c r="L224" s="5"/>
      <c r="M224" s="5"/>
      <c r="N224" s="5"/>
      <c r="O224" s="5"/>
      <c r="P224"/>
      <c r="Q224"/>
      <c r="R224"/>
      <c r="S224"/>
      <c r="T224"/>
      <c r="U224"/>
      <c r="V224"/>
      <c r="W224"/>
      <c r="X224"/>
      <c r="Y224"/>
    </row>
    <row r="225" spans="2:25" ht="15.75" customHeight="1" x14ac:dyDescent="0.25">
      <c r="B225" s="5"/>
      <c r="C225" s="5"/>
      <c r="D225" s="5"/>
      <c r="E225" s="5"/>
      <c r="F225" s="5"/>
      <c r="G225" s="5"/>
      <c r="H225" s="5"/>
      <c r="I225" s="5"/>
      <c r="J225" s="5"/>
      <c r="K225" s="5"/>
      <c r="L225" s="5"/>
      <c r="M225" s="5"/>
      <c r="N225" s="5"/>
      <c r="O225" s="5"/>
      <c r="P225"/>
      <c r="Q225"/>
      <c r="R225"/>
      <c r="S225"/>
      <c r="T225"/>
      <c r="U225"/>
      <c r="V225"/>
      <c r="W225"/>
      <c r="X225"/>
      <c r="Y225"/>
    </row>
    <row r="226" spans="2:25" ht="15.75" customHeight="1" x14ac:dyDescent="0.25">
      <c r="B226" s="5"/>
      <c r="C226" s="5"/>
      <c r="D226" s="5"/>
      <c r="E226" s="5"/>
      <c r="F226" s="5"/>
      <c r="G226" s="5"/>
      <c r="H226" s="5"/>
      <c r="I226" s="5"/>
      <c r="J226" s="5"/>
      <c r="K226" s="5"/>
      <c r="L226" s="5"/>
      <c r="M226" s="5"/>
      <c r="N226" s="5"/>
      <c r="O226" s="5"/>
      <c r="P226"/>
      <c r="Q226"/>
      <c r="R226"/>
      <c r="S226"/>
      <c r="T226"/>
      <c r="U226"/>
      <c r="V226"/>
      <c r="W226"/>
      <c r="X226"/>
      <c r="Y226"/>
    </row>
    <row r="227" spans="2:25" ht="15.75" customHeight="1" x14ac:dyDescent="0.25">
      <c r="B227" s="5"/>
      <c r="C227" s="5"/>
      <c r="D227" s="5"/>
      <c r="E227" s="5"/>
      <c r="F227" s="5"/>
      <c r="G227" s="5"/>
      <c r="H227" s="5"/>
      <c r="I227" s="5"/>
      <c r="J227" s="5"/>
      <c r="K227" s="5"/>
      <c r="L227" s="5"/>
      <c r="M227" s="5"/>
      <c r="N227" s="5"/>
      <c r="O227" s="5"/>
      <c r="P227"/>
      <c r="Q227"/>
      <c r="R227"/>
      <c r="S227"/>
      <c r="T227"/>
      <c r="U227"/>
      <c r="V227"/>
      <c r="W227"/>
      <c r="X227"/>
      <c r="Y227"/>
    </row>
    <row r="228" spans="2:25" ht="15.75" customHeight="1" x14ac:dyDescent="0.25">
      <c r="B228" s="5"/>
      <c r="C228" s="5"/>
      <c r="D228" s="5"/>
      <c r="E228" s="5"/>
      <c r="F228" s="5"/>
      <c r="G228" s="5"/>
      <c r="H228" s="5"/>
      <c r="I228" s="5"/>
      <c r="J228" s="5"/>
      <c r="K228" s="5"/>
      <c r="L228" s="5"/>
      <c r="M228" s="5"/>
      <c r="N228" s="5"/>
      <c r="O228" s="5"/>
      <c r="P228"/>
      <c r="Q228"/>
      <c r="R228"/>
      <c r="S228"/>
      <c r="T228"/>
      <c r="U228"/>
      <c r="V228"/>
      <c r="W228"/>
      <c r="X228"/>
      <c r="Y228"/>
    </row>
    <row r="229" spans="2:25" ht="15.75" customHeight="1" x14ac:dyDescent="0.25">
      <c r="B229" s="5"/>
      <c r="C229" s="5"/>
      <c r="D229" s="5"/>
      <c r="E229" s="5"/>
      <c r="F229" s="5"/>
      <c r="G229" s="5"/>
      <c r="H229" s="5"/>
      <c r="I229" s="5"/>
      <c r="J229" s="5"/>
      <c r="K229" s="5"/>
      <c r="L229" s="5"/>
      <c r="M229" s="5"/>
      <c r="N229" s="5"/>
      <c r="O229" s="5"/>
      <c r="P229"/>
      <c r="Q229"/>
      <c r="R229"/>
      <c r="S229"/>
      <c r="T229"/>
      <c r="U229"/>
      <c r="V229"/>
      <c r="W229"/>
      <c r="X229"/>
      <c r="Y229"/>
    </row>
    <row r="230" spans="2:25" ht="15.75" customHeight="1" x14ac:dyDescent="0.25">
      <c r="B230" s="5"/>
      <c r="C230" s="5"/>
      <c r="D230" s="5"/>
      <c r="E230" s="5"/>
      <c r="F230" s="5"/>
      <c r="G230" s="5"/>
      <c r="H230" s="5"/>
      <c r="I230" s="5"/>
      <c r="J230" s="5"/>
      <c r="K230" s="5"/>
      <c r="L230" s="5"/>
      <c r="M230" s="5"/>
      <c r="N230" s="5"/>
      <c r="O230" s="5"/>
      <c r="P230"/>
      <c r="Q230"/>
      <c r="R230"/>
      <c r="S230"/>
      <c r="T230"/>
      <c r="U230"/>
      <c r="V230"/>
      <c r="W230"/>
      <c r="X230"/>
      <c r="Y230"/>
    </row>
    <row r="231" spans="2:25" ht="15.75" customHeight="1" x14ac:dyDescent="0.25">
      <c r="B231" s="5"/>
      <c r="C231" s="5"/>
      <c r="D231" s="5"/>
      <c r="E231" s="5"/>
      <c r="F231" s="5"/>
      <c r="G231" s="5"/>
      <c r="H231" s="5"/>
      <c r="I231" s="5"/>
      <c r="J231" s="5"/>
      <c r="K231" s="5"/>
      <c r="L231" s="5"/>
      <c r="M231" s="5"/>
      <c r="N231" s="5"/>
      <c r="O231" s="5"/>
      <c r="P231"/>
      <c r="Q231"/>
      <c r="R231"/>
      <c r="S231"/>
      <c r="T231"/>
      <c r="U231"/>
      <c r="V231"/>
      <c r="W231"/>
      <c r="X231"/>
      <c r="Y231"/>
    </row>
    <row r="232" spans="2:25" ht="15.75" customHeight="1" x14ac:dyDescent="0.25">
      <c r="B232" s="5"/>
      <c r="C232" s="5"/>
      <c r="D232" s="5"/>
      <c r="E232" s="5"/>
      <c r="F232" s="5"/>
      <c r="G232" s="5"/>
      <c r="H232" s="5"/>
      <c r="I232" s="5"/>
      <c r="J232" s="5"/>
      <c r="K232" s="5"/>
      <c r="L232" s="5"/>
      <c r="M232" s="5"/>
      <c r="N232" s="5"/>
      <c r="O232" s="5"/>
      <c r="P232"/>
      <c r="Q232"/>
      <c r="R232"/>
      <c r="S232"/>
      <c r="T232"/>
      <c r="U232"/>
      <c r="V232"/>
      <c r="W232"/>
      <c r="X232"/>
      <c r="Y232"/>
    </row>
    <row r="233" spans="2:25" ht="15.75" customHeight="1" x14ac:dyDescent="0.25">
      <c r="B233" s="5"/>
      <c r="C233" s="5"/>
      <c r="D233" s="5"/>
      <c r="E233" s="5"/>
      <c r="F233" s="5"/>
      <c r="G233" s="5"/>
      <c r="H233" s="5"/>
      <c r="I233" s="5"/>
      <c r="J233" s="5"/>
      <c r="K233" s="5"/>
      <c r="L233" s="5"/>
      <c r="M233" s="5"/>
      <c r="N233" s="5"/>
      <c r="O233" s="5"/>
      <c r="P233"/>
      <c r="Q233"/>
      <c r="R233"/>
      <c r="S233"/>
      <c r="T233"/>
      <c r="U233"/>
      <c r="V233"/>
      <c r="W233"/>
      <c r="X233"/>
      <c r="Y233"/>
    </row>
    <row r="234" spans="2:25" ht="15.75" customHeight="1" x14ac:dyDescent="0.25">
      <c r="B234" s="5"/>
      <c r="C234" s="5"/>
      <c r="D234" s="5"/>
      <c r="E234" s="5"/>
      <c r="F234" s="5"/>
      <c r="G234" s="5"/>
      <c r="H234" s="5"/>
      <c r="I234" s="5"/>
      <c r="J234" s="5"/>
      <c r="K234" s="5"/>
      <c r="L234" s="5"/>
      <c r="M234" s="5"/>
      <c r="N234" s="5"/>
      <c r="O234" s="5"/>
      <c r="P234"/>
      <c r="Q234"/>
      <c r="R234"/>
      <c r="S234"/>
      <c r="T234"/>
      <c r="U234"/>
      <c r="V234"/>
      <c r="W234"/>
      <c r="X234"/>
      <c r="Y234"/>
    </row>
    <row r="235" spans="2:25" ht="15.75" customHeight="1" x14ac:dyDescent="0.25">
      <c r="B235" s="5"/>
      <c r="C235" s="5"/>
      <c r="D235" s="5"/>
      <c r="E235" s="5"/>
      <c r="F235" s="5"/>
      <c r="G235" s="5"/>
      <c r="H235" s="5"/>
      <c r="I235" s="5"/>
      <c r="J235" s="5"/>
      <c r="K235" s="5"/>
      <c r="L235" s="5"/>
      <c r="M235" s="5"/>
      <c r="N235" s="5"/>
      <c r="O235" s="5"/>
      <c r="P235"/>
      <c r="Q235"/>
      <c r="R235"/>
      <c r="S235"/>
      <c r="T235"/>
      <c r="U235"/>
      <c r="V235"/>
      <c r="W235"/>
      <c r="X235"/>
      <c r="Y235"/>
    </row>
    <row r="236" spans="2:25" ht="15.75" customHeight="1" x14ac:dyDescent="0.25">
      <c r="B236" s="5"/>
      <c r="C236" s="5"/>
      <c r="D236" s="5"/>
      <c r="E236" s="5"/>
      <c r="F236" s="5"/>
      <c r="G236" s="5"/>
      <c r="H236" s="5"/>
      <c r="I236" s="5"/>
      <c r="J236" s="5"/>
      <c r="K236" s="5"/>
      <c r="L236" s="5"/>
      <c r="M236" s="5"/>
      <c r="N236" s="5"/>
      <c r="O236" s="5"/>
      <c r="P236"/>
      <c r="Q236"/>
      <c r="R236"/>
      <c r="S236"/>
      <c r="T236"/>
      <c r="U236"/>
      <c r="V236"/>
      <c r="W236"/>
      <c r="X236"/>
      <c r="Y236"/>
    </row>
    <row r="237" spans="2:25" ht="15.75" customHeight="1" x14ac:dyDescent="0.25">
      <c r="B237" s="5"/>
      <c r="C237" s="5"/>
      <c r="D237" s="5"/>
      <c r="E237" s="5"/>
      <c r="F237" s="5"/>
      <c r="G237" s="5"/>
      <c r="H237" s="5"/>
      <c r="I237" s="5"/>
      <c r="J237" s="5"/>
      <c r="K237" s="5"/>
      <c r="L237" s="5"/>
      <c r="M237" s="5"/>
      <c r="N237" s="5"/>
      <c r="O237" s="5"/>
      <c r="P237"/>
      <c r="Q237"/>
      <c r="R237"/>
      <c r="S237"/>
      <c r="T237"/>
      <c r="U237"/>
      <c r="V237"/>
      <c r="W237"/>
      <c r="X237"/>
      <c r="Y237"/>
    </row>
    <row r="238" spans="2:25" ht="15.75" customHeight="1" x14ac:dyDescent="0.25">
      <c r="B238" s="5"/>
      <c r="C238" s="5"/>
      <c r="D238" s="5"/>
      <c r="E238" s="5"/>
      <c r="F238" s="5"/>
      <c r="G238" s="5"/>
      <c r="H238" s="5"/>
      <c r="I238" s="5"/>
      <c r="J238" s="5"/>
      <c r="K238" s="5"/>
      <c r="L238" s="5"/>
      <c r="M238" s="5"/>
      <c r="N238" s="5"/>
      <c r="O238" s="5"/>
      <c r="P238"/>
      <c r="Q238"/>
      <c r="R238"/>
      <c r="S238"/>
      <c r="T238"/>
      <c r="U238"/>
      <c r="V238"/>
      <c r="W238"/>
      <c r="X238"/>
      <c r="Y238"/>
    </row>
    <row r="239" spans="2:25" ht="15.75" customHeight="1" x14ac:dyDescent="0.25">
      <c r="B239" s="5"/>
      <c r="C239" s="5"/>
      <c r="D239" s="5"/>
      <c r="E239" s="5"/>
      <c r="F239" s="5"/>
      <c r="G239" s="5"/>
      <c r="H239" s="5"/>
      <c r="I239" s="5"/>
      <c r="J239" s="5"/>
      <c r="K239" s="5"/>
      <c r="L239" s="5"/>
      <c r="M239" s="5"/>
      <c r="N239" s="5"/>
      <c r="O239" s="5"/>
      <c r="P239"/>
      <c r="Q239"/>
      <c r="R239"/>
      <c r="S239"/>
      <c r="T239"/>
      <c r="U239"/>
      <c r="V239"/>
      <c r="W239"/>
      <c r="X239"/>
      <c r="Y239"/>
    </row>
    <row r="240" spans="2:25" ht="15.75" customHeight="1" x14ac:dyDescent="0.25">
      <c r="B240" s="5"/>
      <c r="C240" s="5"/>
      <c r="D240" s="5"/>
      <c r="E240" s="5"/>
      <c r="F240" s="5"/>
      <c r="G240" s="5"/>
      <c r="H240" s="5"/>
      <c r="I240" s="5"/>
      <c r="J240" s="5"/>
      <c r="K240" s="5"/>
      <c r="L240" s="5"/>
      <c r="M240" s="5"/>
      <c r="N240" s="5"/>
      <c r="O240" s="5"/>
      <c r="P240"/>
      <c r="Q240"/>
      <c r="R240"/>
      <c r="S240"/>
      <c r="T240"/>
      <c r="U240"/>
      <c r="V240"/>
      <c r="W240"/>
      <c r="X240"/>
      <c r="Y240"/>
    </row>
    <row r="241" spans="1:25" ht="15.75" customHeight="1" x14ac:dyDescent="0.25">
      <c r="B241" s="5"/>
      <c r="C241" s="5"/>
      <c r="D241" s="5"/>
      <c r="E241" s="5"/>
      <c r="F241" s="5"/>
      <c r="G241" s="5"/>
      <c r="H241" s="5"/>
      <c r="I241" s="5"/>
      <c r="J241" s="5"/>
      <c r="K241" s="5"/>
      <c r="L241" s="5"/>
      <c r="M241" s="5"/>
      <c r="N241" s="5"/>
      <c r="O241" s="5"/>
      <c r="P241"/>
      <c r="Q241"/>
      <c r="R241"/>
      <c r="S241"/>
      <c r="T241"/>
      <c r="U241"/>
      <c r="V241"/>
      <c r="W241"/>
      <c r="X241"/>
      <c r="Y241"/>
    </row>
    <row r="242" spans="1:25" ht="15.75" customHeight="1" x14ac:dyDescent="0.25">
      <c r="B242" s="5"/>
      <c r="C242" s="5"/>
      <c r="D242" s="5"/>
      <c r="E242" s="5"/>
      <c r="F242" s="5"/>
      <c r="G242" s="5"/>
      <c r="H242" s="5"/>
      <c r="I242" s="5"/>
      <c r="J242" s="5"/>
      <c r="K242" s="5"/>
      <c r="L242" s="5"/>
      <c r="M242" s="5"/>
      <c r="N242" s="5"/>
      <c r="O242" s="5"/>
      <c r="P242"/>
      <c r="Q242"/>
      <c r="R242"/>
      <c r="S242"/>
      <c r="T242"/>
      <c r="U242"/>
      <c r="V242"/>
      <c r="W242"/>
      <c r="X242"/>
      <c r="Y242"/>
    </row>
    <row r="243" spans="1:25" ht="15.75" customHeight="1" x14ac:dyDescent="0.25">
      <c r="B243" s="5"/>
      <c r="C243" s="5"/>
      <c r="D243" s="5"/>
      <c r="E243" s="5"/>
      <c r="F243" s="5"/>
      <c r="G243" s="5"/>
      <c r="H243" s="5"/>
      <c r="I243" s="5"/>
      <c r="J243" s="5"/>
      <c r="K243" s="5"/>
      <c r="L243" s="5"/>
      <c r="M243" s="5"/>
      <c r="N243" s="5"/>
      <c r="O243" s="5"/>
      <c r="P243"/>
      <c r="Q243"/>
      <c r="R243"/>
      <c r="S243"/>
      <c r="T243"/>
      <c r="U243"/>
      <c r="V243"/>
      <c r="W243"/>
      <c r="X243"/>
      <c r="Y243"/>
    </row>
    <row r="244" spans="1:25" ht="15.75" customHeight="1" x14ac:dyDescent="0.25">
      <c r="A244"/>
      <c r="B244"/>
      <c r="C244"/>
      <c r="D244"/>
      <c r="E244"/>
      <c r="F244"/>
      <c r="G244"/>
      <c r="H244"/>
      <c r="I244"/>
      <c r="J244"/>
      <c r="K244"/>
      <c r="L244"/>
      <c r="M244"/>
      <c r="N244"/>
      <c r="O244"/>
      <c r="P244"/>
      <c r="Q244"/>
      <c r="R244"/>
      <c r="S244"/>
      <c r="T244"/>
      <c r="U244"/>
      <c r="V244"/>
      <c r="W244"/>
      <c r="X244"/>
      <c r="Y244"/>
    </row>
    <row r="245" spans="1:25" ht="15.75" customHeight="1" x14ac:dyDescent="0.25">
      <c r="A245"/>
      <c r="B245"/>
      <c r="C245"/>
      <c r="D245"/>
      <c r="E245"/>
      <c r="F245"/>
      <c r="G245"/>
      <c r="H245"/>
      <c r="I245"/>
      <c r="J245"/>
      <c r="K245"/>
      <c r="L245"/>
      <c r="M245"/>
      <c r="N245"/>
      <c r="O245"/>
      <c r="P245"/>
      <c r="Q245"/>
      <c r="R245"/>
      <c r="S245"/>
      <c r="T245"/>
      <c r="U245"/>
      <c r="V245"/>
      <c r="W245"/>
      <c r="X245"/>
      <c r="Y245"/>
    </row>
    <row r="246" spans="1:25" ht="15.75" customHeight="1" x14ac:dyDescent="0.25">
      <c r="A246"/>
      <c r="B246"/>
      <c r="C246"/>
      <c r="D246"/>
      <c r="E246"/>
      <c r="F246"/>
      <c r="G246"/>
      <c r="H246"/>
      <c r="I246"/>
      <c r="J246"/>
      <c r="K246"/>
      <c r="L246"/>
      <c r="M246"/>
      <c r="N246"/>
      <c r="O246"/>
      <c r="P246"/>
      <c r="Q246"/>
      <c r="R246"/>
      <c r="S246"/>
      <c r="T246"/>
      <c r="U246"/>
      <c r="V246"/>
      <c r="W246"/>
      <c r="X246"/>
      <c r="Y246"/>
    </row>
    <row r="247" spans="1:25" ht="15.75" customHeight="1" x14ac:dyDescent="0.25">
      <c r="A247"/>
      <c r="B247"/>
      <c r="C247"/>
      <c r="D247"/>
      <c r="E247"/>
      <c r="F247"/>
      <c r="G247"/>
      <c r="H247"/>
      <c r="I247"/>
      <c r="J247"/>
      <c r="K247"/>
      <c r="L247"/>
      <c r="M247"/>
      <c r="N247"/>
      <c r="O247"/>
      <c r="P247"/>
      <c r="Q247"/>
      <c r="R247"/>
      <c r="S247"/>
      <c r="T247"/>
      <c r="U247"/>
      <c r="V247"/>
      <c r="W247"/>
      <c r="X247"/>
      <c r="Y247"/>
    </row>
    <row r="248" spans="1:25" ht="15.75" customHeight="1" x14ac:dyDescent="0.25">
      <c r="A248"/>
      <c r="B248"/>
      <c r="C248"/>
      <c r="D248"/>
      <c r="E248"/>
      <c r="F248"/>
      <c r="G248"/>
      <c r="H248"/>
      <c r="I248"/>
      <c r="J248"/>
      <c r="K248"/>
      <c r="L248"/>
      <c r="M248"/>
      <c r="N248"/>
      <c r="O248"/>
      <c r="P248"/>
      <c r="Q248"/>
      <c r="R248"/>
      <c r="S248"/>
      <c r="T248"/>
      <c r="U248"/>
      <c r="V248"/>
      <c r="W248"/>
      <c r="X248"/>
      <c r="Y248"/>
    </row>
    <row r="249" spans="1:25" ht="15.75" customHeight="1" x14ac:dyDescent="0.25">
      <c r="A249"/>
      <c r="B249"/>
      <c r="C249"/>
      <c r="D249"/>
      <c r="E249"/>
      <c r="F249"/>
      <c r="G249"/>
      <c r="H249"/>
      <c r="I249"/>
      <c r="J249"/>
      <c r="K249"/>
      <c r="L249"/>
      <c r="M249"/>
      <c r="N249"/>
      <c r="O249"/>
      <c r="P249"/>
      <c r="Q249"/>
      <c r="R249"/>
      <c r="S249"/>
      <c r="T249"/>
      <c r="U249"/>
      <c r="V249"/>
      <c r="W249"/>
      <c r="X249"/>
      <c r="Y249"/>
    </row>
  </sheetData>
  <mergeCells count="1">
    <mergeCell ref="M7:N7"/>
  </mergeCells>
  <conditionalFormatting sqref="D15:O30">
    <cfRule type="expression" dxfId="13" priority="33">
      <formula>D$5="ACTUAL"</formula>
    </cfRule>
  </conditionalFormatting>
  <conditionalFormatting sqref="D37:O47">
    <cfRule type="expression" dxfId="12" priority="31">
      <formula>D$5="ACTUAL"</formula>
    </cfRule>
  </conditionalFormatting>
  <conditionalFormatting sqref="D54:O57">
    <cfRule type="expression" dxfId="11" priority="27">
      <formula>D$5="ACTUAL"</formula>
    </cfRule>
  </conditionalFormatting>
  <conditionalFormatting sqref="D64:O69">
    <cfRule type="expression" dxfId="10" priority="23">
      <formula>D$5="ACTUAL"</formula>
    </cfRule>
  </conditionalFormatting>
  <conditionalFormatting sqref="D76:O83">
    <cfRule type="expression" dxfId="9" priority="19">
      <formula>D$5="ACTUAL"</formula>
    </cfRule>
  </conditionalFormatting>
  <conditionalFormatting sqref="D90:O101">
    <cfRule type="expression" dxfId="8" priority="14">
      <formula>D$5="ACTUAL"</formula>
    </cfRule>
  </conditionalFormatting>
  <conditionalFormatting sqref="D103:O114">
    <cfRule type="expression" dxfId="7" priority="13">
      <formula>D$5="ACTUAL"</formula>
    </cfRule>
  </conditionalFormatting>
  <conditionalFormatting sqref="D121:O123">
    <cfRule type="expression" dxfId="6" priority="11">
      <formula>D$5="ACTUAL"</formula>
    </cfRule>
  </conditionalFormatting>
  <conditionalFormatting sqref="D130:O133">
    <cfRule type="expression" dxfId="5" priority="8">
      <formula>D$5="ACTUAL"</formula>
    </cfRule>
  </conditionalFormatting>
  <conditionalFormatting sqref="D140:O140">
    <cfRule type="expression" dxfId="4" priority="1">
      <formula>D$5="ACTUAL"</formula>
    </cfRule>
  </conditionalFormatting>
  <conditionalFormatting sqref="D146:O155">
    <cfRule type="expression" dxfId="3" priority="5">
      <formula>D$5="ACTUAL"</formula>
    </cfRule>
  </conditionalFormatting>
  <conditionalFormatting sqref="D162:O170">
    <cfRule type="expression" dxfId="2" priority="2">
      <formula>D$5="ACTUAL"</formula>
    </cfRule>
  </conditionalFormatting>
  <conditionalFormatting sqref="O7">
    <cfRule type="cellIs" dxfId="1" priority="50" operator="equal">
      <formula>"Open"</formula>
    </cfRule>
    <cfRule type="cellIs" dxfId="0" priority="51" operator="equal">
      <formula>"Closed"</formula>
    </cfRule>
  </conditionalFormatting>
  <dataValidations disablePrompts="1" count="1">
    <dataValidation type="list" errorStyle="information" allowBlank="1" showInputMessage="1" sqref="E5:O5" xr:uid="{B707C55B-7E45-4E2B-9BCB-32AE4410BA0E}">
      <formula1>cafe_validation_temp</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7A7D-63DD-4584-859A-F1686D3A6FB8}">
  <dimension ref="C3:K23"/>
  <sheetViews>
    <sheetView showGridLines="0" showRowColHeaders="0" zoomScaleNormal="100" workbookViewId="0"/>
  </sheetViews>
  <sheetFormatPr defaultColWidth="12.42578125" defaultRowHeight="20.25" x14ac:dyDescent="0.25"/>
  <cols>
    <col min="1" max="2" width="12.42578125" style="1"/>
    <col min="3" max="3" width="43.42578125" style="1" customWidth="1"/>
    <col min="4" max="11" width="19" style="1" customWidth="1"/>
    <col min="12" max="16384" width="12.42578125" style="1"/>
  </cols>
  <sheetData>
    <row r="3" spans="3:11" ht="56.25" thickTop="1" x14ac:dyDescent="0.25">
      <c r="C3" s="2" t="s">
        <v>31</v>
      </c>
    </row>
    <row r="4" spans="3:11" ht="34.5" x14ac:dyDescent="0.25">
      <c r="C4" s="3" t="s">
        <v>32</v>
      </c>
    </row>
    <row r="7" spans="3:11" s="4" customFormat="1" ht="50.1" customHeight="1" x14ac:dyDescent="0.25">
      <c r="C7" s="5"/>
      <c r="D7" s="6">
        <v>2020</v>
      </c>
      <c r="E7" s="6">
        <v>2021</v>
      </c>
      <c r="F7" s="6">
        <v>2022</v>
      </c>
      <c r="G7" s="6">
        <v>2023</v>
      </c>
      <c r="H7" s="6">
        <v>2024</v>
      </c>
      <c r="I7" s="6">
        <v>2025</v>
      </c>
      <c r="J7" s="6">
        <v>2026</v>
      </c>
      <c r="K7" s="6">
        <v>2027</v>
      </c>
    </row>
    <row r="8" spans="3:11" ht="33" customHeight="1" x14ac:dyDescent="0.25">
      <c r="C8" s="7" t="s">
        <v>33</v>
      </c>
      <c r="D8" s="8" t="s">
        <v>34</v>
      </c>
      <c r="E8" s="8" t="s">
        <v>34</v>
      </c>
      <c r="F8" s="8" t="s">
        <v>34</v>
      </c>
      <c r="G8" s="8" t="s">
        <v>34</v>
      </c>
      <c r="H8" s="8" t="s">
        <v>34</v>
      </c>
      <c r="I8" s="8" t="s">
        <v>34</v>
      </c>
      <c r="J8" s="8" t="s">
        <v>34</v>
      </c>
      <c r="K8" s="8" t="s">
        <v>34</v>
      </c>
    </row>
    <row r="9" spans="3:11" ht="33" customHeight="1" x14ac:dyDescent="0.25">
      <c r="C9" s="7" t="s">
        <v>35</v>
      </c>
      <c r="D9" s="8" t="s">
        <v>34</v>
      </c>
      <c r="E9" s="8" t="s">
        <v>34</v>
      </c>
      <c r="F9" s="8" t="s">
        <v>34</v>
      </c>
      <c r="G9" s="8" t="s">
        <v>34</v>
      </c>
      <c r="H9" s="8" t="s">
        <v>34</v>
      </c>
      <c r="I9" s="8" t="s">
        <v>34</v>
      </c>
      <c r="J9" s="8" t="s">
        <v>34</v>
      </c>
      <c r="K9" s="8" t="s">
        <v>34</v>
      </c>
    </row>
    <row r="10" spans="3:11" ht="33" customHeight="1" x14ac:dyDescent="0.25">
      <c r="C10" s="7" t="s">
        <v>36</v>
      </c>
      <c r="D10" s="8" t="s">
        <v>34</v>
      </c>
      <c r="E10" s="8" t="s">
        <v>34</v>
      </c>
      <c r="F10" s="8" t="s">
        <v>34</v>
      </c>
      <c r="G10" s="8" t="s">
        <v>34</v>
      </c>
      <c r="H10" s="8" t="s">
        <v>34</v>
      </c>
      <c r="I10" s="8" t="s">
        <v>34</v>
      </c>
      <c r="J10" s="8" t="s">
        <v>34</v>
      </c>
      <c r="K10" s="8" t="s">
        <v>34</v>
      </c>
    </row>
    <row r="11" spans="3:11" ht="33" customHeight="1" x14ac:dyDescent="0.25">
      <c r="C11" s="7" t="s">
        <v>37</v>
      </c>
      <c r="D11" s="8" t="s">
        <v>34</v>
      </c>
      <c r="E11" s="8" t="s">
        <v>34</v>
      </c>
      <c r="F11" s="8" t="s">
        <v>34</v>
      </c>
      <c r="G11" s="8" t="s">
        <v>34</v>
      </c>
      <c r="H11" s="8" t="s">
        <v>34</v>
      </c>
      <c r="I11" s="8" t="s">
        <v>34</v>
      </c>
      <c r="J11" s="8" t="s">
        <v>34</v>
      </c>
      <c r="K11" s="8" t="s">
        <v>34</v>
      </c>
    </row>
    <row r="12" spans="3:11" ht="33" customHeight="1" x14ac:dyDescent="0.25">
      <c r="C12" s="7" t="s">
        <v>38</v>
      </c>
      <c r="D12" s="8" t="s">
        <v>34</v>
      </c>
      <c r="E12" s="8" t="s">
        <v>34</v>
      </c>
      <c r="F12" s="8" t="s">
        <v>34</v>
      </c>
      <c r="G12" s="8" t="s">
        <v>34</v>
      </c>
      <c r="H12" s="8" t="s">
        <v>34</v>
      </c>
      <c r="I12" s="8" t="s">
        <v>34</v>
      </c>
      <c r="J12" s="8" t="s">
        <v>34</v>
      </c>
      <c r="K12" s="8" t="s">
        <v>34</v>
      </c>
    </row>
    <row r="13" spans="3:11" ht="33" customHeight="1" x14ac:dyDescent="0.25">
      <c r="C13" s="7" t="s">
        <v>39</v>
      </c>
      <c r="D13" s="8" t="s">
        <v>34</v>
      </c>
      <c r="E13" s="8" t="s">
        <v>34</v>
      </c>
      <c r="F13" s="8" t="s">
        <v>34</v>
      </c>
      <c r="G13" s="8" t="s">
        <v>34</v>
      </c>
      <c r="H13" s="8" t="s">
        <v>34</v>
      </c>
      <c r="I13" s="8" t="s">
        <v>34</v>
      </c>
      <c r="J13" s="8" t="s">
        <v>34</v>
      </c>
      <c r="K13" s="8" t="s">
        <v>34</v>
      </c>
    </row>
    <row r="14" spans="3:11" ht="33" customHeight="1" x14ac:dyDescent="0.25">
      <c r="C14" s="7" t="s">
        <v>40</v>
      </c>
      <c r="D14" s="8" t="s">
        <v>34</v>
      </c>
      <c r="E14" s="8" t="s">
        <v>34</v>
      </c>
      <c r="F14" s="8" t="s">
        <v>34</v>
      </c>
      <c r="G14" s="8" t="s">
        <v>34</v>
      </c>
      <c r="H14" s="8" t="s">
        <v>34</v>
      </c>
      <c r="I14" s="8" t="s">
        <v>34</v>
      </c>
      <c r="J14" s="8" t="s">
        <v>34</v>
      </c>
      <c r="K14" s="8" t="s">
        <v>34</v>
      </c>
    </row>
    <row r="15" spans="3:11" ht="33" customHeight="1" x14ac:dyDescent="0.25">
      <c r="C15" s="7" t="s">
        <v>41</v>
      </c>
      <c r="D15" s="8" t="s">
        <v>34</v>
      </c>
      <c r="E15" s="8" t="s">
        <v>34</v>
      </c>
      <c r="F15" s="8" t="s">
        <v>34</v>
      </c>
      <c r="G15" s="8" t="s">
        <v>34</v>
      </c>
      <c r="H15" s="8" t="s">
        <v>34</v>
      </c>
      <c r="I15" s="8" t="s">
        <v>34</v>
      </c>
      <c r="J15" s="8" t="s">
        <v>34</v>
      </c>
      <c r="K15" s="8" t="s">
        <v>34</v>
      </c>
    </row>
    <row r="16" spans="3:11" ht="33" customHeight="1" x14ac:dyDescent="0.25">
      <c r="C16" s="7" t="s">
        <v>42</v>
      </c>
      <c r="D16" s="8" t="s">
        <v>34</v>
      </c>
      <c r="E16" s="8" t="s">
        <v>34</v>
      </c>
      <c r="F16" s="8" t="s">
        <v>34</v>
      </c>
      <c r="G16" s="8" t="s">
        <v>34</v>
      </c>
      <c r="H16" s="8" t="s">
        <v>34</v>
      </c>
      <c r="I16" s="8" t="s">
        <v>34</v>
      </c>
      <c r="J16" s="8" t="s">
        <v>34</v>
      </c>
      <c r="K16" s="8" t="s">
        <v>34</v>
      </c>
    </row>
    <row r="17" spans="3:11" ht="33" customHeight="1" x14ac:dyDescent="0.25">
      <c r="C17" s="7" t="s">
        <v>43</v>
      </c>
      <c r="D17" s="8" t="s">
        <v>34</v>
      </c>
      <c r="E17" s="8" t="s">
        <v>34</v>
      </c>
      <c r="F17" s="8" t="s">
        <v>34</v>
      </c>
      <c r="G17" s="8" t="s">
        <v>34</v>
      </c>
      <c r="H17" s="8" t="s">
        <v>34</v>
      </c>
      <c r="I17" s="8" t="s">
        <v>34</v>
      </c>
      <c r="J17" s="8" t="s">
        <v>34</v>
      </c>
      <c r="K17" s="8" t="s">
        <v>34</v>
      </c>
    </row>
    <row r="18" spans="3:11" ht="33" customHeight="1" x14ac:dyDescent="0.25">
      <c r="C18" s="7" t="s">
        <v>44</v>
      </c>
      <c r="D18" s="8" t="s">
        <v>34</v>
      </c>
      <c r="E18" s="8" t="s">
        <v>34</v>
      </c>
      <c r="F18" s="8" t="s">
        <v>34</v>
      </c>
      <c r="G18" s="8" t="s">
        <v>34</v>
      </c>
      <c r="H18" s="8" t="s">
        <v>34</v>
      </c>
      <c r="I18" s="8" t="s">
        <v>34</v>
      </c>
      <c r="J18" s="8" t="s">
        <v>34</v>
      </c>
      <c r="K18" s="8" t="s">
        <v>34</v>
      </c>
    </row>
    <row r="21" spans="3:11" x14ac:dyDescent="0.25">
      <c r="C21" s="51" t="s">
        <v>45</v>
      </c>
      <c r="D21" s="51"/>
      <c r="E21" s="51"/>
      <c r="F21" s="51"/>
      <c r="G21" s="51"/>
      <c r="H21" s="51"/>
      <c r="I21" s="51"/>
      <c r="J21" s="51"/>
      <c r="K21" s="51"/>
    </row>
    <row r="22" spans="3:11" x14ac:dyDescent="0.25">
      <c r="C22" s="51"/>
      <c r="D22" s="51"/>
      <c r="E22" s="51"/>
      <c r="F22" s="51"/>
      <c r="G22" s="51"/>
      <c r="H22" s="51"/>
      <c r="I22" s="51"/>
      <c r="J22" s="51"/>
      <c r="K22" s="51"/>
    </row>
    <row r="23" spans="3:11" x14ac:dyDescent="0.25">
      <c r="C23" s="51"/>
      <c r="D23" s="51"/>
      <c r="E23" s="51"/>
      <c r="F23" s="51"/>
      <c r="G23" s="51"/>
      <c r="H23" s="51"/>
      <c r="I23" s="51"/>
      <c r="J23" s="51"/>
      <c r="K23" s="51"/>
    </row>
  </sheetData>
  <mergeCells count="1">
    <mergeCell ref="C21:K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1413-80D0-4C6B-8C2B-6F3533A7D1B7}">
  <dimension ref="B1:B12"/>
  <sheetViews>
    <sheetView workbookViewId="0"/>
  </sheetViews>
  <sheetFormatPr defaultRowHeight="15" x14ac:dyDescent="0.25"/>
  <sheetData>
    <row r="1" spans="2:2" x14ac:dyDescent="0.25">
      <c r="B1" t="s">
        <v>323</v>
      </c>
    </row>
    <row r="2" spans="2:2" x14ac:dyDescent="0.25">
      <c r="B2" s="31" t="s">
        <v>280</v>
      </c>
    </row>
    <row r="3" spans="2:2" x14ac:dyDescent="0.25">
      <c r="B3" s="31" t="s">
        <v>281</v>
      </c>
    </row>
    <row r="4" spans="2:2" x14ac:dyDescent="0.25">
      <c r="B4" s="31" t="s">
        <v>282</v>
      </c>
    </row>
    <row r="5" spans="2:2" x14ac:dyDescent="0.25">
      <c r="B5" s="31" t="s">
        <v>283</v>
      </c>
    </row>
    <row r="6" spans="2:2" x14ac:dyDescent="0.25">
      <c r="B6" s="31" t="s">
        <v>284</v>
      </c>
    </row>
    <row r="7" spans="2:2" x14ac:dyDescent="0.25">
      <c r="B7" s="31" t="s">
        <v>285</v>
      </c>
    </row>
    <row r="8" spans="2:2" x14ac:dyDescent="0.25">
      <c r="B8" s="31" t="s">
        <v>286</v>
      </c>
    </row>
    <row r="9" spans="2:2" x14ac:dyDescent="0.25">
      <c r="B9" s="31" t="s">
        <v>287</v>
      </c>
    </row>
    <row r="10" spans="2:2" x14ac:dyDescent="0.25">
      <c r="B10" s="31" t="s">
        <v>288</v>
      </c>
    </row>
    <row r="11" spans="2:2" x14ac:dyDescent="0.25">
      <c r="B11" s="31" t="s">
        <v>289</v>
      </c>
    </row>
    <row r="12" spans="2:2" x14ac:dyDescent="0.25">
      <c r="B12" s="31" t="s">
        <v>290</v>
      </c>
    </row>
  </sheetData>
  <pageMargins left="0.511811024" right="0.511811024" top="0.78740157499999996" bottom="0.78740157499999996" header="0.31496062000000002" footer="0.31496062000000002"/>
  <customProperties>
    <customPr name="CafeStyleVersion"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E8AD4D95D7F445A2895D0644042872" ma:contentTypeVersion="18" ma:contentTypeDescription="Create a new document." ma:contentTypeScope="" ma:versionID="61d509613791b4b698d7389fe2d934ec">
  <xsd:schema xmlns:xsd="http://www.w3.org/2001/XMLSchema" xmlns:xs="http://www.w3.org/2001/XMLSchema" xmlns:p="http://schemas.microsoft.com/office/2006/metadata/properties" xmlns:ns3="3b3f7668-f8c7-4f2d-9222-b5a7b53abe03" xmlns:ns4="ca05545a-2b2e-426f-ac34-2c1b9c2bc617" targetNamespace="http://schemas.microsoft.com/office/2006/metadata/properties" ma:root="true" ma:fieldsID="b4731dd100d825b9bc86c6a4e7f927ad" ns3:_="" ns4:_="">
    <xsd:import namespace="3b3f7668-f8c7-4f2d-9222-b5a7b53abe03"/>
    <xsd:import namespace="ca05545a-2b2e-426f-ac34-2c1b9c2bc61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LengthInSeconds" minOccurs="0"/>
                <xsd:element ref="ns4:_activity" minOccurs="0"/>
                <xsd:element ref="ns4:MediaServiceLocation"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f7668-f8c7-4f2d-9222-b5a7b53abe0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05545a-2b2e-426f-ac34-2c1b9c2bc61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a05545a-2b2e-426f-ac34-2c1b9c2bc61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E6EC82-4D3A-4E00-A11E-CF1ADB20BF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3f7668-f8c7-4f2d-9222-b5a7b53abe03"/>
    <ds:schemaRef ds:uri="ca05545a-2b2e-426f-ac34-2c1b9c2bc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81D0CD-F97E-42F9-8733-3AEA8347BA90}">
  <ds:schemaRefs>
    <ds:schemaRef ds:uri="http://www.w3.org/XML/1998/namespace"/>
    <ds:schemaRef ds:uri="http://schemas.microsoft.com/office/2006/documentManagement/types"/>
    <ds:schemaRef ds:uri="http://purl.org/dc/terms/"/>
    <ds:schemaRef ds:uri="http://purl.org/dc/dcmitype/"/>
    <ds:schemaRef ds:uri="3b3f7668-f8c7-4f2d-9222-b5a7b53abe03"/>
    <ds:schemaRef ds:uri="http://purl.org/dc/elements/1.1/"/>
    <ds:schemaRef ds:uri="ca05545a-2b2e-426f-ac34-2c1b9c2bc617"/>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41A11BB5-5885-44C1-90DA-3F0647591A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Cons_Region</vt:lpstr>
      <vt:lpstr>Input_Prod_01</vt:lpstr>
      <vt:lpstr>Input_Prod_02</vt:lpstr>
      <vt:lpstr>Input_Prod_03</vt:lpstr>
      <vt:lpstr>Input_Prod_04</vt:lpstr>
      <vt:lpstr>Opening</vt:lpstr>
      <vt:lpstr>Data Table Style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Miranda</dc:creator>
  <cp:lastModifiedBy>Felipe Miranda</cp:lastModifiedBy>
  <dcterms:created xsi:type="dcterms:W3CDTF">2026-03-10T17:26:26Z</dcterms:created>
  <dcterms:modified xsi:type="dcterms:W3CDTF">2026-03-25T13:50:07Z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0x010100CDE8AD4D95D7F445A2895D0644042872</vt:lpwstr>
  </property>
</Properties>
</file>